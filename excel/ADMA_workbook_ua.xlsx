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ис" sheetId="1" state="visible" r:id="rId1"/>
    <sheet name="Параметри" sheetId="2" state="visible" r:id="rId2"/>
    <sheet name="Калькулятор" sheetId="3" state="visible" r:id="rId3"/>
    <sheet name="Приклад_розрахунку" sheetId="4" state="visible" r:id="rId4"/>
    <sheet name="Статистичний_режим" sheetId="5" state="visible" r:id="rId5"/>
    <sheet name="TOPSIS" sheetId="6" state="visible" r:id="rId6"/>
    <sheet name="Дані_ЄС" sheetId="7" state="visible" r:id="rId7"/>
    <sheet name="Дані_України" sheetId="8" state="visible" r:id="rId8"/>
    <sheet name="Діагностичні_ситуації" sheetId="9" state="visible" r:id="rId9"/>
    <sheet name="Гранична_смуга" sheetId="10" state="visible" r:id="rId10"/>
    <sheet name="Вибірка_експерименту" sheetId="11" state="visible" r:id="rId11"/>
    <sheet name="Рисунок_2_смуга" sheetId="12" state="visible" r:id="rId12"/>
    <sheet name="Рисунок_3_карта" sheetId="13" state="visible" r:id="rId13"/>
  </sheets>
  <definedNames>
    <definedName name="alpha">'Параметри'!$B$3</definedName>
    <definedName name="delta">'Параметри'!$B$4</definedName>
    <definedName name="bounds">'Параметри'!$B$7:$B$10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Смуга штрафу та профілі вибірки</a:t>
            </a:r>
          </a:p>
        </rich>
      </tx>
    </title>
    <plotArea>
      <scatterChart>
        <ser>
          <idx val="0"/>
          <order val="0"/>
          <tx>
            <v>рівень збережено</v>
          </tx>
          <spPr>
            <a:ln>
              <a:noFill/>
              <a:prstDash val="solid"/>
            </a:ln>
          </spPr>
          <marker>
            <symbol val="circle"/>
            <size val="3"/>
            <spPr>
              <a:solidFill>
                <a:srgbClr val="BFBFBF"/>
              </a:solidFill>
              <a:ln>
                <a:solidFill>
                  <a:srgbClr val="BFBFBF"/>
                </a:solidFill>
                <a:prstDash val="solid"/>
              </a:ln>
            </spPr>
          </marker>
          <xVal>
            <numRef>
              <f>'Вибірка_експерименту'!$AE$9:$AE$1008</f>
            </numRef>
          </xVal>
          <yVal>
            <numRef>
              <f>'Вибірка_експерименту'!$AP$9:$AP$1008</f>
            </numRef>
          </yVal>
          <smooth val="0"/>
        </ser>
        <ser>
          <idx val="1"/>
          <order val="1"/>
          <tx>
            <v>рівень змінено штрафом</v>
          </tx>
          <spPr>
            <a:ln>
              <a:noFill/>
              <a:prstDash val="solid"/>
            </a:ln>
          </spPr>
          <marker>
            <symbol val="circle"/>
            <size val="4"/>
            <spPr>
              <a:solidFill>
                <a:srgbClr val="C0504D"/>
              </a:solidFill>
              <a:ln>
                <a:solidFill>
                  <a:srgbClr val="C0504D"/>
                </a:solidFill>
                <a:prstDash val="solid"/>
              </a:ln>
            </spPr>
          </marker>
          <xVal>
            <numRef>
              <f>'Вибірка_експерименту'!$AE$9:$AE$1008</f>
            </numRef>
          </xVal>
          <yVal>
            <numRef>
              <f>'Вибірка_експерименту'!$AO$9:$AO$1008</f>
            </numRef>
          </yVal>
          <smooth val="0"/>
        </ser>
        <ser>
          <idx val="2"/>
          <order val="2"/>
          <tx>
            <v>межа 0.20</v>
          </tx>
          <spPr>
            <a:ln w="1905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'Рисунок_2_смуга'!$A$5:$A$20</f>
            </numRef>
          </xVal>
          <yVal>
            <numRef>
              <f>'Рисунок_2_смуга'!$F$5:$F$20</f>
            </numRef>
          </yVal>
          <smooth val="0"/>
        </ser>
        <ser>
          <idx val="3"/>
          <order val="3"/>
          <tx>
            <v>верхня межа 0.20</v>
          </tx>
          <spPr>
            <a:ln w="19050">
              <a:solidFill>
                <a:srgbClr val="7F7F7F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'Рисунок_2_смуга'!$A$5:$A$20</f>
            </numRef>
          </xVal>
          <yVal>
            <numRef>
              <f>'Рисунок_2_смуга'!$G$5:$G$20</f>
            </numRef>
          </yVal>
          <smooth val="0"/>
        </ser>
        <ser>
          <idx val="4"/>
          <order val="4"/>
          <tx>
            <v>межа 0.40</v>
          </tx>
          <spPr>
            <a:ln w="19050">
              <a:solidFill>
                <a:srgbClr val="1F4E7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'Рисунок_2_смуга'!$A$5:$A$20</f>
            </numRef>
          </xVal>
          <yVal>
            <numRef>
              <f>'Рисунок_2_смуга'!$B$5:$B$20</f>
            </numRef>
          </yVal>
          <smooth val="0"/>
        </ser>
        <ser>
          <idx val="5"/>
          <order val="5"/>
          <tx>
            <v>верхня межа 0.40</v>
          </tx>
          <spPr>
            <a:ln w="19050">
              <a:solidFill>
                <a:srgbClr val="1F4E79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'Рисунок_2_смуга'!$A$5:$A$20</f>
            </numRef>
          </xVal>
          <yVal>
            <numRef>
              <f>'Рисунок_2_смуга'!$C$5:$C$20</f>
            </numRef>
          </yVal>
          <smooth val="0"/>
        </ser>
        <ser>
          <idx val="6"/>
          <order val="6"/>
          <tx>
            <v>межа 0.60</v>
          </tx>
          <spPr>
            <a:ln w="1905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'Рисунок_2_смуга'!$A$5:$A$20</f>
            </numRef>
          </xVal>
          <yVal>
            <numRef>
              <f>'Рисунок_2_смуга'!$D$5:$D$20</f>
            </numRef>
          </yVal>
          <smooth val="0"/>
        </ser>
        <ser>
          <idx val="7"/>
          <order val="7"/>
          <tx>
            <v>верхня межа 0.60</v>
          </tx>
          <spPr>
            <a:ln w="19050">
              <a:solidFill>
                <a:srgbClr val="2E75B6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'Рисунок_2_смуга'!$A$5:$A$20</f>
            </numRef>
          </xVal>
          <yVal>
            <numRef>
              <f>'Рисунок_2_смуга'!$E$5:$E$20</f>
            </numRef>
          </yVal>
          <smooth val="0"/>
        </ser>
        <axId val="10"/>
        <axId val="20"/>
      </scatterChart>
      <valAx>
        <axId val="10"/>
        <scaling>
          <orientation val="minMax"/>
          <max val="0.6"/>
          <min val="0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DM_min (найслабший шар)</a:t>
                </a:r>
              </a:p>
            </rich>
          </tx>
        </title>
        <numFmt formatCode="0.0" sourceLinked="0"/>
        <majorTickMark val="none"/>
        <minorTickMark val="none"/>
        <crossAx val="20"/>
        <majorUnit val="0.1"/>
      </valAx>
      <valAx>
        <axId val="20"/>
        <scaling>
          <orientation val="minMax"/>
          <max val="0.9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ADMI_base</a:t>
                </a:r>
              </a:p>
            </rich>
          </tx>
        </title>
        <numFmt formatCode="0.0" sourceLinked="0"/>
        <majorTickMark val="none"/>
        <minorTickMark val="none"/>
        <crossAx val="10"/>
        <majorUnit val="0.1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Діагностична карта (ADMI, DM_I)</a:t>
            </a:r>
          </a:p>
        </rich>
      </tx>
    </title>
    <plotArea>
      <scatterChart>
        <ser>
          <idx val="0"/>
          <order val="0"/>
          <tx>
            <v>профілі вибірки</v>
          </tx>
          <spPr>
            <a:ln>
              <a:noFill/>
              <a:prstDash val="solid"/>
            </a:ln>
          </spPr>
          <marker>
            <symbol val="circle"/>
            <size val="3"/>
            <spPr>
              <a:solidFill>
                <a:srgbClr val="D9D9D9"/>
              </a:solidFill>
              <a:ln>
                <a:solidFill>
                  <a:srgbClr val="D9D9D9"/>
                </a:solidFill>
                <a:prstDash val="solid"/>
              </a:ln>
            </spPr>
          </marker>
          <xVal>
            <numRef>
              <f>'Вибірка_експерименту'!$AG$9:$AG$1008</f>
            </numRef>
          </xVal>
          <yVal>
            <numRef>
              <f>'Вибірка_експерименту'!$AB$9:$AB$1008</f>
            </numRef>
          </yVal>
          <smooth val="0"/>
        </ser>
        <ser>
          <idx val="1"/>
          <order val="1"/>
          <tx>
            <v>Пастка відповідності</v>
          </tx>
          <spPr>
            <a:ln>
              <a:noFill/>
              <a:prstDash val="solid"/>
            </a:ln>
          </spPr>
          <marker>
            <symbol val="diamond"/>
            <size val="9"/>
            <spPr>
              <a:solidFill>
                <a:srgbClr val="C0504D"/>
              </a:solidFill>
              <a:ln>
                <a:solidFill>
                  <a:srgbClr val="C0504D"/>
                </a:solidFill>
                <a:prstDash val="solid"/>
              </a:ln>
            </spPr>
          </marker>
          <xVal>
            <numRef>
              <f>'Рисунок_3_карта'!$B$5</f>
            </numRef>
          </xVal>
          <yVal>
            <numRef>
              <f>'Рисунок_3_карта'!$C$5</f>
            </numRef>
          </yVal>
          <smooth val="0"/>
        </ser>
        <ser>
          <idx val="2"/>
          <order val="2"/>
          <tx>
            <v>Зовнішній тиск ЄС</v>
          </tx>
          <spPr>
            <a:ln>
              <a:noFill/>
              <a:prstDash val="solid"/>
            </a:ln>
          </spPr>
          <marker>
            <symbol val="diamond"/>
            <size val="9"/>
            <spPr>
              <a:solidFill>
                <a:srgbClr val="F79646"/>
              </a:solidFill>
              <a:ln>
                <a:solidFill>
                  <a:srgbClr val="F79646"/>
                </a:solidFill>
                <a:prstDash val="solid"/>
              </a:ln>
            </spPr>
          </marker>
          <xVal>
            <numRef>
              <f>'Рисунок_3_карта'!$B$6</f>
            </numRef>
          </xVal>
          <yVal>
            <numRef>
              <f>'Рисунок_3_карта'!$C$6</f>
            </numRef>
          </yVal>
          <smooth val="0"/>
        </ser>
        <ser>
          <idx val="3"/>
          <order val="3"/>
          <tx>
            <v>Обмежувач абсорбційної здатності</v>
          </tx>
          <spPr>
            <a:ln>
              <a:noFill/>
              <a:prstDash val="solid"/>
            </a:ln>
          </spPr>
          <marker>
            <symbol val="diamond"/>
            <size val="9"/>
            <spPr>
              <a:solidFill>
                <a:srgbClr val="9BBB59"/>
              </a:solidFill>
              <a:ln>
                <a:solidFill>
                  <a:srgbClr val="9BBB59"/>
                </a:solidFill>
                <a:prstDash val="solid"/>
              </a:ln>
            </spPr>
          </marker>
          <xVal>
            <numRef>
              <f>'Рисунок_3_карта'!$B$7</f>
            </numRef>
          </xVal>
          <yVal>
            <numRef>
              <f>'Рисунок_3_карта'!$C$7</f>
            </numRef>
          </yVal>
          <smooth val="0"/>
        </ser>
        <ser>
          <idx val="4"/>
          <order val="4"/>
          <tx>
            <v>Усвідомлена невідповідність</v>
          </tx>
          <spPr>
            <a:ln>
              <a:noFill/>
              <a:prstDash val="solid"/>
            </a:ln>
          </spPr>
          <marker>
            <symbol val="diamond"/>
            <size val="9"/>
            <spPr>
              <a:solidFill>
                <a:srgbClr val="8064A2"/>
              </a:solidFill>
              <a:ln>
                <a:solidFill>
                  <a:srgbClr val="8064A2"/>
                </a:solidFill>
                <a:prstDash val="solid"/>
              </a:ln>
            </spPr>
          </marker>
          <xVal>
            <numRef>
              <f>'Рисунок_3_карта'!$B$8</f>
            </numRef>
          </xVal>
          <yVal>
            <numRef>
              <f>'Рисунок_3_карта'!$C$8</f>
            </numRef>
          </yVal>
          <smooth val="0"/>
        </ser>
        <ser>
          <idx val="5"/>
          <order val="5"/>
          <tx>
            <v>Ілюзія зрілості</v>
          </tx>
          <spPr>
            <a:ln>
              <a:noFill/>
              <a:prstDash val="solid"/>
            </a:ln>
          </spPr>
          <marker>
            <symbol val="diamond"/>
            <size val="9"/>
            <spPr>
              <a:solidFill>
                <a:srgbClr val="1F4E79"/>
              </a:solidFill>
              <a:ln>
                <a:solidFill>
                  <a:srgbClr val="1F4E79"/>
                </a:solidFill>
                <a:prstDash val="solid"/>
              </a:ln>
            </spPr>
          </marker>
          <xVal>
            <numRef>
              <f>'Рисунок_3_карта'!$B$9</f>
            </numRef>
          </xVal>
          <yVal>
            <numRef>
              <f>'Рисунок_3_карта'!$C$9</f>
            </numRef>
          </yVal>
          <smooth val="0"/>
        </ser>
        <ser>
          <idx val="6"/>
          <order val="6"/>
          <tx>
            <v>межа рівня 3</v>
          </tx>
          <spPr>
            <a:ln w="19050">
              <a:solidFill>
                <a:srgbClr val="595959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'Рисунок_3_карта'!$B$13:$B$14</f>
            </numRef>
          </xVal>
          <yVal>
            <numRef>
              <f>'Рисунок_3_карта'!$C$13:$C$14</f>
            </numRef>
          </yVal>
          <smooth val="0"/>
        </ser>
        <ser>
          <idx val="7"/>
          <order val="7"/>
          <tx>
            <v>DM_I = 0.20</v>
          </tx>
          <spPr>
            <a:ln w="19050">
              <a:solidFill>
                <a:srgbClr val="595959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'Рисунок_3_карта'!$B$15:$B$16</f>
            </numRef>
          </xVal>
          <yVal>
            <numRef>
              <f>'Рисунок_3_карта'!$C$15:$C$16</f>
            </numRef>
          </yVal>
          <smooth val="0"/>
        </ser>
        <axId val="10"/>
        <axId val="20"/>
      </scatterChart>
      <valAx>
        <axId val="10"/>
        <scaling>
          <orientation val="minMax"/>
          <max val="1"/>
          <min val="0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ADMI</a:t>
                </a:r>
              </a:p>
            </rich>
          </tx>
        </title>
        <numFmt formatCode="0.0" sourceLinked="0"/>
        <majorTickMark val="none"/>
        <minorTickMark val="none"/>
        <crossAx val="20"/>
        <majorUnit val="0.2"/>
      </valAx>
      <valAx>
        <axId val="2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DM_I (інтеграція)</a:t>
                </a:r>
              </a:p>
            </rich>
          </tx>
        </title>
        <numFmt formatCode="0.0" sourceLinked="0"/>
        <majorTickMark val="none"/>
        <minorTickMark val="none"/>
        <crossAx val="10"/>
        <majorUnit val="0.2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Книга ADMA: розрахунки статті, які можна перевірити вручну</t>
        </is>
      </c>
    </row>
    <row r="2">
      <c r="A2" s="2" t="n"/>
    </row>
    <row r="3">
      <c r="A3" s="2" t="inlineStr">
        <is>
          <t>Кожне число на розрахункових аркушах є формулою Excel. Жовті клітинки - вхідні дані, які можна змінювати; блакитні клітинки - значення, перенесені з офіційних джерел (кожне з посиланням). Зміна жовтих клітинок на аркуші Параметри перераховує всі аркуші.</t>
        </is>
      </c>
    </row>
    <row r="4">
      <c r="A4" s="2" t="inlineStr">
        <is>
          <t>Це українська версія книги excel/ADMA_workbook.xlsx: формули й числа однакові, перекладено підписи, назви аркушів і твердження анкети. Коди показників, шарів і країн не перекладаються.</t>
        </is>
      </c>
    </row>
    <row r="5">
      <c r="A5" s="2" t="n"/>
    </row>
    <row r="6">
      <c r="A6" s="3" t="inlineStr">
        <is>
          <t>Аркуші та стаття</t>
        </is>
      </c>
    </row>
    <row r="7">
      <c r="A7" s="2" t="inlineStr">
        <is>
          <t>Параметри: alpha, delta і межі рівнів, які використовують усі формули (розділ 3, таблиця 2).</t>
        </is>
      </c>
    </row>
    <row r="8">
      <c r="A8" s="2" t="inlineStr">
        <is>
          <t>Калькулятор: введіть 21 відповідь анкети (1-5) і отримайте оцінки шарів, штраф, ADMI, рівень, DM_I, DM_S (рівняння 1-5).</t>
        </is>
      </c>
    </row>
    <row r="9">
      <c r="A9" s="2" t="inlineStr">
        <is>
          <t>Приклад_розрахунку: профіль з початку розділу 4.</t>
        </is>
      </c>
    </row>
    <row r="10">
      <c r="A10" s="2" t="inlineStr">
        <is>
          <t>Статистичний_режим: таблиці 5 і 6, харчова промисловість (NACE C10-C12) ЄС-27, Німеччини, дев'яти країн ЦСЄ та України (рівняння 6, P_min = 0). Використовує аркуші Дані_ЄС і Дані_України.</t>
        </is>
      </c>
    </row>
    <row r="11">
      <c r="A11" s="2" t="inlineStr">
        <is>
          <t>TOPSIS: незалежне ранжування таблиці 6 (ентропійні ваги, близькість до ідеального рішення) і його кореляція Спірмена з ADMI.</t>
        </is>
      </c>
    </row>
    <row r="12">
      <c r="A12" s="2" t="inlineStr">
        <is>
          <t>Дані_ЄС: значення Євростату для агрегату ЄС-27 і всіх 27 держав-членів; лідера визначають формулами MAX/INDEX/MATCH.</t>
        </is>
      </c>
    </row>
    <row r="13">
      <c r="A13" s="2" t="inlineStr">
        <is>
          <t>Дані_України: значення Держстату з прямими посиланнями для завантаження.</t>
        </is>
      </c>
    </row>
    <row r="14">
      <c r="A14" s="2" t="inlineStr">
        <is>
          <t>Діагностичні_ситуації: таблиця 4.</t>
        </is>
      </c>
    </row>
    <row r="15">
      <c r="A15" s="2" t="inlineStr">
        <is>
          <t>Гранична_смуга: рівняння (7), смуга значень базового індексу, у якій штраф змінює рівень (P1).</t>
        </is>
      </c>
    </row>
    <row r="16">
      <c r="A16" s="2" t="inlineStr">
        <is>
          <t>Вибірка_експерименту: перші 1 000 із 100 000 згенерованих профілів (рівномірний сценарій) з усіма формулами по рядках і відповідні результати повного прогону для порівняння.</t>
        </is>
      </c>
    </row>
    <row r="17">
      <c r="A17" s="2" t="inlineStr">
        <is>
          <t>Рисунок_2_смуга: вбудована діаграма Excel зі смугою рівняння (7) і профілями вибірки, рівень яких змінив штраф.</t>
        </is>
      </c>
    </row>
    <row r="18">
      <c r="A18" s="2" t="inlineStr">
        <is>
          <t>Рисунок_3_карта: вбудована діаграма Excel з діагностичною картою (ADMI, DM_I) і ситуаціями таблиці 4.</t>
        </is>
      </c>
    </row>
    <row r="19">
      <c r="A19" s="2" t="n"/>
    </row>
    <row r="20">
      <c r="A20" s="3" t="inlineStr">
        <is>
          <t>Повний експеримент і статистичний режим</t>
        </is>
      </c>
    </row>
    <row r="21">
      <c r="A21" s="2" t="inlineStr">
        <is>
          <t>Повний експеримент (2 x 100 000 профілів, 99 комбінацій параметрів, таблиця 3, додаткова таблиця S2, положення P1-P3) виконує scripts/simulation_experiment.py.</t>
        </is>
      </c>
    </row>
    <row r="22">
      <c r="A22" s="2" t="inlineStr">
        <is>
          <t>Статистичний режим із перевіркою стійкості до проксі-показників (таблиці 5 і 6, додаткова таблиця S3, положення P4) виконує scripts/statistics_mode_local.py.</t>
        </is>
      </c>
    </row>
    <row r="23">
      <c r="A23" s="2" t="inlineStr">
        <is>
          <t>Профілі збережено у data/generated/profiles_uniform.csv і data/generated/profiles_low_skewed.csv; будь-який рядок можна ввести в Калькулятор для перевірки.</t>
        </is>
      </c>
    </row>
    <row r="24">
      <c r="A24" s="2" t="n"/>
    </row>
    <row r="25">
      <c r="A25" s="3" t="inlineStr">
        <is>
          <t>Правило визначення рівня</t>
        </is>
      </c>
    </row>
    <row r="26">
      <c r="A26" s="2" t="inlineStr">
        <is>
          <t>Рівень = 1 + кількість меж, строго менших за значення індексу, округлене до 12 знаків. Значення, що точно дорівнює межі, належить до нижчого рівня: 0,40 - рівень 2, 0,41 - рівень 3.</t>
        </is>
      </c>
    </row>
    <row r="27">
      <c r="A27" s="2" t="inlineStr">
        <is>
          <t>Значення індексу, обчислені з відповідей анкети, кратні 1/60, тому точні збіги з межами трапляються; округлення усуває похибку обчислень з плаваючою комою, щоб такий збіг ніколи не переносився на вищий рівень.</t>
        </is>
      </c>
    </row>
    <row r="28">
      <c r="A28" s="2" t="n"/>
    </row>
    <row r="29">
      <c r="A29" s="3" t="inlineStr">
        <is>
          <t>Перевірка</t>
        </is>
      </c>
    </row>
    <row r="30">
      <c r="A30" s="2" t="inlineStr">
        <is>
          <t>scripts/verify_workbook.py обчислює формули цієї книги незалежним рушієм (pycel) і порівнює 7 533 значення з результатами Python-скриптів. Усі значення збігаються.</t>
        </is>
      </c>
    </row>
    <row r="31">
      <c r="A31" s="2" t="inlineStr">
        <is>
          <t>Книгу генерує scripts/build_workbook.py з data/raw, data/matrix.csv і data/generated; цей README генерується разом з аркушем Опис і має той самий зміст.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80" customWidth="1" min="3" max="3"/>
  </cols>
  <sheetData>
    <row r="1">
      <c r="A1" s="4" t="inlineStr">
        <is>
          <t>Параметри</t>
        </is>
      </c>
    </row>
    <row r="3">
      <c r="A3" s="5" t="inlineStr">
        <is>
          <t>alpha</t>
        </is>
      </c>
      <c r="B3" s="6" t="n">
        <v>0.4</v>
      </c>
      <c r="C3" t="inlineStr">
        <is>
          <t>Сила штрафу за слабку ланку (каліброване значення)</t>
        </is>
      </c>
    </row>
    <row r="4">
      <c r="A4" s="5" t="inlineStr">
        <is>
          <t>delta</t>
        </is>
      </c>
      <c r="B4" s="6" t="n">
        <v>0.375</v>
      </c>
      <c r="C4" t="inlineStr">
        <is>
          <t>Поріг критичної слабкості шару (каліброване значення; 0,375 = середня відповідь 2,5)</t>
        </is>
      </c>
    </row>
    <row r="6">
      <c r="A6" s="5" t="inlineStr">
        <is>
          <t>Межі рівнів (таблиця 2)</t>
        </is>
      </c>
    </row>
    <row r="7">
      <c r="A7" t="inlineStr">
        <is>
          <t>Рівень 1 | 2</t>
        </is>
      </c>
      <c r="B7" s="6" t="n">
        <v>0.2</v>
      </c>
    </row>
    <row r="8">
      <c r="A8" t="inlineStr">
        <is>
          <t>Рівень 2 | 3</t>
        </is>
      </c>
      <c r="B8" s="6" t="n">
        <v>0.4</v>
      </c>
    </row>
    <row r="9">
      <c r="A9" t="inlineStr">
        <is>
          <t>Рівень 3 | 4</t>
        </is>
      </c>
      <c r="B9" s="6" t="n">
        <v>0.6</v>
      </c>
    </row>
    <row r="10">
      <c r="A10" t="inlineStr">
        <is>
          <t>Рівень 4 | 5</t>
        </is>
      </c>
      <c r="B10" s="6" t="n">
        <v>0.8</v>
      </c>
    </row>
    <row r="12">
      <c r="A12" t="inlineStr">
        <is>
          <t>Початкові значення до калібрування: alpha = 0,50, delta = 0,25. Межі, скориговані за моделлю, для перевірки стійкості: 0,25, 0,45, 0,60, 0,80.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78" customWidth="1" min="3" max="3"/>
    <col width="14" customWidth="1" min="4" max="4"/>
    <col width="18" customWidth="1" min="5" max="5"/>
  </cols>
  <sheetData>
    <row r="1">
      <c r="A1" s="4" t="inlineStr">
        <is>
          <t>Калькулятор ADMI: введіть відповіді 1-5 у жовті клітинки</t>
        </is>
      </c>
    </row>
    <row r="3">
      <c r="A3" s="5" t="inlineStr">
        <is>
          <t>#</t>
        </is>
      </c>
      <c r="B3" s="5" t="inlineStr">
        <is>
          <t>Блок</t>
        </is>
      </c>
      <c r="C3" s="5" t="inlineStr">
        <is>
          <t>Твердження</t>
        </is>
      </c>
      <c r="D3" s="5" t="inlineStr">
        <is>
          <t>Відповідь (1-5)</t>
        </is>
      </c>
      <c r="E3" s="5" t="inlineStr">
        <is>
          <t>Нормоване (рівн. 1)</t>
        </is>
      </c>
    </row>
    <row r="4">
      <c r="A4" t="n">
        <v>1</v>
      </c>
      <c r="B4" t="inlineStr">
        <is>
          <t>C</t>
        </is>
      </c>
      <c r="C4" t="inlineStr">
        <is>
          <t>Програмне забезпечення для планування виробництва та ресурсів (ERP, MES)</t>
        </is>
      </c>
      <c r="D4" s="6" t="n">
        <v>3</v>
      </c>
      <c r="E4">
        <f>(D4-1)/4</f>
        <v/>
      </c>
    </row>
    <row r="5">
      <c r="A5" t="n">
        <v>2</v>
      </c>
      <c r="B5" t="inlineStr">
        <is>
          <t>C</t>
        </is>
      </c>
      <c r="C5" t="inlineStr">
        <is>
          <t>Автоматизація виробничих процесів за допомогою цифрового обладнання</t>
        </is>
      </c>
      <c r="D5" s="6" t="n">
        <v>3</v>
      </c>
      <c r="E5">
        <f>(D5-1)/4</f>
        <v/>
      </c>
    </row>
    <row r="6">
      <c r="A6" t="n">
        <v>3</v>
      </c>
      <c r="B6" t="inlineStr">
        <is>
          <t>C</t>
        </is>
      </c>
      <c r="C6" t="inlineStr">
        <is>
          <t>Затверджена стратегія або план цифрового розвитку на 2-3 роки</t>
        </is>
      </c>
      <c r="D6" s="6" t="n">
        <v>4</v>
      </c>
      <c r="E6">
        <f>(D6-1)/4</f>
        <v/>
      </c>
    </row>
    <row r="7">
      <c r="A7" t="n">
        <v>4</v>
      </c>
      <c r="B7" t="inlineStr">
        <is>
          <t>L1</t>
        </is>
      </c>
      <c r="C7" t="inlineStr">
        <is>
          <t>Цифрові інструменти управління персоналом (HRM)</t>
        </is>
      </c>
      <c r="D7" s="6" t="n">
        <v>3</v>
      </c>
      <c r="E7">
        <f>(D7-1)/4</f>
        <v/>
      </c>
    </row>
    <row r="8">
      <c r="A8" t="n">
        <v>5</v>
      </c>
      <c r="B8" t="inlineStr">
        <is>
          <t>L1</t>
        </is>
      </c>
      <c r="C8" t="inlineStr">
        <is>
          <t>Працівники мають навички роботи з цифровими інструментами</t>
        </is>
      </c>
      <c r="D8" s="6" t="n">
        <v>3</v>
      </c>
      <c r="E8">
        <f>(D8-1)/4</f>
        <v/>
      </c>
    </row>
    <row r="9">
      <c r="A9" t="n">
        <v>6</v>
      </c>
      <c r="B9" t="inlineStr">
        <is>
          <t>L1</t>
        </is>
      </c>
      <c r="C9" t="inlineStr">
        <is>
          <t>Виробничий персонал вводить первинні дані на мобільних пристроях або терміналах на робочому місці</t>
        </is>
      </c>
      <c r="D9" s="6" t="n">
        <v>3</v>
      </c>
      <c r="E9">
        <f>(D9-1)/4</f>
        <v/>
      </c>
    </row>
    <row r="10">
      <c r="A10" t="n">
        <v>7</v>
      </c>
      <c r="B10" t="inlineStr">
        <is>
          <t>L2</t>
        </is>
      </c>
      <c r="C10" t="inlineStr">
        <is>
          <t>Цифровий облік запасів (WMS або електронні таблиці)</t>
        </is>
      </c>
      <c r="D10" s="6" t="n">
        <v>3</v>
      </c>
      <c r="E10">
        <f>(D10-1)/4</f>
        <v/>
      </c>
    </row>
    <row r="11">
      <c r="A11" t="n">
        <v>8</v>
      </c>
      <c r="B11" t="inlineStr">
        <is>
          <t>L2</t>
        </is>
      </c>
      <c r="C11" t="inlineStr">
        <is>
          <t>Збір і аналіз даних про використання ресурсів, відхилення та втрати</t>
        </is>
      </c>
      <c r="D11" s="6" t="n">
        <v>3</v>
      </c>
      <c r="E11">
        <f>(D11-1)/4</f>
        <v/>
      </c>
    </row>
    <row r="12">
      <c r="A12" t="n">
        <v>9</v>
      </c>
      <c r="B12" t="inlineStr">
        <is>
          <t>L2</t>
        </is>
      </c>
      <c r="C12" t="inlineStr">
        <is>
          <t>Моніторинг умов зберігання за допомогою датчиків або IoT</t>
        </is>
      </c>
      <c r="D12" s="6" t="n">
        <v>3</v>
      </c>
      <c r="E12">
        <f>(D12-1)/4</f>
        <v/>
      </c>
    </row>
    <row r="13">
      <c r="A13" t="n">
        <v>10</v>
      </c>
      <c r="B13" t="inlineStr">
        <is>
          <t>L3</t>
        </is>
      </c>
      <c r="C13" t="inlineStr">
        <is>
          <t>GPS-моніторинг або телематика на транспорті й техніці</t>
        </is>
      </c>
      <c r="D13" s="6" t="n">
        <v>2</v>
      </c>
      <c r="E13">
        <f>(D13-1)/4</f>
        <v/>
      </c>
    </row>
    <row r="14">
      <c r="A14" t="n">
        <v>11</v>
      </c>
      <c r="B14" t="inlineStr">
        <is>
          <t>L3</t>
        </is>
      </c>
      <c r="C14" t="inlineStr">
        <is>
          <t>Планування технічного обслуговування на основі даних (CMMS)</t>
        </is>
      </c>
      <c r="D14" s="6" t="n">
        <v>1</v>
      </c>
      <c r="E14">
        <f>(D14-1)/4</f>
        <v/>
      </c>
    </row>
    <row r="15">
      <c r="A15" t="n">
        <v>12</v>
      </c>
      <c r="B15" t="inlineStr">
        <is>
          <t>L3</t>
        </is>
      </c>
      <c r="C15" t="inlineStr">
        <is>
          <t>Технології точного землеробства або точного тваринництва</t>
        </is>
      </c>
      <c r="D15" s="6" t="n">
        <v>1</v>
      </c>
      <c r="E15">
        <f>(D15-1)/4</f>
        <v/>
      </c>
    </row>
    <row r="16">
      <c r="A16" t="n">
        <v>13</v>
      </c>
      <c r="B16" t="inlineStr">
        <is>
          <t>L4</t>
        </is>
      </c>
      <c r="C16" t="inlineStr">
        <is>
          <t>Цифрові канали збуту (вебсайт, електронна комерція, EDI)</t>
        </is>
      </c>
      <c r="D16" s="6" t="n">
        <v>3</v>
      </c>
      <c r="E16">
        <f>(D16-1)/4</f>
        <v/>
      </c>
    </row>
    <row r="17">
      <c r="A17" t="n">
        <v>14</v>
      </c>
      <c r="B17" t="inlineStr">
        <is>
          <t>L4</t>
        </is>
      </c>
      <c r="C17" t="inlineStr">
        <is>
          <t>Систематичний збір і аналіз даних про попит, ціни та відгуки (CRM)</t>
        </is>
      </c>
      <c r="D17" s="6" t="n">
        <v>3</v>
      </c>
      <c r="E17">
        <f>(D17-1)/4</f>
        <v/>
      </c>
    </row>
    <row r="18">
      <c r="A18" t="n">
        <v>15</v>
      </c>
      <c r="B18" t="inlineStr">
        <is>
          <t>L4</t>
        </is>
      </c>
      <c r="C18" t="inlineStr">
        <is>
          <t>Цифрова простежуваність: перевірена інформація про походження продукції</t>
        </is>
      </c>
      <c r="D18" s="6" t="n">
        <v>3</v>
      </c>
      <c r="E18">
        <f>(D18-1)/4</f>
        <v/>
      </c>
    </row>
    <row r="19">
      <c r="A19" t="n">
        <v>16</v>
      </c>
      <c r="B19" t="inlineStr">
        <is>
          <t>I</t>
        </is>
      </c>
      <c r="C19" t="inlineStr">
        <is>
          <t>Автоматична передача виробничих даних між підрозділами</t>
        </is>
      </c>
      <c r="D19" s="6" t="n">
        <v>2</v>
      </c>
      <c r="E19">
        <f>(D19-1)/4</f>
        <v/>
      </c>
    </row>
    <row r="20">
      <c r="A20" t="n">
        <v>17</v>
      </c>
      <c r="B20" t="inlineStr">
        <is>
          <t>I</t>
        </is>
      </c>
      <c r="C20" t="inlineStr">
        <is>
          <t>Своєчасне отримання зовнішніх даних (ціни, погода, регулювання)</t>
        </is>
      </c>
      <c r="D20" s="6" t="n">
        <v>2</v>
      </c>
      <c r="E20">
        <f>(D20-1)/4</f>
        <v/>
      </c>
    </row>
    <row r="21">
      <c r="A21" t="n">
        <v>18</v>
      </c>
      <c r="B21" t="inlineStr">
        <is>
          <t>I</t>
        </is>
      </c>
      <c r="C21" t="inlineStr">
        <is>
          <t>Інтеграція цифрових систем підприємства між собою</t>
        </is>
      </c>
      <c r="D21" s="6" t="n">
        <v>2</v>
      </c>
      <c r="E21">
        <f>(D21-1)/4</f>
        <v/>
      </c>
    </row>
    <row r="22">
      <c r="A22" t="n">
        <v>19</v>
      </c>
      <c r="B22" t="inlineStr">
        <is>
          <t>S</t>
        </is>
      </c>
      <c r="C22" t="inlineStr">
        <is>
          <t>Регулярне відстеження нових цифрових технологій</t>
        </is>
      </c>
      <c r="D22" s="6" t="n">
        <v>2</v>
      </c>
      <c r="E22">
        <f>(D22-1)/4</f>
        <v/>
      </c>
    </row>
    <row r="23">
      <c r="A23" t="n">
        <v>20</v>
      </c>
      <c r="B23" t="inlineStr">
        <is>
          <t>S</t>
        </is>
      </c>
      <c r="C23" t="inlineStr">
        <is>
          <t>Окремий бюджет або ресурси на цифровізацію</t>
        </is>
      </c>
      <c r="D23" s="6" t="n">
        <v>2</v>
      </c>
      <c r="E23">
        <f>(D23-1)/4</f>
        <v/>
      </c>
    </row>
    <row r="24">
      <c r="A24" t="n">
        <v>21</v>
      </c>
      <c r="B24" t="inlineStr">
        <is>
          <t>S</t>
        </is>
      </c>
      <c r="C24" t="inlineStr">
        <is>
          <t>Оцінювання результатів цифрових проєктів і перегляд планів цифровізації</t>
        </is>
      </c>
      <c r="D24" s="6" t="n">
        <v>2</v>
      </c>
      <c r="E24">
        <f>(D24-1)/4</f>
        <v/>
      </c>
    </row>
    <row r="26">
      <c r="C26" s="5" t="inlineStr">
        <is>
          <t>Результат</t>
        </is>
      </c>
    </row>
    <row r="27">
      <c r="C27" t="inlineStr">
        <is>
          <t>DM_C (рівн. 2)</t>
        </is>
      </c>
      <c r="D27">
        <f>AVERAGE(E4:E6)</f>
        <v/>
      </c>
    </row>
    <row r="28">
      <c r="C28" t="inlineStr">
        <is>
          <t>DM_L1 (рівн. 2)</t>
        </is>
      </c>
      <c r="D28">
        <f>AVERAGE(E7:E9)</f>
        <v/>
      </c>
    </row>
    <row r="29">
      <c r="C29" t="inlineStr">
        <is>
          <t>DM_L2 (рівн. 2)</t>
        </is>
      </c>
      <c r="D29">
        <f>AVERAGE(E10:E12)</f>
        <v/>
      </c>
    </row>
    <row r="30">
      <c r="C30" t="inlineStr">
        <is>
          <t>DM_L3 (рівн. 2)</t>
        </is>
      </c>
      <c r="D30">
        <f>AVERAGE(E13:E15)</f>
        <v/>
      </c>
    </row>
    <row r="31">
      <c r="C31" t="inlineStr">
        <is>
          <t>DM_L4 (рівн. 2)</t>
        </is>
      </c>
      <c r="D31">
        <f>AVERAGE(E16:E18)</f>
        <v/>
      </c>
    </row>
    <row r="32">
      <c r="C32" t="inlineStr">
        <is>
          <t>DM_I (інтеграція, поза індексом)</t>
        </is>
      </c>
      <c r="D32">
        <f>AVERAGE(E19:E21)</f>
        <v/>
      </c>
    </row>
    <row r="33">
      <c r="C33" t="inlineStr">
        <is>
          <t>DM_S (стратегія, поза індексом)</t>
        </is>
      </c>
      <c r="D33">
        <f>AVERAGE(E22:E24)</f>
        <v/>
      </c>
    </row>
    <row r="34">
      <c r="C34" t="inlineStr">
        <is>
          <t>ADMI_base (рівн. 3)</t>
        </is>
      </c>
      <c r="D34">
        <f>AVERAGE(D27:D31)</f>
        <v/>
      </c>
    </row>
    <row r="35">
      <c r="C35" t="inlineStr">
        <is>
          <t>DM_min</t>
        </is>
      </c>
      <c r="D35">
        <f>MIN(D27:D31)</f>
        <v/>
      </c>
    </row>
    <row r="36">
      <c r="C36" t="inlineStr">
        <is>
          <t>Штраф P (рівн. 4)</t>
        </is>
      </c>
      <c r="D36">
        <f>1-alpha*MAX(0,delta-D35)</f>
        <v/>
      </c>
    </row>
    <row r="37">
      <c r="C37" t="inlineStr">
        <is>
          <t>ADMI (рівн. 5)</t>
        </is>
      </c>
      <c r="D37">
        <f>D34*D36</f>
        <v/>
      </c>
    </row>
    <row r="38">
      <c r="C38" t="inlineStr">
        <is>
          <t>Рівень за ADMI_base</t>
        </is>
      </c>
      <c r="D38">
        <f>1+COUNTIF(bounds,"&lt;"&amp;ROUND(D34,12))</f>
        <v/>
      </c>
    </row>
    <row r="39">
      <c r="C39" t="inlineStr">
        <is>
          <t>Рівень за ADMI</t>
        </is>
      </c>
      <c r="D39">
        <f>1+COUNTIF(bounds,"&lt;"&amp;ROUND(D37,12))</f>
        <v/>
      </c>
    </row>
    <row r="40">
      <c r="C40" t="inlineStr">
        <is>
          <t>Штраф змінив рівень?</t>
        </is>
      </c>
      <c r="D40">
        <f>IF(D38&lt;&gt;D39,"так","ні")</f>
        <v/>
      </c>
    </row>
  </sheetData>
  <dataValidations count="1">
    <dataValidation sqref="D4 D5 D6 D7 D8 D9 D10 D11 D12 D13 D14 D15 D16 D17 D18 D19 D20 D21 D22 D23 D24" showDropDown="0" showInputMessage="0" showErrorMessage="1" allowBlank="0" type="whole" operator="between">
      <formula1>1</formula1>
      <formula2>5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78" customWidth="1" min="3" max="3"/>
    <col width="14" customWidth="1" min="4" max="4"/>
    <col width="18" customWidth="1" min="5" max="5"/>
  </cols>
  <sheetData>
    <row r="1">
      <c r="A1" s="4" t="inlineStr">
        <is>
          <t>Приклад розрахунку з розділу 4 (ADMI_base 0,433, рівень 3 -&gt; ADMI 0,383, рівень 2)</t>
        </is>
      </c>
    </row>
    <row r="3">
      <c r="A3" s="5" t="inlineStr">
        <is>
          <t>#</t>
        </is>
      </c>
      <c r="B3" s="5" t="inlineStr">
        <is>
          <t>Блок</t>
        </is>
      </c>
      <c r="C3" s="5" t="inlineStr">
        <is>
          <t>Твердження</t>
        </is>
      </c>
      <c r="D3" s="5" t="inlineStr">
        <is>
          <t>Відповідь (1-5)</t>
        </is>
      </c>
      <c r="E3" s="5" t="inlineStr">
        <is>
          <t>Нормоване (рівн. 1)</t>
        </is>
      </c>
    </row>
    <row r="4">
      <c r="A4" t="n">
        <v>1</v>
      </c>
      <c r="B4" t="inlineStr">
        <is>
          <t>C</t>
        </is>
      </c>
      <c r="C4" t="inlineStr">
        <is>
          <t>Програмне забезпечення для планування виробництва та ресурсів (ERP, MES)</t>
        </is>
      </c>
      <c r="D4" s="6" t="n">
        <v>3</v>
      </c>
      <c r="E4">
        <f>(D4-1)/4</f>
        <v/>
      </c>
    </row>
    <row r="5">
      <c r="A5" t="n">
        <v>2</v>
      </c>
      <c r="B5" t="inlineStr">
        <is>
          <t>C</t>
        </is>
      </c>
      <c r="C5" t="inlineStr">
        <is>
          <t>Автоматизація виробничих процесів за допомогою цифрового обладнання</t>
        </is>
      </c>
      <c r="D5" s="6" t="n">
        <v>3</v>
      </c>
      <c r="E5">
        <f>(D5-1)/4</f>
        <v/>
      </c>
    </row>
    <row r="6">
      <c r="A6" t="n">
        <v>3</v>
      </c>
      <c r="B6" t="inlineStr">
        <is>
          <t>C</t>
        </is>
      </c>
      <c r="C6" t="inlineStr">
        <is>
          <t>Затверджена стратегія або план цифрового розвитку на 2-3 роки</t>
        </is>
      </c>
      <c r="D6" s="6" t="n">
        <v>4</v>
      </c>
      <c r="E6">
        <f>(D6-1)/4</f>
        <v/>
      </c>
    </row>
    <row r="7">
      <c r="A7" t="n">
        <v>4</v>
      </c>
      <c r="B7" t="inlineStr">
        <is>
          <t>L1</t>
        </is>
      </c>
      <c r="C7" t="inlineStr">
        <is>
          <t>Цифрові інструменти управління персоналом (HRM)</t>
        </is>
      </c>
      <c r="D7" s="6" t="n">
        <v>3</v>
      </c>
      <c r="E7">
        <f>(D7-1)/4</f>
        <v/>
      </c>
    </row>
    <row r="8">
      <c r="A8" t="n">
        <v>5</v>
      </c>
      <c r="B8" t="inlineStr">
        <is>
          <t>L1</t>
        </is>
      </c>
      <c r="C8" t="inlineStr">
        <is>
          <t>Працівники мають навички роботи з цифровими інструментами</t>
        </is>
      </c>
      <c r="D8" s="6" t="n">
        <v>3</v>
      </c>
      <c r="E8">
        <f>(D8-1)/4</f>
        <v/>
      </c>
    </row>
    <row r="9">
      <c r="A9" t="n">
        <v>6</v>
      </c>
      <c r="B9" t="inlineStr">
        <is>
          <t>L1</t>
        </is>
      </c>
      <c r="C9" t="inlineStr">
        <is>
          <t>Виробничий персонал вводить первинні дані на мобільних пристроях або терміналах на робочому місці</t>
        </is>
      </c>
      <c r="D9" s="6" t="n">
        <v>3</v>
      </c>
      <c r="E9">
        <f>(D9-1)/4</f>
        <v/>
      </c>
    </row>
    <row r="10">
      <c r="A10" t="n">
        <v>7</v>
      </c>
      <c r="B10" t="inlineStr">
        <is>
          <t>L2</t>
        </is>
      </c>
      <c r="C10" t="inlineStr">
        <is>
          <t>Цифровий облік запасів (WMS або електронні таблиці)</t>
        </is>
      </c>
      <c r="D10" s="6" t="n">
        <v>3</v>
      </c>
      <c r="E10">
        <f>(D10-1)/4</f>
        <v/>
      </c>
    </row>
    <row r="11">
      <c r="A11" t="n">
        <v>8</v>
      </c>
      <c r="B11" t="inlineStr">
        <is>
          <t>L2</t>
        </is>
      </c>
      <c r="C11" t="inlineStr">
        <is>
          <t>Збір і аналіз даних про використання ресурсів, відхилення та втрати</t>
        </is>
      </c>
      <c r="D11" s="6" t="n">
        <v>3</v>
      </c>
      <c r="E11">
        <f>(D11-1)/4</f>
        <v/>
      </c>
    </row>
    <row r="12">
      <c r="A12" t="n">
        <v>9</v>
      </c>
      <c r="B12" t="inlineStr">
        <is>
          <t>L2</t>
        </is>
      </c>
      <c r="C12" t="inlineStr">
        <is>
          <t>Моніторинг умов зберігання за допомогою датчиків або IoT</t>
        </is>
      </c>
      <c r="D12" s="6" t="n">
        <v>3</v>
      </c>
      <c r="E12">
        <f>(D12-1)/4</f>
        <v/>
      </c>
    </row>
    <row r="13">
      <c r="A13" t="n">
        <v>10</v>
      </c>
      <c r="B13" t="inlineStr">
        <is>
          <t>L3</t>
        </is>
      </c>
      <c r="C13" t="inlineStr">
        <is>
          <t>GPS-моніторинг або телематика на транспорті й техніці</t>
        </is>
      </c>
      <c r="D13" s="6" t="n">
        <v>2</v>
      </c>
      <c r="E13">
        <f>(D13-1)/4</f>
        <v/>
      </c>
    </row>
    <row r="14">
      <c r="A14" t="n">
        <v>11</v>
      </c>
      <c r="B14" t="inlineStr">
        <is>
          <t>L3</t>
        </is>
      </c>
      <c r="C14" t="inlineStr">
        <is>
          <t>Планування технічного обслуговування на основі даних (CMMS)</t>
        </is>
      </c>
      <c r="D14" s="6" t="n">
        <v>1</v>
      </c>
      <c r="E14">
        <f>(D14-1)/4</f>
        <v/>
      </c>
    </row>
    <row r="15">
      <c r="A15" t="n">
        <v>12</v>
      </c>
      <c r="B15" t="inlineStr">
        <is>
          <t>L3</t>
        </is>
      </c>
      <c r="C15" t="inlineStr">
        <is>
          <t>Технології точного землеробства або точного тваринництва</t>
        </is>
      </c>
      <c r="D15" s="6" t="n">
        <v>1</v>
      </c>
      <c r="E15">
        <f>(D15-1)/4</f>
        <v/>
      </c>
    </row>
    <row r="16">
      <c r="A16" t="n">
        <v>13</v>
      </c>
      <c r="B16" t="inlineStr">
        <is>
          <t>L4</t>
        </is>
      </c>
      <c r="C16" t="inlineStr">
        <is>
          <t>Цифрові канали збуту (вебсайт, електронна комерція, EDI)</t>
        </is>
      </c>
      <c r="D16" s="6" t="n">
        <v>3</v>
      </c>
      <c r="E16">
        <f>(D16-1)/4</f>
        <v/>
      </c>
    </row>
    <row r="17">
      <c r="A17" t="n">
        <v>14</v>
      </c>
      <c r="B17" t="inlineStr">
        <is>
          <t>L4</t>
        </is>
      </c>
      <c r="C17" t="inlineStr">
        <is>
          <t>Систематичний збір і аналіз даних про попит, ціни та відгуки (CRM)</t>
        </is>
      </c>
      <c r="D17" s="6" t="n">
        <v>3</v>
      </c>
      <c r="E17">
        <f>(D17-1)/4</f>
        <v/>
      </c>
    </row>
    <row r="18">
      <c r="A18" t="n">
        <v>15</v>
      </c>
      <c r="B18" t="inlineStr">
        <is>
          <t>L4</t>
        </is>
      </c>
      <c r="C18" t="inlineStr">
        <is>
          <t>Цифрова простежуваність: перевірена інформація про походження продукції</t>
        </is>
      </c>
      <c r="D18" s="6" t="n">
        <v>3</v>
      </c>
      <c r="E18">
        <f>(D18-1)/4</f>
        <v/>
      </c>
    </row>
    <row r="19">
      <c r="A19" t="n">
        <v>16</v>
      </c>
      <c r="B19" t="inlineStr">
        <is>
          <t>I</t>
        </is>
      </c>
      <c r="C19" t="inlineStr">
        <is>
          <t>Автоматична передача виробничих даних між підрозділами</t>
        </is>
      </c>
      <c r="D19" s="6" t="n">
        <v>2</v>
      </c>
      <c r="E19">
        <f>(D19-1)/4</f>
        <v/>
      </c>
    </row>
    <row r="20">
      <c r="A20" t="n">
        <v>17</v>
      </c>
      <c r="B20" t="inlineStr">
        <is>
          <t>I</t>
        </is>
      </c>
      <c r="C20" t="inlineStr">
        <is>
          <t>Своєчасне отримання зовнішніх даних (ціни, погода, регулювання)</t>
        </is>
      </c>
      <c r="D20" s="6" t="n">
        <v>2</v>
      </c>
      <c r="E20">
        <f>(D20-1)/4</f>
        <v/>
      </c>
    </row>
    <row r="21">
      <c r="A21" t="n">
        <v>18</v>
      </c>
      <c r="B21" t="inlineStr">
        <is>
          <t>I</t>
        </is>
      </c>
      <c r="C21" t="inlineStr">
        <is>
          <t>Інтеграція цифрових систем підприємства між собою</t>
        </is>
      </c>
      <c r="D21" s="6" t="n">
        <v>2</v>
      </c>
      <c r="E21">
        <f>(D21-1)/4</f>
        <v/>
      </c>
    </row>
    <row r="22">
      <c r="A22" t="n">
        <v>19</v>
      </c>
      <c r="B22" t="inlineStr">
        <is>
          <t>S</t>
        </is>
      </c>
      <c r="C22" t="inlineStr">
        <is>
          <t>Регулярне відстеження нових цифрових технологій</t>
        </is>
      </c>
      <c r="D22" s="6" t="n">
        <v>2</v>
      </c>
      <c r="E22">
        <f>(D22-1)/4</f>
        <v/>
      </c>
    </row>
    <row r="23">
      <c r="A23" t="n">
        <v>20</v>
      </c>
      <c r="B23" t="inlineStr">
        <is>
          <t>S</t>
        </is>
      </c>
      <c r="C23" t="inlineStr">
        <is>
          <t>Окремий бюджет або ресурси на цифровізацію</t>
        </is>
      </c>
      <c r="D23" s="6" t="n">
        <v>2</v>
      </c>
      <c r="E23">
        <f>(D23-1)/4</f>
        <v/>
      </c>
    </row>
    <row r="24">
      <c r="A24" t="n">
        <v>21</v>
      </c>
      <c r="B24" t="inlineStr">
        <is>
          <t>S</t>
        </is>
      </c>
      <c r="C24" t="inlineStr">
        <is>
          <t>Оцінювання результатів цифрових проєктів і перегляд планів цифровізації</t>
        </is>
      </c>
      <c r="D24" s="6" t="n">
        <v>2</v>
      </c>
      <c r="E24">
        <f>(D24-1)/4</f>
        <v/>
      </c>
    </row>
    <row r="26">
      <c r="C26" s="5" t="inlineStr">
        <is>
          <t>Результат</t>
        </is>
      </c>
    </row>
    <row r="27">
      <c r="C27" t="inlineStr">
        <is>
          <t>DM_C (рівн. 2)</t>
        </is>
      </c>
      <c r="D27">
        <f>AVERAGE(E4:E6)</f>
        <v/>
      </c>
    </row>
    <row r="28">
      <c r="C28" t="inlineStr">
        <is>
          <t>DM_L1 (рівн. 2)</t>
        </is>
      </c>
      <c r="D28">
        <f>AVERAGE(E7:E9)</f>
        <v/>
      </c>
    </row>
    <row r="29">
      <c r="C29" t="inlineStr">
        <is>
          <t>DM_L2 (рівн. 2)</t>
        </is>
      </c>
      <c r="D29">
        <f>AVERAGE(E10:E12)</f>
        <v/>
      </c>
    </row>
    <row r="30">
      <c r="C30" t="inlineStr">
        <is>
          <t>DM_L3 (рівн. 2)</t>
        </is>
      </c>
      <c r="D30">
        <f>AVERAGE(E13:E15)</f>
        <v/>
      </c>
    </row>
    <row r="31">
      <c r="C31" t="inlineStr">
        <is>
          <t>DM_L4 (рівн. 2)</t>
        </is>
      </c>
      <c r="D31">
        <f>AVERAGE(E16:E18)</f>
        <v/>
      </c>
    </row>
    <row r="32">
      <c r="C32" t="inlineStr">
        <is>
          <t>DM_I (інтеграція, поза індексом)</t>
        </is>
      </c>
      <c r="D32">
        <f>AVERAGE(E19:E21)</f>
        <v/>
      </c>
    </row>
    <row r="33">
      <c r="C33" t="inlineStr">
        <is>
          <t>DM_S (стратегія, поза індексом)</t>
        </is>
      </c>
      <c r="D33">
        <f>AVERAGE(E22:E24)</f>
        <v/>
      </c>
    </row>
    <row r="34">
      <c r="C34" t="inlineStr">
        <is>
          <t>ADMI_base (рівн. 3)</t>
        </is>
      </c>
      <c r="D34">
        <f>AVERAGE(D27:D31)</f>
        <v/>
      </c>
    </row>
    <row r="35">
      <c r="C35" t="inlineStr">
        <is>
          <t>DM_min</t>
        </is>
      </c>
      <c r="D35">
        <f>MIN(D27:D31)</f>
        <v/>
      </c>
    </row>
    <row r="36">
      <c r="C36" t="inlineStr">
        <is>
          <t>Штраф P (рівн. 4)</t>
        </is>
      </c>
      <c r="D36">
        <f>1-alpha*MAX(0,delta-D35)</f>
        <v/>
      </c>
    </row>
    <row r="37">
      <c r="C37" t="inlineStr">
        <is>
          <t>ADMI (рівн. 5)</t>
        </is>
      </c>
      <c r="D37">
        <f>D34*D36</f>
        <v/>
      </c>
    </row>
    <row r="38">
      <c r="C38" t="inlineStr">
        <is>
          <t>Рівень за ADMI_base</t>
        </is>
      </c>
      <c r="D38">
        <f>1+COUNTIF(bounds,"&lt;"&amp;ROUND(D34,12))</f>
        <v/>
      </c>
    </row>
    <row r="39">
      <c r="C39" t="inlineStr">
        <is>
          <t>Рівень за ADMI</t>
        </is>
      </c>
      <c r="D39">
        <f>1+COUNTIF(bounds,"&lt;"&amp;ROUND(D37,12))</f>
        <v/>
      </c>
    </row>
    <row r="40">
      <c r="C40" t="inlineStr">
        <is>
          <t>Штраф змінив рівень?</t>
        </is>
      </c>
      <c r="D40">
        <f>IF(D38&lt;&gt;D39,"так","ні")</f>
        <v/>
      </c>
    </row>
  </sheetData>
  <dataValidations count="1">
    <dataValidation sqref="D4 D5 D6 D7 D8 D9 D10 D11 D12 D13 D14 D15 D16 D17 D18 D19 D20 D21 D22 D23 D24" showDropDown="0" showInputMessage="0" showErrorMessage="1" allowBlank="0" type="whole" operator="between">
      <formula1>1</formula1>
      <formula2>5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9" customWidth="1" min="3" max="3"/>
    <col width="11" customWidth="1" min="4" max="4"/>
    <col width="8" customWidth="1" min="5" max="5"/>
    <col width="8" customWidth="1" min="6" max="6"/>
    <col width="8" customWidth="1" min="7" max="7"/>
    <col width="9" customWidth="1" min="8" max="8"/>
  </cols>
  <sheetData>
    <row r="1">
      <c r="A1" s="4" t="inlineStr">
        <is>
          <t>Таблиці 5 і 6. Статистичний режим ADMA для харчової промисловості (NACE C10-C12): оцінки шарів, індекс і ранжування (рівняння 6, P_min = 0)</t>
        </is>
      </c>
    </row>
    <row r="2">
      <c r="A2" t="inlineStr">
        <is>
          <t>Верхня частина: кожен показник, поділений на значення лідера ЄС. Нижня частина: шари, ADMI і ранги. ЄС-27 і Німеччина - рядки для порівняння поза ранжуванням.</t>
        </is>
      </c>
    </row>
    <row r="3">
      <c r="A3" s="5" t="inlineStr">
        <is>
          <t>Шар</t>
        </is>
      </c>
      <c r="B3" s="5" t="inlineStr">
        <is>
          <t>Показник</t>
        </is>
      </c>
      <c r="C3" s="5" t="inlineStr">
        <is>
          <t>Твердження</t>
        </is>
      </c>
      <c r="D3" s="5" t="inlineStr">
        <is>
          <t>Відповідність</t>
        </is>
      </c>
      <c r="E3" s="5" t="inlineStr">
        <is>
          <t>Рік ЄС</t>
        </is>
      </c>
      <c r="F3" s="5" t="inlineStr">
        <is>
          <t>Рік UA</t>
        </is>
      </c>
      <c r="G3" s="5" t="inlineStr">
        <is>
          <t>Лідер</t>
        </is>
      </c>
      <c r="H3" s="5" t="inlineStr">
        <is>
          <t>Лідер, %</t>
        </is>
      </c>
      <c r="I3" s="5" t="inlineStr">
        <is>
          <t>ЄС-27</t>
        </is>
      </c>
      <c r="J3" s="5" t="inlineStr">
        <is>
          <t>Німеччина</t>
        </is>
      </c>
      <c r="K3" s="5" t="inlineStr">
        <is>
          <t>Польща</t>
        </is>
      </c>
      <c r="L3" s="5" t="inlineStr">
        <is>
          <t>Угорщина</t>
        </is>
      </c>
      <c r="M3" s="5" t="inlineStr">
        <is>
          <t>Румунія</t>
        </is>
      </c>
      <c r="N3" s="5" t="inlineStr">
        <is>
          <t>Чехія</t>
        </is>
      </c>
      <c r="O3" s="5" t="inlineStr">
        <is>
          <t>Словаччина</t>
        </is>
      </c>
      <c r="P3" s="5" t="inlineStr">
        <is>
          <t>Литва</t>
        </is>
      </c>
      <c r="Q3" s="5" t="inlineStr">
        <is>
          <t>Латвія</t>
        </is>
      </c>
      <c r="R3" s="5" t="inlineStr">
        <is>
          <t>Естонія</t>
        </is>
      </c>
      <c r="S3" s="5" t="inlineStr">
        <is>
          <t>Болгарія</t>
        </is>
      </c>
      <c r="T3" s="5" t="inlineStr">
        <is>
          <t>Україна</t>
        </is>
      </c>
    </row>
    <row r="4">
      <c r="A4" t="inlineStr">
        <is>
          <t>C</t>
        </is>
      </c>
      <c r="B4" t="inlineStr">
        <is>
          <t>ERP</t>
        </is>
      </c>
      <c r="C4" t="n">
        <v>1</v>
      </c>
      <c r="D4" t="inlineStr">
        <is>
          <t>пряма</t>
        </is>
      </c>
      <c r="E4">
        <f>'Дані_ЄС'!B4</f>
        <v/>
      </c>
      <c r="F4">
        <f>'Дані_України'!D4</f>
        <v/>
      </c>
      <c r="G4">
        <f>'Дані_ЄС'!B36</f>
        <v/>
      </c>
      <c r="H4">
        <f>'Дані_ЄС'!B35</f>
        <v/>
      </c>
      <c r="I4">
        <f>IF('Дані_ЄС'!B6="","",'Дані_ЄС'!B6/$H4)</f>
        <v/>
      </c>
      <c r="J4">
        <f>IF('Дані_ЄС'!B12="","",'Дані_ЄС'!B12/$H4)</f>
        <v/>
      </c>
      <c r="K4">
        <f>IF('Дані_ЄС'!B28="","",'Дані_ЄС'!B28/$H4)</f>
        <v/>
      </c>
      <c r="L4">
        <f>IF('Дані_ЄС'!B20="","",'Дані_ЄС'!B20/$H4)</f>
        <v/>
      </c>
      <c r="M4">
        <f>IF('Дані_ЄС'!B30="","",'Дані_ЄС'!B30/$H4)</f>
        <v/>
      </c>
      <c r="N4">
        <f>IF('Дані_ЄС'!B11="","",'Дані_ЄС'!B11/$H4)</f>
        <v/>
      </c>
      <c r="O4">
        <f>IF('Дані_ЄС'!B33="","",'Дані_ЄС'!B33/$H4)</f>
        <v/>
      </c>
      <c r="P4">
        <f>IF('Дані_ЄС'!B23="","",'Дані_ЄС'!B23/$H4)</f>
        <v/>
      </c>
      <c r="Q4">
        <f>IF('Дані_ЄС'!B25="","",'Дані_ЄС'!B25/$H4)</f>
        <v/>
      </c>
      <c r="R4">
        <f>IF('Дані_ЄС'!B14="","",'Дані_ЄС'!B14/$H4)</f>
        <v/>
      </c>
      <c r="S4">
        <f>IF('Дані_ЄС'!B9="","",'Дані_ЄС'!B9/$H4)</f>
        <v/>
      </c>
      <c r="T4">
        <f>IF('Дані_України'!E4="","",'Дані_України'!E4/$H4)</f>
        <v/>
      </c>
    </row>
    <row r="5">
      <c r="A5" t="inlineStr">
        <is>
          <t>C</t>
        </is>
      </c>
      <c r="B5" t="inlineStr">
        <is>
          <t>IOT_PRODUCTION</t>
        </is>
      </c>
      <c r="C5" t="n">
        <v>2</v>
      </c>
      <c r="D5" t="inlineStr">
        <is>
          <t>прийнятна</t>
        </is>
      </c>
      <c r="E5">
        <f>'Дані_ЄС'!C4</f>
        <v/>
      </c>
      <c r="F5">
        <f>'Дані_України'!D5</f>
        <v/>
      </c>
      <c r="G5">
        <f>'Дані_ЄС'!C36</f>
        <v/>
      </c>
      <c r="H5">
        <f>'Дані_ЄС'!C35</f>
        <v/>
      </c>
      <c r="I5">
        <f>IF('Дані_ЄС'!C6="","",'Дані_ЄС'!C6/$H5)</f>
        <v/>
      </c>
      <c r="J5">
        <f>IF('Дані_ЄС'!C12="","",'Дані_ЄС'!C12/$H5)</f>
        <v/>
      </c>
      <c r="K5">
        <f>IF('Дані_ЄС'!C28="","",'Дані_ЄС'!C28/$H5)</f>
        <v/>
      </c>
      <c r="L5">
        <f>IF('Дані_ЄС'!C20="","",'Дані_ЄС'!C20/$H5)</f>
        <v/>
      </c>
      <c r="M5">
        <f>IF('Дані_ЄС'!C30="","",'Дані_ЄС'!C30/$H5)</f>
        <v/>
      </c>
      <c r="N5">
        <f>IF('Дані_ЄС'!C11="","",'Дані_ЄС'!C11/$H5)</f>
        <v/>
      </c>
      <c r="O5">
        <f>IF('Дані_ЄС'!C33="","",'Дані_ЄС'!C33/$H5)</f>
        <v/>
      </c>
      <c r="P5">
        <f>IF('Дані_ЄС'!C23="","",'Дані_ЄС'!C23/$H5)</f>
        <v/>
      </c>
      <c r="Q5">
        <f>IF('Дані_ЄС'!C25="","",'Дані_ЄС'!C25/$H5)</f>
        <v/>
      </c>
      <c r="R5">
        <f>IF('Дані_ЄС'!C14="","",'Дані_ЄС'!C14/$H5)</f>
        <v/>
      </c>
      <c r="S5">
        <f>IF('Дані_ЄС'!C9="","",'Дані_ЄС'!C9/$H5)</f>
        <v/>
      </c>
      <c r="T5">
        <f>IF('Дані_України'!E5="","",'Дані_України'!E5/$H5)</f>
        <v/>
      </c>
    </row>
    <row r="6">
      <c r="A6" t="inlineStr">
        <is>
          <t>C</t>
        </is>
      </c>
      <c r="B6" t="inlineStr">
        <is>
          <t>ICT_SECURITY_DOCUMENT</t>
        </is>
      </c>
      <c r="C6" t="n">
        <v>3</v>
      </c>
      <c r="D6" t="inlineStr">
        <is>
          <t>проксі</t>
        </is>
      </c>
      <c r="E6">
        <f>'Дані_ЄС'!D4</f>
        <v/>
      </c>
      <c r="F6">
        <f>'Дані_України'!D6</f>
        <v/>
      </c>
      <c r="G6">
        <f>'Дані_ЄС'!D36</f>
        <v/>
      </c>
      <c r="H6">
        <f>'Дані_ЄС'!D35</f>
        <v/>
      </c>
      <c r="I6">
        <f>IF('Дані_ЄС'!D6="","",'Дані_ЄС'!D6/$H6)</f>
        <v/>
      </c>
      <c r="J6">
        <f>IF('Дані_ЄС'!D12="","",'Дані_ЄС'!D12/$H6)</f>
        <v/>
      </c>
      <c r="K6">
        <f>IF('Дані_ЄС'!D28="","",'Дані_ЄС'!D28/$H6)</f>
        <v/>
      </c>
      <c r="L6">
        <f>IF('Дані_ЄС'!D20="","",'Дані_ЄС'!D20/$H6)</f>
        <v/>
      </c>
      <c r="M6">
        <f>IF('Дані_ЄС'!D30="","",'Дані_ЄС'!D30/$H6)</f>
        <v/>
      </c>
      <c r="N6">
        <f>IF('Дані_ЄС'!D11="","",'Дані_ЄС'!D11/$H6)</f>
        <v/>
      </c>
      <c r="O6">
        <f>IF('Дані_ЄС'!D33="","",'Дані_ЄС'!D33/$H6)</f>
        <v/>
      </c>
      <c r="P6">
        <f>IF('Дані_ЄС'!D23="","",'Дані_ЄС'!D23/$H6)</f>
        <v/>
      </c>
      <c r="Q6">
        <f>IF('Дані_ЄС'!D25="","",'Дані_ЄС'!D25/$H6)</f>
        <v/>
      </c>
      <c r="R6">
        <f>IF('Дані_ЄС'!D14="","",'Дані_ЄС'!D14/$H6)</f>
        <v/>
      </c>
      <c r="S6">
        <f>IF('Дані_ЄС'!D9="","",'Дані_ЄС'!D9/$H6)</f>
        <v/>
      </c>
      <c r="T6">
        <f>IF('Дані_України'!E6="","",'Дані_України'!E6/$H6)</f>
        <v/>
      </c>
    </row>
    <row r="7">
      <c r="A7" t="inlineStr">
        <is>
          <t>L1</t>
        </is>
      </c>
      <c r="B7" t="inlineStr">
        <is>
          <t>ICT_TRAINING_ICT_SPECIALISTS</t>
        </is>
      </c>
      <c r="C7" t="n">
        <v>5</v>
      </c>
      <c r="D7" t="inlineStr">
        <is>
          <t>прийнятна</t>
        </is>
      </c>
      <c r="E7">
        <f>'Дані_ЄС'!E4</f>
        <v/>
      </c>
      <c r="F7">
        <f>'Дані_України'!D7</f>
        <v/>
      </c>
      <c r="G7">
        <f>'Дані_ЄС'!E36</f>
        <v/>
      </c>
      <c r="H7">
        <f>'Дані_ЄС'!E35</f>
        <v/>
      </c>
      <c r="I7">
        <f>IF('Дані_ЄС'!E6="","",'Дані_ЄС'!E6/$H7)</f>
        <v/>
      </c>
      <c r="J7">
        <f>IF('Дані_ЄС'!E12="","",'Дані_ЄС'!E12/$H7)</f>
        <v/>
      </c>
      <c r="K7">
        <f>IF('Дані_ЄС'!E28="","",'Дані_ЄС'!E28/$H7)</f>
        <v/>
      </c>
      <c r="L7">
        <f>IF('Дані_ЄС'!E20="","",'Дані_ЄС'!E20/$H7)</f>
        <v/>
      </c>
      <c r="M7">
        <f>IF('Дані_ЄС'!E30="","",'Дані_ЄС'!E30/$H7)</f>
        <v/>
      </c>
      <c r="N7">
        <f>IF('Дані_ЄС'!E11="","",'Дані_ЄС'!E11/$H7)</f>
        <v/>
      </c>
      <c r="O7">
        <f>IF('Дані_ЄС'!E33="","",'Дані_ЄС'!E33/$H7)</f>
        <v/>
      </c>
      <c r="P7">
        <f>IF('Дані_ЄС'!E23="","",'Дані_ЄС'!E23/$H7)</f>
        <v/>
      </c>
      <c r="Q7">
        <f>IF('Дані_ЄС'!E25="","",'Дані_ЄС'!E25/$H7)</f>
        <v/>
      </c>
      <c r="R7">
        <f>IF('Дані_ЄС'!E14="","",'Дані_ЄС'!E14/$H7)</f>
        <v/>
      </c>
      <c r="S7">
        <f>IF('Дані_ЄС'!E9="","",'Дані_ЄС'!E9/$H7)</f>
        <v/>
      </c>
      <c r="T7">
        <f>IF('Дані_України'!E7="","",'Дані_України'!E7/$H7)</f>
        <v/>
      </c>
    </row>
    <row r="8">
      <c r="A8" t="inlineStr">
        <is>
          <t>L1</t>
        </is>
      </c>
      <c r="B8" t="inlineStr">
        <is>
          <t>ICT_TRAINING_OTHER_EMPLOYEES</t>
        </is>
      </c>
      <c r="C8" t="n">
        <v>5</v>
      </c>
      <c r="D8" t="inlineStr">
        <is>
          <t>прийнятна</t>
        </is>
      </c>
      <c r="E8">
        <f>'Дані_ЄС'!F4</f>
        <v/>
      </c>
      <c r="F8">
        <f>'Дані_України'!D8</f>
        <v/>
      </c>
      <c r="G8">
        <f>'Дані_ЄС'!F36</f>
        <v/>
      </c>
      <c r="H8">
        <f>'Дані_ЄС'!F35</f>
        <v/>
      </c>
      <c r="I8">
        <f>IF('Дані_ЄС'!F6="","",'Дані_ЄС'!F6/$H8)</f>
        <v/>
      </c>
      <c r="J8">
        <f>IF('Дані_ЄС'!F12="","",'Дані_ЄС'!F12/$H8)</f>
        <v/>
      </c>
      <c r="K8">
        <f>IF('Дані_ЄС'!F28="","",'Дані_ЄС'!F28/$H8)</f>
        <v/>
      </c>
      <c r="L8">
        <f>IF('Дані_ЄС'!F20="","",'Дані_ЄС'!F20/$H8)</f>
        <v/>
      </c>
      <c r="M8">
        <f>IF('Дані_ЄС'!F30="","",'Дані_ЄС'!F30/$H8)</f>
        <v/>
      </c>
      <c r="N8">
        <f>IF('Дані_ЄС'!F11="","",'Дані_ЄС'!F11/$H8)</f>
        <v/>
      </c>
      <c r="O8">
        <f>IF('Дані_ЄС'!F33="","",'Дані_ЄС'!F33/$H8)</f>
        <v/>
      </c>
      <c r="P8">
        <f>IF('Дані_ЄС'!F23="","",'Дані_ЄС'!F23/$H8)</f>
        <v/>
      </c>
      <c r="Q8">
        <f>IF('Дані_ЄС'!F25="","",'Дані_ЄС'!F25/$H8)</f>
        <v/>
      </c>
      <c r="R8">
        <f>IF('Дані_ЄС'!F14="","",'Дані_ЄС'!F14/$H8)</f>
        <v/>
      </c>
      <c r="S8">
        <f>IF('Дані_ЄС'!F9="","",'Дані_ЄС'!F9/$H8)</f>
        <v/>
      </c>
      <c r="T8">
        <f>IF('Дані_України'!E8="","",'Дані_України'!E8/$H8)</f>
        <v/>
      </c>
    </row>
    <row r="9">
      <c r="A9" t="inlineStr">
        <is>
          <t>L2</t>
        </is>
      </c>
      <c r="B9" t="inlineStr">
        <is>
          <t>SUPPLY_CHAIN_DATA_EXCHANGE</t>
        </is>
      </c>
      <c r="C9" t="n">
        <v>7</v>
      </c>
      <c r="D9" t="inlineStr">
        <is>
          <t>проксі</t>
        </is>
      </c>
      <c r="E9">
        <f>'Дані_ЄС'!G4</f>
        <v/>
      </c>
      <c r="F9">
        <f>'Дані_України'!D9</f>
        <v/>
      </c>
      <c r="G9">
        <f>'Дані_ЄС'!G36</f>
        <v/>
      </c>
      <c r="H9">
        <f>'Дані_ЄС'!G35</f>
        <v/>
      </c>
      <c r="I9">
        <f>IF('Дані_ЄС'!G6="","",'Дані_ЄС'!G6/$H9)</f>
        <v/>
      </c>
      <c r="J9">
        <f>IF('Дані_ЄС'!G12="","",'Дані_ЄС'!G12/$H9)</f>
        <v/>
      </c>
      <c r="K9">
        <f>IF('Дані_ЄС'!G28="","",'Дані_ЄС'!G28/$H9)</f>
        <v/>
      </c>
      <c r="L9">
        <f>IF('Дані_ЄС'!G20="","",'Дані_ЄС'!G20/$H9)</f>
        <v/>
      </c>
      <c r="M9">
        <f>IF('Дані_ЄС'!G30="","",'Дані_ЄС'!G30/$H9)</f>
        <v/>
      </c>
      <c r="N9">
        <f>IF('Дані_ЄС'!G11="","",'Дані_ЄС'!G11/$H9)</f>
        <v/>
      </c>
      <c r="O9">
        <f>IF('Дані_ЄС'!G33="","",'Дані_ЄС'!G33/$H9)</f>
        <v/>
      </c>
      <c r="P9">
        <f>IF('Дані_ЄС'!G23="","",'Дані_ЄС'!G23/$H9)</f>
        <v/>
      </c>
      <c r="Q9">
        <f>IF('Дані_ЄС'!G25="","",'Дані_ЄС'!G25/$H9)</f>
        <v/>
      </c>
      <c r="R9">
        <f>IF('Дані_ЄС'!G14="","",'Дані_ЄС'!G14/$H9)</f>
        <v/>
      </c>
      <c r="S9">
        <f>IF('Дані_ЄС'!G9="","",'Дані_ЄС'!G9/$H9)</f>
        <v/>
      </c>
      <c r="T9">
        <f>IF('Дані_України'!E9="","",'Дані_України'!E9/$H9)</f>
        <v/>
      </c>
    </row>
    <row r="10">
      <c r="A10" t="inlineStr">
        <is>
          <t>L2</t>
        </is>
      </c>
      <c r="B10" t="inlineStr">
        <is>
          <t>DATA_ANALYTICS</t>
        </is>
      </c>
      <c r="C10" t="n">
        <v>8</v>
      </c>
      <c r="D10" t="inlineStr">
        <is>
          <t>прийнятна</t>
        </is>
      </c>
      <c r="E10">
        <f>'Дані_ЄС'!H4</f>
        <v/>
      </c>
      <c r="F10">
        <f>'Дані_України'!D10</f>
        <v/>
      </c>
      <c r="G10">
        <f>'Дані_ЄС'!H36</f>
        <v/>
      </c>
      <c r="H10">
        <f>'Дані_ЄС'!H35</f>
        <v/>
      </c>
      <c r="I10">
        <f>IF('Дані_ЄС'!H6="","",'Дані_ЄС'!H6/$H10)</f>
        <v/>
      </c>
      <c r="J10">
        <f>IF('Дані_ЄС'!H12="","",'Дані_ЄС'!H12/$H10)</f>
        <v/>
      </c>
      <c r="K10">
        <f>IF('Дані_ЄС'!H28="","",'Дані_ЄС'!H28/$H10)</f>
        <v/>
      </c>
      <c r="L10">
        <f>IF('Дані_ЄС'!H20="","",'Дані_ЄС'!H20/$H10)</f>
        <v/>
      </c>
      <c r="M10">
        <f>IF('Дані_ЄС'!H30="","",'Дані_ЄС'!H30/$H10)</f>
        <v/>
      </c>
      <c r="N10">
        <f>IF('Дані_ЄС'!H11="","",'Дані_ЄС'!H11/$H10)</f>
        <v/>
      </c>
      <c r="O10">
        <f>IF('Дані_ЄС'!H33="","",'Дані_ЄС'!H33/$H10)</f>
        <v/>
      </c>
      <c r="P10">
        <f>IF('Дані_ЄС'!H23="","",'Дані_ЄС'!H23/$H10)</f>
        <v/>
      </c>
      <c r="Q10">
        <f>IF('Дані_ЄС'!H25="","",'Дані_ЄС'!H25/$H10)</f>
        <v/>
      </c>
      <c r="R10">
        <f>IF('Дані_ЄС'!H14="","",'Дані_ЄС'!H14/$H10)</f>
        <v/>
      </c>
      <c r="S10">
        <f>IF('Дані_ЄС'!H9="","",'Дані_ЄС'!H9/$H10)</f>
        <v/>
      </c>
      <c r="T10">
        <f>IF('Дані_України'!E10="","",'Дані_України'!E10/$H10)</f>
        <v/>
      </c>
    </row>
    <row r="11">
      <c r="A11" t="inlineStr">
        <is>
          <t>L2</t>
        </is>
      </c>
      <c r="B11" t="inlineStr">
        <is>
          <t>IOT_ANY</t>
        </is>
      </c>
      <c r="C11" t="n">
        <v>9</v>
      </c>
      <c r="D11" t="inlineStr">
        <is>
          <t>прийнятна</t>
        </is>
      </c>
      <c r="E11">
        <f>'Дані_ЄС'!I4</f>
        <v/>
      </c>
      <c r="F11">
        <f>'Дані_України'!D11</f>
        <v/>
      </c>
      <c r="G11">
        <f>'Дані_ЄС'!I36</f>
        <v/>
      </c>
      <c r="H11">
        <f>'Дані_ЄС'!I35</f>
        <v/>
      </c>
      <c r="I11">
        <f>IF('Дані_ЄС'!I6="","",'Дані_ЄС'!I6/$H11)</f>
        <v/>
      </c>
      <c r="J11">
        <f>IF('Дані_ЄС'!I12="","",'Дані_ЄС'!I12/$H11)</f>
        <v/>
      </c>
      <c r="K11">
        <f>IF('Дані_ЄС'!I28="","",'Дані_ЄС'!I28/$H11)</f>
        <v/>
      </c>
      <c r="L11">
        <f>IF('Дані_ЄС'!I20="","",'Дані_ЄС'!I20/$H11)</f>
        <v/>
      </c>
      <c r="M11">
        <f>IF('Дані_ЄС'!I30="","",'Дані_ЄС'!I30/$H11)</f>
        <v/>
      </c>
      <c r="N11">
        <f>IF('Дані_ЄС'!I11="","",'Дані_ЄС'!I11/$H11)</f>
        <v/>
      </c>
      <c r="O11">
        <f>IF('Дані_ЄС'!I33="","",'Дані_ЄС'!I33/$H11)</f>
        <v/>
      </c>
      <c r="P11">
        <f>IF('Дані_ЄС'!I23="","",'Дані_ЄС'!I23/$H11)</f>
        <v/>
      </c>
      <c r="Q11">
        <f>IF('Дані_ЄС'!I25="","",'Дані_ЄС'!I25/$H11)</f>
        <v/>
      </c>
      <c r="R11">
        <f>IF('Дані_ЄС'!I14="","",'Дані_ЄС'!I14/$H11)</f>
        <v/>
      </c>
      <c r="S11">
        <f>IF('Дані_ЄС'!I9="","",'Дані_ЄС'!I9/$H11)</f>
        <v/>
      </c>
      <c r="T11">
        <f>IF('Дані_України'!E11="","",'Дані_України'!E11/$H11)</f>
        <v/>
      </c>
    </row>
    <row r="12">
      <c r="A12" t="inlineStr">
        <is>
          <t>L3</t>
        </is>
      </c>
      <c r="B12" t="inlineStr">
        <is>
          <t>MOBILE_INTERNET</t>
        </is>
      </c>
      <c r="C12" t="n">
        <v>10</v>
      </c>
      <c r="D12" t="inlineStr">
        <is>
          <t>проксі</t>
        </is>
      </c>
      <c r="E12">
        <f>'Дані_ЄС'!J4</f>
        <v/>
      </c>
      <c r="F12">
        <f>'Дані_України'!D12</f>
        <v/>
      </c>
      <c r="G12">
        <f>'Дані_ЄС'!J36</f>
        <v/>
      </c>
      <c r="H12">
        <f>'Дані_ЄС'!J35</f>
        <v/>
      </c>
      <c r="I12">
        <f>IF('Дані_ЄС'!J6="","",'Дані_ЄС'!J6/$H12)</f>
        <v/>
      </c>
      <c r="J12">
        <f>IF('Дані_ЄС'!J12="","",'Дані_ЄС'!J12/$H12)</f>
        <v/>
      </c>
      <c r="K12">
        <f>IF('Дані_ЄС'!J28="","",'Дані_ЄС'!J28/$H12)</f>
        <v/>
      </c>
      <c r="L12">
        <f>IF('Дані_ЄС'!J20="","",'Дані_ЄС'!J20/$H12)</f>
        <v/>
      </c>
      <c r="M12">
        <f>IF('Дані_ЄС'!J30="","",'Дані_ЄС'!J30/$H12)</f>
        <v/>
      </c>
      <c r="N12">
        <f>IF('Дані_ЄС'!J11="","",'Дані_ЄС'!J11/$H12)</f>
        <v/>
      </c>
      <c r="O12">
        <f>IF('Дані_ЄС'!J33="","",'Дані_ЄС'!J33/$H12)</f>
        <v/>
      </c>
      <c r="P12">
        <f>IF('Дані_ЄС'!J23="","",'Дані_ЄС'!J23/$H12)</f>
        <v/>
      </c>
      <c r="Q12">
        <f>IF('Дані_ЄС'!J25="","",'Дані_ЄС'!J25/$H12)</f>
        <v/>
      </c>
      <c r="R12">
        <f>IF('Дані_ЄС'!J14="","",'Дані_ЄС'!J14/$H12)</f>
        <v/>
      </c>
      <c r="S12">
        <f>IF('Дані_ЄС'!J9="","",'Дані_ЄС'!J9/$H12)</f>
        <v/>
      </c>
      <c r="T12">
        <f>IF('Дані_України'!E12="","",'Дані_України'!E12/$H12)</f>
        <v/>
      </c>
    </row>
    <row r="13">
      <c r="A13" t="inlineStr">
        <is>
          <t>L3</t>
        </is>
      </c>
      <c r="B13" t="inlineStr">
        <is>
          <t>PAID_CLOUD</t>
        </is>
      </c>
      <c r="C13" t="n">
        <v>11</v>
      </c>
      <c r="D13" t="inlineStr">
        <is>
          <t>проксі</t>
        </is>
      </c>
      <c r="E13">
        <f>'Дані_ЄС'!K4</f>
        <v/>
      </c>
      <c r="F13">
        <f>'Дані_України'!D13</f>
        <v/>
      </c>
      <c r="G13">
        <f>'Дані_ЄС'!K36</f>
        <v/>
      </c>
      <c r="H13">
        <f>'Дані_ЄС'!K35</f>
        <v/>
      </c>
      <c r="I13">
        <f>IF('Дані_ЄС'!K6="","",'Дані_ЄС'!K6/$H13)</f>
        <v/>
      </c>
      <c r="J13">
        <f>IF('Дані_ЄС'!K12="","",'Дані_ЄС'!K12/$H13)</f>
        <v/>
      </c>
      <c r="K13">
        <f>IF('Дані_ЄС'!K28="","",'Дані_ЄС'!K28/$H13)</f>
        <v/>
      </c>
      <c r="L13">
        <f>IF('Дані_ЄС'!K20="","",'Дані_ЄС'!K20/$H13)</f>
        <v/>
      </c>
      <c r="M13">
        <f>IF('Дані_ЄС'!K30="","",'Дані_ЄС'!K30/$H13)</f>
        <v/>
      </c>
      <c r="N13">
        <f>IF('Дані_ЄС'!K11="","",'Дані_ЄС'!K11/$H13)</f>
        <v/>
      </c>
      <c r="O13">
        <f>IF('Дані_ЄС'!K33="","",'Дані_ЄС'!K33/$H13)</f>
        <v/>
      </c>
      <c r="P13">
        <f>IF('Дані_ЄС'!K23="","",'Дані_ЄС'!K23/$H13)</f>
        <v/>
      </c>
      <c r="Q13">
        <f>IF('Дані_ЄС'!K25="","",'Дані_ЄС'!K25/$H13)</f>
        <v/>
      </c>
      <c r="R13">
        <f>IF('Дані_ЄС'!K14="","",'Дані_ЄС'!K14/$H13)</f>
        <v/>
      </c>
      <c r="S13">
        <f>IF('Дані_ЄС'!K9="","",'Дані_ЄС'!K9/$H13)</f>
        <v/>
      </c>
      <c r="T13">
        <f>IF('Дані_України'!E13="","",'Дані_України'!E13/$H13)</f>
        <v/>
      </c>
    </row>
    <row r="14">
      <c r="A14" t="inlineStr">
        <is>
          <t>L4</t>
        </is>
      </c>
      <c r="B14" t="inlineStr">
        <is>
          <t>ECOMMERCE_SALES</t>
        </is>
      </c>
      <c r="C14" t="n">
        <v>13</v>
      </c>
      <c r="D14" t="inlineStr">
        <is>
          <t>пряма</t>
        </is>
      </c>
      <c r="E14">
        <f>'Дані_ЄС'!L4</f>
        <v/>
      </c>
      <c r="F14">
        <f>'Дані_України'!D14</f>
        <v/>
      </c>
      <c r="G14">
        <f>'Дані_ЄС'!L36</f>
        <v/>
      </c>
      <c r="H14">
        <f>'Дані_ЄС'!L35</f>
        <v/>
      </c>
      <c r="I14">
        <f>IF('Дані_ЄС'!L6="","",'Дані_ЄС'!L6/$H14)</f>
        <v/>
      </c>
      <c r="J14">
        <f>IF('Дані_ЄС'!L12="","",'Дані_ЄС'!L12/$H14)</f>
        <v/>
      </c>
      <c r="K14">
        <f>IF('Дані_ЄС'!L28="","",'Дані_ЄС'!L28/$H14)</f>
        <v/>
      </c>
      <c r="L14">
        <f>IF('Дані_ЄС'!L20="","",'Дані_ЄС'!L20/$H14)</f>
        <v/>
      </c>
      <c r="M14">
        <f>IF('Дані_ЄС'!L30="","",'Дані_ЄС'!L30/$H14)</f>
        <v/>
      </c>
      <c r="N14">
        <f>IF('Дані_ЄС'!L11="","",'Дані_ЄС'!L11/$H14)</f>
        <v/>
      </c>
      <c r="O14">
        <f>IF('Дані_ЄС'!L33="","",'Дані_ЄС'!L33/$H14)</f>
        <v/>
      </c>
      <c r="P14">
        <f>IF('Дані_ЄС'!L23="","",'Дані_ЄС'!L23/$H14)</f>
        <v/>
      </c>
      <c r="Q14">
        <f>IF('Дані_ЄС'!L25="","",'Дані_ЄС'!L25/$H14)</f>
        <v/>
      </c>
      <c r="R14">
        <f>IF('Дані_ЄС'!L14="","",'Дані_ЄС'!L14/$H14)</f>
        <v/>
      </c>
      <c r="S14">
        <f>IF('Дані_ЄС'!L9="","",'Дані_ЄС'!L9/$H14)</f>
        <v/>
      </c>
      <c r="T14">
        <f>IF('Дані_України'!E14="","",'Дані_України'!E14/$H14)</f>
        <v/>
      </c>
    </row>
    <row r="15">
      <c r="A15" t="inlineStr">
        <is>
          <t>L4</t>
        </is>
      </c>
      <c r="B15" t="inlineStr">
        <is>
          <t>WEBSITE</t>
        </is>
      </c>
      <c r="C15" t="n">
        <v>13</v>
      </c>
      <c r="D15" t="inlineStr">
        <is>
          <t>пряма</t>
        </is>
      </c>
      <c r="E15">
        <f>'Дані_ЄС'!M4</f>
        <v/>
      </c>
      <c r="F15">
        <f>'Дані_України'!D15</f>
        <v/>
      </c>
      <c r="G15">
        <f>'Дані_ЄС'!M36</f>
        <v/>
      </c>
      <c r="H15">
        <f>'Дані_ЄС'!M35</f>
        <v/>
      </c>
      <c r="I15">
        <f>IF('Дані_ЄС'!M6="","",'Дані_ЄС'!M6/$H15)</f>
        <v/>
      </c>
      <c r="J15">
        <f>IF('Дані_ЄС'!M12="","",'Дані_ЄС'!M12/$H15)</f>
        <v/>
      </c>
      <c r="K15">
        <f>IF('Дані_ЄС'!M28="","",'Дані_ЄС'!M28/$H15)</f>
        <v/>
      </c>
      <c r="L15">
        <f>IF('Дані_ЄС'!M20="","",'Дані_ЄС'!M20/$H15)</f>
        <v/>
      </c>
      <c r="M15">
        <f>IF('Дані_ЄС'!M30="","",'Дані_ЄС'!M30/$H15)</f>
        <v/>
      </c>
      <c r="N15">
        <f>IF('Дані_ЄС'!M11="","",'Дані_ЄС'!M11/$H15)</f>
        <v/>
      </c>
      <c r="O15">
        <f>IF('Дані_ЄС'!M33="","",'Дані_ЄС'!M33/$H15)</f>
        <v/>
      </c>
      <c r="P15">
        <f>IF('Дані_ЄС'!M23="","",'Дані_ЄС'!M23/$H15)</f>
        <v/>
      </c>
      <c r="Q15">
        <f>IF('Дані_ЄС'!M25="","",'Дані_ЄС'!M25/$H15)</f>
        <v/>
      </c>
      <c r="R15">
        <f>IF('Дані_ЄС'!M14="","",'Дані_ЄС'!M14/$H15)</f>
        <v/>
      </c>
      <c r="S15">
        <f>IF('Дані_ЄС'!M9="","",'Дані_ЄС'!M9/$H15)</f>
        <v/>
      </c>
      <c r="T15">
        <f>IF('Дані_України'!E15="","",'Дані_України'!E15/$H15)</f>
        <v/>
      </c>
    </row>
    <row r="16">
      <c r="A16" t="inlineStr">
        <is>
          <t>L4</t>
        </is>
      </c>
      <c r="B16" t="inlineStr">
        <is>
          <t>CRM</t>
        </is>
      </c>
      <c r="C16" t="n">
        <v>14</v>
      </c>
      <c r="D16" t="inlineStr">
        <is>
          <t>пряма</t>
        </is>
      </c>
      <c r="E16">
        <f>'Дані_ЄС'!N4</f>
        <v/>
      </c>
      <c r="F16">
        <f>'Дані_України'!D16</f>
        <v/>
      </c>
      <c r="G16">
        <f>'Дані_ЄС'!N36</f>
        <v/>
      </c>
      <c r="H16">
        <f>'Дані_ЄС'!N35</f>
        <v/>
      </c>
      <c r="I16">
        <f>IF('Дані_ЄС'!N6="","",'Дані_ЄС'!N6/$H16)</f>
        <v/>
      </c>
      <c r="J16">
        <f>IF('Дані_ЄС'!N12="","",'Дані_ЄС'!N12/$H16)</f>
        <v/>
      </c>
      <c r="K16">
        <f>IF('Дані_ЄС'!N28="","",'Дані_ЄС'!N28/$H16)</f>
        <v/>
      </c>
      <c r="L16">
        <f>IF('Дані_ЄС'!N20="","",'Дані_ЄС'!N20/$H16)</f>
        <v/>
      </c>
      <c r="M16">
        <f>IF('Дані_ЄС'!N30="","",'Дані_ЄС'!N30/$H16)</f>
        <v/>
      </c>
      <c r="N16">
        <f>IF('Дані_ЄС'!N11="","",'Дані_ЄС'!N11/$H16)</f>
        <v/>
      </c>
      <c r="O16">
        <f>IF('Дані_ЄС'!N33="","",'Дані_ЄС'!N33/$H16)</f>
        <v/>
      </c>
      <c r="P16">
        <f>IF('Дані_ЄС'!N23="","",'Дані_ЄС'!N23/$H16)</f>
        <v/>
      </c>
      <c r="Q16">
        <f>IF('Дані_ЄС'!N25="","",'Дані_ЄС'!N25/$H16)</f>
        <v/>
      </c>
      <c r="R16">
        <f>IF('Дані_ЄС'!N14="","",'Дані_ЄС'!N14/$H16)</f>
        <v/>
      </c>
      <c r="S16">
        <f>IF('Дані_ЄС'!N9="","",'Дані_ЄС'!N9/$H16)</f>
        <v/>
      </c>
      <c r="T16">
        <f>IF('Дані_України'!E16="","",'Дані_України'!E16/$H16)</f>
        <v/>
      </c>
    </row>
    <row r="17">
      <c r="A17" t="inlineStr">
        <is>
          <t>I</t>
        </is>
      </c>
      <c r="B17" t="inlineStr">
        <is>
          <t>EINVOICE_AUTOMATED</t>
        </is>
      </c>
      <c r="C17" t="n">
        <v>16</v>
      </c>
      <c r="D17" t="inlineStr">
        <is>
          <t>проксі</t>
        </is>
      </c>
      <c r="E17">
        <f>'Дані_ЄС'!O4</f>
        <v/>
      </c>
      <c r="F17">
        <f>'Дані_України'!D17</f>
        <v/>
      </c>
      <c r="G17">
        <f>'Дані_ЄС'!O36</f>
        <v/>
      </c>
      <c r="H17">
        <f>'Дані_ЄС'!O35</f>
        <v/>
      </c>
      <c r="I17">
        <f>IF('Дані_ЄС'!O6="","",'Дані_ЄС'!O6/$H17)</f>
        <v/>
      </c>
      <c r="J17">
        <f>IF('Дані_ЄС'!O12="","",'Дані_ЄС'!O12/$H17)</f>
        <v/>
      </c>
      <c r="K17">
        <f>IF('Дані_ЄС'!O28="","",'Дані_ЄС'!O28/$H17)</f>
        <v/>
      </c>
      <c r="L17">
        <f>IF('Дані_ЄС'!O20="","",'Дані_ЄС'!O20/$H17)</f>
        <v/>
      </c>
      <c r="M17">
        <f>IF('Дані_ЄС'!O30="","",'Дані_ЄС'!O30/$H17)</f>
        <v/>
      </c>
      <c r="N17">
        <f>IF('Дані_ЄС'!O11="","",'Дані_ЄС'!O11/$H17)</f>
        <v/>
      </c>
      <c r="O17">
        <f>IF('Дані_ЄС'!O33="","",'Дані_ЄС'!O33/$H17)</f>
        <v/>
      </c>
      <c r="P17">
        <f>IF('Дані_ЄС'!O23="","",'Дані_ЄС'!O23/$H17)</f>
        <v/>
      </c>
      <c r="Q17">
        <f>IF('Дані_ЄС'!O25="","",'Дані_ЄС'!O25/$H17)</f>
        <v/>
      </c>
      <c r="R17">
        <f>IF('Дані_ЄС'!O14="","",'Дані_ЄС'!O14/$H17)</f>
        <v/>
      </c>
      <c r="S17">
        <f>IF('Дані_ЄС'!O9="","",'Дані_ЄС'!O9/$H17)</f>
        <v/>
      </c>
      <c r="T17">
        <f>IF('Дані_України'!E17="","",'Дані_України'!E17/$H17)</f>
        <v/>
      </c>
    </row>
    <row r="18">
      <c r="A18" t="inlineStr">
        <is>
          <t>I</t>
        </is>
      </c>
      <c r="B18" t="inlineStr">
        <is>
          <t>BI</t>
        </is>
      </c>
      <c r="C18" t="n">
        <v>18</v>
      </c>
      <c r="D18" t="inlineStr">
        <is>
          <t>проксі</t>
        </is>
      </c>
      <c r="E18">
        <f>'Дані_ЄС'!P4</f>
        <v/>
      </c>
      <c r="F18">
        <f>'Дані_України'!D18</f>
        <v/>
      </c>
      <c r="G18">
        <f>'Дані_ЄС'!P36</f>
        <v/>
      </c>
      <c r="H18">
        <f>'Дані_ЄС'!P35</f>
        <v/>
      </c>
      <c r="I18">
        <f>IF('Дані_ЄС'!P6="","",'Дані_ЄС'!P6/$H18)</f>
        <v/>
      </c>
      <c r="J18">
        <f>IF('Дані_ЄС'!P12="","",'Дані_ЄС'!P12/$H18)</f>
        <v/>
      </c>
      <c r="K18">
        <f>IF('Дані_ЄС'!P28="","",'Дані_ЄС'!P28/$H18)</f>
        <v/>
      </c>
      <c r="L18">
        <f>IF('Дані_ЄС'!P20="","",'Дані_ЄС'!P20/$H18)</f>
        <v/>
      </c>
      <c r="M18">
        <f>IF('Дані_ЄС'!P30="","",'Дані_ЄС'!P30/$H18)</f>
        <v/>
      </c>
      <c r="N18">
        <f>IF('Дані_ЄС'!P11="","",'Дані_ЄС'!P11/$H18)</f>
        <v/>
      </c>
      <c r="O18">
        <f>IF('Дані_ЄС'!P33="","",'Дані_ЄС'!P33/$H18)</f>
        <v/>
      </c>
      <c r="P18">
        <f>IF('Дані_ЄС'!P23="","",'Дані_ЄС'!P23/$H18)</f>
        <v/>
      </c>
      <c r="Q18">
        <f>IF('Дані_ЄС'!P25="","",'Дані_ЄС'!P25/$H18)</f>
        <v/>
      </c>
      <c r="R18">
        <f>IF('Дані_ЄС'!P14="","",'Дані_ЄС'!P14/$H18)</f>
        <v/>
      </c>
      <c r="S18">
        <f>IF('Дані_ЄС'!P9="","",'Дані_ЄС'!P9/$H18)</f>
        <v/>
      </c>
      <c r="T18">
        <f>IF('Дані_України'!E18="","",'Дані_України'!E18/$H18)</f>
        <v/>
      </c>
    </row>
    <row r="19">
      <c r="A19" t="inlineStr">
        <is>
          <t>S</t>
        </is>
      </c>
      <c r="B19" t="inlineStr">
        <is>
          <t>AI_ANY</t>
        </is>
      </c>
      <c r="C19" t="n">
        <v>19</v>
      </c>
      <c r="D19" t="inlineStr">
        <is>
          <t>проксі</t>
        </is>
      </c>
      <c r="E19">
        <f>'Дані_ЄС'!Q4</f>
        <v/>
      </c>
      <c r="F19">
        <f>'Дані_України'!D19</f>
        <v/>
      </c>
      <c r="G19">
        <f>'Дані_ЄС'!Q36</f>
        <v/>
      </c>
      <c r="H19">
        <f>'Дані_ЄС'!Q35</f>
        <v/>
      </c>
      <c r="I19">
        <f>IF('Дані_ЄС'!Q6="","",'Дані_ЄС'!Q6/$H19)</f>
        <v/>
      </c>
      <c r="J19">
        <f>IF('Дані_ЄС'!Q12="","",'Дані_ЄС'!Q12/$H19)</f>
        <v/>
      </c>
      <c r="K19">
        <f>IF('Дані_ЄС'!Q28="","",'Дані_ЄС'!Q28/$H19)</f>
        <v/>
      </c>
      <c r="L19">
        <f>IF('Дані_ЄС'!Q20="","",'Дані_ЄС'!Q20/$H19)</f>
        <v/>
      </c>
      <c r="M19">
        <f>IF('Дані_ЄС'!Q30="","",'Дані_ЄС'!Q30/$H19)</f>
        <v/>
      </c>
      <c r="N19">
        <f>IF('Дані_ЄС'!Q11="","",'Дані_ЄС'!Q11/$H19)</f>
        <v/>
      </c>
      <c r="O19">
        <f>IF('Дані_ЄС'!Q33="","",'Дані_ЄС'!Q33/$H19)</f>
        <v/>
      </c>
      <c r="P19">
        <f>IF('Дані_ЄС'!Q23="","",'Дані_ЄС'!Q23/$H19)</f>
        <v/>
      </c>
      <c r="Q19">
        <f>IF('Дані_ЄС'!Q25="","",'Дані_ЄС'!Q25/$H19)</f>
        <v/>
      </c>
      <c r="R19">
        <f>IF('Дані_ЄС'!Q14="","",'Дані_ЄС'!Q14/$H19)</f>
        <v/>
      </c>
      <c r="S19">
        <f>IF('Дані_ЄС'!Q9="","",'Дані_ЄС'!Q9/$H19)</f>
        <v/>
      </c>
      <c r="T19">
        <f>IF('Дані_України'!E19="","",'Дані_України'!E19/$H19)</f>
        <v/>
      </c>
    </row>
    <row r="20">
      <c r="A20" t="inlineStr">
        <is>
          <t>S</t>
        </is>
      </c>
      <c r="B20" t="inlineStr">
        <is>
          <t>DII_BASIC_V3</t>
        </is>
      </c>
      <c r="C20" t="n">
        <v>20</v>
      </c>
      <c r="D20" t="inlineStr">
        <is>
          <t>проксі</t>
        </is>
      </c>
      <c r="E20">
        <f>'Дані_ЄС'!R4</f>
        <v/>
      </c>
      <c r="F20">
        <f>'Дані_України'!D20</f>
        <v/>
      </c>
      <c r="G20">
        <f>'Дані_ЄС'!R36</f>
        <v/>
      </c>
      <c r="H20">
        <f>'Дані_ЄС'!R35</f>
        <v/>
      </c>
      <c r="I20">
        <f>IF('Дані_ЄС'!R6="","",'Дані_ЄС'!R6/$H20)</f>
        <v/>
      </c>
      <c r="J20">
        <f>IF('Дані_ЄС'!R12="","",'Дані_ЄС'!R12/$H20)</f>
        <v/>
      </c>
      <c r="K20">
        <f>IF('Дані_ЄС'!R28="","",'Дані_ЄС'!R28/$H20)</f>
        <v/>
      </c>
      <c r="L20">
        <f>IF('Дані_ЄС'!R20="","",'Дані_ЄС'!R20/$H20)</f>
        <v/>
      </c>
      <c r="M20">
        <f>IF('Дані_ЄС'!R30="","",'Дані_ЄС'!R30/$H20)</f>
        <v/>
      </c>
      <c r="N20">
        <f>IF('Дані_ЄС'!R11="","",'Дані_ЄС'!R11/$H20)</f>
        <v/>
      </c>
      <c r="O20">
        <f>IF('Дані_ЄС'!R33="","",'Дані_ЄС'!R33/$H20)</f>
        <v/>
      </c>
      <c r="P20">
        <f>IF('Дані_ЄС'!R23="","",'Дані_ЄС'!R23/$H20)</f>
        <v/>
      </c>
      <c r="Q20">
        <f>IF('Дані_ЄС'!R25="","",'Дані_ЄС'!R25/$H20)</f>
        <v/>
      </c>
      <c r="R20">
        <f>IF('Дані_ЄС'!R14="","",'Дані_ЄС'!R14/$H20)</f>
        <v/>
      </c>
      <c r="S20">
        <f>IF('Дані_ЄС'!R9="","",'Дані_ЄС'!R9/$H20)</f>
        <v/>
      </c>
      <c r="T20">
        <f>IF('Дані_України'!E20="","",'Дані_України'!E20/$H20)</f>
        <v/>
      </c>
    </row>
    <row r="23">
      <c r="A23" s="5" t="inlineStr">
        <is>
          <t>Об'єкт</t>
        </is>
      </c>
      <c r="B23" s="5" t="inlineStr">
        <is>
          <t>C</t>
        </is>
      </c>
      <c r="C23" s="5" t="inlineStr">
        <is>
          <t>L1</t>
        </is>
      </c>
      <c r="D23" s="5" t="inlineStr">
        <is>
          <t>L2</t>
        </is>
      </c>
      <c r="E23" s="5" t="inlineStr">
        <is>
          <t>L3</t>
        </is>
      </c>
      <c r="F23" s="5" t="inlineStr">
        <is>
          <t>L4</t>
        </is>
      </c>
      <c r="G23" s="5" t="inlineStr">
        <is>
          <t>ADMI_base</t>
        </is>
      </c>
      <c r="H23" s="5" t="inlineStr">
        <is>
          <t>DM_min</t>
        </is>
      </c>
      <c r="I23" s="5" t="inlineStr">
        <is>
          <t>Штраф</t>
        </is>
      </c>
      <c r="J23" s="5" t="inlineStr">
        <is>
          <t>ADMI</t>
        </is>
      </c>
      <c r="K23" s="5" t="inlineStr">
        <is>
          <t>Рівень</t>
        </is>
      </c>
      <c r="L23" s="5" t="inlineStr">
        <is>
          <t>DM_I</t>
        </is>
      </c>
      <c r="M23" s="5" t="inlineStr">
        <is>
          <t>DM_S</t>
        </is>
      </c>
      <c r="N23" s="5" t="inlineStr">
        <is>
          <t>Ранг ADMI</t>
        </is>
      </c>
      <c r="O23" s="5" t="inlineStr">
        <is>
          <t>Ранг TOPSIS</t>
        </is>
      </c>
    </row>
    <row r="24">
      <c r="A24" t="inlineStr">
        <is>
          <t>ЄС-27</t>
        </is>
      </c>
      <c r="B24">
        <f>AVERAGEIF($A$4:$A$20,"C",I$4:I$20)</f>
        <v/>
      </c>
      <c r="C24">
        <f>AVERAGEIF($A$4:$A$20,"L1",I$4:I$20)</f>
        <v/>
      </c>
      <c r="D24">
        <f>AVERAGEIF($A$4:$A$20,"L2",I$4:I$20)</f>
        <v/>
      </c>
      <c r="E24">
        <f>AVERAGEIF($A$4:$A$20,"L3",I$4:I$20)</f>
        <v/>
      </c>
      <c r="F24">
        <f>AVERAGEIF($A$4:$A$20,"L4",I$4:I$20)</f>
        <v/>
      </c>
      <c r="G24">
        <f>AVERAGE(B24:F24)</f>
        <v/>
      </c>
      <c r="H24">
        <f>MIN(B24:F24)</f>
        <v/>
      </c>
      <c r="I24">
        <f>1-alpha*MAX(0,delta-H24)</f>
        <v/>
      </c>
      <c r="J24">
        <f>G24*I24</f>
        <v/>
      </c>
      <c r="K24">
        <f>1+COUNTIF(bounds,"&lt;"&amp;ROUND(J24,12))</f>
        <v/>
      </c>
      <c r="L24">
        <f>AVERAGEIF($A$4:$A$20,"I",I$4:I$20)</f>
        <v/>
      </c>
      <c r="M24">
        <f>AVERAGEIF($A$4:$A$20,"S",I$4:I$20)</f>
        <v/>
      </c>
      <c r="N24" t="inlineStr">
        <is>
          <t>-</t>
        </is>
      </c>
      <c r="O24" t="inlineStr">
        <is>
          <t>-</t>
        </is>
      </c>
    </row>
    <row r="25">
      <c r="A25" t="inlineStr">
        <is>
          <t>Німеччина</t>
        </is>
      </c>
      <c r="B25">
        <f>AVERAGEIF($A$4:$A$20,"C",J$4:J$20)</f>
        <v/>
      </c>
      <c r="C25">
        <f>AVERAGEIF($A$4:$A$20,"L1",J$4:J$20)</f>
        <v/>
      </c>
      <c r="D25">
        <f>AVERAGEIF($A$4:$A$20,"L2",J$4:J$20)</f>
        <v/>
      </c>
      <c r="E25">
        <f>AVERAGEIF($A$4:$A$20,"L3",J$4:J$20)</f>
        <v/>
      </c>
      <c r="F25">
        <f>AVERAGEIF($A$4:$A$20,"L4",J$4:J$20)</f>
        <v/>
      </c>
      <c r="G25">
        <f>AVERAGE(B25:F25)</f>
        <v/>
      </c>
      <c r="H25">
        <f>MIN(B25:F25)</f>
        <v/>
      </c>
      <c r="I25">
        <f>1-alpha*MAX(0,delta-H25)</f>
        <v/>
      </c>
      <c r="J25">
        <f>G25*I25</f>
        <v/>
      </c>
      <c r="K25">
        <f>1+COUNTIF(bounds,"&lt;"&amp;ROUND(J25,12))</f>
        <v/>
      </c>
      <c r="L25">
        <f>AVERAGEIF($A$4:$A$20,"I",J$4:J$20)</f>
        <v/>
      </c>
      <c r="M25">
        <f>AVERAGEIF($A$4:$A$20,"S",J$4:J$20)</f>
        <v/>
      </c>
      <c r="N25" t="inlineStr">
        <is>
          <t>-</t>
        </is>
      </c>
      <c r="O25" t="inlineStr">
        <is>
          <t>-</t>
        </is>
      </c>
    </row>
    <row r="26">
      <c r="A26" t="inlineStr">
        <is>
          <t>Польща</t>
        </is>
      </c>
      <c r="B26">
        <f>AVERAGEIF($A$4:$A$20,"C",K$4:K$20)</f>
        <v/>
      </c>
      <c r="C26">
        <f>AVERAGEIF($A$4:$A$20,"L1",K$4:K$20)</f>
        <v/>
      </c>
      <c r="D26">
        <f>AVERAGEIF($A$4:$A$20,"L2",K$4:K$20)</f>
        <v/>
      </c>
      <c r="E26">
        <f>AVERAGEIF($A$4:$A$20,"L3",K$4:K$20)</f>
        <v/>
      </c>
      <c r="F26">
        <f>AVERAGEIF($A$4:$A$20,"L4",K$4:K$20)</f>
        <v/>
      </c>
      <c r="G26">
        <f>AVERAGE(B26:F26)</f>
        <v/>
      </c>
      <c r="H26">
        <f>MIN(B26:F26)</f>
        <v/>
      </c>
      <c r="I26">
        <f>1-alpha*MAX(0,delta-H26)</f>
        <v/>
      </c>
      <c r="J26">
        <f>G26*I26</f>
        <v/>
      </c>
      <c r="K26">
        <f>1+COUNTIF(bounds,"&lt;"&amp;ROUND(J26,12))</f>
        <v/>
      </c>
      <c r="L26">
        <f>AVERAGEIF($A$4:$A$20,"I",K$4:K$20)</f>
        <v/>
      </c>
      <c r="M26">
        <f>AVERAGEIF($A$4:$A$20,"S",K$4:K$20)</f>
        <v/>
      </c>
      <c r="N26">
        <f>1+COUNTIF($J$26:$J$35,"&gt;"&amp;J26)</f>
        <v/>
      </c>
      <c r="O26">
        <f>'TOPSIS'!AC5</f>
        <v/>
      </c>
    </row>
    <row r="27">
      <c r="A27" t="inlineStr">
        <is>
          <t>Угорщина</t>
        </is>
      </c>
      <c r="B27">
        <f>AVERAGEIF($A$4:$A$20,"C",L$4:L$20)</f>
        <v/>
      </c>
      <c r="C27">
        <f>AVERAGEIF($A$4:$A$20,"L1",L$4:L$20)</f>
        <v/>
      </c>
      <c r="D27">
        <f>AVERAGEIF($A$4:$A$20,"L2",L$4:L$20)</f>
        <v/>
      </c>
      <c r="E27">
        <f>AVERAGEIF($A$4:$A$20,"L3",L$4:L$20)</f>
        <v/>
      </c>
      <c r="F27">
        <f>AVERAGEIF($A$4:$A$20,"L4",L$4:L$20)</f>
        <v/>
      </c>
      <c r="G27">
        <f>AVERAGE(B27:F27)</f>
        <v/>
      </c>
      <c r="H27">
        <f>MIN(B27:F27)</f>
        <v/>
      </c>
      <c r="I27">
        <f>1-alpha*MAX(0,delta-H27)</f>
        <v/>
      </c>
      <c r="J27">
        <f>G27*I27</f>
        <v/>
      </c>
      <c r="K27">
        <f>1+COUNTIF(bounds,"&lt;"&amp;ROUND(J27,12))</f>
        <v/>
      </c>
      <c r="L27">
        <f>AVERAGEIF($A$4:$A$20,"I",L$4:L$20)</f>
        <v/>
      </c>
      <c r="M27">
        <f>AVERAGEIF($A$4:$A$20,"S",L$4:L$20)</f>
        <v/>
      </c>
      <c r="N27">
        <f>1+COUNTIF($J$26:$J$35,"&gt;"&amp;J27)</f>
        <v/>
      </c>
      <c r="O27">
        <f>'TOPSIS'!AC6</f>
        <v/>
      </c>
    </row>
    <row r="28">
      <c r="A28" t="inlineStr">
        <is>
          <t>Румунія</t>
        </is>
      </c>
      <c r="B28">
        <f>AVERAGEIF($A$4:$A$20,"C",M$4:M$20)</f>
        <v/>
      </c>
      <c r="C28">
        <f>AVERAGEIF($A$4:$A$20,"L1",M$4:M$20)</f>
        <v/>
      </c>
      <c r="D28">
        <f>AVERAGEIF($A$4:$A$20,"L2",M$4:M$20)</f>
        <v/>
      </c>
      <c r="E28">
        <f>AVERAGEIF($A$4:$A$20,"L3",M$4:M$20)</f>
        <v/>
      </c>
      <c r="F28">
        <f>AVERAGEIF($A$4:$A$20,"L4",M$4:M$20)</f>
        <v/>
      </c>
      <c r="G28">
        <f>AVERAGE(B28:F28)</f>
        <v/>
      </c>
      <c r="H28">
        <f>MIN(B28:F28)</f>
        <v/>
      </c>
      <c r="I28">
        <f>1-alpha*MAX(0,delta-H28)</f>
        <v/>
      </c>
      <c r="J28">
        <f>G28*I28</f>
        <v/>
      </c>
      <c r="K28">
        <f>1+COUNTIF(bounds,"&lt;"&amp;ROUND(J28,12))</f>
        <v/>
      </c>
      <c r="L28">
        <f>AVERAGEIF($A$4:$A$20,"I",M$4:M$20)</f>
        <v/>
      </c>
      <c r="M28">
        <f>AVERAGEIF($A$4:$A$20,"S",M$4:M$20)</f>
        <v/>
      </c>
      <c r="N28">
        <f>1+COUNTIF($J$26:$J$35,"&gt;"&amp;J28)</f>
        <v/>
      </c>
      <c r="O28">
        <f>'TOPSIS'!AC7</f>
        <v/>
      </c>
    </row>
    <row r="29">
      <c r="A29" t="inlineStr">
        <is>
          <t>Чехія</t>
        </is>
      </c>
      <c r="B29">
        <f>AVERAGEIF($A$4:$A$20,"C",N$4:N$20)</f>
        <v/>
      </c>
      <c r="C29">
        <f>AVERAGEIF($A$4:$A$20,"L1",N$4:N$20)</f>
        <v/>
      </c>
      <c r="D29">
        <f>AVERAGEIF($A$4:$A$20,"L2",N$4:N$20)</f>
        <v/>
      </c>
      <c r="E29">
        <f>AVERAGEIF($A$4:$A$20,"L3",N$4:N$20)</f>
        <v/>
      </c>
      <c r="F29">
        <f>AVERAGEIF($A$4:$A$20,"L4",N$4:N$20)</f>
        <v/>
      </c>
      <c r="G29">
        <f>AVERAGE(B29:F29)</f>
        <v/>
      </c>
      <c r="H29">
        <f>MIN(B29:F29)</f>
        <v/>
      </c>
      <c r="I29">
        <f>1-alpha*MAX(0,delta-H29)</f>
        <v/>
      </c>
      <c r="J29">
        <f>G29*I29</f>
        <v/>
      </c>
      <c r="K29">
        <f>1+COUNTIF(bounds,"&lt;"&amp;ROUND(J29,12))</f>
        <v/>
      </c>
      <c r="L29">
        <f>AVERAGEIF($A$4:$A$20,"I",N$4:N$20)</f>
        <v/>
      </c>
      <c r="M29">
        <f>AVERAGEIF($A$4:$A$20,"S",N$4:N$20)</f>
        <v/>
      </c>
      <c r="N29">
        <f>1+COUNTIF($J$26:$J$35,"&gt;"&amp;J29)</f>
        <v/>
      </c>
      <c r="O29">
        <f>'TOPSIS'!AC8</f>
        <v/>
      </c>
    </row>
    <row r="30">
      <c r="A30" t="inlineStr">
        <is>
          <t>Словаччина</t>
        </is>
      </c>
      <c r="B30">
        <f>AVERAGEIF($A$4:$A$20,"C",O$4:O$20)</f>
        <v/>
      </c>
      <c r="C30">
        <f>AVERAGEIF($A$4:$A$20,"L1",O$4:O$20)</f>
        <v/>
      </c>
      <c r="D30">
        <f>AVERAGEIF($A$4:$A$20,"L2",O$4:O$20)</f>
        <v/>
      </c>
      <c r="E30">
        <f>AVERAGEIF($A$4:$A$20,"L3",O$4:O$20)</f>
        <v/>
      </c>
      <c r="F30">
        <f>AVERAGEIF($A$4:$A$20,"L4",O$4:O$20)</f>
        <v/>
      </c>
      <c r="G30">
        <f>AVERAGE(B30:F30)</f>
        <v/>
      </c>
      <c r="H30">
        <f>MIN(B30:F30)</f>
        <v/>
      </c>
      <c r="I30">
        <f>1-alpha*MAX(0,delta-H30)</f>
        <v/>
      </c>
      <c r="J30">
        <f>G30*I30</f>
        <v/>
      </c>
      <c r="K30">
        <f>1+COUNTIF(bounds,"&lt;"&amp;ROUND(J30,12))</f>
        <v/>
      </c>
      <c r="L30">
        <f>AVERAGEIF($A$4:$A$20,"I",O$4:O$20)</f>
        <v/>
      </c>
      <c r="M30">
        <f>AVERAGEIF($A$4:$A$20,"S",O$4:O$20)</f>
        <v/>
      </c>
      <c r="N30">
        <f>1+COUNTIF($J$26:$J$35,"&gt;"&amp;J30)</f>
        <v/>
      </c>
      <c r="O30">
        <f>'TOPSIS'!AC9</f>
        <v/>
      </c>
    </row>
    <row r="31">
      <c r="A31" t="inlineStr">
        <is>
          <t>Литва</t>
        </is>
      </c>
      <c r="B31">
        <f>AVERAGEIF($A$4:$A$20,"C",P$4:P$20)</f>
        <v/>
      </c>
      <c r="C31">
        <f>AVERAGEIF($A$4:$A$20,"L1",P$4:P$20)</f>
        <v/>
      </c>
      <c r="D31">
        <f>AVERAGEIF($A$4:$A$20,"L2",P$4:P$20)</f>
        <v/>
      </c>
      <c r="E31">
        <f>AVERAGEIF($A$4:$A$20,"L3",P$4:P$20)</f>
        <v/>
      </c>
      <c r="F31">
        <f>AVERAGEIF($A$4:$A$20,"L4",P$4:P$20)</f>
        <v/>
      </c>
      <c r="G31">
        <f>AVERAGE(B31:F31)</f>
        <v/>
      </c>
      <c r="H31">
        <f>MIN(B31:F31)</f>
        <v/>
      </c>
      <c r="I31">
        <f>1-alpha*MAX(0,delta-H31)</f>
        <v/>
      </c>
      <c r="J31">
        <f>G31*I31</f>
        <v/>
      </c>
      <c r="K31">
        <f>1+COUNTIF(bounds,"&lt;"&amp;ROUND(J31,12))</f>
        <v/>
      </c>
      <c r="L31">
        <f>AVERAGEIF($A$4:$A$20,"I",P$4:P$20)</f>
        <v/>
      </c>
      <c r="M31">
        <f>AVERAGEIF($A$4:$A$20,"S",P$4:P$20)</f>
        <v/>
      </c>
      <c r="N31">
        <f>1+COUNTIF($J$26:$J$35,"&gt;"&amp;J31)</f>
        <v/>
      </c>
      <c r="O31">
        <f>'TOPSIS'!AC10</f>
        <v/>
      </c>
    </row>
    <row r="32">
      <c r="A32" t="inlineStr">
        <is>
          <t>Латвія</t>
        </is>
      </c>
      <c r="B32">
        <f>AVERAGEIF($A$4:$A$20,"C",Q$4:Q$20)</f>
        <v/>
      </c>
      <c r="C32">
        <f>AVERAGEIF($A$4:$A$20,"L1",Q$4:Q$20)</f>
        <v/>
      </c>
      <c r="D32">
        <f>AVERAGEIF($A$4:$A$20,"L2",Q$4:Q$20)</f>
        <v/>
      </c>
      <c r="E32">
        <f>AVERAGEIF($A$4:$A$20,"L3",Q$4:Q$20)</f>
        <v/>
      </c>
      <c r="F32">
        <f>AVERAGEIF($A$4:$A$20,"L4",Q$4:Q$20)</f>
        <v/>
      </c>
      <c r="G32">
        <f>AVERAGE(B32:F32)</f>
        <v/>
      </c>
      <c r="H32">
        <f>MIN(B32:F32)</f>
        <v/>
      </c>
      <c r="I32">
        <f>1-alpha*MAX(0,delta-H32)</f>
        <v/>
      </c>
      <c r="J32">
        <f>G32*I32</f>
        <v/>
      </c>
      <c r="K32">
        <f>1+COUNTIF(bounds,"&lt;"&amp;ROUND(J32,12))</f>
        <v/>
      </c>
      <c r="L32">
        <f>AVERAGEIF($A$4:$A$20,"I",Q$4:Q$20)</f>
        <v/>
      </c>
      <c r="M32">
        <f>AVERAGEIF($A$4:$A$20,"S",Q$4:Q$20)</f>
        <v/>
      </c>
      <c r="N32">
        <f>1+COUNTIF($J$26:$J$35,"&gt;"&amp;J32)</f>
        <v/>
      </c>
      <c r="O32">
        <f>'TOPSIS'!AC11</f>
        <v/>
      </c>
    </row>
    <row r="33">
      <c r="A33" t="inlineStr">
        <is>
          <t>Естонія</t>
        </is>
      </c>
      <c r="B33">
        <f>AVERAGEIF($A$4:$A$20,"C",R$4:R$20)</f>
        <v/>
      </c>
      <c r="C33">
        <f>AVERAGEIF($A$4:$A$20,"L1",R$4:R$20)</f>
        <v/>
      </c>
      <c r="D33">
        <f>AVERAGEIF($A$4:$A$20,"L2",R$4:R$20)</f>
        <v/>
      </c>
      <c r="E33">
        <f>AVERAGEIF($A$4:$A$20,"L3",R$4:R$20)</f>
        <v/>
      </c>
      <c r="F33">
        <f>AVERAGEIF($A$4:$A$20,"L4",R$4:R$20)</f>
        <v/>
      </c>
      <c r="G33">
        <f>AVERAGE(B33:F33)</f>
        <v/>
      </c>
      <c r="H33">
        <f>MIN(B33:F33)</f>
        <v/>
      </c>
      <c r="I33">
        <f>1-alpha*MAX(0,delta-H33)</f>
        <v/>
      </c>
      <c r="J33">
        <f>G33*I33</f>
        <v/>
      </c>
      <c r="K33">
        <f>1+COUNTIF(bounds,"&lt;"&amp;ROUND(J33,12))</f>
        <v/>
      </c>
      <c r="L33">
        <f>AVERAGEIF($A$4:$A$20,"I",R$4:R$20)</f>
        <v/>
      </c>
      <c r="M33">
        <f>AVERAGEIF($A$4:$A$20,"S",R$4:R$20)</f>
        <v/>
      </c>
      <c r="N33">
        <f>1+COUNTIF($J$26:$J$35,"&gt;"&amp;J33)</f>
        <v/>
      </c>
      <c r="O33">
        <f>'TOPSIS'!AC12</f>
        <v/>
      </c>
    </row>
    <row r="34">
      <c r="A34" t="inlineStr">
        <is>
          <t>Болгарія</t>
        </is>
      </c>
      <c r="B34">
        <f>AVERAGEIF($A$4:$A$20,"C",S$4:S$20)</f>
        <v/>
      </c>
      <c r="C34">
        <f>AVERAGEIF($A$4:$A$20,"L1",S$4:S$20)</f>
        <v/>
      </c>
      <c r="D34">
        <f>AVERAGEIF($A$4:$A$20,"L2",S$4:S$20)</f>
        <v/>
      </c>
      <c r="E34">
        <f>AVERAGEIF($A$4:$A$20,"L3",S$4:S$20)</f>
        <v/>
      </c>
      <c r="F34">
        <f>AVERAGEIF($A$4:$A$20,"L4",S$4:S$20)</f>
        <v/>
      </c>
      <c r="G34">
        <f>AVERAGE(B34:F34)</f>
        <v/>
      </c>
      <c r="H34">
        <f>MIN(B34:F34)</f>
        <v/>
      </c>
      <c r="I34">
        <f>1-alpha*MAX(0,delta-H34)</f>
        <v/>
      </c>
      <c r="J34">
        <f>G34*I34</f>
        <v/>
      </c>
      <c r="K34">
        <f>1+COUNTIF(bounds,"&lt;"&amp;ROUND(J34,12))</f>
        <v/>
      </c>
      <c r="L34">
        <f>AVERAGEIF($A$4:$A$20,"I",S$4:S$20)</f>
        <v/>
      </c>
      <c r="M34">
        <f>AVERAGEIF($A$4:$A$20,"S",S$4:S$20)</f>
        <v/>
      </c>
      <c r="N34">
        <f>1+COUNTIF($J$26:$J$35,"&gt;"&amp;J34)</f>
        <v/>
      </c>
      <c r="O34">
        <f>'TOPSIS'!AC13</f>
        <v/>
      </c>
    </row>
    <row r="35">
      <c r="A35" t="inlineStr">
        <is>
          <t>Україна</t>
        </is>
      </c>
      <c r="B35">
        <f>AVERAGEIF($A$4:$A$20,"C",T$4:T$20)</f>
        <v/>
      </c>
      <c r="C35">
        <f>AVERAGEIF($A$4:$A$20,"L1",T$4:T$20)</f>
        <v/>
      </c>
      <c r="D35">
        <f>AVERAGEIF($A$4:$A$20,"L2",T$4:T$20)</f>
        <v/>
      </c>
      <c r="E35">
        <f>AVERAGEIF($A$4:$A$20,"L3",T$4:T$20)</f>
        <v/>
      </c>
      <c r="F35">
        <f>AVERAGEIF($A$4:$A$20,"L4",T$4:T$20)</f>
        <v/>
      </c>
      <c r="G35">
        <f>AVERAGE(B35:F35)</f>
        <v/>
      </c>
      <c r="H35">
        <f>MIN(B35:F35)</f>
        <v/>
      </c>
      <c r="I35">
        <f>1-alpha*MAX(0,delta-H35)</f>
        <v/>
      </c>
      <c r="J35">
        <f>G35*I35</f>
        <v/>
      </c>
      <c r="K35">
        <f>1+COUNTIF(bounds,"&lt;"&amp;ROUND(J35,12))</f>
        <v/>
      </c>
      <c r="L35">
        <f>AVERAGEIF($A$4:$A$20,"I",T$4:T$20)</f>
        <v/>
      </c>
      <c r="M35">
        <f>AVERAGEIF($A$4:$A$20,"S",T$4:T$20)</f>
        <v/>
      </c>
      <c r="N35">
        <f>1+COUNTIF($J$26:$J$35,"&gt;"&amp;J35)</f>
        <v/>
      </c>
      <c r="O35">
        <f>'TOPSIS'!AC14</f>
        <v/>
      </c>
    </row>
    <row r="37">
      <c r="A37" t="inlineStr">
        <is>
          <t>Відповідність твердженню анкети: пряма, прийнятна або проксі (додаткова таблиця S1).</t>
        </is>
      </c>
    </row>
    <row r="38">
      <c r="A38" t="inlineStr">
        <is>
          <t>Для деяких пар роки відрізняються (додаткова таблиця S1). ЄС-27 і Німеччина не входять до ранжування.</t>
        </is>
      </c>
    </row>
    <row r="39">
      <c r="A39" t="inlineStr">
        <is>
          <t>Строгий набір без слабких проксі та перевірку з вилученням по одному (додаткова таблиця S3) обчислює scripts/statistics_mode_local.py.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4" t="inlineStr">
        <is>
          <t>Ранжування TOPSIS десяти об'єктів таблиці 6 за тими самими п'ятьма шарами, ентропійні ваги</t>
        </is>
      </c>
    </row>
    <row r="3">
      <c r="B3" s="5" t="inlineStr">
        <is>
          <t>Оцінка шару</t>
        </is>
      </c>
      <c r="H3" s="5" t="inlineStr">
        <is>
          <t>Частка p = x / сума стовпця</t>
        </is>
      </c>
      <c r="N3" s="5" t="inlineStr">
        <is>
          <t>p * ln p</t>
        </is>
      </c>
      <c r="T3" s="5" t="inlineStr">
        <is>
          <t>Зважене нормоване v = w * x / sqrt(sum x^2)</t>
        </is>
      </c>
    </row>
    <row r="4">
      <c r="A4" s="5" t="inlineStr">
        <is>
          <t>Об'єкт</t>
        </is>
      </c>
      <c r="B4" s="5" t="inlineStr">
        <is>
          <t>C</t>
        </is>
      </c>
      <c r="C4" s="5" t="inlineStr">
        <is>
          <t>L1</t>
        </is>
      </c>
      <c r="D4" s="5" t="inlineStr">
        <is>
          <t>L2</t>
        </is>
      </c>
      <c r="E4" s="5" t="inlineStr">
        <is>
          <t>L3</t>
        </is>
      </c>
      <c r="F4" s="5" t="inlineStr">
        <is>
          <t>L4</t>
        </is>
      </c>
      <c r="H4" s="5" t="inlineStr">
        <is>
          <t>C</t>
        </is>
      </c>
      <c r="I4" s="5" t="inlineStr">
        <is>
          <t>L1</t>
        </is>
      </c>
      <c r="J4" s="5" t="inlineStr">
        <is>
          <t>L2</t>
        </is>
      </c>
      <c r="K4" s="5" t="inlineStr">
        <is>
          <t>L3</t>
        </is>
      </c>
      <c r="L4" s="5" t="inlineStr">
        <is>
          <t>L4</t>
        </is>
      </c>
      <c r="N4" s="5" t="inlineStr">
        <is>
          <t>C</t>
        </is>
      </c>
      <c r="O4" s="5" t="inlineStr">
        <is>
          <t>L1</t>
        </is>
      </c>
      <c r="P4" s="5" t="inlineStr">
        <is>
          <t>L2</t>
        </is>
      </c>
      <c r="Q4" s="5" t="inlineStr">
        <is>
          <t>L3</t>
        </is>
      </c>
      <c r="R4" s="5" t="inlineStr">
        <is>
          <t>L4</t>
        </is>
      </c>
      <c r="T4" s="5" t="inlineStr">
        <is>
          <t>C</t>
        </is>
      </c>
      <c r="U4" s="5" t="inlineStr">
        <is>
          <t>L1</t>
        </is>
      </c>
      <c r="V4" s="5" t="inlineStr">
        <is>
          <t>L2</t>
        </is>
      </c>
      <c r="W4" s="5" t="inlineStr">
        <is>
          <t>L3</t>
        </is>
      </c>
      <c r="X4" s="5" t="inlineStr">
        <is>
          <t>L4</t>
        </is>
      </c>
      <c r="Z4" s="5" t="inlineStr">
        <is>
          <t>S+ (до ідеалу)</t>
        </is>
      </c>
      <c r="AA4" s="5" t="inlineStr">
        <is>
          <t>S- (до антиідеалу)</t>
        </is>
      </c>
      <c r="AB4" s="5" t="inlineStr">
        <is>
          <t>Близькість</t>
        </is>
      </c>
      <c r="AC4" s="5" t="inlineStr">
        <is>
          <t>Ранг TOPSIS</t>
        </is>
      </c>
      <c r="AD4" s="5" t="inlineStr">
        <is>
          <t>Ранг ADMI</t>
        </is>
      </c>
      <c r="AE4" s="5" t="inlineStr">
        <is>
          <t>(різниця рангів)^2</t>
        </is>
      </c>
    </row>
    <row r="5">
      <c r="A5" t="inlineStr">
        <is>
          <t>Польща</t>
        </is>
      </c>
      <c r="B5">
        <f>'Статистичний_режим'!B26</f>
        <v/>
      </c>
      <c r="C5">
        <f>'Статистичний_режим'!C26</f>
        <v/>
      </c>
      <c r="D5">
        <f>'Статистичний_режим'!D26</f>
        <v/>
      </c>
      <c r="E5">
        <f>'Статистичний_режим'!E26</f>
        <v/>
      </c>
      <c r="F5">
        <f>'Статистичний_режим'!F26</f>
        <v/>
      </c>
      <c r="H5">
        <f>B5/SUM(B$5:B$14)</f>
        <v/>
      </c>
      <c r="I5">
        <f>C5/SUM(C$5:C$14)</f>
        <v/>
      </c>
      <c r="J5">
        <f>D5/SUM(D$5:D$14)</f>
        <v/>
      </c>
      <c r="K5">
        <f>E5/SUM(E$5:E$14)</f>
        <v/>
      </c>
      <c r="L5">
        <f>F5/SUM(F$5:F$14)</f>
        <v/>
      </c>
      <c r="N5">
        <f>IF(H5&gt;0,H5*LN(H5),0)</f>
        <v/>
      </c>
      <c r="O5">
        <f>IF(I5&gt;0,I5*LN(I5),0)</f>
        <v/>
      </c>
      <c r="P5">
        <f>IF(J5&gt;0,J5*LN(J5),0)</f>
        <v/>
      </c>
      <c r="Q5">
        <f>IF(K5&gt;0,K5*LN(K5),0)</f>
        <v/>
      </c>
      <c r="R5">
        <f>IF(L5&gt;0,L5*LN(L5),0)</f>
        <v/>
      </c>
      <c r="T5">
        <f>B$18*B5/SQRT(SUMPRODUCT(B$5:B$14,B$5:B$14))</f>
        <v/>
      </c>
      <c r="U5">
        <f>C$18*C5/SQRT(SUMPRODUCT(C$5:C$14,C$5:C$14))</f>
        <v/>
      </c>
      <c r="V5">
        <f>D$18*D5/SQRT(SUMPRODUCT(D$5:D$14,D$5:D$14))</f>
        <v/>
      </c>
      <c r="W5">
        <f>E$18*E5/SQRT(SUMPRODUCT(E$5:E$14,E$5:E$14))</f>
        <v/>
      </c>
      <c r="X5">
        <f>F$18*F5/SQRT(SUMPRODUCT(F$5:F$14,F$5:F$14))</f>
        <v/>
      </c>
      <c r="Z5">
        <f>SQRT((T5-T$19)^2+(U5-U$19)^2+(V5-V$19)^2+(W5-W$19)^2+(X5-X$19)^2)</f>
        <v/>
      </c>
      <c r="AA5">
        <f>SQRT((T5-T$20)^2+(U5-U$20)^2+(V5-V$20)^2+(W5-W$20)^2+(X5-X$20)^2)</f>
        <v/>
      </c>
      <c r="AB5">
        <f>AA5/(Z5+AA5)</f>
        <v/>
      </c>
      <c r="AC5">
        <f>1+COUNTIF($AB$5:$AB$14,"&gt;"&amp;AB5)</f>
        <v/>
      </c>
      <c r="AD5">
        <f>'Статистичний_режим'!N26</f>
        <v/>
      </c>
      <c r="AE5">
        <f>(AC5-AD5)^2</f>
        <v/>
      </c>
    </row>
    <row r="6">
      <c r="A6" t="inlineStr">
        <is>
          <t>Угорщина</t>
        </is>
      </c>
      <c r="B6">
        <f>'Статистичний_режим'!B27</f>
        <v/>
      </c>
      <c r="C6">
        <f>'Статистичний_режим'!C27</f>
        <v/>
      </c>
      <c r="D6">
        <f>'Статистичний_режим'!D27</f>
        <v/>
      </c>
      <c r="E6">
        <f>'Статистичний_режим'!E27</f>
        <v/>
      </c>
      <c r="F6">
        <f>'Статистичний_режим'!F27</f>
        <v/>
      </c>
      <c r="H6">
        <f>B6/SUM(B$5:B$14)</f>
        <v/>
      </c>
      <c r="I6">
        <f>C6/SUM(C$5:C$14)</f>
        <v/>
      </c>
      <c r="J6">
        <f>D6/SUM(D$5:D$14)</f>
        <v/>
      </c>
      <c r="K6">
        <f>E6/SUM(E$5:E$14)</f>
        <v/>
      </c>
      <c r="L6">
        <f>F6/SUM(F$5:F$14)</f>
        <v/>
      </c>
      <c r="N6">
        <f>IF(H6&gt;0,H6*LN(H6),0)</f>
        <v/>
      </c>
      <c r="O6">
        <f>IF(I6&gt;0,I6*LN(I6),0)</f>
        <v/>
      </c>
      <c r="P6">
        <f>IF(J6&gt;0,J6*LN(J6),0)</f>
        <v/>
      </c>
      <c r="Q6">
        <f>IF(K6&gt;0,K6*LN(K6),0)</f>
        <v/>
      </c>
      <c r="R6">
        <f>IF(L6&gt;0,L6*LN(L6),0)</f>
        <v/>
      </c>
      <c r="T6">
        <f>B$18*B6/SQRT(SUMPRODUCT(B$5:B$14,B$5:B$14))</f>
        <v/>
      </c>
      <c r="U6">
        <f>C$18*C6/SQRT(SUMPRODUCT(C$5:C$14,C$5:C$14))</f>
        <v/>
      </c>
      <c r="V6">
        <f>D$18*D6/SQRT(SUMPRODUCT(D$5:D$14,D$5:D$14))</f>
        <v/>
      </c>
      <c r="W6">
        <f>E$18*E6/SQRT(SUMPRODUCT(E$5:E$14,E$5:E$14))</f>
        <v/>
      </c>
      <c r="X6">
        <f>F$18*F6/SQRT(SUMPRODUCT(F$5:F$14,F$5:F$14))</f>
        <v/>
      </c>
      <c r="Z6">
        <f>SQRT((T6-T$19)^2+(U6-U$19)^2+(V6-V$19)^2+(W6-W$19)^2+(X6-X$19)^2)</f>
        <v/>
      </c>
      <c r="AA6">
        <f>SQRT((T6-T$20)^2+(U6-U$20)^2+(V6-V$20)^2+(W6-W$20)^2+(X6-X$20)^2)</f>
        <v/>
      </c>
      <c r="AB6">
        <f>AA6/(Z6+AA6)</f>
        <v/>
      </c>
      <c r="AC6">
        <f>1+COUNTIF($AB$5:$AB$14,"&gt;"&amp;AB6)</f>
        <v/>
      </c>
      <c r="AD6">
        <f>'Статистичний_режим'!N27</f>
        <v/>
      </c>
      <c r="AE6">
        <f>(AC6-AD6)^2</f>
        <v/>
      </c>
    </row>
    <row r="7">
      <c r="A7" t="inlineStr">
        <is>
          <t>Румунія</t>
        </is>
      </c>
      <c r="B7">
        <f>'Статистичний_режим'!B28</f>
        <v/>
      </c>
      <c r="C7">
        <f>'Статистичний_режим'!C28</f>
        <v/>
      </c>
      <c r="D7">
        <f>'Статистичний_режим'!D28</f>
        <v/>
      </c>
      <c r="E7">
        <f>'Статистичний_режим'!E28</f>
        <v/>
      </c>
      <c r="F7">
        <f>'Статистичний_режим'!F28</f>
        <v/>
      </c>
      <c r="H7">
        <f>B7/SUM(B$5:B$14)</f>
        <v/>
      </c>
      <c r="I7">
        <f>C7/SUM(C$5:C$14)</f>
        <v/>
      </c>
      <c r="J7">
        <f>D7/SUM(D$5:D$14)</f>
        <v/>
      </c>
      <c r="K7">
        <f>E7/SUM(E$5:E$14)</f>
        <v/>
      </c>
      <c r="L7">
        <f>F7/SUM(F$5:F$14)</f>
        <v/>
      </c>
      <c r="N7">
        <f>IF(H7&gt;0,H7*LN(H7),0)</f>
        <v/>
      </c>
      <c r="O7">
        <f>IF(I7&gt;0,I7*LN(I7),0)</f>
        <v/>
      </c>
      <c r="P7">
        <f>IF(J7&gt;0,J7*LN(J7),0)</f>
        <v/>
      </c>
      <c r="Q7">
        <f>IF(K7&gt;0,K7*LN(K7),0)</f>
        <v/>
      </c>
      <c r="R7">
        <f>IF(L7&gt;0,L7*LN(L7),0)</f>
        <v/>
      </c>
      <c r="T7">
        <f>B$18*B7/SQRT(SUMPRODUCT(B$5:B$14,B$5:B$14))</f>
        <v/>
      </c>
      <c r="U7">
        <f>C$18*C7/SQRT(SUMPRODUCT(C$5:C$14,C$5:C$14))</f>
        <v/>
      </c>
      <c r="V7">
        <f>D$18*D7/SQRT(SUMPRODUCT(D$5:D$14,D$5:D$14))</f>
        <v/>
      </c>
      <c r="W7">
        <f>E$18*E7/SQRT(SUMPRODUCT(E$5:E$14,E$5:E$14))</f>
        <v/>
      </c>
      <c r="X7">
        <f>F$18*F7/SQRT(SUMPRODUCT(F$5:F$14,F$5:F$14))</f>
        <v/>
      </c>
      <c r="Z7">
        <f>SQRT((T7-T$19)^2+(U7-U$19)^2+(V7-V$19)^2+(W7-W$19)^2+(X7-X$19)^2)</f>
        <v/>
      </c>
      <c r="AA7">
        <f>SQRT((T7-T$20)^2+(U7-U$20)^2+(V7-V$20)^2+(W7-W$20)^2+(X7-X$20)^2)</f>
        <v/>
      </c>
      <c r="AB7">
        <f>AA7/(Z7+AA7)</f>
        <v/>
      </c>
      <c r="AC7">
        <f>1+COUNTIF($AB$5:$AB$14,"&gt;"&amp;AB7)</f>
        <v/>
      </c>
      <c r="AD7">
        <f>'Статистичний_режим'!N28</f>
        <v/>
      </c>
      <c r="AE7">
        <f>(AC7-AD7)^2</f>
        <v/>
      </c>
    </row>
    <row r="8">
      <c r="A8" t="inlineStr">
        <is>
          <t>Чехія</t>
        </is>
      </c>
      <c r="B8">
        <f>'Статистичний_режим'!B29</f>
        <v/>
      </c>
      <c r="C8">
        <f>'Статистичний_режим'!C29</f>
        <v/>
      </c>
      <c r="D8">
        <f>'Статистичний_режим'!D29</f>
        <v/>
      </c>
      <c r="E8">
        <f>'Статистичний_режим'!E29</f>
        <v/>
      </c>
      <c r="F8">
        <f>'Статистичний_режим'!F29</f>
        <v/>
      </c>
      <c r="H8">
        <f>B8/SUM(B$5:B$14)</f>
        <v/>
      </c>
      <c r="I8">
        <f>C8/SUM(C$5:C$14)</f>
        <v/>
      </c>
      <c r="J8">
        <f>D8/SUM(D$5:D$14)</f>
        <v/>
      </c>
      <c r="K8">
        <f>E8/SUM(E$5:E$14)</f>
        <v/>
      </c>
      <c r="L8">
        <f>F8/SUM(F$5:F$14)</f>
        <v/>
      </c>
      <c r="N8">
        <f>IF(H8&gt;0,H8*LN(H8),0)</f>
        <v/>
      </c>
      <c r="O8">
        <f>IF(I8&gt;0,I8*LN(I8),0)</f>
        <v/>
      </c>
      <c r="P8">
        <f>IF(J8&gt;0,J8*LN(J8),0)</f>
        <v/>
      </c>
      <c r="Q8">
        <f>IF(K8&gt;0,K8*LN(K8),0)</f>
        <v/>
      </c>
      <c r="R8">
        <f>IF(L8&gt;0,L8*LN(L8),0)</f>
        <v/>
      </c>
      <c r="T8">
        <f>B$18*B8/SQRT(SUMPRODUCT(B$5:B$14,B$5:B$14))</f>
        <v/>
      </c>
      <c r="U8">
        <f>C$18*C8/SQRT(SUMPRODUCT(C$5:C$14,C$5:C$14))</f>
        <v/>
      </c>
      <c r="V8">
        <f>D$18*D8/SQRT(SUMPRODUCT(D$5:D$14,D$5:D$14))</f>
        <v/>
      </c>
      <c r="W8">
        <f>E$18*E8/SQRT(SUMPRODUCT(E$5:E$14,E$5:E$14))</f>
        <v/>
      </c>
      <c r="X8">
        <f>F$18*F8/SQRT(SUMPRODUCT(F$5:F$14,F$5:F$14))</f>
        <v/>
      </c>
      <c r="Z8">
        <f>SQRT((T8-T$19)^2+(U8-U$19)^2+(V8-V$19)^2+(W8-W$19)^2+(X8-X$19)^2)</f>
        <v/>
      </c>
      <c r="AA8">
        <f>SQRT((T8-T$20)^2+(U8-U$20)^2+(V8-V$20)^2+(W8-W$20)^2+(X8-X$20)^2)</f>
        <v/>
      </c>
      <c r="AB8">
        <f>AA8/(Z8+AA8)</f>
        <v/>
      </c>
      <c r="AC8">
        <f>1+COUNTIF($AB$5:$AB$14,"&gt;"&amp;AB8)</f>
        <v/>
      </c>
      <c r="AD8">
        <f>'Статистичний_режим'!N29</f>
        <v/>
      </c>
      <c r="AE8">
        <f>(AC8-AD8)^2</f>
        <v/>
      </c>
    </row>
    <row r="9">
      <c r="A9" t="inlineStr">
        <is>
          <t>Словаччина</t>
        </is>
      </c>
      <c r="B9">
        <f>'Статистичний_режим'!B30</f>
        <v/>
      </c>
      <c r="C9">
        <f>'Статистичний_режим'!C30</f>
        <v/>
      </c>
      <c r="D9">
        <f>'Статистичний_режим'!D30</f>
        <v/>
      </c>
      <c r="E9">
        <f>'Статистичний_режим'!E30</f>
        <v/>
      </c>
      <c r="F9">
        <f>'Статистичний_режим'!F30</f>
        <v/>
      </c>
      <c r="H9">
        <f>B9/SUM(B$5:B$14)</f>
        <v/>
      </c>
      <c r="I9">
        <f>C9/SUM(C$5:C$14)</f>
        <v/>
      </c>
      <c r="J9">
        <f>D9/SUM(D$5:D$14)</f>
        <v/>
      </c>
      <c r="K9">
        <f>E9/SUM(E$5:E$14)</f>
        <v/>
      </c>
      <c r="L9">
        <f>F9/SUM(F$5:F$14)</f>
        <v/>
      </c>
      <c r="N9">
        <f>IF(H9&gt;0,H9*LN(H9),0)</f>
        <v/>
      </c>
      <c r="O9">
        <f>IF(I9&gt;0,I9*LN(I9),0)</f>
        <v/>
      </c>
      <c r="P9">
        <f>IF(J9&gt;0,J9*LN(J9),0)</f>
        <v/>
      </c>
      <c r="Q9">
        <f>IF(K9&gt;0,K9*LN(K9),0)</f>
        <v/>
      </c>
      <c r="R9">
        <f>IF(L9&gt;0,L9*LN(L9),0)</f>
        <v/>
      </c>
      <c r="T9">
        <f>B$18*B9/SQRT(SUMPRODUCT(B$5:B$14,B$5:B$14))</f>
        <v/>
      </c>
      <c r="U9">
        <f>C$18*C9/SQRT(SUMPRODUCT(C$5:C$14,C$5:C$14))</f>
        <v/>
      </c>
      <c r="V9">
        <f>D$18*D9/SQRT(SUMPRODUCT(D$5:D$14,D$5:D$14))</f>
        <v/>
      </c>
      <c r="W9">
        <f>E$18*E9/SQRT(SUMPRODUCT(E$5:E$14,E$5:E$14))</f>
        <v/>
      </c>
      <c r="X9">
        <f>F$18*F9/SQRT(SUMPRODUCT(F$5:F$14,F$5:F$14))</f>
        <v/>
      </c>
      <c r="Z9">
        <f>SQRT((T9-T$19)^2+(U9-U$19)^2+(V9-V$19)^2+(W9-W$19)^2+(X9-X$19)^2)</f>
        <v/>
      </c>
      <c r="AA9">
        <f>SQRT((T9-T$20)^2+(U9-U$20)^2+(V9-V$20)^2+(W9-W$20)^2+(X9-X$20)^2)</f>
        <v/>
      </c>
      <c r="AB9">
        <f>AA9/(Z9+AA9)</f>
        <v/>
      </c>
      <c r="AC9">
        <f>1+COUNTIF($AB$5:$AB$14,"&gt;"&amp;AB9)</f>
        <v/>
      </c>
      <c r="AD9">
        <f>'Статистичний_режим'!N30</f>
        <v/>
      </c>
      <c r="AE9">
        <f>(AC9-AD9)^2</f>
        <v/>
      </c>
    </row>
    <row r="10">
      <c r="A10" t="inlineStr">
        <is>
          <t>Литва</t>
        </is>
      </c>
      <c r="B10">
        <f>'Статистичний_режим'!B31</f>
        <v/>
      </c>
      <c r="C10">
        <f>'Статистичний_режим'!C31</f>
        <v/>
      </c>
      <c r="D10">
        <f>'Статистичний_режим'!D31</f>
        <v/>
      </c>
      <c r="E10">
        <f>'Статистичний_режим'!E31</f>
        <v/>
      </c>
      <c r="F10">
        <f>'Статистичний_режим'!F31</f>
        <v/>
      </c>
      <c r="H10">
        <f>B10/SUM(B$5:B$14)</f>
        <v/>
      </c>
      <c r="I10">
        <f>C10/SUM(C$5:C$14)</f>
        <v/>
      </c>
      <c r="J10">
        <f>D10/SUM(D$5:D$14)</f>
        <v/>
      </c>
      <c r="K10">
        <f>E10/SUM(E$5:E$14)</f>
        <v/>
      </c>
      <c r="L10">
        <f>F10/SUM(F$5:F$14)</f>
        <v/>
      </c>
      <c r="N10">
        <f>IF(H10&gt;0,H10*LN(H10),0)</f>
        <v/>
      </c>
      <c r="O10">
        <f>IF(I10&gt;0,I10*LN(I10),0)</f>
        <v/>
      </c>
      <c r="P10">
        <f>IF(J10&gt;0,J10*LN(J10),0)</f>
        <v/>
      </c>
      <c r="Q10">
        <f>IF(K10&gt;0,K10*LN(K10),0)</f>
        <v/>
      </c>
      <c r="R10">
        <f>IF(L10&gt;0,L10*LN(L10),0)</f>
        <v/>
      </c>
      <c r="T10">
        <f>B$18*B10/SQRT(SUMPRODUCT(B$5:B$14,B$5:B$14))</f>
        <v/>
      </c>
      <c r="U10">
        <f>C$18*C10/SQRT(SUMPRODUCT(C$5:C$14,C$5:C$14))</f>
        <v/>
      </c>
      <c r="V10">
        <f>D$18*D10/SQRT(SUMPRODUCT(D$5:D$14,D$5:D$14))</f>
        <v/>
      </c>
      <c r="W10">
        <f>E$18*E10/SQRT(SUMPRODUCT(E$5:E$14,E$5:E$14))</f>
        <v/>
      </c>
      <c r="X10">
        <f>F$18*F10/SQRT(SUMPRODUCT(F$5:F$14,F$5:F$14))</f>
        <v/>
      </c>
      <c r="Z10">
        <f>SQRT((T10-T$19)^2+(U10-U$19)^2+(V10-V$19)^2+(W10-W$19)^2+(X10-X$19)^2)</f>
        <v/>
      </c>
      <c r="AA10">
        <f>SQRT((T10-T$20)^2+(U10-U$20)^2+(V10-V$20)^2+(W10-W$20)^2+(X10-X$20)^2)</f>
        <v/>
      </c>
      <c r="AB10">
        <f>AA10/(Z10+AA10)</f>
        <v/>
      </c>
      <c r="AC10">
        <f>1+COUNTIF($AB$5:$AB$14,"&gt;"&amp;AB10)</f>
        <v/>
      </c>
      <c r="AD10">
        <f>'Статистичний_режим'!N31</f>
        <v/>
      </c>
      <c r="AE10">
        <f>(AC10-AD10)^2</f>
        <v/>
      </c>
    </row>
    <row r="11">
      <c r="A11" t="inlineStr">
        <is>
          <t>Латвія</t>
        </is>
      </c>
      <c r="B11">
        <f>'Статистичний_режим'!B32</f>
        <v/>
      </c>
      <c r="C11">
        <f>'Статистичний_режим'!C32</f>
        <v/>
      </c>
      <c r="D11">
        <f>'Статистичний_режим'!D32</f>
        <v/>
      </c>
      <c r="E11">
        <f>'Статистичний_режим'!E32</f>
        <v/>
      </c>
      <c r="F11">
        <f>'Статистичний_режим'!F32</f>
        <v/>
      </c>
      <c r="H11">
        <f>B11/SUM(B$5:B$14)</f>
        <v/>
      </c>
      <c r="I11">
        <f>C11/SUM(C$5:C$14)</f>
        <v/>
      </c>
      <c r="J11">
        <f>D11/SUM(D$5:D$14)</f>
        <v/>
      </c>
      <c r="K11">
        <f>E11/SUM(E$5:E$14)</f>
        <v/>
      </c>
      <c r="L11">
        <f>F11/SUM(F$5:F$14)</f>
        <v/>
      </c>
      <c r="N11">
        <f>IF(H11&gt;0,H11*LN(H11),0)</f>
        <v/>
      </c>
      <c r="O11">
        <f>IF(I11&gt;0,I11*LN(I11),0)</f>
        <v/>
      </c>
      <c r="P11">
        <f>IF(J11&gt;0,J11*LN(J11),0)</f>
        <v/>
      </c>
      <c r="Q11">
        <f>IF(K11&gt;0,K11*LN(K11),0)</f>
        <v/>
      </c>
      <c r="R11">
        <f>IF(L11&gt;0,L11*LN(L11),0)</f>
        <v/>
      </c>
      <c r="T11">
        <f>B$18*B11/SQRT(SUMPRODUCT(B$5:B$14,B$5:B$14))</f>
        <v/>
      </c>
      <c r="U11">
        <f>C$18*C11/SQRT(SUMPRODUCT(C$5:C$14,C$5:C$14))</f>
        <v/>
      </c>
      <c r="V11">
        <f>D$18*D11/SQRT(SUMPRODUCT(D$5:D$14,D$5:D$14))</f>
        <v/>
      </c>
      <c r="W11">
        <f>E$18*E11/SQRT(SUMPRODUCT(E$5:E$14,E$5:E$14))</f>
        <v/>
      </c>
      <c r="X11">
        <f>F$18*F11/SQRT(SUMPRODUCT(F$5:F$14,F$5:F$14))</f>
        <v/>
      </c>
      <c r="Z11">
        <f>SQRT((T11-T$19)^2+(U11-U$19)^2+(V11-V$19)^2+(W11-W$19)^2+(X11-X$19)^2)</f>
        <v/>
      </c>
      <c r="AA11">
        <f>SQRT((T11-T$20)^2+(U11-U$20)^2+(V11-V$20)^2+(W11-W$20)^2+(X11-X$20)^2)</f>
        <v/>
      </c>
      <c r="AB11">
        <f>AA11/(Z11+AA11)</f>
        <v/>
      </c>
      <c r="AC11">
        <f>1+COUNTIF($AB$5:$AB$14,"&gt;"&amp;AB11)</f>
        <v/>
      </c>
      <c r="AD11">
        <f>'Статистичний_режим'!N32</f>
        <v/>
      </c>
      <c r="AE11">
        <f>(AC11-AD11)^2</f>
        <v/>
      </c>
    </row>
    <row r="12">
      <c r="A12" t="inlineStr">
        <is>
          <t>Естонія</t>
        </is>
      </c>
      <c r="B12">
        <f>'Статистичний_режим'!B33</f>
        <v/>
      </c>
      <c r="C12">
        <f>'Статистичний_режим'!C33</f>
        <v/>
      </c>
      <c r="D12">
        <f>'Статистичний_режим'!D33</f>
        <v/>
      </c>
      <c r="E12">
        <f>'Статистичний_режим'!E33</f>
        <v/>
      </c>
      <c r="F12">
        <f>'Статистичний_режим'!F33</f>
        <v/>
      </c>
      <c r="H12">
        <f>B12/SUM(B$5:B$14)</f>
        <v/>
      </c>
      <c r="I12">
        <f>C12/SUM(C$5:C$14)</f>
        <v/>
      </c>
      <c r="J12">
        <f>D12/SUM(D$5:D$14)</f>
        <v/>
      </c>
      <c r="K12">
        <f>E12/SUM(E$5:E$14)</f>
        <v/>
      </c>
      <c r="L12">
        <f>F12/SUM(F$5:F$14)</f>
        <v/>
      </c>
      <c r="N12">
        <f>IF(H12&gt;0,H12*LN(H12),0)</f>
        <v/>
      </c>
      <c r="O12">
        <f>IF(I12&gt;0,I12*LN(I12),0)</f>
        <v/>
      </c>
      <c r="P12">
        <f>IF(J12&gt;0,J12*LN(J12),0)</f>
        <v/>
      </c>
      <c r="Q12">
        <f>IF(K12&gt;0,K12*LN(K12),0)</f>
        <v/>
      </c>
      <c r="R12">
        <f>IF(L12&gt;0,L12*LN(L12),0)</f>
        <v/>
      </c>
      <c r="T12">
        <f>B$18*B12/SQRT(SUMPRODUCT(B$5:B$14,B$5:B$14))</f>
        <v/>
      </c>
      <c r="U12">
        <f>C$18*C12/SQRT(SUMPRODUCT(C$5:C$14,C$5:C$14))</f>
        <v/>
      </c>
      <c r="V12">
        <f>D$18*D12/SQRT(SUMPRODUCT(D$5:D$14,D$5:D$14))</f>
        <v/>
      </c>
      <c r="W12">
        <f>E$18*E12/SQRT(SUMPRODUCT(E$5:E$14,E$5:E$14))</f>
        <v/>
      </c>
      <c r="X12">
        <f>F$18*F12/SQRT(SUMPRODUCT(F$5:F$14,F$5:F$14))</f>
        <v/>
      </c>
      <c r="Z12">
        <f>SQRT((T12-T$19)^2+(U12-U$19)^2+(V12-V$19)^2+(W12-W$19)^2+(X12-X$19)^2)</f>
        <v/>
      </c>
      <c r="AA12">
        <f>SQRT((T12-T$20)^2+(U12-U$20)^2+(V12-V$20)^2+(W12-W$20)^2+(X12-X$20)^2)</f>
        <v/>
      </c>
      <c r="AB12">
        <f>AA12/(Z12+AA12)</f>
        <v/>
      </c>
      <c r="AC12">
        <f>1+COUNTIF($AB$5:$AB$14,"&gt;"&amp;AB12)</f>
        <v/>
      </c>
      <c r="AD12">
        <f>'Статистичний_режим'!N33</f>
        <v/>
      </c>
      <c r="AE12">
        <f>(AC12-AD12)^2</f>
        <v/>
      </c>
    </row>
    <row r="13">
      <c r="A13" t="inlineStr">
        <is>
          <t>Болгарія</t>
        </is>
      </c>
      <c r="B13">
        <f>'Статистичний_режим'!B34</f>
        <v/>
      </c>
      <c r="C13">
        <f>'Статистичний_режим'!C34</f>
        <v/>
      </c>
      <c r="D13">
        <f>'Статистичний_режим'!D34</f>
        <v/>
      </c>
      <c r="E13">
        <f>'Статистичний_режим'!E34</f>
        <v/>
      </c>
      <c r="F13">
        <f>'Статистичний_режим'!F34</f>
        <v/>
      </c>
      <c r="H13">
        <f>B13/SUM(B$5:B$14)</f>
        <v/>
      </c>
      <c r="I13">
        <f>C13/SUM(C$5:C$14)</f>
        <v/>
      </c>
      <c r="J13">
        <f>D13/SUM(D$5:D$14)</f>
        <v/>
      </c>
      <c r="K13">
        <f>E13/SUM(E$5:E$14)</f>
        <v/>
      </c>
      <c r="L13">
        <f>F13/SUM(F$5:F$14)</f>
        <v/>
      </c>
      <c r="N13">
        <f>IF(H13&gt;0,H13*LN(H13),0)</f>
        <v/>
      </c>
      <c r="O13">
        <f>IF(I13&gt;0,I13*LN(I13),0)</f>
        <v/>
      </c>
      <c r="P13">
        <f>IF(J13&gt;0,J13*LN(J13),0)</f>
        <v/>
      </c>
      <c r="Q13">
        <f>IF(K13&gt;0,K13*LN(K13),0)</f>
        <v/>
      </c>
      <c r="R13">
        <f>IF(L13&gt;0,L13*LN(L13),0)</f>
        <v/>
      </c>
      <c r="T13">
        <f>B$18*B13/SQRT(SUMPRODUCT(B$5:B$14,B$5:B$14))</f>
        <v/>
      </c>
      <c r="U13">
        <f>C$18*C13/SQRT(SUMPRODUCT(C$5:C$14,C$5:C$14))</f>
        <v/>
      </c>
      <c r="V13">
        <f>D$18*D13/SQRT(SUMPRODUCT(D$5:D$14,D$5:D$14))</f>
        <v/>
      </c>
      <c r="W13">
        <f>E$18*E13/SQRT(SUMPRODUCT(E$5:E$14,E$5:E$14))</f>
        <v/>
      </c>
      <c r="X13">
        <f>F$18*F13/SQRT(SUMPRODUCT(F$5:F$14,F$5:F$14))</f>
        <v/>
      </c>
      <c r="Z13">
        <f>SQRT((T13-T$19)^2+(U13-U$19)^2+(V13-V$19)^2+(W13-W$19)^2+(X13-X$19)^2)</f>
        <v/>
      </c>
      <c r="AA13">
        <f>SQRT((T13-T$20)^2+(U13-U$20)^2+(V13-V$20)^2+(W13-W$20)^2+(X13-X$20)^2)</f>
        <v/>
      </c>
      <c r="AB13">
        <f>AA13/(Z13+AA13)</f>
        <v/>
      </c>
      <c r="AC13">
        <f>1+COUNTIF($AB$5:$AB$14,"&gt;"&amp;AB13)</f>
        <v/>
      </c>
      <c r="AD13">
        <f>'Статистичний_режим'!N34</f>
        <v/>
      </c>
      <c r="AE13">
        <f>(AC13-AD13)^2</f>
        <v/>
      </c>
    </row>
    <row r="14">
      <c r="A14" t="inlineStr">
        <is>
          <t>Україна</t>
        </is>
      </c>
      <c r="B14">
        <f>'Статистичний_режим'!B35</f>
        <v/>
      </c>
      <c r="C14">
        <f>'Статистичний_режим'!C35</f>
        <v/>
      </c>
      <c r="D14">
        <f>'Статистичний_режим'!D35</f>
        <v/>
      </c>
      <c r="E14">
        <f>'Статистичний_режим'!E35</f>
        <v/>
      </c>
      <c r="F14">
        <f>'Статистичний_режим'!F35</f>
        <v/>
      </c>
      <c r="H14">
        <f>B14/SUM(B$5:B$14)</f>
        <v/>
      </c>
      <c r="I14">
        <f>C14/SUM(C$5:C$14)</f>
        <v/>
      </c>
      <c r="J14">
        <f>D14/SUM(D$5:D$14)</f>
        <v/>
      </c>
      <c r="K14">
        <f>E14/SUM(E$5:E$14)</f>
        <v/>
      </c>
      <c r="L14">
        <f>F14/SUM(F$5:F$14)</f>
        <v/>
      </c>
      <c r="N14">
        <f>IF(H14&gt;0,H14*LN(H14),0)</f>
        <v/>
      </c>
      <c r="O14">
        <f>IF(I14&gt;0,I14*LN(I14),0)</f>
        <v/>
      </c>
      <c r="P14">
        <f>IF(J14&gt;0,J14*LN(J14),0)</f>
        <v/>
      </c>
      <c r="Q14">
        <f>IF(K14&gt;0,K14*LN(K14),0)</f>
        <v/>
      </c>
      <c r="R14">
        <f>IF(L14&gt;0,L14*LN(L14),0)</f>
        <v/>
      </c>
      <c r="T14">
        <f>B$18*B14/SQRT(SUMPRODUCT(B$5:B$14,B$5:B$14))</f>
        <v/>
      </c>
      <c r="U14">
        <f>C$18*C14/SQRT(SUMPRODUCT(C$5:C$14,C$5:C$14))</f>
        <v/>
      </c>
      <c r="V14">
        <f>D$18*D14/SQRT(SUMPRODUCT(D$5:D$14,D$5:D$14))</f>
        <v/>
      </c>
      <c r="W14">
        <f>E$18*E14/SQRT(SUMPRODUCT(E$5:E$14,E$5:E$14))</f>
        <v/>
      </c>
      <c r="X14">
        <f>F$18*F14/SQRT(SUMPRODUCT(F$5:F$14,F$5:F$14))</f>
        <v/>
      </c>
      <c r="Z14">
        <f>SQRT((T14-T$19)^2+(U14-U$19)^2+(V14-V$19)^2+(W14-W$19)^2+(X14-X$19)^2)</f>
        <v/>
      </c>
      <c r="AA14">
        <f>SQRT((T14-T$20)^2+(U14-U$20)^2+(V14-V$20)^2+(W14-W$20)^2+(X14-X$20)^2)</f>
        <v/>
      </c>
      <c r="AB14">
        <f>AA14/(Z14+AA14)</f>
        <v/>
      </c>
      <c r="AC14">
        <f>1+COUNTIF($AB$5:$AB$14,"&gt;"&amp;AB14)</f>
        <v/>
      </c>
      <c r="AD14">
        <f>'Статистичний_режим'!N35</f>
        <v/>
      </c>
      <c r="AE14">
        <f>(AC14-AD14)^2</f>
        <v/>
      </c>
    </row>
    <row r="16">
      <c r="A16" s="5" t="inlineStr">
        <is>
          <t>Ентропія e</t>
        </is>
      </c>
      <c r="B16">
        <f>-SUM(N5:N14)/LN(10)</f>
        <v/>
      </c>
      <c r="C16">
        <f>-SUM(O5:O14)/LN(10)</f>
        <v/>
      </c>
      <c r="D16">
        <f>-SUM(P5:P14)/LN(10)</f>
        <v/>
      </c>
      <c r="E16">
        <f>-SUM(Q5:Q14)/LN(10)</f>
        <v/>
      </c>
      <c r="F16">
        <f>-SUM(R5:R14)/LN(10)</f>
        <v/>
      </c>
    </row>
    <row r="17">
      <c r="A17" s="5" t="inlineStr">
        <is>
          <t>Розбіжність 1 - e</t>
        </is>
      </c>
      <c r="B17">
        <f>1-B16</f>
        <v/>
      </c>
      <c r="C17">
        <f>1-C16</f>
        <v/>
      </c>
      <c r="D17">
        <f>1-D16</f>
        <v/>
      </c>
      <c r="E17">
        <f>1-E16</f>
        <v/>
      </c>
      <c r="F17">
        <f>1-F16</f>
        <v/>
      </c>
    </row>
    <row r="18">
      <c r="A18" s="5" t="inlineStr">
        <is>
          <t>Ентропійна вага w</t>
        </is>
      </c>
      <c r="B18">
        <f>B17/SUM($B$17:$F$17)</f>
        <v/>
      </c>
      <c r="C18">
        <f>C17/SUM($B$17:$F$17)</f>
        <v/>
      </c>
      <c r="D18">
        <f>D17/SUM($B$17:$F$17)</f>
        <v/>
      </c>
      <c r="E18">
        <f>E17/SUM($B$17:$F$17)</f>
        <v/>
      </c>
      <c r="F18">
        <f>F17/SUM($B$17:$F$17)</f>
        <v/>
      </c>
    </row>
    <row r="19">
      <c r="A19" s="5" t="inlineStr">
        <is>
          <t>Ідеал (max v)</t>
        </is>
      </c>
      <c r="T19">
        <f>MAX(T5:T14)</f>
        <v/>
      </c>
      <c r="U19">
        <f>MAX(U5:U14)</f>
        <v/>
      </c>
      <c r="V19">
        <f>MAX(V5:V14)</f>
        <v/>
      </c>
      <c r="W19">
        <f>MAX(W5:W14)</f>
        <v/>
      </c>
      <c r="X19">
        <f>MAX(X5:X14)</f>
        <v/>
      </c>
    </row>
    <row r="20">
      <c r="A20" s="5" t="inlineStr">
        <is>
          <t>Антиідеал (min v)</t>
        </is>
      </c>
      <c r="T20">
        <f>MIN(T5:T14)</f>
        <v/>
      </c>
      <c r="U20">
        <f>MIN(U5:U14)</f>
        <v/>
      </c>
      <c r="V20">
        <f>MIN(V5:V14)</f>
        <v/>
      </c>
      <c r="W20">
        <f>MIN(W5:W14)</f>
        <v/>
      </c>
      <c r="X20">
        <f>MIN(X5:X14)</f>
        <v/>
      </c>
    </row>
    <row r="22">
      <c r="A22" s="5" t="inlineStr">
        <is>
          <t>Рангова кореляція Спірмена ADMI - TOPSIS</t>
        </is>
      </c>
      <c r="B22">
        <f>1-6*SUM(AE5:AE14)/(10*(10^2-1))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4" t="inlineStr">
        <is>
          <t>Євростат, використання ІКТ на підприємствах: NACE C10-C12, підприємства з 10+ зайнятими, % підприємств</t>
        </is>
      </c>
    </row>
    <row r="2">
      <c r="A2" s="5" t="inlineStr">
        <is>
          <t>Показник</t>
        </is>
      </c>
      <c r="B2" s="5" t="inlineStr">
        <is>
          <t>ERP (E_ERP1)</t>
        </is>
      </c>
      <c r="C2" s="5" t="inlineStr">
        <is>
          <t>IOT_PRODUCTION (E_IOTDPP)</t>
        </is>
      </c>
      <c r="D2" s="5" t="inlineStr">
        <is>
          <t>ICT_SECURITY_DOCUMENT (E_SECPOL2)</t>
        </is>
      </c>
      <c r="E2" s="5" t="inlineStr">
        <is>
          <t>ICT_TRAINING_ICT_SPECIALISTS (E_ITSPT2)</t>
        </is>
      </c>
      <c r="F2" s="5" t="inlineStr">
        <is>
          <t>ICT_TRAINING_OTHER_EMPLOYEES (E_ITUST2)</t>
        </is>
      </c>
      <c r="G2" s="5" t="inlineStr">
        <is>
          <t>SUPPLY_CHAIN_DATA_EXCHANGE (E_SISC)</t>
        </is>
      </c>
      <c r="H2" s="5" t="inlineStr">
        <is>
          <t>DATA_ANALYTICS (E_DA)</t>
        </is>
      </c>
      <c r="I2" s="5" t="inlineStr">
        <is>
          <t>IOT_ANY (E_IOT1)</t>
        </is>
      </c>
      <c r="J2" s="5" t="inlineStr">
        <is>
          <t>MOBILE_INTERNET (E_EMPMD2_GT0)</t>
        </is>
      </c>
      <c r="K2" s="5" t="inlineStr">
        <is>
          <t>PAID_CLOUD (E_CC)</t>
        </is>
      </c>
      <c r="L2" s="5" t="inlineStr">
        <is>
          <t>ECOMMERCE_SALES (E_AESELL)</t>
        </is>
      </c>
      <c r="M2" s="5" t="inlineStr">
        <is>
          <t>WEBSITE (E_WEB)</t>
        </is>
      </c>
      <c r="N2" s="5" t="inlineStr">
        <is>
          <t>CRM (E_CRM1)</t>
        </is>
      </c>
      <c r="O2" s="5" t="inlineStr">
        <is>
          <t>EINVOICE_AUTOMATED (E_INV4S_AP)</t>
        </is>
      </c>
      <c r="P2" s="5" t="inlineStr">
        <is>
          <t>BI (E_ITBI)</t>
        </is>
      </c>
      <c r="Q2" s="5" t="inlineStr">
        <is>
          <t>AI_ANY (E_AI_TANY)</t>
        </is>
      </c>
      <c r="R2" s="5" t="inlineStr">
        <is>
          <t>DII_BASIC_V3 (E_DI3_GELO)</t>
        </is>
      </c>
    </row>
    <row r="3">
      <c r="A3" s="5" t="inlineStr">
        <is>
          <t>Твердження</t>
        </is>
      </c>
      <c r="B3" t="n">
        <v>1</v>
      </c>
      <c r="C3" t="n">
        <v>2</v>
      </c>
      <c r="D3" t="n">
        <v>3</v>
      </c>
      <c r="E3" t="n">
        <v>5</v>
      </c>
      <c r="F3" t="n">
        <v>5</v>
      </c>
      <c r="G3" t="n">
        <v>7</v>
      </c>
      <c r="H3" t="n">
        <v>8</v>
      </c>
      <c r="I3" t="n">
        <v>9</v>
      </c>
      <c r="J3" t="n">
        <v>10</v>
      </c>
      <c r="K3" t="n">
        <v>11</v>
      </c>
      <c r="L3" t="n">
        <v>13</v>
      </c>
      <c r="M3" t="n">
        <v>13</v>
      </c>
      <c r="N3" t="n">
        <v>14</v>
      </c>
      <c r="O3" t="n">
        <v>16</v>
      </c>
      <c r="P3" t="n">
        <v>18</v>
      </c>
      <c r="Q3" t="n">
        <v>19</v>
      </c>
      <c r="R3" t="n">
        <v>20</v>
      </c>
    </row>
    <row r="4">
      <c r="A4" s="5" t="inlineStr">
        <is>
          <t>Рік</t>
        </is>
      </c>
      <c r="B4" t="n">
        <v>2025</v>
      </c>
      <c r="C4" t="n">
        <v>2021</v>
      </c>
      <c r="D4" t="n">
        <v>2024</v>
      </c>
      <c r="E4" t="n">
        <v>2024</v>
      </c>
      <c r="F4" t="n">
        <v>2024</v>
      </c>
      <c r="G4" t="n">
        <v>2023</v>
      </c>
      <c r="H4" t="n">
        <v>2025</v>
      </c>
      <c r="I4" t="n">
        <v>2021</v>
      </c>
      <c r="J4" t="n">
        <v>2024</v>
      </c>
      <c r="K4" t="n">
        <v>2025</v>
      </c>
      <c r="L4" t="n">
        <v>2025</v>
      </c>
      <c r="M4" t="n">
        <v>2025</v>
      </c>
      <c r="N4" t="n">
        <v>2025</v>
      </c>
      <c r="O4" t="n">
        <v>2023</v>
      </c>
      <c r="P4" t="n">
        <v>2025</v>
      </c>
      <c r="Q4" t="n">
        <v>2025</v>
      </c>
      <c r="R4" t="n">
        <v>2025</v>
      </c>
    </row>
    <row r="5">
      <c r="A5" s="5" t="inlineStr">
        <is>
          <t>Джерело (CSV)</t>
        </is>
      </c>
      <c r="B5" t="inlineStr">
        <is>
          <t>https://ec.europa.eu/eurostat/api/dissemination/sdmx/2.1/data/isoc_eb_iipn2/A.GE10.C10-C12.E_ERP1.PC_ENT.?format=SDMX-CSV</t>
        </is>
      </c>
      <c r="C5" t="inlineStr">
        <is>
          <t>https://ec.europa.eu/eurostat/api/dissemination/sdmx/2.1/data/isoc_eb_iotn2/A.GE10.C10-C12.E_IOTDPP.PC_ENT.?format=SDMX-CSV</t>
        </is>
      </c>
      <c r="D5" t="inlineStr">
        <is>
          <t>https://ec.europa.eu/eurostat/api/dissemination/sdmx/2.1/data/isoc_cisce_ran2/A.GE10.C10-C12.E_SECPOL2.PC_ENT.?format=SDMX-CSV</t>
        </is>
      </c>
      <c r="E5" t="inlineStr">
        <is>
          <t>https://ec.europa.eu/eurostat/api/dissemination/sdmx/2.1/data/isoc_ske_ittn2/A.GE10.C10-C12.E_ITSPT2.PC_ENT.?format=SDMX-CSV</t>
        </is>
      </c>
      <c r="F5" t="inlineStr">
        <is>
          <t>https://ec.europa.eu/eurostat/api/dissemination/sdmx/2.1/data/isoc_ske_ittn2/A.GE10.C10-C12.E_ITUST2.PC_ENT.?format=SDMX-CSV</t>
        </is>
      </c>
      <c r="G5" t="inlineStr">
        <is>
          <t>https://ec.europa.eu/eurostat/api/dissemination/sdmx/2.1/data/isoc_eb_icsn2/A.GE10.C10-C12.E_SISC.PC_ENT.?format=SDMX-CSV</t>
        </is>
      </c>
      <c r="H5" t="inlineStr">
        <is>
          <t>https://ec.europa.eu/eurostat/api/dissemination/sdmx/2.1/data/isoc_eb_dan2/A.GE10.C10-C12.E_DA.PC_ENT.?format=SDMX-CSV</t>
        </is>
      </c>
      <c r="I5" t="inlineStr">
        <is>
          <t>https://ec.europa.eu/eurostat/api/dissemination/sdmx/2.1/data/isoc_eb_iotn2/A.GE10.C10-C12.E_IOT1.PC_ENT.?format=SDMX-CSV</t>
        </is>
      </c>
      <c r="J5" t="inlineStr">
        <is>
          <t>https://ec.europa.eu/eurostat/api/dissemination/sdmx/2.1/data/isoc_cimobe_usen2/A.GE10.C10-C12.E_EMPMD2_GT0.PC_ENT.?format=SDMX-CSV</t>
        </is>
      </c>
      <c r="K5" t="inlineStr">
        <is>
          <t>https://ec.europa.eu/eurostat/api/dissemination/sdmx/2.1/data/isoc_cicce_usen2/A.GE10.C10-C12.E_CC.PC_ENT.?format=SDMX-CSV</t>
        </is>
      </c>
      <c r="L5" t="inlineStr">
        <is>
          <t>https://ec.europa.eu/eurostat/api/dissemination/sdmx/2.1/data/isoc_ec_eseln2/A.GE10.C10-C12.E_AESELL.PC_ENT.?format=SDMX-CSV</t>
        </is>
      </c>
      <c r="M5" t="inlineStr">
        <is>
          <t>https://ec.europa.eu/eurostat/api/dissemination/sdmx/2.1/data/isoc_ciwebn2/A.GE10.C10-C12.E_WEB.PC_ENT.?format=SDMX-CSV</t>
        </is>
      </c>
      <c r="N5" t="inlineStr">
        <is>
          <t>https://ec.europa.eu/eurostat/api/dissemination/sdmx/2.1/data/isoc_eb_iipn2/A.GE10.C10-C12.E_CRM1.PC_ENT.?format=SDMX-CSV</t>
        </is>
      </c>
      <c r="O5" t="inlineStr">
        <is>
          <t>https://ec.europa.eu/eurostat/api/dissemination/sdmx/2.1/data/isoc_eb_icsn2/A.GE10.C10-C12.E_INV4S_AP.PC_ENT.?format=SDMX-CSV</t>
        </is>
      </c>
      <c r="P5" t="inlineStr">
        <is>
          <t>https://ec.europa.eu/eurostat/api/dissemination/sdmx/2.1/data/isoc_eb_iipn2/A.GE10.C10-C12.E_ITBI.PC_ENT.?format=SDMX-CSV</t>
        </is>
      </c>
      <c r="Q5" t="inlineStr">
        <is>
          <t>https://ec.europa.eu/eurostat/api/dissemination/sdmx/2.1/data/isoc_eb_ain2/A.GE10.C10-C12.E_AI_TANY.PC_ENT.?format=SDMX-CSV</t>
        </is>
      </c>
      <c r="R5" t="inlineStr">
        <is>
          <t>https://ec.europa.eu/eurostat/api/dissemination/sdmx/2.1/data/isoc_e_diin2/A.GE10.C10-C12.E_DI3_GELO.PC_ENT.?format=SDMX-CSV</t>
        </is>
      </c>
    </row>
    <row r="6">
      <c r="A6" s="5" t="inlineStr">
        <is>
          <t>EU27_2020</t>
        </is>
      </c>
      <c r="B6" s="7" t="n">
        <v>45.06</v>
      </c>
      <c r="C6" s="7" t="n">
        <v>9.68</v>
      </c>
      <c r="D6" s="7" t="n">
        <v>26.68</v>
      </c>
      <c r="E6" s="7" t="n">
        <v>7.1</v>
      </c>
      <c r="F6" s="7" t="n">
        <v>14.36</v>
      </c>
      <c r="G6" s="7" t="n">
        <v>23.16</v>
      </c>
      <c r="H6" s="7" t="n">
        <v>37.73</v>
      </c>
      <c r="I6" s="7" t="n">
        <v>29.43</v>
      </c>
      <c r="J6" s="7" t="n">
        <v>82.47</v>
      </c>
      <c r="K6" s="7" t="n">
        <v>40.88</v>
      </c>
      <c r="L6" s="7" t="n">
        <v>34.16</v>
      </c>
      <c r="M6" s="7" t="n">
        <v>71.83</v>
      </c>
      <c r="N6" s="7" t="n">
        <v>17.99</v>
      </c>
      <c r="O6" s="7" t="n">
        <v>41.5</v>
      </c>
      <c r="P6" s="7" t="n">
        <v>15.22</v>
      </c>
      <c r="Q6" s="7" t="n">
        <v>12.47</v>
      </c>
      <c r="R6" s="7" t="n">
        <v>60.91</v>
      </c>
    </row>
    <row r="7">
      <c r="A7" t="inlineStr">
        <is>
          <t>AT</t>
        </is>
      </c>
      <c r="B7" s="7" t="n">
        <v>39.48</v>
      </c>
      <c r="C7" s="7" t="n">
        <v>13.7</v>
      </c>
      <c r="D7" s="7" t="n">
        <v>16.94</v>
      </c>
      <c r="E7" s="7" t="n">
        <v>11.97</v>
      </c>
      <c r="F7" s="7" t="n">
        <v>11.14</v>
      </c>
      <c r="G7" s="7" t="n">
        <v>25.73</v>
      </c>
      <c r="H7" s="7" t="n">
        <v>19.32</v>
      </c>
      <c r="I7" s="7" t="n"/>
      <c r="J7" s="7" t="n"/>
      <c r="K7" s="7" t="n">
        <v>45.99</v>
      </c>
      <c r="L7" s="7" t="n">
        <v>45.69</v>
      </c>
      <c r="M7" s="7" t="n">
        <v>82.38</v>
      </c>
      <c r="N7" s="7" t="n">
        <v>22.4</v>
      </c>
      <c r="O7" s="7" t="n">
        <v>29.09</v>
      </c>
      <c r="P7" s="7" t="n">
        <v>14.79</v>
      </c>
      <c r="Q7" s="7" t="n">
        <v>22.65</v>
      </c>
      <c r="R7" s="7" t="n">
        <v>63.77</v>
      </c>
    </row>
    <row r="8">
      <c r="A8" t="inlineStr">
        <is>
          <t>BE</t>
        </is>
      </c>
      <c r="B8" s="7" t="n"/>
      <c r="C8" s="7" t="n"/>
      <c r="D8" s="7" t="n"/>
      <c r="E8" s="7" t="n">
        <v>17.83</v>
      </c>
      <c r="F8" s="7" t="n">
        <v>32.41</v>
      </c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</row>
    <row r="9">
      <c r="A9" t="inlineStr">
        <is>
          <t>BG</t>
        </is>
      </c>
      <c r="B9" s="7" t="n">
        <v>20.79</v>
      </c>
      <c r="C9" s="7" t="n">
        <v>5.36</v>
      </c>
      <c r="D9" s="7" t="n">
        <v>5.87</v>
      </c>
      <c r="E9" s="7" t="n">
        <v>2.11</v>
      </c>
      <c r="F9" s="7" t="n">
        <v>3.31</v>
      </c>
      <c r="G9" s="7" t="n">
        <v>10.11</v>
      </c>
      <c r="H9" s="7" t="n">
        <v>22.86</v>
      </c>
      <c r="I9" s="7" t="n">
        <v>15.28</v>
      </c>
      <c r="J9" s="7" t="n">
        <v>72.42</v>
      </c>
      <c r="K9" s="7" t="n">
        <v>11.32</v>
      </c>
      <c r="L9" s="7" t="n">
        <v>14.76</v>
      </c>
      <c r="M9" s="7" t="n">
        <v>45.61</v>
      </c>
      <c r="N9" s="7" t="n">
        <v>6.67</v>
      </c>
      <c r="O9" s="7" t="n">
        <v>19.93</v>
      </c>
      <c r="P9" s="7" t="n">
        <v>6.17</v>
      </c>
      <c r="Q9" s="7" t="n">
        <v>4.72</v>
      </c>
      <c r="R9" s="7" t="n">
        <v>28.38</v>
      </c>
    </row>
    <row r="10">
      <c r="A10" t="inlineStr">
        <is>
          <t>CY</t>
        </is>
      </c>
      <c r="B10" s="7" t="n">
        <v>51.17</v>
      </c>
      <c r="C10" s="7" t="n">
        <v>15.53</v>
      </c>
      <c r="D10" s="7" t="n">
        <v>23.67</v>
      </c>
      <c r="E10" s="7" t="n">
        <v>7.35</v>
      </c>
      <c r="F10" s="7" t="n">
        <v>19.74</v>
      </c>
      <c r="G10" s="7" t="n">
        <v>8.77</v>
      </c>
      <c r="H10" s="7" t="n">
        <v>47.21</v>
      </c>
      <c r="I10" s="7" t="n">
        <v>43.71</v>
      </c>
      <c r="J10" s="7" t="n">
        <v>87.13</v>
      </c>
      <c r="K10" s="7" t="n">
        <v>47.05</v>
      </c>
      <c r="L10" s="7" t="n">
        <v>24.96</v>
      </c>
      <c r="M10" s="7" t="n">
        <v>60.54</v>
      </c>
      <c r="N10" s="7" t="n">
        <v>23.56</v>
      </c>
      <c r="O10" s="7" t="n">
        <v>19.54</v>
      </c>
      <c r="P10" s="7" t="n">
        <v>23.24</v>
      </c>
      <c r="Q10" s="7" t="n">
        <v>3.61</v>
      </c>
      <c r="R10" s="7" t="n">
        <v>71.73999999999999</v>
      </c>
    </row>
    <row r="11">
      <c r="A11" t="inlineStr">
        <is>
          <t>CZ</t>
        </is>
      </c>
      <c r="B11" s="7" t="n">
        <v>48.16</v>
      </c>
      <c r="C11" s="7" t="n">
        <v>15.03</v>
      </c>
      <c r="D11" s="7" t="n">
        <v>16.8</v>
      </c>
      <c r="E11" s="7" t="n">
        <v>7.5</v>
      </c>
      <c r="F11" s="7" t="n">
        <v>15.92</v>
      </c>
      <c r="G11" s="7" t="n">
        <v>37.12</v>
      </c>
      <c r="H11" s="7" t="n">
        <v>41.51</v>
      </c>
      <c r="I11" s="7" t="n">
        <v>34.29</v>
      </c>
      <c r="J11" s="7" t="n">
        <v>81.73</v>
      </c>
      <c r="K11" s="7" t="n">
        <v>42.58</v>
      </c>
      <c r="L11" s="7" t="n">
        <v>40.98</v>
      </c>
      <c r="M11" s="7" t="n">
        <v>79.11</v>
      </c>
      <c r="N11" s="7" t="n">
        <v>30.18</v>
      </c>
      <c r="O11" s="7" t="n">
        <v>35.18</v>
      </c>
      <c r="P11" s="7" t="n">
        <v>13.49</v>
      </c>
      <c r="Q11" s="7" t="n">
        <v>10.78</v>
      </c>
      <c r="R11" s="7" t="n">
        <v>66.15000000000001</v>
      </c>
    </row>
    <row r="12">
      <c r="A12" t="inlineStr">
        <is>
          <t>DE</t>
        </is>
      </c>
      <c r="B12" s="7" t="n">
        <v>36.76</v>
      </c>
      <c r="C12" s="7" t="n">
        <v>10.5</v>
      </c>
      <c r="D12" s="7" t="n">
        <v>25.81</v>
      </c>
      <c r="E12" s="7" t="n">
        <v>6.39</v>
      </c>
      <c r="F12" s="7" t="n">
        <v>13.32</v>
      </c>
      <c r="G12" s="7" t="n">
        <v>26.65</v>
      </c>
      <c r="H12" s="7" t="n">
        <v>33.79</v>
      </c>
      <c r="I12" s="7" t="n">
        <v>38.22</v>
      </c>
      <c r="J12" s="7" t="n">
        <v>86.34</v>
      </c>
      <c r="K12" s="7" t="n">
        <v>39.13</v>
      </c>
      <c r="L12" s="7" t="n">
        <v>33.04</v>
      </c>
      <c r="M12" s="7" t="n">
        <v>87.90000000000001</v>
      </c>
      <c r="N12" s="7" t="n">
        <v>15.17</v>
      </c>
      <c r="O12" s="7" t="n">
        <v>25.93</v>
      </c>
      <c r="P12" s="7" t="n">
        <v>11.64</v>
      </c>
      <c r="Q12" s="7" t="n">
        <v>15.1</v>
      </c>
      <c r="R12" s="7" t="n">
        <v>62.56</v>
      </c>
    </row>
    <row r="13">
      <c r="A13" t="inlineStr">
        <is>
          <t>DK</t>
        </is>
      </c>
      <c r="B13" s="7" t="n"/>
      <c r="C13" s="7" t="n">
        <v>4.82</v>
      </c>
      <c r="D13" s="7" t="n">
        <v>36.4</v>
      </c>
      <c r="E13" s="7" t="n">
        <v>13.25</v>
      </c>
      <c r="F13" s="7" t="n">
        <v>19.46</v>
      </c>
      <c r="G13" s="7" t="n">
        <v>36.49</v>
      </c>
      <c r="H13" s="7" t="n"/>
      <c r="I13" s="7" t="n">
        <v>24.38</v>
      </c>
      <c r="J13" s="7" t="n"/>
      <c r="K13" s="7" t="n"/>
      <c r="L13" s="7" t="n"/>
      <c r="M13" s="7" t="n">
        <v>97.47</v>
      </c>
      <c r="N13" s="7" t="n">
        <v>18.31</v>
      </c>
      <c r="O13" s="7" t="n">
        <v>59.51</v>
      </c>
      <c r="P13" s="7" t="n">
        <v>30.85</v>
      </c>
      <c r="Q13" s="7" t="n">
        <v>26.48</v>
      </c>
      <c r="R13" s="7" t="n">
        <v>91.19</v>
      </c>
    </row>
    <row r="14">
      <c r="A14" t="inlineStr">
        <is>
          <t>EE</t>
        </is>
      </c>
      <c r="B14" s="7" t="n">
        <v>37.23</v>
      </c>
      <c r="C14" s="7" t="n">
        <v>11.98</v>
      </c>
      <c r="D14" s="7" t="n">
        <v>40.14</v>
      </c>
      <c r="E14" s="7" t="n">
        <v>4.53</v>
      </c>
      <c r="F14" s="7" t="n">
        <v>16.59</v>
      </c>
      <c r="G14" s="7" t="n">
        <v>32.43</v>
      </c>
      <c r="H14" s="7" t="n">
        <v>50.27</v>
      </c>
      <c r="I14" s="7" t="n">
        <v>25.37</v>
      </c>
      <c r="J14" s="7" t="n">
        <v>85.59</v>
      </c>
      <c r="K14" s="7" t="n">
        <v>65.76000000000001</v>
      </c>
      <c r="L14" s="7" t="n">
        <v>46.96</v>
      </c>
      <c r="M14" s="7" t="n">
        <v>69.47</v>
      </c>
      <c r="N14" s="7" t="n">
        <v>11.41</v>
      </c>
      <c r="O14" s="7" t="n">
        <v>78.38</v>
      </c>
      <c r="P14" s="7" t="n">
        <v>18.33</v>
      </c>
      <c r="Q14" s="7" t="n">
        <v>16.43</v>
      </c>
      <c r="R14" s="7" t="n">
        <v>71.48</v>
      </c>
    </row>
    <row r="15">
      <c r="A15" t="inlineStr">
        <is>
          <t>EL</t>
        </is>
      </c>
      <c r="B15" s="7" t="n">
        <v>64.7</v>
      </c>
      <c r="C15" s="7" t="n">
        <v>5.78</v>
      </c>
      <c r="D15" s="7" t="n">
        <v>13.84</v>
      </c>
      <c r="E15" s="7" t="n">
        <v>6.84</v>
      </c>
      <c r="F15" s="7" t="n">
        <v>8.35</v>
      </c>
      <c r="G15" s="7" t="n">
        <v>13.83</v>
      </c>
      <c r="H15" s="7" t="n">
        <v>36.33</v>
      </c>
      <c r="I15" s="7" t="n">
        <v>23.44</v>
      </c>
      <c r="J15" s="7" t="n">
        <v>64.55</v>
      </c>
      <c r="K15" s="7" t="n">
        <v>21.58</v>
      </c>
      <c r="L15" s="7" t="n">
        <v>14.51</v>
      </c>
      <c r="M15" s="7" t="n">
        <v>62.49</v>
      </c>
      <c r="N15" s="7" t="n">
        <v>12.65</v>
      </c>
      <c r="O15" s="7" t="n">
        <v>17.63</v>
      </c>
      <c r="P15" s="7" t="n">
        <v>12.22</v>
      </c>
      <c r="Q15" s="7" t="n">
        <v>3.84</v>
      </c>
      <c r="R15" s="7" t="n">
        <v>56.24</v>
      </c>
    </row>
    <row r="16">
      <c r="A16" t="inlineStr">
        <is>
          <t>ES</t>
        </is>
      </c>
      <c r="B16" s="7" t="n">
        <v>66.42</v>
      </c>
      <c r="C16" s="7" t="n"/>
      <c r="D16" s="7" t="n">
        <v>30.13</v>
      </c>
      <c r="E16" s="7" t="n">
        <v>6.37</v>
      </c>
      <c r="F16" s="7" t="n">
        <v>21.08</v>
      </c>
      <c r="G16" s="7" t="n"/>
      <c r="H16" s="7" t="n">
        <v>45.34</v>
      </c>
      <c r="I16" s="7" t="n"/>
      <c r="J16" s="7" t="n">
        <v>88.83</v>
      </c>
      <c r="K16" s="7" t="n">
        <v>35.36</v>
      </c>
      <c r="L16" s="7" t="n">
        <v>52.06</v>
      </c>
      <c r="M16" s="7" t="n">
        <v>85.84</v>
      </c>
      <c r="N16" s="7" t="n">
        <v>27.11</v>
      </c>
      <c r="O16" s="7" t="n"/>
      <c r="P16" s="7" t="n">
        <v>21.96</v>
      </c>
      <c r="Q16" s="7" t="n">
        <v>14.63</v>
      </c>
      <c r="R16" s="7" t="n">
        <v>73.06999999999999</v>
      </c>
    </row>
    <row r="17">
      <c r="A17" t="inlineStr">
        <is>
          <t>FI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>
        <v>96.43000000000001</v>
      </c>
    </row>
    <row r="18">
      <c r="A18" t="inlineStr">
        <is>
          <t>FR</t>
        </is>
      </c>
      <c r="B18" s="7" t="n">
        <v>44.73</v>
      </c>
      <c r="C18" s="7" t="n">
        <v>2.41</v>
      </c>
      <c r="D18" s="7" t="n">
        <v>14.9</v>
      </c>
      <c r="E18" s="7" t="n">
        <v>3.13</v>
      </c>
      <c r="F18" s="7" t="n">
        <v>7.03</v>
      </c>
      <c r="G18" s="7" t="n">
        <v>19.35</v>
      </c>
      <c r="H18" s="7" t="n">
        <v>31.46</v>
      </c>
      <c r="I18" s="7" t="n">
        <v>20.42</v>
      </c>
      <c r="J18" s="7" t="n">
        <v>79.45999999999999</v>
      </c>
      <c r="K18" s="7" t="n">
        <v>25.15</v>
      </c>
      <c r="L18" s="7" t="n">
        <v>33.28</v>
      </c>
      <c r="M18" s="7" t="n">
        <v>57.94</v>
      </c>
      <c r="N18" s="7" t="n">
        <v>15.77</v>
      </c>
      <c r="O18" s="7" t="n">
        <v>32.02</v>
      </c>
      <c r="P18" s="7" t="n">
        <v>11.01</v>
      </c>
      <c r="Q18" s="7" t="n">
        <v>10.75</v>
      </c>
      <c r="R18" s="7" t="n">
        <v>49.63</v>
      </c>
    </row>
    <row r="19">
      <c r="A19" t="inlineStr">
        <is>
          <t>HR</t>
        </is>
      </c>
      <c r="B19" s="7" t="n">
        <v>16.52</v>
      </c>
      <c r="C19" s="7" t="n">
        <v>3.9</v>
      </c>
      <c r="D19" s="7" t="n">
        <v>9.32</v>
      </c>
      <c r="E19" s="7" t="n">
        <v>3.32</v>
      </c>
      <c r="F19" s="7" t="n">
        <v>11.54</v>
      </c>
      <c r="G19" s="7" t="n">
        <v>5.55</v>
      </c>
      <c r="H19" s="7" t="n">
        <v>33.34</v>
      </c>
      <c r="I19" s="7" t="n">
        <v>22.37</v>
      </c>
      <c r="J19" s="7" t="n"/>
      <c r="K19" s="7" t="n">
        <v>29.31</v>
      </c>
      <c r="L19" s="7" t="n">
        <v>18.59</v>
      </c>
      <c r="M19" s="7" t="n">
        <v>37.97</v>
      </c>
      <c r="N19" s="7" t="n">
        <v>8.550000000000001</v>
      </c>
      <c r="O19" s="7" t="n">
        <v>55.17</v>
      </c>
      <c r="P19" s="7" t="n">
        <v>7.58</v>
      </c>
      <c r="Q19" s="7" t="n">
        <v>7.27</v>
      </c>
      <c r="R19" s="7" t="n">
        <v>35.65</v>
      </c>
    </row>
    <row r="20">
      <c r="A20" t="inlineStr">
        <is>
          <t>HU</t>
        </is>
      </c>
      <c r="B20" s="7" t="n">
        <v>28.07</v>
      </c>
      <c r="C20" s="7" t="n">
        <v>6.77</v>
      </c>
      <c r="D20" s="7" t="n">
        <v>8.949999999999999</v>
      </c>
      <c r="E20" s="7" t="n">
        <v>5.78</v>
      </c>
      <c r="F20" s="7" t="n">
        <v>9.220000000000001</v>
      </c>
      <c r="G20" s="7" t="n"/>
      <c r="H20" s="7" t="n">
        <v>42.83</v>
      </c>
      <c r="I20" s="7" t="n">
        <v>21.11</v>
      </c>
      <c r="J20" s="7" t="n">
        <v>70.48</v>
      </c>
      <c r="K20" s="7" t="n">
        <v>33.93</v>
      </c>
      <c r="L20" s="7" t="n">
        <v>26.74</v>
      </c>
      <c r="M20" s="7" t="n">
        <v>58.88</v>
      </c>
      <c r="N20" s="7" t="n">
        <v>12.58</v>
      </c>
      <c r="O20" s="7" t="n">
        <v>31.7</v>
      </c>
      <c r="P20" s="7" t="n">
        <v>5.99</v>
      </c>
      <c r="Q20" s="7" t="n">
        <v>6.05</v>
      </c>
      <c r="R20" s="7" t="n">
        <v>50.96</v>
      </c>
    </row>
    <row r="21">
      <c r="A21" t="inlineStr">
        <is>
          <t>IE</t>
        </is>
      </c>
      <c r="B21" s="7" t="n">
        <v>40.95</v>
      </c>
      <c r="C21" s="7" t="n">
        <v>11.38</v>
      </c>
      <c r="D21" s="7" t="n">
        <v>65.84999999999999</v>
      </c>
      <c r="E21" s="7" t="n">
        <v>18.08</v>
      </c>
      <c r="F21" s="7" t="n">
        <v>33.89</v>
      </c>
      <c r="G21" s="7" t="n">
        <v>35.87</v>
      </c>
      <c r="H21" s="7" t="n">
        <v>48.26</v>
      </c>
      <c r="I21" s="7" t="n">
        <v>40.67</v>
      </c>
      <c r="J21" s="7" t="n">
        <v>89.95</v>
      </c>
      <c r="K21" s="7" t="n">
        <v>71.23</v>
      </c>
      <c r="L21" s="7" t="n">
        <v>60.76</v>
      </c>
      <c r="M21" s="7" t="n">
        <v>82.14</v>
      </c>
      <c r="N21" s="7" t="n">
        <v>17.33</v>
      </c>
      <c r="O21" s="7" t="n">
        <v>55.41</v>
      </c>
      <c r="P21" s="7" t="n">
        <v>27.85</v>
      </c>
      <c r="Q21" s="7" t="n">
        <v>22.66</v>
      </c>
      <c r="R21" s="7" t="n">
        <v>78.91</v>
      </c>
    </row>
    <row r="22">
      <c r="A22" t="inlineStr">
        <is>
          <t>IT</t>
        </is>
      </c>
      <c r="B22" s="7" t="n">
        <v>48.97</v>
      </c>
      <c r="C22" s="7" t="n">
        <v>21.2</v>
      </c>
      <c r="D22" s="7" t="n">
        <v>30.27</v>
      </c>
      <c r="E22" s="7" t="n">
        <v>6.21</v>
      </c>
      <c r="F22" s="7" t="n">
        <v>15.66</v>
      </c>
      <c r="G22" s="7" t="n">
        <v>15.52</v>
      </c>
      <c r="H22" s="7" t="n">
        <v>50</v>
      </c>
      <c r="I22" s="7" t="n">
        <v>40.33</v>
      </c>
      <c r="J22" s="7" t="n"/>
      <c r="K22" s="7" t="n">
        <v>67.77</v>
      </c>
      <c r="L22" s="7" t="n">
        <v>29.37</v>
      </c>
      <c r="M22" s="7" t="n">
        <v>77.48999999999999</v>
      </c>
      <c r="N22" s="7" t="n">
        <v>14.78</v>
      </c>
      <c r="O22" s="7" t="n">
        <v>97.92</v>
      </c>
      <c r="P22" s="7" t="n">
        <v>22.03</v>
      </c>
      <c r="Q22" s="7" t="n">
        <v>15.32</v>
      </c>
      <c r="R22" s="7" t="n">
        <v>73.41</v>
      </c>
    </row>
    <row r="23">
      <c r="A23" t="inlineStr">
        <is>
          <t>LT</t>
        </is>
      </c>
      <c r="B23" s="7" t="n">
        <v>59.21</v>
      </c>
      <c r="C23" s="7" t="n">
        <v>13.88</v>
      </c>
      <c r="D23" s="7" t="n">
        <v>35.41</v>
      </c>
      <c r="E23" s="7" t="n">
        <v>7.73</v>
      </c>
      <c r="F23" s="7" t="n">
        <v>11.97</v>
      </c>
      <c r="G23" s="7" t="n">
        <v>27.11</v>
      </c>
      <c r="H23" s="7" t="n">
        <v>66.58</v>
      </c>
      <c r="I23" s="7" t="n">
        <v>37.8</v>
      </c>
      <c r="J23" s="7" t="n">
        <v>94.02</v>
      </c>
      <c r="K23" s="7" t="n">
        <v>58.23</v>
      </c>
      <c r="L23" s="7" t="n">
        <v>60.44</v>
      </c>
      <c r="M23" s="7" t="n">
        <v>81.56999999999999</v>
      </c>
      <c r="N23" s="7" t="n">
        <v>26.04</v>
      </c>
      <c r="O23" s="7" t="n">
        <v>43.99</v>
      </c>
      <c r="P23" s="7" t="n">
        <v>30.71</v>
      </c>
      <c r="Q23" s="7" t="n">
        <v>16.22</v>
      </c>
      <c r="R23" s="7" t="n">
        <v>79.84999999999999</v>
      </c>
    </row>
    <row r="24">
      <c r="A24" t="inlineStr">
        <is>
          <t>LU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</row>
    <row r="25">
      <c r="A25" t="inlineStr">
        <is>
          <t>LV</t>
        </is>
      </c>
      <c r="B25" s="7" t="n">
        <v>45.3</v>
      </c>
      <c r="C25" s="7" t="n">
        <v>14.43</v>
      </c>
      <c r="D25" s="7" t="n">
        <v>50.69</v>
      </c>
      <c r="E25" s="7" t="n">
        <v>6.16</v>
      </c>
      <c r="F25" s="7" t="n">
        <v>6.63</v>
      </c>
      <c r="G25" s="7" t="n">
        <v>20.34</v>
      </c>
      <c r="H25" s="7" t="n">
        <v>46.34</v>
      </c>
      <c r="I25" s="7" t="n">
        <v>30.05</v>
      </c>
      <c r="J25" s="7" t="n">
        <v>89.95999999999999</v>
      </c>
      <c r="K25" s="7" t="n">
        <v>33.37</v>
      </c>
      <c r="L25" s="7" t="n">
        <v>41.87</v>
      </c>
      <c r="M25" s="7" t="n">
        <v>67.79000000000001</v>
      </c>
      <c r="N25" s="7" t="n">
        <v>13.14</v>
      </c>
      <c r="O25" s="7" t="n">
        <v>38.2</v>
      </c>
      <c r="P25" s="7" t="n">
        <v>17.96</v>
      </c>
      <c r="Q25" s="7" t="n">
        <v>11.8</v>
      </c>
      <c r="R25" s="7" t="n">
        <v>64.05</v>
      </c>
    </row>
    <row r="26">
      <c r="A26" t="inlineStr">
        <is>
          <t>MT</t>
        </is>
      </c>
      <c r="B26" s="7" t="n">
        <v>51.12</v>
      </c>
      <c r="C26" s="7" t="n">
        <v>16.37</v>
      </c>
      <c r="D26" s="7" t="n">
        <v>16.51</v>
      </c>
      <c r="E26" s="7" t="n">
        <v>12.92</v>
      </c>
      <c r="F26" s="7" t="n">
        <v>23.69</v>
      </c>
      <c r="G26" s="7" t="n">
        <v>13.18</v>
      </c>
      <c r="H26" s="7" t="n">
        <v>46.72</v>
      </c>
      <c r="I26" s="7" t="n">
        <v>34.88</v>
      </c>
      <c r="J26" s="7" t="n">
        <v>87.43000000000001</v>
      </c>
      <c r="K26" s="7" t="n">
        <v>57.71</v>
      </c>
      <c r="L26" s="7" t="n">
        <v>31.23</v>
      </c>
      <c r="M26" s="7" t="n">
        <v>73.75</v>
      </c>
      <c r="N26" s="7" t="n">
        <v>26.29</v>
      </c>
      <c r="O26" s="7" t="n">
        <v>24.71</v>
      </c>
      <c r="P26" s="7" t="n">
        <v>19.22</v>
      </c>
      <c r="Q26" s="7" t="n">
        <v>7.95</v>
      </c>
      <c r="R26" s="7" t="n">
        <v>71.06999999999999</v>
      </c>
    </row>
    <row r="27">
      <c r="A27" t="inlineStr">
        <is>
          <t>NL</t>
        </is>
      </c>
      <c r="B27" s="7" t="n">
        <v>56.49</v>
      </c>
      <c r="C27" s="7" t="n">
        <v>9.17</v>
      </c>
      <c r="D27" s="7" t="n">
        <v>34.67</v>
      </c>
      <c r="E27" s="7" t="n">
        <v>17.3</v>
      </c>
      <c r="F27" s="7" t="n">
        <v>23.72</v>
      </c>
      <c r="G27" s="7" t="n">
        <v>37.45</v>
      </c>
      <c r="H27" s="7" t="n">
        <v>53.28</v>
      </c>
      <c r="I27" s="7" t="n">
        <v>29.12</v>
      </c>
      <c r="J27" s="7" t="n">
        <v>74.41</v>
      </c>
      <c r="K27" s="7" t="n">
        <v>62.97</v>
      </c>
      <c r="L27" s="7" t="n">
        <v>62.2</v>
      </c>
      <c r="M27" s="7" t="n">
        <v>90.77</v>
      </c>
      <c r="N27" s="7" t="n">
        <v>31.25</v>
      </c>
      <c r="O27" s="7" t="n">
        <v>41.55</v>
      </c>
      <c r="P27" s="7" t="n">
        <v>34.8</v>
      </c>
      <c r="Q27" s="7" t="n">
        <v>22.61</v>
      </c>
      <c r="R27" s="7" t="n">
        <v>91.18000000000001</v>
      </c>
    </row>
    <row r="28">
      <c r="A28" t="inlineStr">
        <is>
          <t>PL</t>
        </is>
      </c>
      <c r="B28" s="7" t="n">
        <v>37.18</v>
      </c>
      <c r="C28" s="7" t="n">
        <v>6.4</v>
      </c>
      <c r="D28" s="7" t="n">
        <v>30.78</v>
      </c>
      <c r="E28" s="7" t="n">
        <v>13.48</v>
      </c>
      <c r="F28" s="7" t="n">
        <v>17.33</v>
      </c>
      <c r="G28" s="7" t="n">
        <v>23.63</v>
      </c>
      <c r="H28" s="7" t="n">
        <v>18.72</v>
      </c>
      <c r="I28" s="7" t="n">
        <v>15.84</v>
      </c>
      <c r="J28" s="7" t="n">
        <v>87.56</v>
      </c>
      <c r="K28" s="7" t="n">
        <v>45.08</v>
      </c>
      <c r="L28" s="7" t="n">
        <v>19.19</v>
      </c>
      <c r="M28" s="7" t="n">
        <v>57.15</v>
      </c>
      <c r="N28" s="7" t="n">
        <v>21.14</v>
      </c>
      <c r="O28" s="7" t="n">
        <v>16.13</v>
      </c>
      <c r="P28" s="7" t="n">
        <v>9.960000000000001</v>
      </c>
      <c r="Q28" s="7" t="n">
        <v>5.01</v>
      </c>
      <c r="R28" s="7" t="n">
        <v>49.72</v>
      </c>
    </row>
    <row r="29">
      <c r="A29" t="inlineStr">
        <is>
          <t>PT</t>
        </is>
      </c>
      <c r="B29" s="7" t="n"/>
      <c r="C29" s="7" t="n">
        <v>2.28</v>
      </c>
      <c r="D29" s="7" t="n">
        <v>53.98</v>
      </c>
      <c r="E29" s="7" t="n">
        <v>8.140000000000001</v>
      </c>
      <c r="F29" s="7" t="n">
        <v>26.75</v>
      </c>
      <c r="G29" s="7" t="n">
        <v>20.25</v>
      </c>
      <c r="H29" s="7" t="n"/>
      <c r="I29" s="7" t="n">
        <v>16.76</v>
      </c>
      <c r="J29" s="7" t="n">
        <v>84.66</v>
      </c>
      <c r="K29" s="7" t="n">
        <v>33.02</v>
      </c>
      <c r="L29" s="7" t="n"/>
      <c r="M29" s="7" t="n"/>
      <c r="N29" s="7" t="n">
        <v>16.85</v>
      </c>
      <c r="O29" s="7" t="n">
        <v>27.08</v>
      </c>
      <c r="P29" s="7" t="n">
        <v>8.380000000000001</v>
      </c>
      <c r="Q29" s="7" t="n">
        <v>6.79</v>
      </c>
      <c r="R29" s="7" t="n"/>
    </row>
    <row r="30">
      <c r="A30" t="inlineStr">
        <is>
          <t>RO</t>
        </is>
      </c>
      <c r="B30" s="7" t="n">
        <v>21.02</v>
      </c>
      <c r="C30" s="7" t="n">
        <v>3.04</v>
      </c>
      <c r="D30" s="7" t="n">
        <v>56.74</v>
      </c>
      <c r="E30" s="7" t="n">
        <v>5.75</v>
      </c>
      <c r="F30" s="7" t="n">
        <v>5.59</v>
      </c>
      <c r="G30" s="7" t="n">
        <v>9.779999999999999</v>
      </c>
      <c r="H30" s="7" t="n">
        <v>31.63</v>
      </c>
      <c r="I30" s="7" t="n">
        <v>10.11</v>
      </c>
      <c r="J30" s="7" t="n">
        <v>81.61</v>
      </c>
      <c r="K30" s="7" t="n">
        <v>18.73</v>
      </c>
      <c r="L30" s="7" t="n">
        <v>21.05</v>
      </c>
      <c r="M30" s="7" t="n">
        <v>50.19</v>
      </c>
      <c r="N30" s="7" t="n">
        <v>8.779999999999999</v>
      </c>
      <c r="O30" s="7" t="n">
        <v>43.09</v>
      </c>
      <c r="P30" s="7" t="n">
        <v>5.93</v>
      </c>
      <c r="Q30" s="7" t="n">
        <v>2.05</v>
      </c>
      <c r="R30" s="7" t="n">
        <v>34.71</v>
      </c>
    </row>
    <row r="31">
      <c r="A31" t="inlineStr">
        <is>
          <t>SE</t>
        </is>
      </c>
      <c r="B31" s="7" t="n">
        <v>28.82</v>
      </c>
      <c r="C31" s="7" t="n">
        <v>19.37</v>
      </c>
      <c r="D31" s="7" t="n">
        <v>34.96</v>
      </c>
      <c r="E31" s="7" t="n">
        <v>5.46</v>
      </c>
      <c r="F31" s="7" t="n">
        <v>18.39</v>
      </c>
      <c r="G31" s="7" t="n">
        <v>14.93</v>
      </c>
      <c r="H31" s="7" t="n">
        <v>35.44</v>
      </c>
      <c r="I31" s="7" t="n">
        <v>49.89</v>
      </c>
      <c r="J31" s="7" t="n"/>
      <c r="K31" s="7" t="n">
        <v>64.58</v>
      </c>
      <c r="L31" s="7" t="n">
        <v>50.49</v>
      </c>
      <c r="M31" s="7" t="n">
        <v>91.5</v>
      </c>
      <c r="N31" s="7" t="n">
        <v>18</v>
      </c>
      <c r="O31" s="7" t="n">
        <v>62.26</v>
      </c>
      <c r="P31" s="7" t="n">
        <v>20.5</v>
      </c>
      <c r="Q31" s="7" t="n">
        <v>21.39</v>
      </c>
      <c r="R31" s="7" t="n">
        <v>81.20999999999999</v>
      </c>
    </row>
    <row r="32">
      <c r="A32" t="inlineStr">
        <is>
          <t>SI</t>
        </is>
      </c>
      <c r="B32" s="7" t="n">
        <v>23.51</v>
      </c>
      <c r="C32" s="7" t="n">
        <v>17.6</v>
      </c>
      <c r="D32" s="7" t="n">
        <v>31.73</v>
      </c>
      <c r="E32" s="7" t="n">
        <v>6.87</v>
      </c>
      <c r="F32" s="7" t="n">
        <v>19.77</v>
      </c>
      <c r="G32" s="7" t="n">
        <v>52.82</v>
      </c>
      <c r="H32" s="7" t="n">
        <v>33.44</v>
      </c>
      <c r="I32" s="7" t="n">
        <v>46.66</v>
      </c>
      <c r="J32" s="7" t="n">
        <v>95.81</v>
      </c>
      <c r="K32" s="7" t="n">
        <v>32.28</v>
      </c>
      <c r="L32" s="7" t="n">
        <v>37.9</v>
      </c>
      <c r="M32" s="7" t="n">
        <v>82.94</v>
      </c>
      <c r="N32" s="7" t="n">
        <v>11.61</v>
      </c>
      <c r="O32" s="7" t="n">
        <v>60.58</v>
      </c>
      <c r="P32" s="7" t="n">
        <v>17.22</v>
      </c>
      <c r="Q32" s="7" t="n">
        <v>17.54</v>
      </c>
      <c r="R32" s="7" t="n">
        <v>49.24</v>
      </c>
    </row>
    <row r="33">
      <c r="A33" t="inlineStr">
        <is>
          <t>SK</t>
        </is>
      </c>
      <c r="B33" s="7" t="n">
        <v>21.08</v>
      </c>
      <c r="C33" s="7" t="n">
        <v>11.25</v>
      </c>
      <c r="D33" s="7" t="n">
        <v>13.44</v>
      </c>
      <c r="E33" s="7" t="n">
        <v>4.16</v>
      </c>
      <c r="F33" s="7" t="n">
        <v>8.130000000000001</v>
      </c>
      <c r="G33" s="7" t="n">
        <v>34.14</v>
      </c>
      <c r="H33" s="7" t="n">
        <v>29.39</v>
      </c>
      <c r="I33" s="7" t="n">
        <v>35.54</v>
      </c>
      <c r="J33" s="7" t="n">
        <v>58.74</v>
      </c>
      <c r="K33" s="7" t="n">
        <v>35.09</v>
      </c>
      <c r="L33" s="7" t="n">
        <v>42.72</v>
      </c>
      <c r="M33" s="7" t="n">
        <v>72.42</v>
      </c>
      <c r="N33" s="7" t="n">
        <v>13.71</v>
      </c>
      <c r="O33" s="7" t="n">
        <v>37.93</v>
      </c>
      <c r="P33" s="7" t="n">
        <v>5.1</v>
      </c>
      <c r="Q33" s="7" t="n">
        <v>10.32</v>
      </c>
      <c r="R33" s="7" t="n">
        <v>53.3</v>
      </c>
    </row>
    <row r="35">
      <c r="A35" s="5" t="inlineStr">
        <is>
          <t>Значення лідера</t>
        </is>
      </c>
      <c r="B35">
        <f>MAX(B7:B33)</f>
        <v/>
      </c>
      <c r="C35">
        <f>MAX(C7:C33)</f>
        <v/>
      </c>
      <c r="D35">
        <f>MAX(D7:D33)</f>
        <v/>
      </c>
      <c r="E35">
        <f>MAX(E7:E33)</f>
        <v/>
      </c>
      <c r="F35">
        <f>MAX(F7:F33)</f>
        <v/>
      </c>
      <c r="G35">
        <f>MAX(G7:G33)</f>
        <v/>
      </c>
      <c r="H35">
        <f>MAX(H7:H33)</f>
        <v/>
      </c>
      <c r="I35">
        <f>MAX(I7:I33)</f>
        <v/>
      </c>
      <c r="J35">
        <f>MAX(J7:J33)</f>
        <v/>
      </c>
      <c r="K35">
        <f>MAX(K7:K33)</f>
        <v/>
      </c>
      <c r="L35">
        <f>MAX(L7:L33)</f>
        <v/>
      </c>
      <c r="M35">
        <f>MAX(M7:M33)</f>
        <v/>
      </c>
      <c r="N35">
        <f>MAX(N7:N33)</f>
        <v/>
      </c>
      <c r="O35">
        <f>MAX(O7:O33)</f>
        <v/>
      </c>
      <c r="P35">
        <f>MAX(P7:P33)</f>
        <v/>
      </c>
      <c r="Q35">
        <f>MAX(Q7:Q33)</f>
        <v/>
      </c>
      <c r="R35">
        <f>MAX(R7:R33)</f>
        <v/>
      </c>
    </row>
    <row r="36">
      <c r="A36" s="5" t="inlineStr">
        <is>
          <t>Лідер</t>
        </is>
      </c>
      <c r="B36">
        <f>INDEX($A$7:$A$33,MATCH(MAX(B7:B33),B7:B33,0))</f>
        <v/>
      </c>
      <c r="C36">
        <f>INDEX($A$7:$A$33,MATCH(MAX(C7:C33),C7:C33,0))</f>
        <v/>
      </c>
      <c r="D36">
        <f>INDEX($A$7:$A$33,MATCH(MAX(D7:D33),D7:D33,0))</f>
        <v/>
      </c>
      <c r="E36">
        <f>INDEX($A$7:$A$33,MATCH(MAX(E7:E33),E7:E33,0))</f>
        <v/>
      </c>
      <c r="F36">
        <f>INDEX($A$7:$A$33,MATCH(MAX(F7:F33),F7:F33,0))</f>
        <v/>
      </c>
      <c r="G36">
        <f>INDEX($A$7:$A$33,MATCH(MAX(G7:G33),G7:G33,0))</f>
        <v/>
      </c>
      <c r="H36">
        <f>INDEX($A$7:$A$33,MATCH(MAX(H7:H33),H7:H33,0))</f>
        <v/>
      </c>
      <c r="I36">
        <f>INDEX($A$7:$A$33,MATCH(MAX(I7:I33),I7:I33,0))</f>
        <v/>
      </c>
      <c r="J36">
        <f>INDEX($A$7:$A$33,MATCH(MAX(J7:J33),J7:J33,0))</f>
        <v/>
      </c>
      <c r="K36">
        <f>INDEX($A$7:$A$33,MATCH(MAX(K7:K33),K7:K33,0))</f>
        <v/>
      </c>
      <c r="L36">
        <f>INDEX($A$7:$A$33,MATCH(MAX(L7:L33),L7:L33,0))</f>
        <v/>
      </c>
      <c r="M36">
        <f>INDEX($A$7:$A$33,MATCH(MAX(M7:M33),M7:M33,0))</f>
        <v/>
      </c>
      <c r="N36">
        <f>INDEX($A$7:$A$33,MATCH(MAX(N7:N33),N7:N33,0))</f>
        <v/>
      </c>
      <c r="O36">
        <f>INDEX($A$7:$A$33,MATCH(MAX(O7:O33),O7:O33,0))</f>
        <v/>
      </c>
      <c r="P36">
        <f>INDEX($A$7:$A$33,MATCH(MAX(P7:P33),P7:P33,0))</f>
        <v/>
      </c>
      <c r="Q36">
        <f>INDEX($A$7:$A$33,MATCH(MAX(Q7:Q33),Q7:Q33,0))</f>
        <v/>
      </c>
      <c r="R36">
        <f>INDEX($A$7:$A$33,MATCH(MAX(R7:R33),R7:R33,0))</f>
        <v/>
      </c>
    </row>
    <row r="38">
      <c r="A38" t="inlineStr">
        <is>
          <t>Порожня клітинка = значення не опубліковано (наприклад, позначка u, низька надійність). Лідер = держава-член з найвищим опублікованим значенням. Посилання CSV завантажують повний ряд; фільтруйте за geo і TIME_PERIOD.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46" customWidth="1" min="3" max="3"/>
    <col width="7" customWidth="1" min="4" max="4"/>
    <col width="10" customWidth="1" min="5" max="5"/>
    <col width="60" customWidth="1" min="6" max="6"/>
    <col width="120" customWidth="1" min="7" max="7"/>
  </cols>
  <sheetData>
    <row r="1">
      <c r="A1" s="4" t="inlineStr">
        <is>
          <t>Державна служба статистики України, банк даних stat.gov.ua (SSSU:DF_INFORM_COMMUN_TECH_ENTRP): КВЕД 10-12, підприємства 10+, % підприємств</t>
        </is>
      </c>
    </row>
    <row r="3">
      <c r="A3" s="5" t="inlineStr">
        <is>
          <t>Показник</t>
        </is>
      </c>
      <c r="B3" s="5" t="inlineStr">
        <is>
          <t>Твердження</t>
        </is>
      </c>
      <c r="C3" s="5" t="inlineStr">
        <is>
          <t>Ряд Держстату</t>
        </is>
      </c>
      <c r="D3" s="5" t="inlineStr">
        <is>
          <t>Рік</t>
        </is>
      </c>
      <c r="E3" s="5" t="inlineStr">
        <is>
          <t>Значення, %</t>
        </is>
      </c>
      <c r="F3" s="5" t="inlineStr">
        <is>
          <t>Примітка</t>
        </is>
      </c>
      <c r="G3" s="5" t="inlineStr">
        <is>
          <t>Пряме завантаження (CSV)</t>
        </is>
      </c>
    </row>
    <row r="4">
      <c r="A4" t="inlineStr">
        <is>
          <t>ERP</t>
        </is>
      </c>
      <c r="B4" t="n">
        <v>1</v>
      </c>
      <c r="C4" t="inlineStr">
        <is>
          <t>SH_ENTRP_ERP_SOFTWARE/_T/_T</t>
        </is>
      </c>
      <c r="D4" t="n">
        <v>2025</v>
      </c>
      <c r="E4" s="7" t="n">
        <v>20.4</v>
      </c>
      <c r="F4" t="inlineStr"/>
      <c r="G4" t="inlineStr">
        <is>
          <t>https://stat.gov.ua/sdmx/workspaces/default:integration/registry/sdmx/3.0/data/dataflow/SSSU/DF_INFORM_COMMUN_TECH_ENTRP/~/SH_ENTRP_ERP_SOFTWARE.UA00000000000000000.*.*._T.C10-C12.A</t>
        </is>
      </c>
    </row>
    <row r="5">
      <c r="A5" t="inlineStr">
        <is>
          <t>IOT_PRODUCTION</t>
        </is>
      </c>
      <c r="B5" t="n">
        <v>2</v>
      </c>
      <c r="C5" t="inlineStr">
        <is>
          <t>SH_ENTRP_INTERNET_THINGS/PURPOSE_INTERNET_THINGS/PRODUCTION_PROCESSES</t>
        </is>
      </c>
      <c r="D5" t="n">
        <v>2022</v>
      </c>
      <c r="E5" s="7" t="n">
        <v>2.2</v>
      </c>
      <c r="F5" t="inlineStr">
        <is>
          <t>Інформацію сформовано на основі фактично поданих підприємствами звітів і додаткових оцінок показників.</t>
        </is>
      </c>
      <c r="G5" t="inlineStr">
        <is>
          <t>https://stat.gov.ua/sdmx/workspaces/default:integration/registry/sdmx/3.0/data/dataflow/SSSU/DF_INFORM_COMMUN_TECH_ENTRP/~/SH_ENTRP_INTERNET_THINGS.UA00000000000000000.*.*._T.C10-C12.A</t>
        </is>
      </c>
    </row>
    <row r="6">
      <c r="A6" t="inlineStr">
        <is>
          <t>ICT_SECURITY_DOCUMENT</t>
        </is>
      </c>
      <c r="B6" t="n">
        <v>3</v>
      </c>
      <c r="C6" t="inlineStr">
        <is>
          <t>SH_ENTRP_HAVE_DOCUMENT/_T/_T</t>
        </is>
      </c>
      <c r="D6" t="n">
        <v>2023</v>
      </c>
      <c r="E6" s="7" t="n">
        <v>7.3</v>
      </c>
      <c r="F6" t="inlineStr">
        <is>
          <t>Інформацію сформовано на основі фактично поданих підприємствами звітів і додаткових оцінок показників.</t>
        </is>
      </c>
      <c r="G6" t="inlineStr">
        <is>
          <t>https://stat.gov.ua/sdmx/workspaces/default:integration/registry/sdmx/3.0/data/dataflow/SSSU/DF_INFORM_COMMUN_TECH_ENTRP/~/SH_ENTRP_HAVE_DOCUMENT.UA00000000000000000.*.*._T.C10-C12.A</t>
        </is>
      </c>
    </row>
    <row r="7">
      <c r="A7" t="inlineStr">
        <is>
          <t>ICT_TRAINING_ICT_SPECIALISTS</t>
        </is>
      </c>
      <c r="B7" t="n">
        <v>5</v>
      </c>
      <c r="C7" t="inlineStr">
        <is>
          <t>ISOC_ENT_ICTT2_SH/DIRECTION_STUDY/FOR_ICT</t>
        </is>
      </c>
      <c r="D7" t="n">
        <v>2025</v>
      </c>
      <c r="E7" s="7" t="n">
        <v>5</v>
      </c>
      <c r="F7" t="inlineStr"/>
      <c r="G7" t="inlineStr">
        <is>
          <t>https://stat.gov.ua/sdmx/workspaces/default:integration/registry/sdmx/3.0/data/dataflow/SSSU/DF_INFORM_COMMUN_TECH_ENTRP/~/ISOC_ENT_ICTT2_SH.UA00000000000000000.*.*._T.C10-C12.A</t>
        </is>
      </c>
    </row>
    <row r="8">
      <c r="A8" t="inlineStr">
        <is>
          <t>ICT_TRAINING_OTHER_EMPLOYEES</t>
        </is>
      </c>
      <c r="B8" t="n">
        <v>5</v>
      </c>
      <c r="C8" t="inlineStr">
        <is>
          <t>SH_ENTRP_TRAIN_ICT_OTH/DIRECTION_STUDY/FOR_OTHER</t>
        </is>
      </c>
      <c r="D8" t="n">
        <v>2025</v>
      </c>
      <c r="E8" s="7" t="n">
        <v>6.5</v>
      </c>
      <c r="F8" t="inlineStr">
        <is>
          <t>джерело ISOC_ENT_ICTT2_SH/DIRECTION_STUDY/FOR_OTHER</t>
        </is>
      </c>
      <c r="G8" t="inlineStr">
        <is>
          <t>https://stat.gov.ua/sdmx/workspaces/default:integration/registry/sdmx/3.0/data/dataflow/SSSU/DF_INFORM_COMMUN_TECH_ENTRP/~/SH_ENTRP_TRAIN_ICT_OTH.UA00000000000000000.*.*._T.C10-C12.A</t>
        </is>
      </c>
    </row>
    <row r="9">
      <c r="A9" t="inlineStr">
        <is>
          <t>SUPPLY_CHAIN_DATA_EXCHANGE</t>
        </is>
      </c>
      <c r="B9" t="n">
        <v>7</v>
      </c>
      <c r="C9" t="inlineStr">
        <is>
          <t>SH_ENTRP_EXCHANG_DATA/_T/_T</t>
        </is>
      </c>
      <c r="D9" t="n">
        <v>2025</v>
      </c>
      <c r="E9" s="7" t="n">
        <v>31.6</v>
      </c>
      <c r="F9" t="inlineStr"/>
      <c r="G9" t="inlineStr">
        <is>
          <t>https://stat.gov.ua/sdmx/workspaces/default:integration/registry/sdmx/3.0/data/dataflow/SSSU/DF_INFORM_COMMUN_TECH_ENTRP/~/SH_ENTRP_EXCHANG_DATA.UA00000000000000000.*.*._T.C10-C12.A</t>
        </is>
      </c>
    </row>
    <row r="10">
      <c r="A10" t="inlineStr">
        <is>
          <t>DATA_ANALYTICS</t>
        </is>
      </c>
      <c r="B10" t="n">
        <v>8</v>
      </c>
      <c r="C10" t="inlineStr">
        <is>
          <t>SH_ENTRP_BIGDATA/_T/_T</t>
        </is>
      </c>
      <c r="D10" t="n">
        <v>2025</v>
      </c>
      <c r="E10" s="7" t="n">
        <v>21.3</v>
      </c>
      <c r="F10" t="inlineStr"/>
      <c r="G10" t="inlineStr">
        <is>
          <t>https://stat.gov.ua/sdmx/workspaces/default:integration/registry/sdmx/3.0/data/dataflow/SSSU/DF_INFORM_COMMUN_TECH_ENTRP/~/SH_ENTRP_BIGDATA.UA00000000000000000.*.*._T.C10-C12.A</t>
        </is>
      </c>
    </row>
    <row r="11">
      <c r="A11" t="inlineStr">
        <is>
          <t>IOT_ANY</t>
        </is>
      </c>
      <c r="B11" t="n">
        <v>9</v>
      </c>
      <c r="C11" t="inlineStr">
        <is>
          <t>SH_ENTRP_INTERNET_THINGS/_T/_T</t>
        </is>
      </c>
      <c r="D11" t="n">
        <v>2022</v>
      </c>
      <c r="E11" s="7" t="n">
        <v>9.4</v>
      </c>
      <c r="F11" t="inlineStr">
        <is>
          <t>Інформацію сформовано на основі фактично поданих підприємствами звітів і додаткових оцінок показників.</t>
        </is>
      </c>
      <c r="G11" t="inlineStr">
        <is>
          <t>https://stat.gov.ua/sdmx/workspaces/default:integration/registry/sdmx/3.0/data/dataflow/SSSU/DF_INFORM_COMMUN_TECH_ENTRP/~/SH_ENTRP_INTERNET_THINGS.UA00000000000000000.*.*._T.C10-C12.A</t>
        </is>
      </c>
    </row>
    <row r="12">
      <c r="A12" t="inlineStr">
        <is>
          <t>MOBILE_INTERNET</t>
        </is>
      </c>
      <c r="B12" t="n">
        <v>10</v>
      </c>
      <c r="C12" t="inlineStr">
        <is>
          <t>SH_ENTRP_MOBILE_TELEPHONE/_T/_T</t>
        </is>
      </c>
      <c r="D12" t="n">
        <v>2023</v>
      </c>
      <c r="E12" s="7" t="n">
        <v>45.9</v>
      </c>
      <c r="F12" t="inlineStr">
        <is>
          <t>Інформацію сформовано на основі фактично поданих підприємствами звітів і додаткових оцінок показників.</t>
        </is>
      </c>
      <c r="G12" t="inlineStr">
        <is>
          <t>https://stat.gov.ua/sdmx/workspaces/default:integration/registry/sdmx/3.0/data/dataflow/SSSU/DF_INFORM_COMMUN_TECH_ENTRP/~/SH_ENTRP_MOBILE_TELEPHONE.UA00000000000000000.*.*._T.C10-C12.A</t>
        </is>
      </c>
    </row>
    <row r="13">
      <c r="A13" t="inlineStr">
        <is>
          <t>PAID_CLOUD</t>
        </is>
      </c>
      <c r="B13" t="n">
        <v>11</v>
      </c>
      <c r="C13" t="inlineStr">
        <is>
          <t>SH_ENTRP_CLOUD/CLOUD_COMPUTING_TYPE/_T</t>
        </is>
      </c>
      <c r="D13" t="n">
        <v>2025</v>
      </c>
      <c r="E13" s="7" t="n">
        <v>16.9</v>
      </c>
      <c r="F13" t="inlineStr"/>
      <c r="G13" t="inlineStr">
        <is>
          <t>https://stat.gov.ua/sdmx/workspaces/default:integration/registry/sdmx/3.0/data/dataflow/SSSU/DF_INFORM_COMMUN_TECH_ENTRP/~/SH_ENTRP_CLOUD.UA00000000000000000.*.*._T.C10-C12.A</t>
        </is>
      </c>
    </row>
    <row r="14">
      <c r="A14" t="inlineStr">
        <is>
          <t>ECOMMERCE_SALES</t>
        </is>
      </c>
      <c r="B14" t="n">
        <v>13</v>
      </c>
      <c r="C14" t="inlineStr">
        <is>
          <t>SH_NMBR_ECOMMERCE/_T/_T</t>
        </is>
      </c>
      <c r="D14" t="n">
        <v>2025</v>
      </c>
      <c r="E14" s="7" t="n">
        <v>16.8</v>
      </c>
      <c r="F14" t="inlineStr"/>
      <c r="G14" t="inlineStr">
        <is>
          <t>https://stat.gov.ua/sdmx/workspaces/default:integration/registry/sdmx/3.0/data/dataflow/SSSU/DF_INFORM_COMMUN_TECH_ENTRP/~/SH_NMBR_ECOMMERCE.UA00000000000000000.*.*._T.C10-C12.A</t>
        </is>
      </c>
    </row>
    <row r="15">
      <c r="A15" t="inlineStr">
        <is>
          <t>WEBSITE</t>
        </is>
      </c>
      <c r="B15" t="n">
        <v>13</v>
      </c>
      <c r="C15" t="inlineStr">
        <is>
          <t>SH_ENTRP_WEBSITE/_T/_T</t>
        </is>
      </c>
      <c r="D15" t="n">
        <v>2025</v>
      </c>
      <c r="E15" s="7" t="n">
        <v>43</v>
      </c>
      <c r="F15" t="inlineStr"/>
      <c r="G15" t="inlineStr">
        <is>
          <t>https://stat.gov.ua/sdmx/workspaces/default:integration/registry/sdmx/3.0/data/dataflow/SSSU/DF_INFORM_COMMUN_TECH_ENTRP/~/SH_ENTRP_WEBSITE.UA00000000000000000.*.*._T.C10-C12.A</t>
        </is>
      </c>
    </row>
    <row r="16">
      <c r="A16" t="inlineStr">
        <is>
          <t>CRM</t>
        </is>
      </c>
      <c r="B16" t="n">
        <v>14</v>
      </c>
      <c r="C16" t="inlineStr">
        <is>
          <t>SH_ENTRP_CRM_SOFTWARE/_T/_T</t>
        </is>
      </c>
      <c r="D16" t="n">
        <v>2025</v>
      </c>
      <c r="E16" s="7" t="n">
        <v>6.9</v>
      </c>
      <c r="F16" t="inlineStr"/>
      <c r="G16" t="inlineStr">
        <is>
          <t>https://stat.gov.ua/sdmx/workspaces/default:integration/registry/sdmx/3.0/data/dataflow/SSSU/DF_INFORM_COMMUN_TECH_ENTRP/~/SH_ENTRP_CRM_SOFTWARE.UA00000000000000000.*.*._T.C10-C12.A</t>
        </is>
      </c>
    </row>
    <row r="17">
      <c r="A17" t="inlineStr">
        <is>
          <t>EINVOICE_AUTOMATED</t>
        </is>
      </c>
      <c r="B17" t="n">
        <v>16</v>
      </c>
      <c r="C17" t="inlineStr">
        <is>
          <t>SH_ENTRP_INV/TYPES_ACCOUNTS/ELECTRO_STRUCT_AUTO</t>
        </is>
      </c>
      <c r="D17" t="n">
        <v>2025</v>
      </c>
      <c r="E17" s="7" t="n">
        <v>37.8</v>
      </c>
      <c r="F17" t="inlineStr"/>
      <c r="G17" t="inlineStr">
        <is>
          <t>https://stat.gov.ua/sdmx/workspaces/default:integration/registry/sdmx/3.0/data/dataflow/SSSU/DF_INFORM_COMMUN_TECH_ENTRP/~/SH_ENTRP_INV.UA00000000000000000.*.*._T.C10-C12.A</t>
        </is>
      </c>
    </row>
    <row r="18">
      <c r="A18" t="inlineStr">
        <is>
          <t>BI</t>
        </is>
      </c>
      <c r="B18" t="n">
        <v>18</v>
      </c>
      <c r="C18" t="inlineStr">
        <is>
          <t>SH_ENTRP_BI/_T/_T</t>
        </is>
      </c>
      <c r="D18" t="n">
        <v>2025</v>
      </c>
      <c r="E18" s="7" t="n">
        <v>6.6</v>
      </c>
      <c r="F18" t="inlineStr"/>
      <c r="G18" t="inlineStr">
        <is>
          <t>https://stat.gov.ua/sdmx/workspaces/default:integration/registry/sdmx/3.0/data/dataflow/SSSU/DF_INFORM_COMMUN_TECH_ENTRP/~/SH_ENTRP_BI.UA00000000000000000.*.*._T.C10-C12.A</t>
        </is>
      </c>
    </row>
    <row r="19">
      <c r="A19" t="inlineStr">
        <is>
          <t>AI_ANY</t>
        </is>
      </c>
      <c r="B19" t="n">
        <v>19</v>
      </c>
      <c r="C19" t="inlineStr">
        <is>
          <t>SH_ENTRP_AI_TECHNOLOGIES/_T/_T</t>
        </is>
      </c>
      <c r="D19" t="n">
        <v>2025</v>
      </c>
      <c r="E19" s="7" t="n">
        <v>5</v>
      </c>
      <c r="F19" t="inlineStr"/>
      <c r="G19" t="inlineStr">
        <is>
          <t>https://stat.gov.ua/sdmx/workspaces/default:integration/registry/sdmx/3.0/data/dataflow/SSSU/DF_INFORM_COMMUN_TECH_ENTRP/~/SH_ENTRP_AI_TECHNOLOGIES.UA00000000000000000.*.*._T.C10-C12.A</t>
        </is>
      </c>
    </row>
    <row r="20">
      <c r="A20" t="inlineStr">
        <is>
          <t>DII_BASIC_V3</t>
        </is>
      </c>
      <c r="B20" t="n">
        <v>20</v>
      </c>
      <c r="C20" t="inlineStr">
        <is>
          <t>SH_ENTRP_BASIC_DIGITAL/_T/_T</t>
        </is>
      </c>
      <c r="D20" t="n">
        <v>2025</v>
      </c>
      <c r="E20" s="7" t="n">
        <v>27.8</v>
      </c>
      <c r="F20" t="inlineStr"/>
      <c r="G20" t="inlineStr">
        <is>
          <t>https://stat.gov.ua/sdmx/workspaces/default:integration/registry/sdmx/3.0/data/dataflow/SSSU/DF_INFORM_COMMUN_TECH_ENTRP/~/SH_ENTRP_BASIC_DIGITAL.UA00000000000000000.*.*._T.C10-C12.A</t>
        </is>
      </c>
    </row>
    <row r="22">
      <c r="A22" t="inlineStr">
        <is>
          <t>Кожне посилання завантажує CSV з усіма роками й розрізами (стовпці BREAKDOWN_CATEGORY, BREAKDOWN, TIME_PERIOD, OBS_VALUE). Інтерактивна таблиця: https://stat.gov.ua/uk/explorer?urn=SSSU%3ADF_INFORM_COMMUN_TECH_ENTRP%28~%29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4" t="inlineStr">
        <is>
          <t>Таблиця 4. Діагностичні ситуації ADMA (ілюстративні профілі)</t>
        </is>
      </c>
    </row>
    <row r="3">
      <c r="A3" s="5" t="inlineStr">
        <is>
          <t>Ситуація</t>
        </is>
      </c>
      <c r="B3" s="5" t="inlineStr">
        <is>
          <t>DM_C</t>
        </is>
      </c>
      <c r="C3" s="5" t="inlineStr">
        <is>
          <t>DM_L1</t>
        </is>
      </c>
      <c r="D3" s="5" t="inlineStr">
        <is>
          <t>DM_L2</t>
        </is>
      </c>
      <c r="E3" s="5" t="inlineStr">
        <is>
          <t>DM_L3</t>
        </is>
      </c>
      <c r="F3" s="5" t="inlineStr">
        <is>
          <t>DM_L4</t>
        </is>
      </c>
      <c r="G3" s="5" t="inlineStr">
        <is>
          <t>DM_I</t>
        </is>
      </c>
      <c r="H3" s="5" t="inlineStr">
        <is>
          <t>DM_S</t>
        </is>
      </c>
      <c r="I3" s="5" t="inlineStr">
        <is>
          <t>ADMI_base</t>
        </is>
      </c>
      <c r="J3" s="5" t="inlineStr">
        <is>
          <t>DM_min</t>
        </is>
      </c>
      <c r="K3" s="5" t="inlineStr">
        <is>
          <t>Штраф</t>
        </is>
      </c>
      <c r="L3" s="5" t="inlineStr">
        <is>
          <t>ADMI</t>
        </is>
      </c>
      <c r="M3" s="5" t="inlineStr">
        <is>
          <t>Рівень за ADMI</t>
        </is>
      </c>
      <c r="N3" s="5" t="inlineStr">
        <is>
          <t>Скаляр з DM_I</t>
        </is>
      </c>
      <c r="O3" s="5" t="inlineStr">
        <is>
          <t>Рівень за скаляром</t>
        </is>
      </c>
    </row>
    <row r="4">
      <c r="A4" t="inlineStr">
        <is>
          <t>Пастка відповідності</t>
        </is>
      </c>
      <c r="B4" s="6" t="n">
        <v>0.7</v>
      </c>
      <c r="C4" s="6" t="n">
        <v>0.4</v>
      </c>
      <c r="D4" s="6" t="n">
        <v>0.45</v>
      </c>
      <c r="E4" s="6" t="n">
        <v>0.05</v>
      </c>
      <c r="F4" s="6" t="n">
        <v>0.6</v>
      </c>
      <c r="G4" s="6" t="n">
        <v>0.3</v>
      </c>
      <c r="H4" s="6" t="n">
        <v>0.4</v>
      </c>
      <c r="I4">
        <f>AVERAGE(B4:F4)</f>
        <v/>
      </c>
      <c r="J4">
        <f>MIN(B4:F4)</f>
        <v/>
      </c>
      <c r="K4">
        <f>1-alpha*MAX(0,delta-J4)</f>
        <v/>
      </c>
      <c r="L4">
        <f>I4*K4</f>
        <v/>
      </c>
      <c r="M4">
        <f>1+COUNTIF(bounds,"&lt;"&amp;ROUND(L4,12))</f>
        <v/>
      </c>
      <c r="N4">
        <f>AVERAGE(B4:G4)</f>
        <v/>
      </c>
      <c r="O4">
        <f>1+COUNTIF(bounds,"&lt;"&amp;ROUND(N4,12))</f>
        <v/>
      </c>
    </row>
    <row r="5">
      <c r="A5" t="inlineStr">
        <is>
          <t>Зовнішній тиск ЄС</t>
        </is>
      </c>
      <c r="B5" s="6" t="n">
        <v>0.35</v>
      </c>
      <c r="C5" s="6" t="n">
        <v>0.3</v>
      </c>
      <c r="D5" s="6" t="n">
        <v>0.35</v>
      </c>
      <c r="E5" s="6" t="n">
        <v>0.3</v>
      </c>
      <c r="F5" s="6" t="n">
        <v>0.7</v>
      </c>
      <c r="G5" s="6" t="n">
        <v>0.15</v>
      </c>
      <c r="H5" s="6" t="n">
        <v>0.3</v>
      </c>
      <c r="I5">
        <f>AVERAGE(B5:F5)</f>
        <v/>
      </c>
      <c r="J5">
        <f>MIN(B5:F5)</f>
        <v/>
      </c>
      <c r="K5">
        <f>1-alpha*MAX(0,delta-J5)</f>
        <v/>
      </c>
      <c r="L5">
        <f>I5*K5</f>
        <v/>
      </c>
      <c r="M5">
        <f>1+COUNTIF(bounds,"&lt;"&amp;ROUND(L5,12))</f>
        <v/>
      </c>
      <c r="N5">
        <f>AVERAGE(B5:G5)</f>
        <v/>
      </c>
      <c r="O5">
        <f>1+COUNTIF(bounds,"&lt;"&amp;ROUND(N5,12))</f>
        <v/>
      </c>
    </row>
    <row r="6">
      <c r="A6" t="inlineStr">
        <is>
          <t>Обмежувач абсорбційної здатності</t>
        </is>
      </c>
      <c r="B6" s="6" t="n">
        <v>0.55</v>
      </c>
      <c r="C6" s="6" t="n">
        <v>0.1</v>
      </c>
      <c r="D6" s="6" t="n">
        <v>0.45</v>
      </c>
      <c r="E6" s="6" t="n">
        <v>0.45</v>
      </c>
      <c r="F6" s="6" t="n">
        <v>0.5</v>
      </c>
      <c r="G6" s="6" t="n">
        <v>0.35</v>
      </c>
      <c r="H6" s="6" t="n">
        <v>0.4</v>
      </c>
      <c r="I6">
        <f>AVERAGE(B6:F6)</f>
        <v/>
      </c>
      <c r="J6">
        <f>MIN(B6:F6)</f>
        <v/>
      </c>
      <c r="K6">
        <f>1-alpha*MAX(0,delta-J6)</f>
        <v/>
      </c>
      <c r="L6">
        <f>I6*K6</f>
        <v/>
      </c>
      <c r="M6">
        <f>1+COUNTIF(bounds,"&lt;"&amp;ROUND(L6,12))</f>
        <v/>
      </c>
      <c r="N6">
        <f>AVERAGE(B6:G6)</f>
        <v/>
      </c>
      <c r="O6">
        <f>1+COUNTIF(bounds,"&lt;"&amp;ROUND(N6,12))</f>
        <v/>
      </c>
    </row>
    <row r="7">
      <c r="A7" t="inlineStr">
        <is>
          <t>Усвідомлена невідповідність</t>
        </is>
      </c>
      <c r="B7" s="6" t="n">
        <v>0.3</v>
      </c>
      <c r="C7" s="6" t="n">
        <v>0.25</v>
      </c>
      <c r="D7" s="6" t="n">
        <v>0.25</v>
      </c>
      <c r="E7" s="6" t="n">
        <v>0.3</v>
      </c>
      <c r="F7" s="6" t="n">
        <v>0.25</v>
      </c>
      <c r="G7" s="6" t="n">
        <v>0.2</v>
      </c>
      <c r="H7" s="6" t="n">
        <v>0.75</v>
      </c>
      <c r="I7">
        <f>AVERAGE(B7:F7)</f>
        <v/>
      </c>
      <c r="J7">
        <f>MIN(B7:F7)</f>
        <v/>
      </c>
      <c r="K7">
        <f>1-alpha*MAX(0,delta-J7)</f>
        <v/>
      </c>
      <c r="L7">
        <f>I7*K7</f>
        <v/>
      </c>
      <c r="M7">
        <f>1+COUNTIF(bounds,"&lt;"&amp;ROUND(L7,12))</f>
        <v/>
      </c>
      <c r="N7">
        <f>AVERAGE(B7:G7)</f>
        <v/>
      </c>
      <c r="O7">
        <f>1+COUNTIF(bounds,"&lt;"&amp;ROUND(N7,12))</f>
        <v/>
      </c>
    </row>
    <row r="8">
      <c r="A8" t="inlineStr">
        <is>
          <t>Ілюзія зрілості</t>
        </is>
      </c>
      <c r="B8" s="6" t="n">
        <v>0.55</v>
      </c>
      <c r="C8" s="6" t="n">
        <v>0.55</v>
      </c>
      <c r="D8" s="6" t="n">
        <v>0.55</v>
      </c>
      <c r="E8" s="6" t="n">
        <v>0.55</v>
      </c>
      <c r="F8" s="6" t="n">
        <v>0.55</v>
      </c>
      <c r="G8" s="6" t="n">
        <v>0.15</v>
      </c>
      <c r="H8" s="6" t="n">
        <v>0.5</v>
      </c>
      <c r="I8">
        <f>AVERAGE(B8:F8)</f>
        <v/>
      </c>
      <c r="J8">
        <f>MIN(B8:F8)</f>
        <v/>
      </c>
      <c r="K8">
        <f>1-alpha*MAX(0,delta-J8)</f>
        <v/>
      </c>
      <c r="L8">
        <f>I8*K8</f>
        <v/>
      </c>
      <c r="M8">
        <f>1+COUNTIF(bounds,"&lt;"&amp;ROUND(L8,12))</f>
        <v/>
      </c>
      <c r="N8">
        <f>AVERAGE(B8:G8)</f>
        <v/>
      </c>
      <c r="O8">
        <f>1+COUNTIF(bounds,"&lt;"&amp;ROUND(N8,12))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Рівняння (7): рівень знижується через межу b тоді й лише тоді, коли b &lt; ADMI_base &lt;= b / P(DM_min)</t>
        </is>
      </c>
    </row>
    <row r="2">
      <c r="A2" t="inlineStr">
        <is>
          <t>Верхню межу також обмежує (4 + DM_min) / 5 - найбільший можливий базовий індекс, коли найслабший шар дорівнює DM_min.</t>
        </is>
      </c>
    </row>
    <row r="3">
      <c r="A3" s="5" t="inlineStr">
        <is>
          <t>Межа b</t>
        </is>
      </c>
      <c r="B3" s="5" t="inlineStr">
        <is>
          <t>DM_min</t>
        </is>
      </c>
      <c r="C3" s="5" t="inlineStr">
        <is>
          <t>Штраф P</t>
        </is>
      </c>
      <c r="D3" s="5" t="inlineStr">
        <is>
          <t>ADMI_base від</t>
        </is>
      </c>
      <c r="E3" s="5" t="inlineStr">
        <is>
          <t>ADMI_base до</t>
        </is>
      </c>
      <c r="F3" s="5" t="inlineStr">
        <is>
          <t>Ширина смуги</t>
        </is>
      </c>
    </row>
    <row r="4">
      <c r="A4">
        <f>INDEX(bounds,1)</f>
        <v/>
      </c>
      <c r="B4" t="n">
        <v>0</v>
      </c>
      <c r="C4">
        <f>1-alpha*MAX(0,delta-B4)</f>
        <v/>
      </c>
      <c r="D4">
        <f>A4</f>
        <v/>
      </c>
      <c r="E4">
        <f>MIN(A4/C4,(4+B4)/5)</f>
        <v/>
      </c>
      <c r="F4">
        <f>MAX(0,E4-A4)</f>
        <v/>
      </c>
    </row>
    <row r="5">
      <c r="A5">
        <f>INDEX(bounds,1)</f>
        <v/>
      </c>
      <c r="B5" t="n">
        <v>0.025</v>
      </c>
      <c r="C5">
        <f>1-alpha*MAX(0,delta-B5)</f>
        <v/>
      </c>
      <c r="D5">
        <f>A5</f>
        <v/>
      </c>
      <c r="E5">
        <f>MIN(A5/C5,(4+B5)/5)</f>
        <v/>
      </c>
      <c r="F5">
        <f>MAX(0,E5-A5)</f>
        <v/>
      </c>
    </row>
    <row r="6">
      <c r="A6">
        <f>INDEX(bounds,1)</f>
        <v/>
      </c>
      <c r="B6" t="n">
        <v>0.05</v>
      </c>
      <c r="C6">
        <f>1-alpha*MAX(0,delta-B6)</f>
        <v/>
      </c>
      <c r="D6">
        <f>A6</f>
        <v/>
      </c>
      <c r="E6">
        <f>MIN(A6/C6,(4+B6)/5)</f>
        <v/>
      </c>
      <c r="F6">
        <f>MAX(0,E6-A6)</f>
        <v/>
      </c>
    </row>
    <row r="7">
      <c r="A7">
        <f>INDEX(bounds,1)</f>
        <v/>
      </c>
      <c r="B7" t="n">
        <v>0.075</v>
      </c>
      <c r="C7">
        <f>1-alpha*MAX(0,delta-B7)</f>
        <v/>
      </c>
      <c r="D7">
        <f>A7</f>
        <v/>
      </c>
      <c r="E7">
        <f>MIN(A7/C7,(4+B7)/5)</f>
        <v/>
      </c>
      <c r="F7">
        <f>MAX(0,E7-A7)</f>
        <v/>
      </c>
    </row>
    <row r="8">
      <c r="A8">
        <f>INDEX(bounds,1)</f>
        <v/>
      </c>
      <c r="B8" t="n">
        <v>0.1</v>
      </c>
      <c r="C8">
        <f>1-alpha*MAX(0,delta-B8)</f>
        <v/>
      </c>
      <c r="D8">
        <f>A8</f>
        <v/>
      </c>
      <c r="E8">
        <f>MIN(A8/C8,(4+B8)/5)</f>
        <v/>
      </c>
      <c r="F8">
        <f>MAX(0,E8-A8)</f>
        <v/>
      </c>
    </row>
    <row r="9">
      <c r="A9">
        <f>INDEX(bounds,1)</f>
        <v/>
      </c>
      <c r="B9" t="n">
        <v>0.125</v>
      </c>
      <c r="C9">
        <f>1-alpha*MAX(0,delta-B9)</f>
        <v/>
      </c>
      <c r="D9">
        <f>A9</f>
        <v/>
      </c>
      <c r="E9">
        <f>MIN(A9/C9,(4+B9)/5)</f>
        <v/>
      </c>
      <c r="F9">
        <f>MAX(0,E9-A9)</f>
        <v/>
      </c>
    </row>
    <row r="10">
      <c r="A10">
        <f>INDEX(bounds,1)</f>
        <v/>
      </c>
      <c r="B10" t="n">
        <v>0.15</v>
      </c>
      <c r="C10">
        <f>1-alpha*MAX(0,delta-B10)</f>
        <v/>
      </c>
      <c r="D10">
        <f>A10</f>
        <v/>
      </c>
      <c r="E10">
        <f>MIN(A10/C10,(4+B10)/5)</f>
        <v/>
      </c>
      <c r="F10">
        <f>MAX(0,E10-A10)</f>
        <v/>
      </c>
    </row>
    <row r="11">
      <c r="A11">
        <f>INDEX(bounds,1)</f>
        <v/>
      </c>
      <c r="B11" t="n">
        <v>0.175</v>
      </c>
      <c r="C11">
        <f>1-alpha*MAX(0,delta-B11)</f>
        <v/>
      </c>
      <c r="D11">
        <f>A11</f>
        <v/>
      </c>
      <c r="E11">
        <f>MIN(A11/C11,(4+B11)/5)</f>
        <v/>
      </c>
      <c r="F11">
        <f>MAX(0,E11-A11)</f>
        <v/>
      </c>
    </row>
    <row r="12">
      <c r="A12">
        <f>INDEX(bounds,1)</f>
        <v/>
      </c>
      <c r="B12" t="n">
        <v>0.2</v>
      </c>
      <c r="C12">
        <f>1-alpha*MAX(0,delta-B12)</f>
        <v/>
      </c>
      <c r="D12">
        <f>A12</f>
        <v/>
      </c>
      <c r="E12">
        <f>MIN(A12/C12,(4+B12)/5)</f>
        <v/>
      </c>
      <c r="F12">
        <f>MAX(0,E12-A12)</f>
        <v/>
      </c>
    </row>
    <row r="13">
      <c r="A13">
        <f>INDEX(bounds,1)</f>
        <v/>
      </c>
      <c r="B13" t="n">
        <v>0.225</v>
      </c>
      <c r="C13">
        <f>1-alpha*MAX(0,delta-B13)</f>
        <v/>
      </c>
      <c r="D13">
        <f>A13</f>
        <v/>
      </c>
      <c r="E13">
        <f>MIN(A13/C13,(4+B13)/5)</f>
        <v/>
      </c>
      <c r="F13">
        <f>MAX(0,E13-A13)</f>
        <v/>
      </c>
    </row>
    <row r="14">
      <c r="A14">
        <f>INDEX(bounds,1)</f>
        <v/>
      </c>
      <c r="B14" t="n">
        <v>0.25</v>
      </c>
      <c r="C14">
        <f>1-alpha*MAX(0,delta-B14)</f>
        <v/>
      </c>
      <c r="D14">
        <f>A14</f>
        <v/>
      </c>
      <c r="E14">
        <f>MIN(A14/C14,(4+B14)/5)</f>
        <v/>
      </c>
      <c r="F14">
        <f>MAX(0,E14-A14)</f>
        <v/>
      </c>
    </row>
    <row r="15">
      <c r="A15">
        <f>INDEX(bounds,1)</f>
        <v/>
      </c>
      <c r="B15" t="n">
        <v>0.275</v>
      </c>
      <c r="C15">
        <f>1-alpha*MAX(0,delta-B15)</f>
        <v/>
      </c>
      <c r="D15">
        <f>A15</f>
        <v/>
      </c>
      <c r="E15">
        <f>MIN(A15/C15,(4+B15)/5)</f>
        <v/>
      </c>
      <c r="F15">
        <f>MAX(0,E15-A15)</f>
        <v/>
      </c>
    </row>
    <row r="16">
      <c r="A16">
        <f>INDEX(bounds,1)</f>
        <v/>
      </c>
      <c r="B16" t="n">
        <v>0.3</v>
      </c>
      <c r="C16">
        <f>1-alpha*MAX(0,delta-B16)</f>
        <v/>
      </c>
      <c r="D16">
        <f>A16</f>
        <v/>
      </c>
      <c r="E16">
        <f>MIN(A16/C16,(4+B16)/5)</f>
        <v/>
      </c>
      <c r="F16">
        <f>MAX(0,E16-A16)</f>
        <v/>
      </c>
    </row>
    <row r="17">
      <c r="A17">
        <f>INDEX(bounds,1)</f>
        <v/>
      </c>
      <c r="B17" t="n">
        <v>0.325</v>
      </c>
      <c r="C17">
        <f>1-alpha*MAX(0,delta-B17)</f>
        <v/>
      </c>
      <c r="D17">
        <f>A17</f>
        <v/>
      </c>
      <c r="E17">
        <f>MIN(A17/C17,(4+B17)/5)</f>
        <v/>
      </c>
      <c r="F17">
        <f>MAX(0,E17-A17)</f>
        <v/>
      </c>
    </row>
    <row r="18">
      <c r="A18">
        <f>INDEX(bounds,1)</f>
        <v/>
      </c>
      <c r="B18" t="n">
        <v>0.35</v>
      </c>
      <c r="C18">
        <f>1-alpha*MAX(0,delta-B18)</f>
        <v/>
      </c>
      <c r="D18">
        <f>A18</f>
        <v/>
      </c>
      <c r="E18">
        <f>MIN(A18/C18,(4+B18)/5)</f>
        <v/>
      </c>
      <c r="F18">
        <f>MAX(0,E18-A18)</f>
        <v/>
      </c>
    </row>
    <row r="19">
      <c r="A19">
        <f>INDEX(bounds,1)</f>
        <v/>
      </c>
      <c r="B19" t="n">
        <v>0.375</v>
      </c>
      <c r="C19">
        <f>1-alpha*MAX(0,delta-B19)</f>
        <v/>
      </c>
      <c r="D19">
        <f>A19</f>
        <v/>
      </c>
      <c r="E19">
        <f>MIN(A19/C19,(4+B19)/5)</f>
        <v/>
      </c>
      <c r="F19">
        <f>MAX(0,E19-A19)</f>
        <v/>
      </c>
    </row>
    <row r="20">
      <c r="A20">
        <f>INDEX(bounds,2)</f>
        <v/>
      </c>
      <c r="B20" t="n">
        <v>0</v>
      </c>
      <c r="C20">
        <f>1-alpha*MAX(0,delta-B20)</f>
        <v/>
      </c>
      <c r="D20">
        <f>A20</f>
        <v/>
      </c>
      <c r="E20">
        <f>MIN(A20/C20,(4+B20)/5)</f>
        <v/>
      </c>
      <c r="F20">
        <f>MAX(0,E20-A20)</f>
        <v/>
      </c>
    </row>
    <row r="21">
      <c r="A21">
        <f>INDEX(bounds,2)</f>
        <v/>
      </c>
      <c r="B21" t="n">
        <v>0.025</v>
      </c>
      <c r="C21">
        <f>1-alpha*MAX(0,delta-B21)</f>
        <v/>
      </c>
      <c r="D21">
        <f>A21</f>
        <v/>
      </c>
      <c r="E21">
        <f>MIN(A21/C21,(4+B21)/5)</f>
        <v/>
      </c>
      <c r="F21">
        <f>MAX(0,E21-A21)</f>
        <v/>
      </c>
    </row>
    <row r="22">
      <c r="A22">
        <f>INDEX(bounds,2)</f>
        <v/>
      </c>
      <c r="B22" t="n">
        <v>0.05</v>
      </c>
      <c r="C22">
        <f>1-alpha*MAX(0,delta-B22)</f>
        <v/>
      </c>
      <c r="D22">
        <f>A22</f>
        <v/>
      </c>
      <c r="E22">
        <f>MIN(A22/C22,(4+B22)/5)</f>
        <v/>
      </c>
      <c r="F22">
        <f>MAX(0,E22-A22)</f>
        <v/>
      </c>
    </row>
    <row r="23">
      <c r="A23">
        <f>INDEX(bounds,2)</f>
        <v/>
      </c>
      <c r="B23" t="n">
        <v>0.075</v>
      </c>
      <c r="C23">
        <f>1-alpha*MAX(0,delta-B23)</f>
        <v/>
      </c>
      <c r="D23">
        <f>A23</f>
        <v/>
      </c>
      <c r="E23">
        <f>MIN(A23/C23,(4+B23)/5)</f>
        <v/>
      </c>
      <c r="F23">
        <f>MAX(0,E23-A23)</f>
        <v/>
      </c>
    </row>
    <row r="24">
      <c r="A24">
        <f>INDEX(bounds,2)</f>
        <v/>
      </c>
      <c r="B24" t="n">
        <v>0.1</v>
      </c>
      <c r="C24">
        <f>1-alpha*MAX(0,delta-B24)</f>
        <v/>
      </c>
      <c r="D24">
        <f>A24</f>
        <v/>
      </c>
      <c r="E24">
        <f>MIN(A24/C24,(4+B24)/5)</f>
        <v/>
      </c>
      <c r="F24">
        <f>MAX(0,E24-A24)</f>
        <v/>
      </c>
    </row>
    <row r="25">
      <c r="A25">
        <f>INDEX(bounds,2)</f>
        <v/>
      </c>
      <c r="B25" t="n">
        <v>0.125</v>
      </c>
      <c r="C25">
        <f>1-alpha*MAX(0,delta-B25)</f>
        <v/>
      </c>
      <c r="D25">
        <f>A25</f>
        <v/>
      </c>
      <c r="E25">
        <f>MIN(A25/C25,(4+B25)/5)</f>
        <v/>
      </c>
      <c r="F25">
        <f>MAX(0,E25-A25)</f>
        <v/>
      </c>
    </row>
    <row r="26">
      <c r="A26">
        <f>INDEX(bounds,2)</f>
        <v/>
      </c>
      <c r="B26" t="n">
        <v>0.15</v>
      </c>
      <c r="C26">
        <f>1-alpha*MAX(0,delta-B26)</f>
        <v/>
      </c>
      <c r="D26">
        <f>A26</f>
        <v/>
      </c>
      <c r="E26">
        <f>MIN(A26/C26,(4+B26)/5)</f>
        <v/>
      </c>
      <c r="F26">
        <f>MAX(0,E26-A26)</f>
        <v/>
      </c>
    </row>
    <row r="27">
      <c r="A27">
        <f>INDEX(bounds,2)</f>
        <v/>
      </c>
      <c r="B27" t="n">
        <v>0.175</v>
      </c>
      <c r="C27">
        <f>1-alpha*MAX(0,delta-B27)</f>
        <v/>
      </c>
      <c r="D27">
        <f>A27</f>
        <v/>
      </c>
      <c r="E27">
        <f>MIN(A27/C27,(4+B27)/5)</f>
        <v/>
      </c>
      <c r="F27">
        <f>MAX(0,E27-A27)</f>
        <v/>
      </c>
    </row>
    <row r="28">
      <c r="A28">
        <f>INDEX(bounds,2)</f>
        <v/>
      </c>
      <c r="B28" t="n">
        <v>0.2</v>
      </c>
      <c r="C28">
        <f>1-alpha*MAX(0,delta-B28)</f>
        <v/>
      </c>
      <c r="D28">
        <f>A28</f>
        <v/>
      </c>
      <c r="E28">
        <f>MIN(A28/C28,(4+B28)/5)</f>
        <v/>
      </c>
      <c r="F28">
        <f>MAX(0,E28-A28)</f>
        <v/>
      </c>
    </row>
    <row r="29">
      <c r="A29">
        <f>INDEX(bounds,2)</f>
        <v/>
      </c>
      <c r="B29" t="n">
        <v>0.225</v>
      </c>
      <c r="C29">
        <f>1-alpha*MAX(0,delta-B29)</f>
        <v/>
      </c>
      <c r="D29">
        <f>A29</f>
        <v/>
      </c>
      <c r="E29">
        <f>MIN(A29/C29,(4+B29)/5)</f>
        <v/>
      </c>
      <c r="F29">
        <f>MAX(0,E29-A29)</f>
        <v/>
      </c>
    </row>
    <row r="30">
      <c r="A30">
        <f>INDEX(bounds,2)</f>
        <v/>
      </c>
      <c r="B30" t="n">
        <v>0.25</v>
      </c>
      <c r="C30">
        <f>1-alpha*MAX(0,delta-B30)</f>
        <v/>
      </c>
      <c r="D30">
        <f>A30</f>
        <v/>
      </c>
      <c r="E30">
        <f>MIN(A30/C30,(4+B30)/5)</f>
        <v/>
      </c>
      <c r="F30">
        <f>MAX(0,E30-A30)</f>
        <v/>
      </c>
    </row>
    <row r="31">
      <c r="A31">
        <f>INDEX(bounds,2)</f>
        <v/>
      </c>
      <c r="B31" t="n">
        <v>0.275</v>
      </c>
      <c r="C31">
        <f>1-alpha*MAX(0,delta-B31)</f>
        <v/>
      </c>
      <c r="D31">
        <f>A31</f>
        <v/>
      </c>
      <c r="E31">
        <f>MIN(A31/C31,(4+B31)/5)</f>
        <v/>
      </c>
      <c r="F31">
        <f>MAX(0,E31-A31)</f>
        <v/>
      </c>
    </row>
    <row r="32">
      <c r="A32">
        <f>INDEX(bounds,2)</f>
        <v/>
      </c>
      <c r="B32" t="n">
        <v>0.3</v>
      </c>
      <c r="C32">
        <f>1-alpha*MAX(0,delta-B32)</f>
        <v/>
      </c>
      <c r="D32">
        <f>A32</f>
        <v/>
      </c>
      <c r="E32">
        <f>MIN(A32/C32,(4+B32)/5)</f>
        <v/>
      </c>
      <c r="F32">
        <f>MAX(0,E32-A32)</f>
        <v/>
      </c>
    </row>
    <row r="33">
      <c r="A33">
        <f>INDEX(bounds,2)</f>
        <v/>
      </c>
      <c r="B33" t="n">
        <v>0.325</v>
      </c>
      <c r="C33">
        <f>1-alpha*MAX(0,delta-B33)</f>
        <v/>
      </c>
      <c r="D33">
        <f>A33</f>
        <v/>
      </c>
      <c r="E33">
        <f>MIN(A33/C33,(4+B33)/5)</f>
        <v/>
      </c>
      <c r="F33">
        <f>MAX(0,E33-A33)</f>
        <v/>
      </c>
    </row>
    <row r="34">
      <c r="A34">
        <f>INDEX(bounds,2)</f>
        <v/>
      </c>
      <c r="B34" t="n">
        <v>0.35</v>
      </c>
      <c r="C34">
        <f>1-alpha*MAX(0,delta-B34)</f>
        <v/>
      </c>
      <c r="D34">
        <f>A34</f>
        <v/>
      </c>
      <c r="E34">
        <f>MIN(A34/C34,(4+B34)/5)</f>
        <v/>
      </c>
      <c r="F34">
        <f>MAX(0,E34-A34)</f>
        <v/>
      </c>
    </row>
    <row r="35">
      <c r="A35">
        <f>INDEX(bounds,2)</f>
        <v/>
      </c>
      <c r="B35" t="n">
        <v>0.375</v>
      </c>
      <c r="C35">
        <f>1-alpha*MAX(0,delta-B35)</f>
        <v/>
      </c>
      <c r="D35">
        <f>A35</f>
        <v/>
      </c>
      <c r="E35">
        <f>MIN(A35/C35,(4+B35)/5)</f>
        <v/>
      </c>
      <c r="F35">
        <f>MAX(0,E35-A35)</f>
        <v/>
      </c>
    </row>
    <row r="36">
      <c r="A36">
        <f>INDEX(bounds,3)</f>
        <v/>
      </c>
      <c r="B36" t="n">
        <v>0</v>
      </c>
      <c r="C36">
        <f>1-alpha*MAX(0,delta-B36)</f>
        <v/>
      </c>
      <c r="D36">
        <f>A36</f>
        <v/>
      </c>
      <c r="E36">
        <f>MIN(A36/C36,(4+B36)/5)</f>
        <v/>
      </c>
      <c r="F36">
        <f>MAX(0,E36-A36)</f>
        <v/>
      </c>
    </row>
    <row r="37">
      <c r="A37">
        <f>INDEX(bounds,3)</f>
        <v/>
      </c>
      <c r="B37" t="n">
        <v>0.025</v>
      </c>
      <c r="C37">
        <f>1-alpha*MAX(0,delta-B37)</f>
        <v/>
      </c>
      <c r="D37">
        <f>A37</f>
        <v/>
      </c>
      <c r="E37">
        <f>MIN(A37/C37,(4+B37)/5)</f>
        <v/>
      </c>
      <c r="F37">
        <f>MAX(0,E37-A37)</f>
        <v/>
      </c>
    </row>
    <row r="38">
      <c r="A38">
        <f>INDEX(bounds,3)</f>
        <v/>
      </c>
      <c r="B38" t="n">
        <v>0.05</v>
      </c>
      <c r="C38">
        <f>1-alpha*MAX(0,delta-B38)</f>
        <v/>
      </c>
      <c r="D38">
        <f>A38</f>
        <v/>
      </c>
      <c r="E38">
        <f>MIN(A38/C38,(4+B38)/5)</f>
        <v/>
      </c>
      <c r="F38">
        <f>MAX(0,E38-A38)</f>
        <v/>
      </c>
    </row>
    <row r="39">
      <c r="A39">
        <f>INDEX(bounds,3)</f>
        <v/>
      </c>
      <c r="B39" t="n">
        <v>0.075</v>
      </c>
      <c r="C39">
        <f>1-alpha*MAX(0,delta-B39)</f>
        <v/>
      </c>
      <c r="D39">
        <f>A39</f>
        <v/>
      </c>
      <c r="E39">
        <f>MIN(A39/C39,(4+B39)/5)</f>
        <v/>
      </c>
      <c r="F39">
        <f>MAX(0,E39-A39)</f>
        <v/>
      </c>
    </row>
    <row r="40">
      <c r="A40">
        <f>INDEX(bounds,3)</f>
        <v/>
      </c>
      <c r="B40" t="n">
        <v>0.1</v>
      </c>
      <c r="C40">
        <f>1-alpha*MAX(0,delta-B40)</f>
        <v/>
      </c>
      <c r="D40">
        <f>A40</f>
        <v/>
      </c>
      <c r="E40">
        <f>MIN(A40/C40,(4+B40)/5)</f>
        <v/>
      </c>
      <c r="F40">
        <f>MAX(0,E40-A40)</f>
        <v/>
      </c>
    </row>
    <row r="41">
      <c r="A41">
        <f>INDEX(bounds,3)</f>
        <v/>
      </c>
      <c r="B41" t="n">
        <v>0.125</v>
      </c>
      <c r="C41">
        <f>1-alpha*MAX(0,delta-B41)</f>
        <v/>
      </c>
      <c r="D41">
        <f>A41</f>
        <v/>
      </c>
      <c r="E41">
        <f>MIN(A41/C41,(4+B41)/5)</f>
        <v/>
      </c>
      <c r="F41">
        <f>MAX(0,E41-A41)</f>
        <v/>
      </c>
    </row>
    <row r="42">
      <c r="A42">
        <f>INDEX(bounds,3)</f>
        <v/>
      </c>
      <c r="B42" t="n">
        <v>0.15</v>
      </c>
      <c r="C42">
        <f>1-alpha*MAX(0,delta-B42)</f>
        <v/>
      </c>
      <c r="D42">
        <f>A42</f>
        <v/>
      </c>
      <c r="E42">
        <f>MIN(A42/C42,(4+B42)/5)</f>
        <v/>
      </c>
      <c r="F42">
        <f>MAX(0,E42-A42)</f>
        <v/>
      </c>
    </row>
    <row r="43">
      <c r="A43">
        <f>INDEX(bounds,3)</f>
        <v/>
      </c>
      <c r="B43" t="n">
        <v>0.175</v>
      </c>
      <c r="C43">
        <f>1-alpha*MAX(0,delta-B43)</f>
        <v/>
      </c>
      <c r="D43">
        <f>A43</f>
        <v/>
      </c>
      <c r="E43">
        <f>MIN(A43/C43,(4+B43)/5)</f>
        <v/>
      </c>
      <c r="F43">
        <f>MAX(0,E43-A43)</f>
        <v/>
      </c>
    </row>
    <row r="44">
      <c r="A44">
        <f>INDEX(bounds,3)</f>
        <v/>
      </c>
      <c r="B44" t="n">
        <v>0.2</v>
      </c>
      <c r="C44">
        <f>1-alpha*MAX(0,delta-B44)</f>
        <v/>
      </c>
      <c r="D44">
        <f>A44</f>
        <v/>
      </c>
      <c r="E44">
        <f>MIN(A44/C44,(4+B44)/5)</f>
        <v/>
      </c>
      <c r="F44">
        <f>MAX(0,E44-A44)</f>
        <v/>
      </c>
    </row>
    <row r="45">
      <c r="A45">
        <f>INDEX(bounds,3)</f>
        <v/>
      </c>
      <c r="B45" t="n">
        <v>0.225</v>
      </c>
      <c r="C45">
        <f>1-alpha*MAX(0,delta-B45)</f>
        <v/>
      </c>
      <c r="D45">
        <f>A45</f>
        <v/>
      </c>
      <c r="E45">
        <f>MIN(A45/C45,(4+B45)/5)</f>
        <v/>
      </c>
      <c r="F45">
        <f>MAX(0,E45-A45)</f>
        <v/>
      </c>
    </row>
    <row r="46">
      <c r="A46">
        <f>INDEX(bounds,3)</f>
        <v/>
      </c>
      <c r="B46" t="n">
        <v>0.25</v>
      </c>
      <c r="C46">
        <f>1-alpha*MAX(0,delta-B46)</f>
        <v/>
      </c>
      <c r="D46">
        <f>A46</f>
        <v/>
      </c>
      <c r="E46">
        <f>MIN(A46/C46,(4+B46)/5)</f>
        <v/>
      </c>
      <c r="F46">
        <f>MAX(0,E46-A46)</f>
        <v/>
      </c>
    </row>
    <row r="47">
      <c r="A47">
        <f>INDEX(bounds,3)</f>
        <v/>
      </c>
      <c r="B47" t="n">
        <v>0.275</v>
      </c>
      <c r="C47">
        <f>1-alpha*MAX(0,delta-B47)</f>
        <v/>
      </c>
      <c r="D47">
        <f>A47</f>
        <v/>
      </c>
      <c r="E47">
        <f>MIN(A47/C47,(4+B47)/5)</f>
        <v/>
      </c>
      <c r="F47">
        <f>MAX(0,E47-A47)</f>
        <v/>
      </c>
    </row>
    <row r="48">
      <c r="A48">
        <f>INDEX(bounds,3)</f>
        <v/>
      </c>
      <c r="B48" t="n">
        <v>0.3</v>
      </c>
      <c r="C48">
        <f>1-alpha*MAX(0,delta-B48)</f>
        <v/>
      </c>
      <c r="D48">
        <f>A48</f>
        <v/>
      </c>
      <c r="E48">
        <f>MIN(A48/C48,(4+B48)/5)</f>
        <v/>
      </c>
      <c r="F48">
        <f>MAX(0,E48-A48)</f>
        <v/>
      </c>
    </row>
    <row r="49">
      <c r="A49">
        <f>INDEX(bounds,3)</f>
        <v/>
      </c>
      <c r="B49" t="n">
        <v>0.325</v>
      </c>
      <c r="C49">
        <f>1-alpha*MAX(0,delta-B49)</f>
        <v/>
      </c>
      <c r="D49">
        <f>A49</f>
        <v/>
      </c>
      <c r="E49">
        <f>MIN(A49/C49,(4+B49)/5)</f>
        <v/>
      </c>
      <c r="F49">
        <f>MAX(0,E49-A49)</f>
        <v/>
      </c>
    </row>
    <row r="50">
      <c r="A50">
        <f>INDEX(bounds,3)</f>
        <v/>
      </c>
      <c r="B50" t="n">
        <v>0.35</v>
      </c>
      <c r="C50">
        <f>1-alpha*MAX(0,delta-B50)</f>
        <v/>
      </c>
      <c r="D50">
        <f>A50</f>
        <v/>
      </c>
      <c r="E50">
        <f>MIN(A50/C50,(4+B50)/5)</f>
        <v/>
      </c>
      <c r="F50">
        <f>MAX(0,E50-A50)</f>
        <v/>
      </c>
    </row>
    <row r="51">
      <c r="A51">
        <f>INDEX(bounds,3)</f>
        <v/>
      </c>
      <c r="B51" t="n">
        <v>0.375</v>
      </c>
      <c r="C51">
        <f>1-alpha*MAX(0,delta-B51)</f>
        <v/>
      </c>
      <c r="D51">
        <f>A51</f>
        <v/>
      </c>
      <c r="E51">
        <f>MIN(A51/C51,(4+B51)/5)</f>
        <v/>
      </c>
      <c r="F51">
        <f>MAX(0,E51-A51)</f>
        <v/>
      </c>
    </row>
    <row r="52">
      <c r="A52">
        <f>INDEX(bounds,4)</f>
        <v/>
      </c>
      <c r="B52" t="n">
        <v>0</v>
      </c>
      <c r="C52">
        <f>1-alpha*MAX(0,delta-B52)</f>
        <v/>
      </c>
      <c r="D52">
        <f>A52</f>
        <v/>
      </c>
      <c r="E52">
        <f>MIN(A52/C52,(4+B52)/5)</f>
        <v/>
      </c>
      <c r="F52">
        <f>MAX(0,E52-A52)</f>
        <v/>
      </c>
    </row>
    <row r="53">
      <c r="A53">
        <f>INDEX(bounds,4)</f>
        <v/>
      </c>
      <c r="B53" t="n">
        <v>0.025</v>
      </c>
      <c r="C53">
        <f>1-alpha*MAX(0,delta-B53)</f>
        <v/>
      </c>
      <c r="D53">
        <f>A53</f>
        <v/>
      </c>
      <c r="E53">
        <f>MIN(A53/C53,(4+B53)/5)</f>
        <v/>
      </c>
      <c r="F53">
        <f>MAX(0,E53-A53)</f>
        <v/>
      </c>
    </row>
    <row r="54">
      <c r="A54">
        <f>INDEX(bounds,4)</f>
        <v/>
      </c>
      <c r="B54" t="n">
        <v>0.05</v>
      </c>
      <c r="C54">
        <f>1-alpha*MAX(0,delta-B54)</f>
        <v/>
      </c>
      <c r="D54">
        <f>A54</f>
        <v/>
      </c>
      <c r="E54">
        <f>MIN(A54/C54,(4+B54)/5)</f>
        <v/>
      </c>
      <c r="F54">
        <f>MAX(0,E54-A54)</f>
        <v/>
      </c>
    </row>
    <row r="55">
      <c r="A55">
        <f>INDEX(bounds,4)</f>
        <v/>
      </c>
      <c r="B55" t="n">
        <v>0.075</v>
      </c>
      <c r="C55">
        <f>1-alpha*MAX(0,delta-B55)</f>
        <v/>
      </c>
      <c r="D55">
        <f>A55</f>
        <v/>
      </c>
      <c r="E55">
        <f>MIN(A55/C55,(4+B55)/5)</f>
        <v/>
      </c>
      <c r="F55">
        <f>MAX(0,E55-A55)</f>
        <v/>
      </c>
    </row>
    <row r="56">
      <c r="A56">
        <f>INDEX(bounds,4)</f>
        <v/>
      </c>
      <c r="B56" t="n">
        <v>0.1</v>
      </c>
      <c r="C56">
        <f>1-alpha*MAX(0,delta-B56)</f>
        <v/>
      </c>
      <c r="D56">
        <f>A56</f>
        <v/>
      </c>
      <c r="E56">
        <f>MIN(A56/C56,(4+B56)/5)</f>
        <v/>
      </c>
      <c r="F56">
        <f>MAX(0,E56-A56)</f>
        <v/>
      </c>
    </row>
    <row r="57">
      <c r="A57">
        <f>INDEX(bounds,4)</f>
        <v/>
      </c>
      <c r="B57" t="n">
        <v>0.125</v>
      </c>
      <c r="C57">
        <f>1-alpha*MAX(0,delta-B57)</f>
        <v/>
      </c>
      <c r="D57">
        <f>A57</f>
        <v/>
      </c>
      <c r="E57">
        <f>MIN(A57/C57,(4+B57)/5)</f>
        <v/>
      </c>
      <c r="F57">
        <f>MAX(0,E57-A57)</f>
        <v/>
      </c>
    </row>
    <row r="58">
      <c r="A58">
        <f>INDEX(bounds,4)</f>
        <v/>
      </c>
      <c r="B58" t="n">
        <v>0.15</v>
      </c>
      <c r="C58">
        <f>1-alpha*MAX(0,delta-B58)</f>
        <v/>
      </c>
      <c r="D58">
        <f>A58</f>
        <v/>
      </c>
      <c r="E58">
        <f>MIN(A58/C58,(4+B58)/5)</f>
        <v/>
      </c>
      <c r="F58">
        <f>MAX(0,E58-A58)</f>
        <v/>
      </c>
    </row>
    <row r="59">
      <c r="A59">
        <f>INDEX(bounds,4)</f>
        <v/>
      </c>
      <c r="B59" t="n">
        <v>0.175</v>
      </c>
      <c r="C59">
        <f>1-alpha*MAX(0,delta-B59)</f>
        <v/>
      </c>
      <c r="D59">
        <f>A59</f>
        <v/>
      </c>
      <c r="E59">
        <f>MIN(A59/C59,(4+B59)/5)</f>
        <v/>
      </c>
      <c r="F59">
        <f>MAX(0,E59-A59)</f>
        <v/>
      </c>
    </row>
    <row r="60">
      <c r="A60">
        <f>INDEX(bounds,4)</f>
        <v/>
      </c>
      <c r="B60" t="n">
        <v>0.2</v>
      </c>
      <c r="C60">
        <f>1-alpha*MAX(0,delta-B60)</f>
        <v/>
      </c>
      <c r="D60">
        <f>A60</f>
        <v/>
      </c>
      <c r="E60">
        <f>MIN(A60/C60,(4+B60)/5)</f>
        <v/>
      </c>
      <c r="F60">
        <f>MAX(0,E60-A60)</f>
        <v/>
      </c>
    </row>
    <row r="61">
      <c r="A61">
        <f>INDEX(bounds,4)</f>
        <v/>
      </c>
      <c r="B61" t="n">
        <v>0.225</v>
      </c>
      <c r="C61">
        <f>1-alpha*MAX(0,delta-B61)</f>
        <v/>
      </c>
      <c r="D61">
        <f>A61</f>
        <v/>
      </c>
      <c r="E61">
        <f>MIN(A61/C61,(4+B61)/5)</f>
        <v/>
      </c>
      <c r="F61">
        <f>MAX(0,E61-A61)</f>
        <v/>
      </c>
    </row>
    <row r="62">
      <c r="A62">
        <f>INDEX(bounds,4)</f>
        <v/>
      </c>
      <c r="B62" t="n">
        <v>0.25</v>
      </c>
      <c r="C62">
        <f>1-alpha*MAX(0,delta-B62)</f>
        <v/>
      </c>
      <c r="D62">
        <f>A62</f>
        <v/>
      </c>
      <c r="E62">
        <f>MIN(A62/C62,(4+B62)/5)</f>
        <v/>
      </c>
      <c r="F62">
        <f>MAX(0,E62-A62)</f>
        <v/>
      </c>
    </row>
    <row r="63">
      <c r="A63">
        <f>INDEX(bounds,4)</f>
        <v/>
      </c>
      <c r="B63" t="n">
        <v>0.275</v>
      </c>
      <c r="C63">
        <f>1-alpha*MAX(0,delta-B63)</f>
        <v/>
      </c>
      <c r="D63">
        <f>A63</f>
        <v/>
      </c>
      <c r="E63">
        <f>MIN(A63/C63,(4+B63)/5)</f>
        <v/>
      </c>
      <c r="F63">
        <f>MAX(0,E63-A63)</f>
        <v/>
      </c>
    </row>
    <row r="64">
      <c r="A64">
        <f>INDEX(bounds,4)</f>
        <v/>
      </c>
      <c r="B64" t="n">
        <v>0.3</v>
      </c>
      <c r="C64">
        <f>1-alpha*MAX(0,delta-B64)</f>
        <v/>
      </c>
      <c r="D64">
        <f>A64</f>
        <v/>
      </c>
      <c r="E64">
        <f>MIN(A64/C64,(4+B64)/5)</f>
        <v/>
      </c>
      <c r="F64">
        <f>MAX(0,E64-A64)</f>
        <v/>
      </c>
    </row>
    <row r="65">
      <c r="A65">
        <f>INDEX(bounds,4)</f>
        <v/>
      </c>
      <c r="B65" t="n">
        <v>0.325</v>
      </c>
      <c r="C65">
        <f>1-alpha*MAX(0,delta-B65)</f>
        <v/>
      </c>
      <c r="D65">
        <f>A65</f>
        <v/>
      </c>
      <c r="E65">
        <f>MIN(A65/C65,(4+B65)/5)</f>
        <v/>
      </c>
      <c r="F65">
        <f>MAX(0,E65-A65)</f>
        <v/>
      </c>
    </row>
    <row r="66">
      <c r="A66">
        <f>INDEX(bounds,4)</f>
        <v/>
      </c>
      <c r="B66" t="n">
        <v>0.35</v>
      </c>
      <c r="C66">
        <f>1-alpha*MAX(0,delta-B66)</f>
        <v/>
      </c>
      <c r="D66">
        <f>A66</f>
        <v/>
      </c>
      <c r="E66">
        <f>MIN(A66/C66,(4+B66)/5)</f>
        <v/>
      </c>
      <c r="F66">
        <f>MAX(0,E66-A66)</f>
        <v/>
      </c>
    </row>
    <row r="67">
      <c r="A67">
        <f>INDEX(bounds,4)</f>
        <v/>
      </c>
      <c r="B67" t="n">
        <v>0.375</v>
      </c>
      <c r="C67">
        <f>1-alpha*MAX(0,delta-B67)</f>
        <v/>
      </c>
      <c r="D67">
        <f>A67</f>
        <v/>
      </c>
      <c r="E67">
        <f>MIN(A67/C67,(4+B67)/5)</f>
        <v/>
      </c>
      <c r="F67">
        <f>MAX(0,E67-A67)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P1008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4" t="inlineStr">
        <is>
          <t>Перші 1000 із 100 000 згенерованих профілів (рівномірний сценарій, data/generated/profiles_uniform.csv), кожен стовпець - формула</t>
        </is>
      </c>
    </row>
    <row r="2">
      <c r="A2" s="5" t="inlineStr">
        <is>
          <t>Підсумок для цієї вибірки</t>
        </is>
      </c>
      <c r="E2" s="5" t="inlineStr">
        <is>
          <t>Повний прогін, 100 000 профілів (scripts/simulation_experiment.py)</t>
        </is>
      </c>
    </row>
    <row r="3">
      <c r="A3" t="inlineStr">
        <is>
          <t>Частка профілів зі штрафом</t>
        </is>
      </c>
      <c r="D3">
        <f>AVERAGE(AJ9:AJ1008)</f>
        <v/>
      </c>
      <c r="E3" t="n">
        <v>0.8093</v>
      </c>
    </row>
    <row r="4">
      <c r="A4" t="inlineStr">
        <is>
          <t>Частка профілів, рівень яких змінився (P1)</t>
        </is>
      </c>
      <c r="D4">
        <f>AVERAGE(AK9:AK1008)</f>
        <v/>
      </c>
      <c r="E4" t="n">
        <v>0.0958</v>
      </c>
    </row>
    <row r="5">
      <c r="A5" t="inlineStr">
        <is>
          <t>Середнє зниження індексу</t>
        </is>
      </c>
      <c r="D5">
        <f>AVERAGE(AD9:AD1008)-AVERAGE(AG9:AG1008)</f>
        <v/>
      </c>
      <c r="E5" t="n">
        <v>0.023</v>
      </c>
    </row>
    <row r="6">
      <c r="A6" t="inlineStr">
        <is>
          <t>Частка «ілюзії зрілості» (P2)</t>
        </is>
      </c>
      <c r="D6">
        <f>AVERAGE(AL9:AL1008)</f>
        <v/>
      </c>
      <c r="E6" t="n">
        <v>0.0606</v>
      </c>
    </row>
    <row r="8">
      <c r="A8" s="5" t="inlineStr">
        <is>
          <t>profile_id</t>
        </is>
      </c>
      <c r="B8" s="5" t="inlineStr">
        <is>
          <t>C_1</t>
        </is>
      </c>
      <c r="C8" s="5" t="inlineStr">
        <is>
          <t>C_2</t>
        </is>
      </c>
      <c r="D8" s="5" t="inlineStr">
        <is>
          <t>C_3</t>
        </is>
      </c>
      <c r="E8" s="5" t="inlineStr">
        <is>
          <t>L1_1</t>
        </is>
      </c>
      <c r="F8" s="5" t="inlineStr">
        <is>
          <t>L1_2</t>
        </is>
      </c>
      <c r="G8" s="5" t="inlineStr">
        <is>
          <t>L1_3</t>
        </is>
      </c>
      <c r="H8" s="5" t="inlineStr">
        <is>
          <t>L2_1</t>
        </is>
      </c>
      <c r="I8" s="5" t="inlineStr">
        <is>
          <t>L2_2</t>
        </is>
      </c>
      <c r="J8" s="5" t="inlineStr">
        <is>
          <t>L2_3</t>
        </is>
      </c>
      <c r="K8" s="5" t="inlineStr">
        <is>
          <t>L3_1</t>
        </is>
      </c>
      <c r="L8" s="5" t="inlineStr">
        <is>
          <t>L3_2</t>
        </is>
      </c>
      <c r="M8" s="5" t="inlineStr">
        <is>
          <t>L3_3</t>
        </is>
      </c>
      <c r="N8" s="5" t="inlineStr">
        <is>
          <t>L4_1</t>
        </is>
      </c>
      <c r="O8" s="5" t="inlineStr">
        <is>
          <t>L4_2</t>
        </is>
      </c>
      <c r="P8" s="5" t="inlineStr">
        <is>
          <t>L4_3</t>
        </is>
      </c>
      <c r="Q8" s="5" t="inlineStr">
        <is>
          <t>I_1</t>
        </is>
      </c>
      <c r="R8" s="5" t="inlineStr">
        <is>
          <t>I_2</t>
        </is>
      </c>
      <c r="S8" s="5" t="inlineStr">
        <is>
          <t>I_3</t>
        </is>
      </c>
      <c r="T8" s="5" t="inlineStr">
        <is>
          <t>S_1</t>
        </is>
      </c>
      <c r="U8" s="5" t="inlineStr">
        <is>
          <t>S_2</t>
        </is>
      </c>
      <c r="V8" s="5" t="inlineStr">
        <is>
          <t>S_3</t>
        </is>
      </c>
      <c r="W8" s="5" t="inlineStr">
        <is>
          <t>DM_C</t>
        </is>
      </c>
      <c r="X8" s="5" t="inlineStr">
        <is>
          <t>DM_L1</t>
        </is>
      </c>
      <c r="Y8" s="5" t="inlineStr">
        <is>
          <t>DM_L2</t>
        </is>
      </c>
      <c r="Z8" s="5" t="inlineStr">
        <is>
          <t>DM_L3</t>
        </is>
      </c>
      <c r="AA8" s="5" t="inlineStr">
        <is>
          <t>DM_L4</t>
        </is>
      </c>
      <c r="AB8" s="5" t="inlineStr">
        <is>
          <t>DM_I</t>
        </is>
      </c>
      <c r="AC8" s="5" t="inlineStr">
        <is>
          <t>DM_S</t>
        </is>
      </c>
      <c r="AD8" s="5" t="inlineStr">
        <is>
          <t>ADMI_base</t>
        </is>
      </c>
      <c r="AE8" s="5" t="inlineStr">
        <is>
          <t>DM_min</t>
        </is>
      </c>
      <c r="AF8" s="5" t="inlineStr">
        <is>
          <t>Штраф</t>
        </is>
      </c>
      <c r="AG8" s="5" t="inlineStr">
        <is>
          <t>ADMI</t>
        </is>
      </c>
      <c r="AH8" s="5" t="inlineStr">
        <is>
          <t>Рівень базовий</t>
        </is>
      </c>
      <c r="AI8" s="5" t="inlineStr">
        <is>
          <t>Рівень ADMI</t>
        </is>
      </c>
      <c r="AJ8" s="5" t="inlineStr">
        <is>
          <t>Оштрафовано</t>
        </is>
      </c>
      <c r="AK8" s="5" t="inlineStr">
        <is>
          <t>Рівень змінено</t>
        </is>
      </c>
      <c r="AL8" s="5" t="inlineStr">
        <is>
          <t>Ілюзія зрілості</t>
        </is>
      </c>
      <c r="AM8" s="5" t="inlineStr">
        <is>
          <t>Скаляр з DM_I</t>
        </is>
      </c>
      <c r="AN8" s="5" t="inlineStr">
        <is>
          <t>Рівень скаляра</t>
        </is>
      </c>
      <c r="AO8" s="5" t="inlineStr">
        <is>
          <t>Рисунок 2: ADMI_base, якщо рівень змінено</t>
        </is>
      </c>
      <c r="AP8" s="5" t="inlineStr">
        <is>
          <t>Рисунок 2: ADMI_base, якщо рівень збережено</t>
        </is>
      </c>
    </row>
    <row r="9">
      <c r="A9" t="n">
        <v>1</v>
      </c>
      <c r="B9" t="n">
        <v>1</v>
      </c>
      <c r="C9" t="n">
        <v>4</v>
      </c>
      <c r="D9" t="n">
        <v>3</v>
      </c>
      <c r="E9" t="n">
        <v>5</v>
      </c>
      <c r="F9" t="n">
        <v>5</v>
      </c>
      <c r="G9" t="n">
        <v>4</v>
      </c>
      <c r="H9" t="n">
        <v>5</v>
      </c>
      <c r="I9" t="n">
        <v>4</v>
      </c>
      <c r="J9" t="n">
        <v>5</v>
      </c>
      <c r="K9" t="n">
        <v>1</v>
      </c>
      <c r="L9" t="n">
        <v>3</v>
      </c>
      <c r="M9" t="n">
        <v>1</v>
      </c>
      <c r="N9" t="n">
        <v>2</v>
      </c>
      <c r="O9" t="n">
        <v>5</v>
      </c>
      <c r="P9" t="n">
        <v>1</v>
      </c>
      <c r="Q9" t="n">
        <v>4</v>
      </c>
      <c r="R9" t="n">
        <v>2</v>
      </c>
      <c r="S9" t="n">
        <v>5</v>
      </c>
      <c r="T9" t="n">
        <v>2</v>
      </c>
      <c r="U9" t="n">
        <v>1</v>
      </c>
      <c r="V9" t="n">
        <v>3</v>
      </c>
      <c r="W9">
        <f>(AVERAGE(B9:D9)-1)/4</f>
        <v/>
      </c>
      <c r="X9">
        <f>(AVERAGE(E9:G9)-1)/4</f>
        <v/>
      </c>
      <c r="Y9">
        <f>(AVERAGE(H9:J9)-1)/4</f>
        <v/>
      </c>
      <c r="Z9">
        <f>(AVERAGE(K9:M9)-1)/4</f>
        <v/>
      </c>
      <c r="AA9">
        <f>(AVERAGE(N9:P9)-1)/4</f>
        <v/>
      </c>
      <c r="AB9">
        <f>(AVERAGE(Q9:S9)-1)/4</f>
        <v/>
      </c>
      <c r="AC9">
        <f>(AVERAGE(T9:V9)-1)/4</f>
        <v/>
      </c>
      <c r="AD9">
        <f>AVERAGE(W9:AA9)</f>
        <v/>
      </c>
      <c r="AE9">
        <f>MIN(W9:AA9)</f>
        <v/>
      </c>
      <c r="AF9">
        <f>1-alpha*MAX(0,delta-AE9)</f>
        <v/>
      </c>
      <c r="AG9">
        <f>AD9*AF9</f>
        <v/>
      </c>
      <c r="AH9">
        <f>1+COUNTIF(bounds,"&lt;"&amp;ROUND(AD9,12))</f>
        <v/>
      </c>
      <c r="AI9">
        <f>1+COUNTIF(bounds,"&lt;"&amp;ROUND(AG9,12))</f>
        <v/>
      </c>
      <c r="AJ9">
        <f>IF(AF9&lt;1,1,0)</f>
        <v/>
      </c>
      <c r="AK9">
        <f>IF(AH9&lt;&gt;AI9,1,0)</f>
        <v/>
      </c>
      <c r="AL9">
        <f>IF(AND(AI9&gt;=3,AB9&lt;=0.2),1,0)</f>
        <v/>
      </c>
      <c r="AM9">
        <f>AVERAGE(W9:AB9)</f>
        <v/>
      </c>
      <c r="AN9">
        <f>1+COUNTIF(bounds,"&lt;"&amp;ROUND(AM9,12))</f>
        <v/>
      </c>
      <c r="AO9">
        <f>IF(AK9=1,AD9,NA())</f>
        <v/>
      </c>
      <c r="AP9">
        <f>IF(AK9=0,AD9,NA())</f>
        <v/>
      </c>
    </row>
    <row r="10">
      <c r="A10" t="n">
        <v>2</v>
      </c>
      <c r="B10" t="n">
        <v>2</v>
      </c>
      <c r="C10" t="n">
        <v>2</v>
      </c>
      <c r="D10" t="n">
        <v>4</v>
      </c>
      <c r="E10" t="n">
        <v>4</v>
      </c>
      <c r="F10" t="n">
        <v>4</v>
      </c>
      <c r="G10" t="n">
        <v>3</v>
      </c>
      <c r="H10" t="n">
        <v>5</v>
      </c>
      <c r="I10" t="n">
        <v>5</v>
      </c>
      <c r="J10" t="n">
        <v>3</v>
      </c>
      <c r="K10" t="n">
        <v>3</v>
      </c>
      <c r="L10" t="n">
        <v>5</v>
      </c>
      <c r="M10" t="n">
        <v>4</v>
      </c>
      <c r="N10" t="n">
        <v>1</v>
      </c>
      <c r="O10" t="n">
        <v>2</v>
      </c>
      <c r="P10" t="n">
        <v>3</v>
      </c>
      <c r="Q10" t="n">
        <v>5</v>
      </c>
      <c r="R10" t="n">
        <v>1</v>
      </c>
      <c r="S10" t="n">
        <v>1</v>
      </c>
      <c r="T10" t="n">
        <v>5</v>
      </c>
      <c r="U10" t="n">
        <v>5</v>
      </c>
      <c r="V10" t="n">
        <v>1</v>
      </c>
      <c r="W10">
        <f>(AVERAGE(B10:D10)-1)/4</f>
        <v/>
      </c>
      <c r="X10">
        <f>(AVERAGE(E10:G10)-1)/4</f>
        <v/>
      </c>
      <c r="Y10">
        <f>(AVERAGE(H10:J10)-1)/4</f>
        <v/>
      </c>
      <c r="Z10">
        <f>(AVERAGE(K10:M10)-1)/4</f>
        <v/>
      </c>
      <c r="AA10">
        <f>(AVERAGE(N10:P10)-1)/4</f>
        <v/>
      </c>
      <c r="AB10">
        <f>(AVERAGE(Q10:S10)-1)/4</f>
        <v/>
      </c>
      <c r="AC10">
        <f>(AVERAGE(T10:V10)-1)/4</f>
        <v/>
      </c>
      <c r="AD10">
        <f>AVERAGE(W10:AA10)</f>
        <v/>
      </c>
      <c r="AE10">
        <f>MIN(W10:AA10)</f>
        <v/>
      </c>
      <c r="AF10">
        <f>1-alpha*MAX(0,delta-AE10)</f>
        <v/>
      </c>
      <c r="AG10">
        <f>AD10*AF10</f>
        <v/>
      </c>
      <c r="AH10">
        <f>1+COUNTIF(bounds,"&lt;"&amp;ROUND(AD10,12))</f>
        <v/>
      </c>
      <c r="AI10">
        <f>1+COUNTIF(bounds,"&lt;"&amp;ROUND(AG10,12))</f>
        <v/>
      </c>
      <c r="AJ10">
        <f>IF(AF10&lt;1,1,0)</f>
        <v/>
      </c>
      <c r="AK10">
        <f>IF(AH10&lt;&gt;AI10,1,0)</f>
        <v/>
      </c>
      <c r="AL10">
        <f>IF(AND(AI10&gt;=3,AB10&lt;=0.2),1,0)</f>
        <v/>
      </c>
      <c r="AM10">
        <f>AVERAGE(W10:AB10)</f>
        <v/>
      </c>
      <c r="AN10">
        <f>1+COUNTIF(bounds,"&lt;"&amp;ROUND(AM10,12))</f>
        <v/>
      </c>
      <c r="AO10">
        <f>IF(AK10=1,AD10,NA())</f>
        <v/>
      </c>
      <c r="AP10">
        <f>IF(AK10=0,AD10,NA())</f>
        <v/>
      </c>
    </row>
    <row r="11">
      <c r="A11" t="n">
        <v>3</v>
      </c>
      <c r="B11" t="n">
        <v>5</v>
      </c>
      <c r="C11" t="n">
        <v>1</v>
      </c>
      <c r="D11" t="n">
        <v>4</v>
      </c>
      <c r="E11" t="n">
        <v>2</v>
      </c>
      <c r="F11" t="n">
        <v>4</v>
      </c>
      <c r="G11" t="n">
        <v>4</v>
      </c>
      <c r="H11" t="n">
        <v>1</v>
      </c>
      <c r="I11" t="n">
        <v>2</v>
      </c>
      <c r="J11" t="n">
        <v>5</v>
      </c>
      <c r="K11" t="n">
        <v>1</v>
      </c>
      <c r="L11" t="n">
        <v>5</v>
      </c>
      <c r="M11" t="n">
        <v>3</v>
      </c>
      <c r="N11" t="n">
        <v>1</v>
      </c>
      <c r="O11" t="n">
        <v>4</v>
      </c>
      <c r="P11" t="n">
        <v>5</v>
      </c>
      <c r="Q11" t="n">
        <v>4</v>
      </c>
      <c r="R11" t="n">
        <v>4</v>
      </c>
      <c r="S11" t="n">
        <v>4</v>
      </c>
      <c r="T11" t="n">
        <v>5</v>
      </c>
      <c r="U11" t="n">
        <v>3</v>
      </c>
      <c r="V11" t="n">
        <v>5</v>
      </c>
      <c r="W11">
        <f>(AVERAGE(B11:D11)-1)/4</f>
        <v/>
      </c>
      <c r="X11">
        <f>(AVERAGE(E11:G11)-1)/4</f>
        <v/>
      </c>
      <c r="Y11">
        <f>(AVERAGE(H11:J11)-1)/4</f>
        <v/>
      </c>
      <c r="Z11">
        <f>(AVERAGE(K11:M11)-1)/4</f>
        <v/>
      </c>
      <c r="AA11">
        <f>(AVERAGE(N11:P11)-1)/4</f>
        <v/>
      </c>
      <c r="AB11">
        <f>(AVERAGE(Q11:S11)-1)/4</f>
        <v/>
      </c>
      <c r="AC11">
        <f>(AVERAGE(T11:V11)-1)/4</f>
        <v/>
      </c>
      <c r="AD11">
        <f>AVERAGE(W11:AA11)</f>
        <v/>
      </c>
      <c r="AE11">
        <f>MIN(W11:AA11)</f>
        <v/>
      </c>
      <c r="AF11">
        <f>1-alpha*MAX(0,delta-AE11)</f>
        <v/>
      </c>
      <c r="AG11">
        <f>AD11*AF11</f>
        <v/>
      </c>
      <c r="AH11">
        <f>1+COUNTIF(bounds,"&lt;"&amp;ROUND(AD11,12))</f>
        <v/>
      </c>
      <c r="AI11">
        <f>1+COUNTIF(bounds,"&lt;"&amp;ROUND(AG11,12))</f>
        <v/>
      </c>
      <c r="AJ11">
        <f>IF(AF11&lt;1,1,0)</f>
        <v/>
      </c>
      <c r="AK11">
        <f>IF(AH11&lt;&gt;AI11,1,0)</f>
        <v/>
      </c>
      <c r="AL11">
        <f>IF(AND(AI11&gt;=3,AB11&lt;=0.2),1,0)</f>
        <v/>
      </c>
      <c r="AM11">
        <f>AVERAGE(W11:AB11)</f>
        <v/>
      </c>
      <c r="AN11">
        <f>1+COUNTIF(bounds,"&lt;"&amp;ROUND(AM11,12))</f>
        <v/>
      </c>
      <c r="AO11">
        <f>IF(AK11=1,AD11,NA())</f>
        <v/>
      </c>
      <c r="AP11">
        <f>IF(AK11=0,AD11,NA())</f>
        <v/>
      </c>
    </row>
    <row r="12">
      <c r="A12" t="n">
        <v>4</v>
      </c>
      <c r="B12" t="n">
        <v>2</v>
      </c>
      <c r="C12" t="n">
        <v>5</v>
      </c>
      <c r="D12" t="n">
        <v>5</v>
      </c>
      <c r="E12" t="n">
        <v>5</v>
      </c>
      <c r="F12" t="n">
        <v>5</v>
      </c>
      <c r="G12" t="n">
        <v>1</v>
      </c>
      <c r="H12" t="n">
        <v>1</v>
      </c>
      <c r="I12" t="n">
        <v>5</v>
      </c>
      <c r="J12" t="n">
        <v>4</v>
      </c>
      <c r="K12" t="n">
        <v>3</v>
      </c>
      <c r="L12" t="n">
        <v>4</v>
      </c>
      <c r="M12" t="n">
        <v>2</v>
      </c>
      <c r="N12" t="n">
        <v>3</v>
      </c>
      <c r="O12" t="n">
        <v>2</v>
      </c>
      <c r="P12" t="n">
        <v>4</v>
      </c>
      <c r="Q12" t="n">
        <v>5</v>
      </c>
      <c r="R12" t="n">
        <v>1</v>
      </c>
      <c r="S12" t="n">
        <v>4</v>
      </c>
      <c r="T12" t="n">
        <v>2</v>
      </c>
      <c r="U12" t="n">
        <v>2</v>
      </c>
      <c r="V12" t="n">
        <v>3</v>
      </c>
      <c r="W12">
        <f>(AVERAGE(B12:D12)-1)/4</f>
        <v/>
      </c>
      <c r="X12">
        <f>(AVERAGE(E12:G12)-1)/4</f>
        <v/>
      </c>
      <c r="Y12">
        <f>(AVERAGE(H12:J12)-1)/4</f>
        <v/>
      </c>
      <c r="Z12">
        <f>(AVERAGE(K12:M12)-1)/4</f>
        <v/>
      </c>
      <c r="AA12">
        <f>(AVERAGE(N12:P12)-1)/4</f>
        <v/>
      </c>
      <c r="AB12">
        <f>(AVERAGE(Q12:S12)-1)/4</f>
        <v/>
      </c>
      <c r="AC12">
        <f>(AVERAGE(T12:V12)-1)/4</f>
        <v/>
      </c>
      <c r="AD12">
        <f>AVERAGE(W12:AA12)</f>
        <v/>
      </c>
      <c r="AE12">
        <f>MIN(W12:AA12)</f>
        <v/>
      </c>
      <c r="AF12">
        <f>1-alpha*MAX(0,delta-AE12)</f>
        <v/>
      </c>
      <c r="AG12">
        <f>AD12*AF12</f>
        <v/>
      </c>
      <c r="AH12">
        <f>1+COUNTIF(bounds,"&lt;"&amp;ROUND(AD12,12))</f>
        <v/>
      </c>
      <c r="AI12">
        <f>1+COUNTIF(bounds,"&lt;"&amp;ROUND(AG12,12))</f>
        <v/>
      </c>
      <c r="AJ12">
        <f>IF(AF12&lt;1,1,0)</f>
        <v/>
      </c>
      <c r="AK12">
        <f>IF(AH12&lt;&gt;AI12,1,0)</f>
        <v/>
      </c>
      <c r="AL12">
        <f>IF(AND(AI12&gt;=3,AB12&lt;=0.2),1,0)</f>
        <v/>
      </c>
      <c r="AM12">
        <f>AVERAGE(W12:AB12)</f>
        <v/>
      </c>
      <c r="AN12">
        <f>1+COUNTIF(bounds,"&lt;"&amp;ROUND(AM12,12))</f>
        <v/>
      </c>
      <c r="AO12">
        <f>IF(AK12=1,AD12,NA())</f>
        <v/>
      </c>
      <c r="AP12">
        <f>IF(AK12=0,AD12,NA())</f>
        <v/>
      </c>
    </row>
    <row r="13">
      <c r="A13" t="n">
        <v>5</v>
      </c>
      <c r="B13" t="n">
        <v>4</v>
      </c>
      <c r="C13" t="n">
        <v>4</v>
      </c>
      <c r="D13" t="n">
        <v>3</v>
      </c>
      <c r="E13" t="n">
        <v>3</v>
      </c>
      <c r="F13" t="n">
        <v>2</v>
      </c>
      <c r="G13" t="n">
        <v>2</v>
      </c>
      <c r="H13" t="n">
        <v>3</v>
      </c>
      <c r="I13" t="n">
        <v>1</v>
      </c>
      <c r="J13" t="n">
        <v>3</v>
      </c>
      <c r="K13" t="n">
        <v>1</v>
      </c>
      <c r="L13" t="n">
        <v>1</v>
      </c>
      <c r="M13" t="n">
        <v>1</v>
      </c>
      <c r="N13" t="n">
        <v>1</v>
      </c>
      <c r="O13" t="n">
        <v>2</v>
      </c>
      <c r="P13" t="n">
        <v>4</v>
      </c>
      <c r="Q13" t="n">
        <v>3</v>
      </c>
      <c r="R13" t="n">
        <v>4</v>
      </c>
      <c r="S13" t="n">
        <v>2</v>
      </c>
      <c r="T13" t="n">
        <v>3</v>
      </c>
      <c r="U13" t="n">
        <v>2</v>
      </c>
      <c r="V13" t="n">
        <v>4</v>
      </c>
      <c r="W13">
        <f>(AVERAGE(B13:D13)-1)/4</f>
        <v/>
      </c>
      <c r="X13">
        <f>(AVERAGE(E13:G13)-1)/4</f>
        <v/>
      </c>
      <c r="Y13">
        <f>(AVERAGE(H13:J13)-1)/4</f>
        <v/>
      </c>
      <c r="Z13">
        <f>(AVERAGE(K13:M13)-1)/4</f>
        <v/>
      </c>
      <c r="AA13">
        <f>(AVERAGE(N13:P13)-1)/4</f>
        <v/>
      </c>
      <c r="AB13">
        <f>(AVERAGE(Q13:S13)-1)/4</f>
        <v/>
      </c>
      <c r="AC13">
        <f>(AVERAGE(T13:V13)-1)/4</f>
        <v/>
      </c>
      <c r="AD13">
        <f>AVERAGE(W13:AA13)</f>
        <v/>
      </c>
      <c r="AE13">
        <f>MIN(W13:AA13)</f>
        <v/>
      </c>
      <c r="AF13">
        <f>1-alpha*MAX(0,delta-AE13)</f>
        <v/>
      </c>
      <c r="AG13">
        <f>AD13*AF13</f>
        <v/>
      </c>
      <c r="AH13">
        <f>1+COUNTIF(bounds,"&lt;"&amp;ROUND(AD13,12))</f>
        <v/>
      </c>
      <c r="AI13">
        <f>1+COUNTIF(bounds,"&lt;"&amp;ROUND(AG13,12))</f>
        <v/>
      </c>
      <c r="AJ13">
        <f>IF(AF13&lt;1,1,0)</f>
        <v/>
      </c>
      <c r="AK13">
        <f>IF(AH13&lt;&gt;AI13,1,0)</f>
        <v/>
      </c>
      <c r="AL13">
        <f>IF(AND(AI13&gt;=3,AB13&lt;=0.2),1,0)</f>
        <v/>
      </c>
      <c r="AM13">
        <f>AVERAGE(W13:AB13)</f>
        <v/>
      </c>
      <c r="AN13">
        <f>1+COUNTIF(bounds,"&lt;"&amp;ROUND(AM13,12))</f>
        <v/>
      </c>
      <c r="AO13">
        <f>IF(AK13=1,AD13,NA())</f>
        <v/>
      </c>
      <c r="AP13">
        <f>IF(AK13=0,AD13,NA())</f>
        <v/>
      </c>
    </row>
    <row r="14">
      <c r="A14" t="n">
        <v>6</v>
      </c>
      <c r="B14" t="n">
        <v>5</v>
      </c>
      <c r="C14" t="n">
        <v>3</v>
      </c>
      <c r="D14" t="n">
        <v>2</v>
      </c>
      <c r="E14" t="n">
        <v>2</v>
      </c>
      <c r="F14" t="n">
        <v>1</v>
      </c>
      <c r="G14" t="n">
        <v>3</v>
      </c>
      <c r="H14" t="n">
        <v>4</v>
      </c>
      <c r="I14" t="n">
        <v>4</v>
      </c>
      <c r="J14" t="n">
        <v>5</v>
      </c>
      <c r="K14" t="n">
        <v>3</v>
      </c>
      <c r="L14" t="n">
        <v>3</v>
      </c>
      <c r="M14" t="n">
        <v>1</v>
      </c>
      <c r="N14" t="n">
        <v>3</v>
      </c>
      <c r="O14" t="n">
        <v>1</v>
      </c>
      <c r="P14" t="n">
        <v>2</v>
      </c>
      <c r="Q14" t="n">
        <v>4</v>
      </c>
      <c r="R14" t="n">
        <v>1</v>
      </c>
      <c r="S14" t="n">
        <v>4</v>
      </c>
      <c r="T14" t="n">
        <v>2</v>
      </c>
      <c r="U14" t="n">
        <v>2</v>
      </c>
      <c r="V14" t="n">
        <v>5</v>
      </c>
      <c r="W14">
        <f>(AVERAGE(B14:D14)-1)/4</f>
        <v/>
      </c>
      <c r="X14">
        <f>(AVERAGE(E14:G14)-1)/4</f>
        <v/>
      </c>
      <c r="Y14">
        <f>(AVERAGE(H14:J14)-1)/4</f>
        <v/>
      </c>
      <c r="Z14">
        <f>(AVERAGE(K14:M14)-1)/4</f>
        <v/>
      </c>
      <c r="AA14">
        <f>(AVERAGE(N14:P14)-1)/4</f>
        <v/>
      </c>
      <c r="AB14">
        <f>(AVERAGE(Q14:S14)-1)/4</f>
        <v/>
      </c>
      <c r="AC14">
        <f>(AVERAGE(T14:V14)-1)/4</f>
        <v/>
      </c>
      <c r="AD14">
        <f>AVERAGE(W14:AA14)</f>
        <v/>
      </c>
      <c r="AE14">
        <f>MIN(W14:AA14)</f>
        <v/>
      </c>
      <c r="AF14">
        <f>1-alpha*MAX(0,delta-AE14)</f>
        <v/>
      </c>
      <c r="AG14">
        <f>AD14*AF14</f>
        <v/>
      </c>
      <c r="AH14">
        <f>1+COUNTIF(bounds,"&lt;"&amp;ROUND(AD14,12))</f>
        <v/>
      </c>
      <c r="AI14">
        <f>1+COUNTIF(bounds,"&lt;"&amp;ROUND(AG14,12))</f>
        <v/>
      </c>
      <c r="AJ14">
        <f>IF(AF14&lt;1,1,0)</f>
        <v/>
      </c>
      <c r="AK14">
        <f>IF(AH14&lt;&gt;AI14,1,0)</f>
        <v/>
      </c>
      <c r="AL14">
        <f>IF(AND(AI14&gt;=3,AB14&lt;=0.2),1,0)</f>
        <v/>
      </c>
      <c r="AM14">
        <f>AVERAGE(W14:AB14)</f>
        <v/>
      </c>
      <c r="AN14">
        <f>1+COUNTIF(bounds,"&lt;"&amp;ROUND(AM14,12))</f>
        <v/>
      </c>
      <c r="AO14">
        <f>IF(AK14=1,AD14,NA())</f>
        <v/>
      </c>
      <c r="AP14">
        <f>IF(AK14=0,AD14,NA())</f>
        <v/>
      </c>
    </row>
    <row r="15">
      <c r="A15" t="n">
        <v>7</v>
      </c>
      <c r="B15" t="n">
        <v>2</v>
      </c>
      <c r="C15" t="n">
        <v>2</v>
      </c>
      <c r="D15" t="n">
        <v>3</v>
      </c>
      <c r="E15" t="n">
        <v>5</v>
      </c>
      <c r="F15" t="n">
        <v>1</v>
      </c>
      <c r="G15" t="n">
        <v>4</v>
      </c>
      <c r="H15" t="n">
        <v>4</v>
      </c>
      <c r="I15" t="n">
        <v>5</v>
      </c>
      <c r="J15" t="n">
        <v>5</v>
      </c>
      <c r="K15" t="n">
        <v>3</v>
      </c>
      <c r="L15" t="n">
        <v>1</v>
      </c>
      <c r="M15" t="n">
        <v>3</v>
      </c>
      <c r="N15" t="n">
        <v>4</v>
      </c>
      <c r="O15" t="n">
        <v>4</v>
      </c>
      <c r="P15" t="n">
        <v>1</v>
      </c>
      <c r="Q15" t="n">
        <v>2</v>
      </c>
      <c r="R15" t="n">
        <v>3</v>
      </c>
      <c r="S15" t="n">
        <v>2</v>
      </c>
      <c r="T15" t="n">
        <v>4</v>
      </c>
      <c r="U15" t="n">
        <v>5</v>
      </c>
      <c r="V15" t="n">
        <v>3</v>
      </c>
      <c r="W15">
        <f>(AVERAGE(B15:D15)-1)/4</f>
        <v/>
      </c>
      <c r="X15">
        <f>(AVERAGE(E15:G15)-1)/4</f>
        <v/>
      </c>
      <c r="Y15">
        <f>(AVERAGE(H15:J15)-1)/4</f>
        <v/>
      </c>
      <c r="Z15">
        <f>(AVERAGE(K15:M15)-1)/4</f>
        <v/>
      </c>
      <c r="AA15">
        <f>(AVERAGE(N15:P15)-1)/4</f>
        <v/>
      </c>
      <c r="AB15">
        <f>(AVERAGE(Q15:S15)-1)/4</f>
        <v/>
      </c>
      <c r="AC15">
        <f>(AVERAGE(T15:V15)-1)/4</f>
        <v/>
      </c>
      <c r="AD15">
        <f>AVERAGE(W15:AA15)</f>
        <v/>
      </c>
      <c r="AE15">
        <f>MIN(W15:AA15)</f>
        <v/>
      </c>
      <c r="AF15">
        <f>1-alpha*MAX(0,delta-AE15)</f>
        <v/>
      </c>
      <c r="AG15">
        <f>AD15*AF15</f>
        <v/>
      </c>
      <c r="AH15">
        <f>1+COUNTIF(bounds,"&lt;"&amp;ROUND(AD15,12))</f>
        <v/>
      </c>
      <c r="AI15">
        <f>1+COUNTIF(bounds,"&lt;"&amp;ROUND(AG15,12))</f>
        <v/>
      </c>
      <c r="AJ15">
        <f>IF(AF15&lt;1,1,0)</f>
        <v/>
      </c>
      <c r="AK15">
        <f>IF(AH15&lt;&gt;AI15,1,0)</f>
        <v/>
      </c>
      <c r="AL15">
        <f>IF(AND(AI15&gt;=3,AB15&lt;=0.2),1,0)</f>
        <v/>
      </c>
      <c r="AM15">
        <f>AVERAGE(W15:AB15)</f>
        <v/>
      </c>
      <c r="AN15">
        <f>1+COUNTIF(bounds,"&lt;"&amp;ROUND(AM15,12))</f>
        <v/>
      </c>
      <c r="AO15">
        <f>IF(AK15=1,AD15,NA())</f>
        <v/>
      </c>
      <c r="AP15">
        <f>IF(AK15=0,AD15,NA())</f>
        <v/>
      </c>
    </row>
    <row r="16">
      <c r="A16" t="n">
        <v>8</v>
      </c>
      <c r="B16" t="n">
        <v>3</v>
      </c>
      <c r="C16" t="n">
        <v>4</v>
      </c>
      <c r="D16" t="n">
        <v>1</v>
      </c>
      <c r="E16" t="n">
        <v>4</v>
      </c>
      <c r="F16" t="n">
        <v>1</v>
      </c>
      <c r="G16" t="n">
        <v>4</v>
      </c>
      <c r="H16" t="n">
        <v>5</v>
      </c>
      <c r="I16" t="n">
        <v>5</v>
      </c>
      <c r="J16" t="n">
        <v>2</v>
      </c>
      <c r="K16" t="n">
        <v>5</v>
      </c>
      <c r="L16" t="n">
        <v>4</v>
      </c>
      <c r="M16" t="n">
        <v>3</v>
      </c>
      <c r="N16" t="n">
        <v>2</v>
      </c>
      <c r="O16" t="n">
        <v>2</v>
      </c>
      <c r="P16" t="n">
        <v>1</v>
      </c>
      <c r="Q16" t="n">
        <v>2</v>
      </c>
      <c r="R16" t="n">
        <v>5</v>
      </c>
      <c r="S16" t="n">
        <v>4</v>
      </c>
      <c r="T16" t="n">
        <v>2</v>
      </c>
      <c r="U16" t="n">
        <v>2</v>
      </c>
      <c r="V16" t="n">
        <v>4</v>
      </c>
      <c r="W16">
        <f>(AVERAGE(B16:D16)-1)/4</f>
        <v/>
      </c>
      <c r="X16">
        <f>(AVERAGE(E16:G16)-1)/4</f>
        <v/>
      </c>
      <c r="Y16">
        <f>(AVERAGE(H16:J16)-1)/4</f>
        <v/>
      </c>
      <c r="Z16">
        <f>(AVERAGE(K16:M16)-1)/4</f>
        <v/>
      </c>
      <c r="AA16">
        <f>(AVERAGE(N16:P16)-1)/4</f>
        <v/>
      </c>
      <c r="AB16">
        <f>(AVERAGE(Q16:S16)-1)/4</f>
        <v/>
      </c>
      <c r="AC16">
        <f>(AVERAGE(T16:V16)-1)/4</f>
        <v/>
      </c>
      <c r="AD16">
        <f>AVERAGE(W16:AA16)</f>
        <v/>
      </c>
      <c r="AE16">
        <f>MIN(W16:AA16)</f>
        <v/>
      </c>
      <c r="AF16">
        <f>1-alpha*MAX(0,delta-AE16)</f>
        <v/>
      </c>
      <c r="AG16">
        <f>AD16*AF16</f>
        <v/>
      </c>
      <c r="AH16">
        <f>1+COUNTIF(bounds,"&lt;"&amp;ROUND(AD16,12))</f>
        <v/>
      </c>
      <c r="AI16">
        <f>1+COUNTIF(bounds,"&lt;"&amp;ROUND(AG16,12))</f>
        <v/>
      </c>
      <c r="AJ16">
        <f>IF(AF16&lt;1,1,0)</f>
        <v/>
      </c>
      <c r="AK16">
        <f>IF(AH16&lt;&gt;AI16,1,0)</f>
        <v/>
      </c>
      <c r="AL16">
        <f>IF(AND(AI16&gt;=3,AB16&lt;=0.2),1,0)</f>
        <v/>
      </c>
      <c r="AM16">
        <f>AVERAGE(W16:AB16)</f>
        <v/>
      </c>
      <c r="AN16">
        <f>1+COUNTIF(bounds,"&lt;"&amp;ROUND(AM16,12))</f>
        <v/>
      </c>
      <c r="AO16">
        <f>IF(AK16=1,AD16,NA())</f>
        <v/>
      </c>
      <c r="AP16">
        <f>IF(AK16=0,AD16,NA())</f>
        <v/>
      </c>
    </row>
    <row r="17">
      <c r="A17" t="n">
        <v>9</v>
      </c>
      <c r="B17" t="n">
        <v>3</v>
      </c>
      <c r="C17" t="n">
        <v>2</v>
      </c>
      <c r="D17" t="n">
        <v>1</v>
      </c>
      <c r="E17" t="n">
        <v>1</v>
      </c>
      <c r="F17" t="n">
        <v>4</v>
      </c>
      <c r="G17" t="n">
        <v>3</v>
      </c>
      <c r="H17" t="n">
        <v>2</v>
      </c>
      <c r="I17" t="n">
        <v>1</v>
      </c>
      <c r="J17" t="n">
        <v>4</v>
      </c>
      <c r="K17" t="n">
        <v>5</v>
      </c>
      <c r="L17" t="n">
        <v>2</v>
      </c>
      <c r="M17" t="n">
        <v>1</v>
      </c>
      <c r="N17" t="n">
        <v>1</v>
      </c>
      <c r="O17" t="n">
        <v>2</v>
      </c>
      <c r="P17" t="n">
        <v>3</v>
      </c>
      <c r="Q17" t="n">
        <v>5</v>
      </c>
      <c r="R17" t="n">
        <v>4</v>
      </c>
      <c r="S17" t="n">
        <v>2</v>
      </c>
      <c r="T17" t="n">
        <v>3</v>
      </c>
      <c r="U17" t="n">
        <v>3</v>
      </c>
      <c r="V17" t="n">
        <v>5</v>
      </c>
      <c r="W17">
        <f>(AVERAGE(B17:D17)-1)/4</f>
        <v/>
      </c>
      <c r="X17">
        <f>(AVERAGE(E17:G17)-1)/4</f>
        <v/>
      </c>
      <c r="Y17">
        <f>(AVERAGE(H17:J17)-1)/4</f>
        <v/>
      </c>
      <c r="Z17">
        <f>(AVERAGE(K17:M17)-1)/4</f>
        <v/>
      </c>
      <c r="AA17">
        <f>(AVERAGE(N17:P17)-1)/4</f>
        <v/>
      </c>
      <c r="AB17">
        <f>(AVERAGE(Q17:S17)-1)/4</f>
        <v/>
      </c>
      <c r="AC17">
        <f>(AVERAGE(T17:V17)-1)/4</f>
        <v/>
      </c>
      <c r="AD17">
        <f>AVERAGE(W17:AA17)</f>
        <v/>
      </c>
      <c r="AE17">
        <f>MIN(W17:AA17)</f>
        <v/>
      </c>
      <c r="AF17">
        <f>1-alpha*MAX(0,delta-AE17)</f>
        <v/>
      </c>
      <c r="AG17">
        <f>AD17*AF17</f>
        <v/>
      </c>
      <c r="AH17">
        <f>1+COUNTIF(bounds,"&lt;"&amp;ROUND(AD17,12))</f>
        <v/>
      </c>
      <c r="AI17">
        <f>1+COUNTIF(bounds,"&lt;"&amp;ROUND(AG17,12))</f>
        <v/>
      </c>
      <c r="AJ17">
        <f>IF(AF17&lt;1,1,0)</f>
        <v/>
      </c>
      <c r="AK17">
        <f>IF(AH17&lt;&gt;AI17,1,0)</f>
        <v/>
      </c>
      <c r="AL17">
        <f>IF(AND(AI17&gt;=3,AB17&lt;=0.2),1,0)</f>
        <v/>
      </c>
      <c r="AM17">
        <f>AVERAGE(W17:AB17)</f>
        <v/>
      </c>
      <c r="AN17">
        <f>1+COUNTIF(bounds,"&lt;"&amp;ROUND(AM17,12))</f>
        <v/>
      </c>
      <c r="AO17">
        <f>IF(AK17=1,AD17,NA())</f>
        <v/>
      </c>
      <c r="AP17">
        <f>IF(AK17=0,AD17,NA())</f>
        <v/>
      </c>
    </row>
    <row r="18">
      <c r="A18" t="n">
        <v>10</v>
      </c>
      <c r="B18" t="n">
        <v>3</v>
      </c>
      <c r="C18" t="n">
        <v>3</v>
      </c>
      <c r="D18" t="n">
        <v>2</v>
      </c>
      <c r="E18" t="n">
        <v>3</v>
      </c>
      <c r="F18" t="n">
        <v>1</v>
      </c>
      <c r="G18" t="n">
        <v>5</v>
      </c>
      <c r="H18" t="n">
        <v>1</v>
      </c>
      <c r="I18" t="n">
        <v>4</v>
      </c>
      <c r="J18" t="n">
        <v>5</v>
      </c>
      <c r="K18" t="n">
        <v>1</v>
      </c>
      <c r="L18" t="n">
        <v>1</v>
      </c>
      <c r="M18" t="n">
        <v>2</v>
      </c>
      <c r="N18" t="n">
        <v>2</v>
      </c>
      <c r="O18" t="n">
        <v>4</v>
      </c>
      <c r="P18" t="n">
        <v>4</v>
      </c>
      <c r="Q18" t="n">
        <v>2</v>
      </c>
      <c r="R18" t="n">
        <v>5</v>
      </c>
      <c r="S18" t="n">
        <v>2</v>
      </c>
      <c r="T18" t="n">
        <v>4</v>
      </c>
      <c r="U18" t="n">
        <v>2</v>
      </c>
      <c r="V18" t="n">
        <v>2</v>
      </c>
      <c r="W18">
        <f>(AVERAGE(B18:D18)-1)/4</f>
        <v/>
      </c>
      <c r="X18">
        <f>(AVERAGE(E18:G18)-1)/4</f>
        <v/>
      </c>
      <c r="Y18">
        <f>(AVERAGE(H18:J18)-1)/4</f>
        <v/>
      </c>
      <c r="Z18">
        <f>(AVERAGE(K18:M18)-1)/4</f>
        <v/>
      </c>
      <c r="AA18">
        <f>(AVERAGE(N18:P18)-1)/4</f>
        <v/>
      </c>
      <c r="AB18">
        <f>(AVERAGE(Q18:S18)-1)/4</f>
        <v/>
      </c>
      <c r="AC18">
        <f>(AVERAGE(T18:V18)-1)/4</f>
        <v/>
      </c>
      <c r="AD18">
        <f>AVERAGE(W18:AA18)</f>
        <v/>
      </c>
      <c r="AE18">
        <f>MIN(W18:AA18)</f>
        <v/>
      </c>
      <c r="AF18">
        <f>1-alpha*MAX(0,delta-AE18)</f>
        <v/>
      </c>
      <c r="AG18">
        <f>AD18*AF18</f>
        <v/>
      </c>
      <c r="AH18">
        <f>1+COUNTIF(bounds,"&lt;"&amp;ROUND(AD18,12))</f>
        <v/>
      </c>
      <c r="AI18">
        <f>1+COUNTIF(bounds,"&lt;"&amp;ROUND(AG18,12))</f>
        <v/>
      </c>
      <c r="AJ18">
        <f>IF(AF18&lt;1,1,0)</f>
        <v/>
      </c>
      <c r="AK18">
        <f>IF(AH18&lt;&gt;AI18,1,0)</f>
        <v/>
      </c>
      <c r="AL18">
        <f>IF(AND(AI18&gt;=3,AB18&lt;=0.2),1,0)</f>
        <v/>
      </c>
      <c r="AM18">
        <f>AVERAGE(W18:AB18)</f>
        <v/>
      </c>
      <c r="AN18">
        <f>1+COUNTIF(bounds,"&lt;"&amp;ROUND(AM18,12))</f>
        <v/>
      </c>
      <c r="AO18">
        <f>IF(AK18=1,AD18,NA())</f>
        <v/>
      </c>
      <c r="AP18">
        <f>IF(AK18=0,AD18,NA())</f>
        <v/>
      </c>
    </row>
    <row r="19">
      <c r="A19" t="n">
        <v>11</v>
      </c>
      <c r="B19" t="n">
        <v>2</v>
      </c>
      <c r="C19" t="n">
        <v>5</v>
      </c>
      <c r="D19" t="n">
        <v>4</v>
      </c>
      <c r="E19" t="n">
        <v>1</v>
      </c>
      <c r="F19" t="n">
        <v>2</v>
      </c>
      <c r="G19" t="n">
        <v>2</v>
      </c>
      <c r="H19" t="n">
        <v>5</v>
      </c>
      <c r="I19" t="n">
        <v>4</v>
      </c>
      <c r="J19" t="n">
        <v>2</v>
      </c>
      <c r="K19" t="n">
        <v>2</v>
      </c>
      <c r="L19" t="n">
        <v>5</v>
      </c>
      <c r="M19" t="n">
        <v>3</v>
      </c>
      <c r="N19" t="n">
        <v>2</v>
      </c>
      <c r="O19" t="n">
        <v>2</v>
      </c>
      <c r="P19" t="n">
        <v>2</v>
      </c>
      <c r="Q19" t="n">
        <v>4</v>
      </c>
      <c r="R19" t="n">
        <v>2</v>
      </c>
      <c r="S19" t="n">
        <v>4</v>
      </c>
      <c r="T19" t="n">
        <v>2</v>
      </c>
      <c r="U19" t="n">
        <v>3</v>
      </c>
      <c r="V19" t="n">
        <v>5</v>
      </c>
      <c r="W19">
        <f>(AVERAGE(B19:D19)-1)/4</f>
        <v/>
      </c>
      <c r="X19">
        <f>(AVERAGE(E19:G19)-1)/4</f>
        <v/>
      </c>
      <c r="Y19">
        <f>(AVERAGE(H19:J19)-1)/4</f>
        <v/>
      </c>
      <c r="Z19">
        <f>(AVERAGE(K19:M19)-1)/4</f>
        <v/>
      </c>
      <c r="AA19">
        <f>(AVERAGE(N19:P19)-1)/4</f>
        <v/>
      </c>
      <c r="AB19">
        <f>(AVERAGE(Q19:S19)-1)/4</f>
        <v/>
      </c>
      <c r="AC19">
        <f>(AVERAGE(T19:V19)-1)/4</f>
        <v/>
      </c>
      <c r="AD19">
        <f>AVERAGE(W19:AA19)</f>
        <v/>
      </c>
      <c r="AE19">
        <f>MIN(W19:AA19)</f>
        <v/>
      </c>
      <c r="AF19">
        <f>1-alpha*MAX(0,delta-AE19)</f>
        <v/>
      </c>
      <c r="AG19">
        <f>AD19*AF19</f>
        <v/>
      </c>
      <c r="AH19">
        <f>1+COUNTIF(bounds,"&lt;"&amp;ROUND(AD19,12))</f>
        <v/>
      </c>
      <c r="AI19">
        <f>1+COUNTIF(bounds,"&lt;"&amp;ROUND(AG19,12))</f>
        <v/>
      </c>
      <c r="AJ19">
        <f>IF(AF19&lt;1,1,0)</f>
        <v/>
      </c>
      <c r="AK19">
        <f>IF(AH19&lt;&gt;AI19,1,0)</f>
        <v/>
      </c>
      <c r="AL19">
        <f>IF(AND(AI19&gt;=3,AB19&lt;=0.2),1,0)</f>
        <v/>
      </c>
      <c r="AM19">
        <f>AVERAGE(W19:AB19)</f>
        <v/>
      </c>
      <c r="AN19">
        <f>1+COUNTIF(bounds,"&lt;"&amp;ROUND(AM19,12))</f>
        <v/>
      </c>
      <c r="AO19">
        <f>IF(AK19=1,AD19,NA())</f>
        <v/>
      </c>
      <c r="AP19">
        <f>IF(AK19=0,AD19,NA())</f>
        <v/>
      </c>
    </row>
    <row r="20">
      <c r="A20" t="n">
        <v>12</v>
      </c>
      <c r="B20" t="n">
        <v>4</v>
      </c>
      <c r="C20" t="n">
        <v>2</v>
      </c>
      <c r="D20" t="n">
        <v>5</v>
      </c>
      <c r="E20" t="n">
        <v>5</v>
      </c>
      <c r="F20" t="n">
        <v>1</v>
      </c>
      <c r="G20" t="n">
        <v>1</v>
      </c>
      <c r="H20" t="n">
        <v>5</v>
      </c>
      <c r="I20" t="n">
        <v>5</v>
      </c>
      <c r="J20" t="n">
        <v>4</v>
      </c>
      <c r="K20" t="n">
        <v>3</v>
      </c>
      <c r="L20" t="n">
        <v>1</v>
      </c>
      <c r="M20" t="n">
        <v>1</v>
      </c>
      <c r="N20" t="n">
        <v>3</v>
      </c>
      <c r="O20" t="n">
        <v>1</v>
      </c>
      <c r="P20" t="n">
        <v>2</v>
      </c>
      <c r="Q20" t="n">
        <v>5</v>
      </c>
      <c r="R20" t="n">
        <v>3</v>
      </c>
      <c r="S20" t="n">
        <v>5</v>
      </c>
      <c r="T20" t="n">
        <v>1</v>
      </c>
      <c r="U20" t="n">
        <v>5</v>
      </c>
      <c r="V20" t="n">
        <v>4</v>
      </c>
      <c r="W20">
        <f>(AVERAGE(B20:D20)-1)/4</f>
        <v/>
      </c>
      <c r="X20">
        <f>(AVERAGE(E20:G20)-1)/4</f>
        <v/>
      </c>
      <c r="Y20">
        <f>(AVERAGE(H20:J20)-1)/4</f>
        <v/>
      </c>
      <c r="Z20">
        <f>(AVERAGE(K20:M20)-1)/4</f>
        <v/>
      </c>
      <c r="AA20">
        <f>(AVERAGE(N20:P20)-1)/4</f>
        <v/>
      </c>
      <c r="AB20">
        <f>(AVERAGE(Q20:S20)-1)/4</f>
        <v/>
      </c>
      <c r="AC20">
        <f>(AVERAGE(T20:V20)-1)/4</f>
        <v/>
      </c>
      <c r="AD20">
        <f>AVERAGE(W20:AA20)</f>
        <v/>
      </c>
      <c r="AE20">
        <f>MIN(W20:AA20)</f>
        <v/>
      </c>
      <c r="AF20">
        <f>1-alpha*MAX(0,delta-AE20)</f>
        <v/>
      </c>
      <c r="AG20">
        <f>AD20*AF20</f>
        <v/>
      </c>
      <c r="AH20">
        <f>1+COUNTIF(bounds,"&lt;"&amp;ROUND(AD20,12))</f>
        <v/>
      </c>
      <c r="AI20">
        <f>1+COUNTIF(bounds,"&lt;"&amp;ROUND(AG20,12))</f>
        <v/>
      </c>
      <c r="AJ20">
        <f>IF(AF20&lt;1,1,0)</f>
        <v/>
      </c>
      <c r="AK20">
        <f>IF(AH20&lt;&gt;AI20,1,0)</f>
        <v/>
      </c>
      <c r="AL20">
        <f>IF(AND(AI20&gt;=3,AB20&lt;=0.2),1,0)</f>
        <v/>
      </c>
      <c r="AM20">
        <f>AVERAGE(W20:AB20)</f>
        <v/>
      </c>
      <c r="AN20">
        <f>1+COUNTIF(bounds,"&lt;"&amp;ROUND(AM20,12))</f>
        <v/>
      </c>
      <c r="AO20">
        <f>IF(AK20=1,AD20,NA())</f>
        <v/>
      </c>
      <c r="AP20">
        <f>IF(AK20=0,AD20,NA())</f>
        <v/>
      </c>
    </row>
    <row r="21">
      <c r="A21" t="n">
        <v>13</v>
      </c>
      <c r="B21" t="n">
        <v>3</v>
      </c>
      <c r="C21" t="n">
        <v>3</v>
      </c>
      <c r="D21" t="n">
        <v>5</v>
      </c>
      <c r="E21" t="n">
        <v>1</v>
      </c>
      <c r="F21" t="n">
        <v>4</v>
      </c>
      <c r="G21" t="n">
        <v>3</v>
      </c>
      <c r="H21" t="n">
        <v>3</v>
      </c>
      <c r="I21" t="n">
        <v>1</v>
      </c>
      <c r="J21" t="n">
        <v>1</v>
      </c>
      <c r="K21" t="n">
        <v>1</v>
      </c>
      <c r="L21" t="n">
        <v>2</v>
      </c>
      <c r="M21" t="n">
        <v>2</v>
      </c>
      <c r="N21" t="n">
        <v>5</v>
      </c>
      <c r="O21" t="n">
        <v>4</v>
      </c>
      <c r="P21" t="n">
        <v>2</v>
      </c>
      <c r="Q21" t="n">
        <v>5</v>
      </c>
      <c r="R21" t="n">
        <v>1</v>
      </c>
      <c r="S21" t="n">
        <v>2</v>
      </c>
      <c r="T21" t="n">
        <v>5</v>
      </c>
      <c r="U21" t="n">
        <v>5</v>
      </c>
      <c r="V21" t="n">
        <v>2</v>
      </c>
      <c r="W21">
        <f>(AVERAGE(B21:D21)-1)/4</f>
        <v/>
      </c>
      <c r="X21">
        <f>(AVERAGE(E21:G21)-1)/4</f>
        <v/>
      </c>
      <c r="Y21">
        <f>(AVERAGE(H21:J21)-1)/4</f>
        <v/>
      </c>
      <c r="Z21">
        <f>(AVERAGE(K21:M21)-1)/4</f>
        <v/>
      </c>
      <c r="AA21">
        <f>(AVERAGE(N21:P21)-1)/4</f>
        <v/>
      </c>
      <c r="AB21">
        <f>(AVERAGE(Q21:S21)-1)/4</f>
        <v/>
      </c>
      <c r="AC21">
        <f>(AVERAGE(T21:V21)-1)/4</f>
        <v/>
      </c>
      <c r="AD21">
        <f>AVERAGE(W21:AA21)</f>
        <v/>
      </c>
      <c r="AE21">
        <f>MIN(W21:AA21)</f>
        <v/>
      </c>
      <c r="AF21">
        <f>1-alpha*MAX(0,delta-AE21)</f>
        <v/>
      </c>
      <c r="AG21">
        <f>AD21*AF21</f>
        <v/>
      </c>
      <c r="AH21">
        <f>1+COUNTIF(bounds,"&lt;"&amp;ROUND(AD21,12))</f>
        <v/>
      </c>
      <c r="AI21">
        <f>1+COUNTIF(bounds,"&lt;"&amp;ROUND(AG21,12))</f>
        <v/>
      </c>
      <c r="AJ21">
        <f>IF(AF21&lt;1,1,0)</f>
        <v/>
      </c>
      <c r="AK21">
        <f>IF(AH21&lt;&gt;AI21,1,0)</f>
        <v/>
      </c>
      <c r="AL21">
        <f>IF(AND(AI21&gt;=3,AB21&lt;=0.2),1,0)</f>
        <v/>
      </c>
      <c r="AM21">
        <f>AVERAGE(W21:AB21)</f>
        <v/>
      </c>
      <c r="AN21">
        <f>1+COUNTIF(bounds,"&lt;"&amp;ROUND(AM21,12))</f>
        <v/>
      </c>
      <c r="AO21">
        <f>IF(AK21=1,AD21,NA())</f>
        <v/>
      </c>
      <c r="AP21">
        <f>IF(AK21=0,AD21,NA())</f>
        <v/>
      </c>
    </row>
    <row r="22">
      <c r="A22" t="n">
        <v>14</v>
      </c>
      <c r="B22" t="n">
        <v>2</v>
      </c>
      <c r="C22" t="n">
        <v>4</v>
      </c>
      <c r="D22" t="n">
        <v>2</v>
      </c>
      <c r="E22" t="n">
        <v>5</v>
      </c>
      <c r="F22" t="n">
        <v>5</v>
      </c>
      <c r="G22" t="n">
        <v>5</v>
      </c>
      <c r="H22" t="n">
        <v>5</v>
      </c>
      <c r="I22" t="n">
        <v>4</v>
      </c>
      <c r="J22" t="n">
        <v>1</v>
      </c>
      <c r="K22" t="n">
        <v>3</v>
      </c>
      <c r="L22" t="n">
        <v>5</v>
      </c>
      <c r="M22" t="n">
        <v>5</v>
      </c>
      <c r="N22" t="n">
        <v>3</v>
      </c>
      <c r="O22" t="n">
        <v>2</v>
      </c>
      <c r="P22" t="n">
        <v>1</v>
      </c>
      <c r="Q22" t="n">
        <v>4</v>
      </c>
      <c r="R22" t="n">
        <v>2</v>
      </c>
      <c r="S22" t="n">
        <v>3</v>
      </c>
      <c r="T22" t="n">
        <v>4</v>
      </c>
      <c r="U22" t="n">
        <v>1</v>
      </c>
      <c r="V22" t="n">
        <v>3</v>
      </c>
      <c r="W22">
        <f>(AVERAGE(B22:D22)-1)/4</f>
        <v/>
      </c>
      <c r="X22">
        <f>(AVERAGE(E22:G22)-1)/4</f>
        <v/>
      </c>
      <c r="Y22">
        <f>(AVERAGE(H22:J22)-1)/4</f>
        <v/>
      </c>
      <c r="Z22">
        <f>(AVERAGE(K22:M22)-1)/4</f>
        <v/>
      </c>
      <c r="AA22">
        <f>(AVERAGE(N22:P22)-1)/4</f>
        <v/>
      </c>
      <c r="AB22">
        <f>(AVERAGE(Q22:S22)-1)/4</f>
        <v/>
      </c>
      <c r="AC22">
        <f>(AVERAGE(T22:V22)-1)/4</f>
        <v/>
      </c>
      <c r="AD22">
        <f>AVERAGE(W22:AA22)</f>
        <v/>
      </c>
      <c r="AE22">
        <f>MIN(W22:AA22)</f>
        <v/>
      </c>
      <c r="AF22">
        <f>1-alpha*MAX(0,delta-AE22)</f>
        <v/>
      </c>
      <c r="AG22">
        <f>AD22*AF22</f>
        <v/>
      </c>
      <c r="AH22">
        <f>1+COUNTIF(bounds,"&lt;"&amp;ROUND(AD22,12))</f>
        <v/>
      </c>
      <c r="AI22">
        <f>1+COUNTIF(bounds,"&lt;"&amp;ROUND(AG22,12))</f>
        <v/>
      </c>
      <c r="AJ22">
        <f>IF(AF22&lt;1,1,0)</f>
        <v/>
      </c>
      <c r="AK22">
        <f>IF(AH22&lt;&gt;AI22,1,0)</f>
        <v/>
      </c>
      <c r="AL22">
        <f>IF(AND(AI22&gt;=3,AB22&lt;=0.2),1,0)</f>
        <v/>
      </c>
      <c r="AM22">
        <f>AVERAGE(W22:AB22)</f>
        <v/>
      </c>
      <c r="AN22">
        <f>1+COUNTIF(bounds,"&lt;"&amp;ROUND(AM22,12))</f>
        <v/>
      </c>
      <c r="AO22">
        <f>IF(AK22=1,AD22,NA())</f>
        <v/>
      </c>
      <c r="AP22">
        <f>IF(AK22=0,AD22,NA())</f>
        <v/>
      </c>
    </row>
    <row r="23">
      <c r="A23" t="n">
        <v>15</v>
      </c>
      <c r="B23" t="n">
        <v>2</v>
      </c>
      <c r="C23" t="n">
        <v>4</v>
      </c>
      <c r="D23" t="n">
        <v>2</v>
      </c>
      <c r="E23" t="n">
        <v>1</v>
      </c>
      <c r="F23" t="n">
        <v>2</v>
      </c>
      <c r="G23" t="n">
        <v>4</v>
      </c>
      <c r="H23" t="n">
        <v>2</v>
      </c>
      <c r="I23" t="n">
        <v>3</v>
      </c>
      <c r="J23" t="n">
        <v>2</v>
      </c>
      <c r="K23" t="n">
        <v>1</v>
      </c>
      <c r="L23" t="n">
        <v>2</v>
      </c>
      <c r="M23" t="n">
        <v>5</v>
      </c>
      <c r="N23" t="n">
        <v>1</v>
      </c>
      <c r="O23" t="n">
        <v>5</v>
      </c>
      <c r="P23" t="n">
        <v>4</v>
      </c>
      <c r="Q23" t="n">
        <v>5</v>
      </c>
      <c r="R23" t="n">
        <v>4</v>
      </c>
      <c r="S23" t="n">
        <v>1</v>
      </c>
      <c r="T23" t="n">
        <v>2</v>
      </c>
      <c r="U23" t="n">
        <v>1</v>
      </c>
      <c r="V23" t="n">
        <v>1</v>
      </c>
      <c r="W23">
        <f>(AVERAGE(B23:D23)-1)/4</f>
        <v/>
      </c>
      <c r="X23">
        <f>(AVERAGE(E23:G23)-1)/4</f>
        <v/>
      </c>
      <c r="Y23">
        <f>(AVERAGE(H23:J23)-1)/4</f>
        <v/>
      </c>
      <c r="Z23">
        <f>(AVERAGE(K23:M23)-1)/4</f>
        <v/>
      </c>
      <c r="AA23">
        <f>(AVERAGE(N23:P23)-1)/4</f>
        <v/>
      </c>
      <c r="AB23">
        <f>(AVERAGE(Q23:S23)-1)/4</f>
        <v/>
      </c>
      <c r="AC23">
        <f>(AVERAGE(T23:V23)-1)/4</f>
        <v/>
      </c>
      <c r="AD23">
        <f>AVERAGE(W23:AA23)</f>
        <v/>
      </c>
      <c r="AE23">
        <f>MIN(W23:AA23)</f>
        <v/>
      </c>
      <c r="AF23">
        <f>1-alpha*MAX(0,delta-AE23)</f>
        <v/>
      </c>
      <c r="AG23">
        <f>AD23*AF23</f>
        <v/>
      </c>
      <c r="AH23">
        <f>1+COUNTIF(bounds,"&lt;"&amp;ROUND(AD23,12))</f>
        <v/>
      </c>
      <c r="AI23">
        <f>1+COUNTIF(bounds,"&lt;"&amp;ROUND(AG23,12))</f>
        <v/>
      </c>
      <c r="AJ23">
        <f>IF(AF23&lt;1,1,0)</f>
        <v/>
      </c>
      <c r="AK23">
        <f>IF(AH23&lt;&gt;AI23,1,0)</f>
        <v/>
      </c>
      <c r="AL23">
        <f>IF(AND(AI23&gt;=3,AB23&lt;=0.2),1,0)</f>
        <v/>
      </c>
      <c r="AM23">
        <f>AVERAGE(W23:AB23)</f>
        <v/>
      </c>
      <c r="AN23">
        <f>1+COUNTIF(bounds,"&lt;"&amp;ROUND(AM23,12))</f>
        <v/>
      </c>
      <c r="AO23">
        <f>IF(AK23=1,AD23,NA())</f>
        <v/>
      </c>
      <c r="AP23">
        <f>IF(AK23=0,AD23,NA())</f>
        <v/>
      </c>
    </row>
    <row r="24">
      <c r="A24" t="n">
        <v>16</v>
      </c>
      <c r="B24" t="n">
        <v>3</v>
      </c>
      <c r="C24" t="n">
        <v>3</v>
      </c>
      <c r="D24" t="n">
        <v>1</v>
      </c>
      <c r="E24" t="n">
        <v>2</v>
      </c>
      <c r="F24" t="n">
        <v>4</v>
      </c>
      <c r="G24" t="n">
        <v>5</v>
      </c>
      <c r="H24" t="n">
        <v>5</v>
      </c>
      <c r="I24" t="n">
        <v>3</v>
      </c>
      <c r="J24" t="n">
        <v>1</v>
      </c>
      <c r="K24" t="n">
        <v>5</v>
      </c>
      <c r="L24" t="n">
        <v>1</v>
      </c>
      <c r="M24" t="n">
        <v>4</v>
      </c>
      <c r="N24" t="n">
        <v>3</v>
      </c>
      <c r="O24" t="n">
        <v>5</v>
      </c>
      <c r="P24" t="n">
        <v>3</v>
      </c>
      <c r="Q24" t="n">
        <v>3</v>
      </c>
      <c r="R24" t="n">
        <v>3</v>
      </c>
      <c r="S24" t="n">
        <v>1</v>
      </c>
      <c r="T24" t="n">
        <v>3</v>
      </c>
      <c r="U24" t="n">
        <v>2</v>
      </c>
      <c r="V24" t="n">
        <v>2</v>
      </c>
      <c r="W24">
        <f>(AVERAGE(B24:D24)-1)/4</f>
        <v/>
      </c>
      <c r="X24">
        <f>(AVERAGE(E24:G24)-1)/4</f>
        <v/>
      </c>
      <c r="Y24">
        <f>(AVERAGE(H24:J24)-1)/4</f>
        <v/>
      </c>
      <c r="Z24">
        <f>(AVERAGE(K24:M24)-1)/4</f>
        <v/>
      </c>
      <c r="AA24">
        <f>(AVERAGE(N24:P24)-1)/4</f>
        <v/>
      </c>
      <c r="AB24">
        <f>(AVERAGE(Q24:S24)-1)/4</f>
        <v/>
      </c>
      <c r="AC24">
        <f>(AVERAGE(T24:V24)-1)/4</f>
        <v/>
      </c>
      <c r="AD24">
        <f>AVERAGE(W24:AA24)</f>
        <v/>
      </c>
      <c r="AE24">
        <f>MIN(W24:AA24)</f>
        <v/>
      </c>
      <c r="AF24">
        <f>1-alpha*MAX(0,delta-AE24)</f>
        <v/>
      </c>
      <c r="AG24">
        <f>AD24*AF24</f>
        <v/>
      </c>
      <c r="AH24">
        <f>1+COUNTIF(bounds,"&lt;"&amp;ROUND(AD24,12))</f>
        <v/>
      </c>
      <c r="AI24">
        <f>1+COUNTIF(bounds,"&lt;"&amp;ROUND(AG24,12))</f>
        <v/>
      </c>
      <c r="AJ24">
        <f>IF(AF24&lt;1,1,0)</f>
        <v/>
      </c>
      <c r="AK24">
        <f>IF(AH24&lt;&gt;AI24,1,0)</f>
        <v/>
      </c>
      <c r="AL24">
        <f>IF(AND(AI24&gt;=3,AB24&lt;=0.2),1,0)</f>
        <v/>
      </c>
      <c r="AM24">
        <f>AVERAGE(W24:AB24)</f>
        <v/>
      </c>
      <c r="AN24">
        <f>1+COUNTIF(bounds,"&lt;"&amp;ROUND(AM24,12))</f>
        <v/>
      </c>
      <c r="AO24">
        <f>IF(AK24=1,AD24,NA())</f>
        <v/>
      </c>
      <c r="AP24">
        <f>IF(AK24=0,AD24,NA())</f>
        <v/>
      </c>
    </row>
    <row r="25">
      <c r="A25" t="n">
        <v>17</v>
      </c>
      <c r="B25" t="n">
        <v>4</v>
      </c>
      <c r="C25" t="n">
        <v>3</v>
      </c>
      <c r="D25" t="n">
        <v>4</v>
      </c>
      <c r="E25" t="n">
        <v>1</v>
      </c>
      <c r="F25" t="n">
        <v>1</v>
      </c>
      <c r="G25" t="n">
        <v>3</v>
      </c>
      <c r="H25" t="n">
        <v>4</v>
      </c>
      <c r="I25" t="n">
        <v>4</v>
      </c>
      <c r="J25" t="n">
        <v>1</v>
      </c>
      <c r="K25" t="n">
        <v>2</v>
      </c>
      <c r="L25" t="n">
        <v>2</v>
      </c>
      <c r="M25" t="n">
        <v>3</v>
      </c>
      <c r="N25" t="n">
        <v>4</v>
      </c>
      <c r="O25" t="n">
        <v>1</v>
      </c>
      <c r="P25" t="n">
        <v>3</v>
      </c>
      <c r="Q25" t="n">
        <v>2</v>
      </c>
      <c r="R25" t="n">
        <v>5</v>
      </c>
      <c r="S25" t="n">
        <v>3</v>
      </c>
      <c r="T25" t="n">
        <v>3</v>
      </c>
      <c r="U25" t="n">
        <v>4</v>
      </c>
      <c r="V25" t="n">
        <v>4</v>
      </c>
      <c r="W25">
        <f>(AVERAGE(B25:D25)-1)/4</f>
        <v/>
      </c>
      <c r="X25">
        <f>(AVERAGE(E25:G25)-1)/4</f>
        <v/>
      </c>
      <c r="Y25">
        <f>(AVERAGE(H25:J25)-1)/4</f>
        <v/>
      </c>
      <c r="Z25">
        <f>(AVERAGE(K25:M25)-1)/4</f>
        <v/>
      </c>
      <c r="AA25">
        <f>(AVERAGE(N25:P25)-1)/4</f>
        <v/>
      </c>
      <c r="AB25">
        <f>(AVERAGE(Q25:S25)-1)/4</f>
        <v/>
      </c>
      <c r="AC25">
        <f>(AVERAGE(T25:V25)-1)/4</f>
        <v/>
      </c>
      <c r="AD25">
        <f>AVERAGE(W25:AA25)</f>
        <v/>
      </c>
      <c r="AE25">
        <f>MIN(W25:AA25)</f>
        <v/>
      </c>
      <c r="AF25">
        <f>1-alpha*MAX(0,delta-AE25)</f>
        <v/>
      </c>
      <c r="AG25">
        <f>AD25*AF25</f>
        <v/>
      </c>
      <c r="AH25">
        <f>1+COUNTIF(bounds,"&lt;"&amp;ROUND(AD25,12))</f>
        <v/>
      </c>
      <c r="AI25">
        <f>1+COUNTIF(bounds,"&lt;"&amp;ROUND(AG25,12))</f>
        <v/>
      </c>
      <c r="AJ25">
        <f>IF(AF25&lt;1,1,0)</f>
        <v/>
      </c>
      <c r="AK25">
        <f>IF(AH25&lt;&gt;AI25,1,0)</f>
        <v/>
      </c>
      <c r="AL25">
        <f>IF(AND(AI25&gt;=3,AB25&lt;=0.2),1,0)</f>
        <v/>
      </c>
      <c r="AM25">
        <f>AVERAGE(W25:AB25)</f>
        <v/>
      </c>
      <c r="AN25">
        <f>1+COUNTIF(bounds,"&lt;"&amp;ROUND(AM25,12))</f>
        <v/>
      </c>
      <c r="AO25">
        <f>IF(AK25=1,AD25,NA())</f>
        <v/>
      </c>
      <c r="AP25">
        <f>IF(AK25=0,AD25,NA())</f>
        <v/>
      </c>
    </row>
    <row r="26">
      <c r="A26" t="n">
        <v>18</v>
      </c>
      <c r="B26" t="n">
        <v>2</v>
      </c>
      <c r="C26" t="n">
        <v>3</v>
      </c>
      <c r="D26" t="n">
        <v>3</v>
      </c>
      <c r="E26" t="n">
        <v>4</v>
      </c>
      <c r="F26" t="n">
        <v>3</v>
      </c>
      <c r="G26" t="n">
        <v>5</v>
      </c>
      <c r="H26" t="n">
        <v>3</v>
      </c>
      <c r="I26" t="n">
        <v>1</v>
      </c>
      <c r="J26" t="n">
        <v>1</v>
      </c>
      <c r="K26" t="n">
        <v>1</v>
      </c>
      <c r="L26" t="n">
        <v>2</v>
      </c>
      <c r="M26" t="n">
        <v>2</v>
      </c>
      <c r="N26" t="n">
        <v>2</v>
      </c>
      <c r="O26" t="n">
        <v>5</v>
      </c>
      <c r="P26" t="n">
        <v>1</v>
      </c>
      <c r="Q26" t="n">
        <v>4</v>
      </c>
      <c r="R26" t="n">
        <v>4</v>
      </c>
      <c r="S26" t="n">
        <v>4</v>
      </c>
      <c r="T26" t="n">
        <v>4</v>
      </c>
      <c r="U26" t="n">
        <v>3</v>
      </c>
      <c r="V26" t="n">
        <v>1</v>
      </c>
      <c r="W26">
        <f>(AVERAGE(B26:D26)-1)/4</f>
        <v/>
      </c>
      <c r="X26">
        <f>(AVERAGE(E26:G26)-1)/4</f>
        <v/>
      </c>
      <c r="Y26">
        <f>(AVERAGE(H26:J26)-1)/4</f>
        <v/>
      </c>
      <c r="Z26">
        <f>(AVERAGE(K26:M26)-1)/4</f>
        <v/>
      </c>
      <c r="AA26">
        <f>(AVERAGE(N26:P26)-1)/4</f>
        <v/>
      </c>
      <c r="AB26">
        <f>(AVERAGE(Q26:S26)-1)/4</f>
        <v/>
      </c>
      <c r="AC26">
        <f>(AVERAGE(T26:V26)-1)/4</f>
        <v/>
      </c>
      <c r="AD26">
        <f>AVERAGE(W26:AA26)</f>
        <v/>
      </c>
      <c r="AE26">
        <f>MIN(W26:AA26)</f>
        <v/>
      </c>
      <c r="AF26">
        <f>1-alpha*MAX(0,delta-AE26)</f>
        <v/>
      </c>
      <c r="AG26">
        <f>AD26*AF26</f>
        <v/>
      </c>
      <c r="AH26">
        <f>1+COUNTIF(bounds,"&lt;"&amp;ROUND(AD26,12))</f>
        <v/>
      </c>
      <c r="AI26">
        <f>1+COUNTIF(bounds,"&lt;"&amp;ROUND(AG26,12))</f>
        <v/>
      </c>
      <c r="AJ26">
        <f>IF(AF26&lt;1,1,0)</f>
        <v/>
      </c>
      <c r="AK26">
        <f>IF(AH26&lt;&gt;AI26,1,0)</f>
        <v/>
      </c>
      <c r="AL26">
        <f>IF(AND(AI26&gt;=3,AB26&lt;=0.2),1,0)</f>
        <v/>
      </c>
      <c r="AM26">
        <f>AVERAGE(W26:AB26)</f>
        <v/>
      </c>
      <c r="AN26">
        <f>1+COUNTIF(bounds,"&lt;"&amp;ROUND(AM26,12))</f>
        <v/>
      </c>
      <c r="AO26">
        <f>IF(AK26=1,AD26,NA())</f>
        <v/>
      </c>
      <c r="AP26">
        <f>IF(AK26=0,AD26,NA())</f>
        <v/>
      </c>
    </row>
    <row r="27">
      <c r="A27" t="n">
        <v>19</v>
      </c>
      <c r="B27" t="n">
        <v>3</v>
      </c>
      <c r="C27" t="n">
        <v>4</v>
      </c>
      <c r="D27" t="n">
        <v>3</v>
      </c>
      <c r="E27" t="n">
        <v>4</v>
      </c>
      <c r="F27" t="n">
        <v>4</v>
      </c>
      <c r="G27" t="n">
        <v>1</v>
      </c>
      <c r="H27" t="n">
        <v>2</v>
      </c>
      <c r="I27" t="n">
        <v>3</v>
      </c>
      <c r="J27" t="n">
        <v>4</v>
      </c>
      <c r="K27" t="n">
        <v>3</v>
      </c>
      <c r="L27" t="n">
        <v>3</v>
      </c>
      <c r="M27" t="n">
        <v>4</v>
      </c>
      <c r="N27" t="n">
        <v>1</v>
      </c>
      <c r="O27" t="n">
        <v>5</v>
      </c>
      <c r="P27" t="n">
        <v>3</v>
      </c>
      <c r="Q27" t="n">
        <v>3</v>
      </c>
      <c r="R27" t="n">
        <v>4</v>
      </c>
      <c r="S27" t="n">
        <v>5</v>
      </c>
      <c r="T27" t="n">
        <v>3</v>
      </c>
      <c r="U27" t="n">
        <v>5</v>
      </c>
      <c r="V27" t="n">
        <v>2</v>
      </c>
      <c r="W27">
        <f>(AVERAGE(B27:D27)-1)/4</f>
        <v/>
      </c>
      <c r="X27">
        <f>(AVERAGE(E27:G27)-1)/4</f>
        <v/>
      </c>
      <c r="Y27">
        <f>(AVERAGE(H27:J27)-1)/4</f>
        <v/>
      </c>
      <c r="Z27">
        <f>(AVERAGE(K27:M27)-1)/4</f>
        <v/>
      </c>
      <c r="AA27">
        <f>(AVERAGE(N27:P27)-1)/4</f>
        <v/>
      </c>
      <c r="AB27">
        <f>(AVERAGE(Q27:S27)-1)/4</f>
        <v/>
      </c>
      <c r="AC27">
        <f>(AVERAGE(T27:V27)-1)/4</f>
        <v/>
      </c>
      <c r="AD27">
        <f>AVERAGE(W27:AA27)</f>
        <v/>
      </c>
      <c r="AE27">
        <f>MIN(W27:AA27)</f>
        <v/>
      </c>
      <c r="AF27">
        <f>1-alpha*MAX(0,delta-AE27)</f>
        <v/>
      </c>
      <c r="AG27">
        <f>AD27*AF27</f>
        <v/>
      </c>
      <c r="AH27">
        <f>1+COUNTIF(bounds,"&lt;"&amp;ROUND(AD27,12))</f>
        <v/>
      </c>
      <c r="AI27">
        <f>1+COUNTIF(bounds,"&lt;"&amp;ROUND(AG27,12))</f>
        <v/>
      </c>
      <c r="AJ27">
        <f>IF(AF27&lt;1,1,0)</f>
        <v/>
      </c>
      <c r="AK27">
        <f>IF(AH27&lt;&gt;AI27,1,0)</f>
        <v/>
      </c>
      <c r="AL27">
        <f>IF(AND(AI27&gt;=3,AB27&lt;=0.2),1,0)</f>
        <v/>
      </c>
      <c r="AM27">
        <f>AVERAGE(W27:AB27)</f>
        <v/>
      </c>
      <c r="AN27">
        <f>1+COUNTIF(bounds,"&lt;"&amp;ROUND(AM27,12))</f>
        <v/>
      </c>
      <c r="AO27">
        <f>IF(AK27=1,AD27,NA())</f>
        <v/>
      </c>
      <c r="AP27">
        <f>IF(AK27=0,AD27,NA())</f>
        <v/>
      </c>
    </row>
    <row r="28">
      <c r="A28" t="n">
        <v>20</v>
      </c>
      <c r="B28" t="n">
        <v>3</v>
      </c>
      <c r="C28" t="n">
        <v>1</v>
      </c>
      <c r="D28" t="n">
        <v>4</v>
      </c>
      <c r="E28" t="n">
        <v>1</v>
      </c>
      <c r="F28" t="n">
        <v>4</v>
      </c>
      <c r="G28" t="n">
        <v>4</v>
      </c>
      <c r="H28" t="n">
        <v>3</v>
      </c>
      <c r="I28" t="n">
        <v>1</v>
      </c>
      <c r="J28" t="n">
        <v>5</v>
      </c>
      <c r="K28" t="n">
        <v>1</v>
      </c>
      <c r="L28" t="n">
        <v>4</v>
      </c>
      <c r="M28" t="n">
        <v>2</v>
      </c>
      <c r="N28" t="n">
        <v>2</v>
      </c>
      <c r="O28" t="n">
        <v>5</v>
      </c>
      <c r="P28" t="n">
        <v>2</v>
      </c>
      <c r="Q28" t="n">
        <v>1</v>
      </c>
      <c r="R28" t="n">
        <v>2</v>
      </c>
      <c r="S28" t="n">
        <v>1</v>
      </c>
      <c r="T28" t="n">
        <v>2</v>
      </c>
      <c r="U28" t="n">
        <v>2</v>
      </c>
      <c r="V28" t="n">
        <v>4</v>
      </c>
      <c r="W28">
        <f>(AVERAGE(B28:D28)-1)/4</f>
        <v/>
      </c>
      <c r="X28">
        <f>(AVERAGE(E28:G28)-1)/4</f>
        <v/>
      </c>
      <c r="Y28">
        <f>(AVERAGE(H28:J28)-1)/4</f>
        <v/>
      </c>
      <c r="Z28">
        <f>(AVERAGE(K28:M28)-1)/4</f>
        <v/>
      </c>
      <c r="AA28">
        <f>(AVERAGE(N28:P28)-1)/4</f>
        <v/>
      </c>
      <c r="AB28">
        <f>(AVERAGE(Q28:S28)-1)/4</f>
        <v/>
      </c>
      <c r="AC28">
        <f>(AVERAGE(T28:V28)-1)/4</f>
        <v/>
      </c>
      <c r="AD28">
        <f>AVERAGE(W28:AA28)</f>
        <v/>
      </c>
      <c r="AE28">
        <f>MIN(W28:AA28)</f>
        <v/>
      </c>
      <c r="AF28">
        <f>1-alpha*MAX(0,delta-AE28)</f>
        <v/>
      </c>
      <c r="AG28">
        <f>AD28*AF28</f>
        <v/>
      </c>
      <c r="AH28">
        <f>1+COUNTIF(bounds,"&lt;"&amp;ROUND(AD28,12))</f>
        <v/>
      </c>
      <c r="AI28">
        <f>1+COUNTIF(bounds,"&lt;"&amp;ROUND(AG28,12))</f>
        <v/>
      </c>
      <c r="AJ28">
        <f>IF(AF28&lt;1,1,0)</f>
        <v/>
      </c>
      <c r="AK28">
        <f>IF(AH28&lt;&gt;AI28,1,0)</f>
        <v/>
      </c>
      <c r="AL28">
        <f>IF(AND(AI28&gt;=3,AB28&lt;=0.2),1,0)</f>
        <v/>
      </c>
      <c r="AM28">
        <f>AVERAGE(W28:AB28)</f>
        <v/>
      </c>
      <c r="AN28">
        <f>1+COUNTIF(bounds,"&lt;"&amp;ROUND(AM28,12))</f>
        <v/>
      </c>
      <c r="AO28">
        <f>IF(AK28=1,AD28,NA())</f>
        <v/>
      </c>
      <c r="AP28">
        <f>IF(AK28=0,AD28,NA())</f>
        <v/>
      </c>
    </row>
    <row r="29">
      <c r="A29" t="n">
        <v>21</v>
      </c>
      <c r="B29" t="n">
        <v>3</v>
      </c>
      <c r="C29" t="n">
        <v>2</v>
      </c>
      <c r="D29" t="n">
        <v>3</v>
      </c>
      <c r="E29" t="n">
        <v>3</v>
      </c>
      <c r="F29" t="n">
        <v>5</v>
      </c>
      <c r="G29" t="n">
        <v>4</v>
      </c>
      <c r="H29" t="n">
        <v>5</v>
      </c>
      <c r="I29" t="n">
        <v>1</v>
      </c>
      <c r="J29" t="n">
        <v>1</v>
      </c>
      <c r="K29" t="n">
        <v>4</v>
      </c>
      <c r="L29" t="n">
        <v>5</v>
      </c>
      <c r="M29" t="n">
        <v>5</v>
      </c>
      <c r="N29" t="n">
        <v>5</v>
      </c>
      <c r="O29" t="n">
        <v>2</v>
      </c>
      <c r="P29" t="n">
        <v>4</v>
      </c>
      <c r="Q29" t="n">
        <v>1</v>
      </c>
      <c r="R29" t="n">
        <v>2</v>
      </c>
      <c r="S29" t="n">
        <v>5</v>
      </c>
      <c r="T29" t="n">
        <v>5</v>
      </c>
      <c r="U29" t="n">
        <v>4</v>
      </c>
      <c r="V29" t="n">
        <v>4</v>
      </c>
      <c r="W29">
        <f>(AVERAGE(B29:D29)-1)/4</f>
        <v/>
      </c>
      <c r="X29">
        <f>(AVERAGE(E29:G29)-1)/4</f>
        <v/>
      </c>
      <c r="Y29">
        <f>(AVERAGE(H29:J29)-1)/4</f>
        <v/>
      </c>
      <c r="Z29">
        <f>(AVERAGE(K29:M29)-1)/4</f>
        <v/>
      </c>
      <c r="AA29">
        <f>(AVERAGE(N29:P29)-1)/4</f>
        <v/>
      </c>
      <c r="AB29">
        <f>(AVERAGE(Q29:S29)-1)/4</f>
        <v/>
      </c>
      <c r="AC29">
        <f>(AVERAGE(T29:V29)-1)/4</f>
        <v/>
      </c>
      <c r="AD29">
        <f>AVERAGE(W29:AA29)</f>
        <v/>
      </c>
      <c r="AE29">
        <f>MIN(W29:AA29)</f>
        <v/>
      </c>
      <c r="AF29">
        <f>1-alpha*MAX(0,delta-AE29)</f>
        <v/>
      </c>
      <c r="AG29">
        <f>AD29*AF29</f>
        <v/>
      </c>
      <c r="AH29">
        <f>1+COUNTIF(bounds,"&lt;"&amp;ROUND(AD29,12))</f>
        <v/>
      </c>
      <c r="AI29">
        <f>1+COUNTIF(bounds,"&lt;"&amp;ROUND(AG29,12))</f>
        <v/>
      </c>
      <c r="AJ29">
        <f>IF(AF29&lt;1,1,0)</f>
        <v/>
      </c>
      <c r="AK29">
        <f>IF(AH29&lt;&gt;AI29,1,0)</f>
        <v/>
      </c>
      <c r="AL29">
        <f>IF(AND(AI29&gt;=3,AB29&lt;=0.2),1,0)</f>
        <v/>
      </c>
      <c r="AM29">
        <f>AVERAGE(W29:AB29)</f>
        <v/>
      </c>
      <c r="AN29">
        <f>1+COUNTIF(bounds,"&lt;"&amp;ROUND(AM29,12))</f>
        <v/>
      </c>
      <c r="AO29">
        <f>IF(AK29=1,AD29,NA())</f>
        <v/>
      </c>
      <c r="AP29">
        <f>IF(AK29=0,AD29,NA())</f>
        <v/>
      </c>
    </row>
    <row r="30">
      <c r="A30" t="n">
        <v>22</v>
      </c>
      <c r="B30" t="n">
        <v>1</v>
      </c>
      <c r="C30" t="n">
        <v>5</v>
      </c>
      <c r="D30" t="n">
        <v>5</v>
      </c>
      <c r="E30" t="n">
        <v>2</v>
      </c>
      <c r="F30" t="n">
        <v>5</v>
      </c>
      <c r="G30" t="n">
        <v>1</v>
      </c>
      <c r="H30" t="n">
        <v>2</v>
      </c>
      <c r="I30" t="n">
        <v>4</v>
      </c>
      <c r="J30" t="n">
        <v>2</v>
      </c>
      <c r="K30" t="n">
        <v>5</v>
      </c>
      <c r="L30" t="n">
        <v>5</v>
      </c>
      <c r="M30" t="n">
        <v>3</v>
      </c>
      <c r="N30" t="n">
        <v>5</v>
      </c>
      <c r="O30" t="n">
        <v>4</v>
      </c>
      <c r="P30" t="n">
        <v>5</v>
      </c>
      <c r="Q30" t="n">
        <v>4</v>
      </c>
      <c r="R30" t="n">
        <v>4</v>
      </c>
      <c r="S30" t="n">
        <v>2</v>
      </c>
      <c r="T30" t="n">
        <v>5</v>
      </c>
      <c r="U30" t="n">
        <v>2</v>
      </c>
      <c r="V30" t="n">
        <v>2</v>
      </c>
      <c r="W30">
        <f>(AVERAGE(B30:D30)-1)/4</f>
        <v/>
      </c>
      <c r="X30">
        <f>(AVERAGE(E30:G30)-1)/4</f>
        <v/>
      </c>
      <c r="Y30">
        <f>(AVERAGE(H30:J30)-1)/4</f>
        <v/>
      </c>
      <c r="Z30">
        <f>(AVERAGE(K30:M30)-1)/4</f>
        <v/>
      </c>
      <c r="AA30">
        <f>(AVERAGE(N30:P30)-1)/4</f>
        <v/>
      </c>
      <c r="AB30">
        <f>(AVERAGE(Q30:S30)-1)/4</f>
        <v/>
      </c>
      <c r="AC30">
        <f>(AVERAGE(T30:V30)-1)/4</f>
        <v/>
      </c>
      <c r="AD30">
        <f>AVERAGE(W30:AA30)</f>
        <v/>
      </c>
      <c r="AE30">
        <f>MIN(W30:AA30)</f>
        <v/>
      </c>
      <c r="AF30">
        <f>1-alpha*MAX(0,delta-AE30)</f>
        <v/>
      </c>
      <c r="AG30">
        <f>AD30*AF30</f>
        <v/>
      </c>
      <c r="AH30">
        <f>1+COUNTIF(bounds,"&lt;"&amp;ROUND(AD30,12))</f>
        <v/>
      </c>
      <c r="AI30">
        <f>1+COUNTIF(bounds,"&lt;"&amp;ROUND(AG30,12))</f>
        <v/>
      </c>
      <c r="AJ30">
        <f>IF(AF30&lt;1,1,0)</f>
        <v/>
      </c>
      <c r="AK30">
        <f>IF(AH30&lt;&gt;AI30,1,0)</f>
        <v/>
      </c>
      <c r="AL30">
        <f>IF(AND(AI30&gt;=3,AB30&lt;=0.2),1,0)</f>
        <v/>
      </c>
      <c r="AM30">
        <f>AVERAGE(W30:AB30)</f>
        <v/>
      </c>
      <c r="AN30">
        <f>1+COUNTIF(bounds,"&lt;"&amp;ROUND(AM30,12))</f>
        <v/>
      </c>
      <c r="AO30">
        <f>IF(AK30=1,AD30,NA())</f>
        <v/>
      </c>
      <c r="AP30">
        <f>IF(AK30=0,AD30,NA())</f>
        <v/>
      </c>
    </row>
    <row r="31">
      <c r="A31" t="n">
        <v>23</v>
      </c>
      <c r="B31" t="n">
        <v>1</v>
      </c>
      <c r="C31" t="n">
        <v>2</v>
      </c>
      <c r="D31" t="n">
        <v>4</v>
      </c>
      <c r="E31" t="n">
        <v>5</v>
      </c>
      <c r="F31" t="n">
        <v>4</v>
      </c>
      <c r="G31" t="n">
        <v>5</v>
      </c>
      <c r="H31" t="n">
        <v>3</v>
      </c>
      <c r="I31" t="n">
        <v>4</v>
      </c>
      <c r="J31" t="n">
        <v>3</v>
      </c>
      <c r="K31" t="n">
        <v>4</v>
      </c>
      <c r="L31" t="n">
        <v>1</v>
      </c>
      <c r="M31" t="n">
        <v>5</v>
      </c>
      <c r="N31" t="n">
        <v>4</v>
      </c>
      <c r="O31" t="n">
        <v>1</v>
      </c>
      <c r="P31" t="n">
        <v>2</v>
      </c>
      <c r="Q31" t="n">
        <v>1</v>
      </c>
      <c r="R31" t="n">
        <v>4</v>
      </c>
      <c r="S31" t="n">
        <v>2</v>
      </c>
      <c r="T31" t="n">
        <v>5</v>
      </c>
      <c r="U31" t="n">
        <v>1</v>
      </c>
      <c r="V31" t="n">
        <v>4</v>
      </c>
      <c r="W31">
        <f>(AVERAGE(B31:D31)-1)/4</f>
        <v/>
      </c>
      <c r="X31">
        <f>(AVERAGE(E31:G31)-1)/4</f>
        <v/>
      </c>
      <c r="Y31">
        <f>(AVERAGE(H31:J31)-1)/4</f>
        <v/>
      </c>
      <c r="Z31">
        <f>(AVERAGE(K31:M31)-1)/4</f>
        <v/>
      </c>
      <c r="AA31">
        <f>(AVERAGE(N31:P31)-1)/4</f>
        <v/>
      </c>
      <c r="AB31">
        <f>(AVERAGE(Q31:S31)-1)/4</f>
        <v/>
      </c>
      <c r="AC31">
        <f>(AVERAGE(T31:V31)-1)/4</f>
        <v/>
      </c>
      <c r="AD31">
        <f>AVERAGE(W31:AA31)</f>
        <v/>
      </c>
      <c r="AE31">
        <f>MIN(W31:AA31)</f>
        <v/>
      </c>
      <c r="AF31">
        <f>1-alpha*MAX(0,delta-AE31)</f>
        <v/>
      </c>
      <c r="AG31">
        <f>AD31*AF31</f>
        <v/>
      </c>
      <c r="AH31">
        <f>1+COUNTIF(bounds,"&lt;"&amp;ROUND(AD31,12))</f>
        <v/>
      </c>
      <c r="AI31">
        <f>1+COUNTIF(bounds,"&lt;"&amp;ROUND(AG31,12))</f>
        <v/>
      </c>
      <c r="AJ31">
        <f>IF(AF31&lt;1,1,0)</f>
        <v/>
      </c>
      <c r="AK31">
        <f>IF(AH31&lt;&gt;AI31,1,0)</f>
        <v/>
      </c>
      <c r="AL31">
        <f>IF(AND(AI31&gt;=3,AB31&lt;=0.2),1,0)</f>
        <v/>
      </c>
      <c r="AM31">
        <f>AVERAGE(W31:AB31)</f>
        <v/>
      </c>
      <c r="AN31">
        <f>1+COUNTIF(bounds,"&lt;"&amp;ROUND(AM31,12))</f>
        <v/>
      </c>
      <c r="AO31">
        <f>IF(AK31=1,AD31,NA())</f>
        <v/>
      </c>
      <c r="AP31">
        <f>IF(AK31=0,AD31,NA())</f>
        <v/>
      </c>
    </row>
    <row r="32">
      <c r="A32" t="n">
        <v>24</v>
      </c>
      <c r="B32" t="n">
        <v>2</v>
      </c>
      <c r="C32" t="n">
        <v>3</v>
      </c>
      <c r="D32" t="n">
        <v>3</v>
      </c>
      <c r="E32" t="n">
        <v>2</v>
      </c>
      <c r="F32" t="n">
        <v>1</v>
      </c>
      <c r="G32" t="n">
        <v>5</v>
      </c>
      <c r="H32" t="n">
        <v>5</v>
      </c>
      <c r="I32" t="n">
        <v>2</v>
      </c>
      <c r="J32" t="n">
        <v>1</v>
      </c>
      <c r="K32" t="n">
        <v>2</v>
      </c>
      <c r="L32" t="n">
        <v>5</v>
      </c>
      <c r="M32" t="n">
        <v>2</v>
      </c>
      <c r="N32" t="n">
        <v>2</v>
      </c>
      <c r="O32" t="n">
        <v>1</v>
      </c>
      <c r="P32" t="n">
        <v>2</v>
      </c>
      <c r="Q32" t="n">
        <v>3</v>
      </c>
      <c r="R32" t="n">
        <v>5</v>
      </c>
      <c r="S32" t="n">
        <v>1</v>
      </c>
      <c r="T32" t="n">
        <v>5</v>
      </c>
      <c r="U32" t="n">
        <v>5</v>
      </c>
      <c r="V32" t="n">
        <v>3</v>
      </c>
      <c r="W32">
        <f>(AVERAGE(B32:D32)-1)/4</f>
        <v/>
      </c>
      <c r="X32">
        <f>(AVERAGE(E32:G32)-1)/4</f>
        <v/>
      </c>
      <c r="Y32">
        <f>(AVERAGE(H32:J32)-1)/4</f>
        <v/>
      </c>
      <c r="Z32">
        <f>(AVERAGE(K32:M32)-1)/4</f>
        <v/>
      </c>
      <c r="AA32">
        <f>(AVERAGE(N32:P32)-1)/4</f>
        <v/>
      </c>
      <c r="AB32">
        <f>(AVERAGE(Q32:S32)-1)/4</f>
        <v/>
      </c>
      <c r="AC32">
        <f>(AVERAGE(T32:V32)-1)/4</f>
        <v/>
      </c>
      <c r="AD32">
        <f>AVERAGE(W32:AA32)</f>
        <v/>
      </c>
      <c r="AE32">
        <f>MIN(W32:AA32)</f>
        <v/>
      </c>
      <c r="AF32">
        <f>1-alpha*MAX(0,delta-AE32)</f>
        <v/>
      </c>
      <c r="AG32">
        <f>AD32*AF32</f>
        <v/>
      </c>
      <c r="AH32">
        <f>1+COUNTIF(bounds,"&lt;"&amp;ROUND(AD32,12))</f>
        <v/>
      </c>
      <c r="AI32">
        <f>1+COUNTIF(bounds,"&lt;"&amp;ROUND(AG32,12))</f>
        <v/>
      </c>
      <c r="AJ32">
        <f>IF(AF32&lt;1,1,0)</f>
        <v/>
      </c>
      <c r="AK32">
        <f>IF(AH32&lt;&gt;AI32,1,0)</f>
        <v/>
      </c>
      <c r="AL32">
        <f>IF(AND(AI32&gt;=3,AB32&lt;=0.2),1,0)</f>
        <v/>
      </c>
      <c r="AM32">
        <f>AVERAGE(W32:AB32)</f>
        <v/>
      </c>
      <c r="AN32">
        <f>1+COUNTIF(bounds,"&lt;"&amp;ROUND(AM32,12))</f>
        <v/>
      </c>
      <c r="AO32">
        <f>IF(AK32=1,AD32,NA())</f>
        <v/>
      </c>
      <c r="AP32">
        <f>IF(AK32=0,AD32,NA())</f>
        <v/>
      </c>
    </row>
    <row r="33">
      <c r="A33" t="n">
        <v>25</v>
      </c>
      <c r="B33" t="n">
        <v>4</v>
      </c>
      <c r="C33" t="n">
        <v>5</v>
      </c>
      <c r="D33" t="n">
        <v>5</v>
      </c>
      <c r="E33" t="n">
        <v>1</v>
      </c>
      <c r="F33" t="n">
        <v>3</v>
      </c>
      <c r="G33" t="n">
        <v>4</v>
      </c>
      <c r="H33" t="n">
        <v>5</v>
      </c>
      <c r="I33" t="n">
        <v>5</v>
      </c>
      <c r="J33" t="n">
        <v>1</v>
      </c>
      <c r="K33" t="n">
        <v>4</v>
      </c>
      <c r="L33" t="n">
        <v>5</v>
      </c>
      <c r="M33" t="n">
        <v>3</v>
      </c>
      <c r="N33" t="n">
        <v>2</v>
      </c>
      <c r="O33" t="n">
        <v>2</v>
      </c>
      <c r="P33" t="n">
        <v>3</v>
      </c>
      <c r="Q33" t="n">
        <v>1</v>
      </c>
      <c r="R33" t="n">
        <v>4</v>
      </c>
      <c r="S33" t="n">
        <v>1</v>
      </c>
      <c r="T33" t="n">
        <v>4</v>
      </c>
      <c r="U33" t="n">
        <v>4</v>
      </c>
      <c r="V33" t="n">
        <v>3</v>
      </c>
      <c r="W33">
        <f>(AVERAGE(B33:D33)-1)/4</f>
        <v/>
      </c>
      <c r="X33">
        <f>(AVERAGE(E33:G33)-1)/4</f>
        <v/>
      </c>
      <c r="Y33">
        <f>(AVERAGE(H33:J33)-1)/4</f>
        <v/>
      </c>
      <c r="Z33">
        <f>(AVERAGE(K33:M33)-1)/4</f>
        <v/>
      </c>
      <c r="AA33">
        <f>(AVERAGE(N33:P33)-1)/4</f>
        <v/>
      </c>
      <c r="AB33">
        <f>(AVERAGE(Q33:S33)-1)/4</f>
        <v/>
      </c>
      <c r="AC33">
        <f>(AVERAGE(T33:V33)-1)/4</f>
        <v/>
      </c>
      <c r="AD33">
        <f>AVERAGE(W33:AA33)</f>
        <v/>
      </c>
      <c r="AE33">
        <f>MIN(W33:AA33)</f>
        <v/>
      </c>
      <c r="AF33">
        <f>1-alpha*MAX(0,delta-AE33)</f>
        <v/>
      </c>
      <c r="AG33">
        <f>AD33*AF33</f>
        <v/>
      </c>
      <c r="AH33">
        <f>1+COUNTIF(bounds,"&lt;"&amp;ROUND(AD33,12))</f>
        <v/>
      </c>
      <c r="AI33">
        <f>1+COUNTIF(bounds,"&lt;"&amp;ROUND(AG33,12))</f>
        <v/>
      </c>
      <c r="AJ33">
        <f>IF(AF33&lt;1,1,0)</f>
        <v/>
      </c>
      <c r="AK33">
        <f>IF(AH33&lt;&gt;AI33,1,0)</f>
        <v/>
      </c>
      <c r="AL33">
        <f>IF(AND(AI33&gt;=3,AB33&lt;=0.2),1,0)</f>
        <v/>
      </c>
      <c r="AM33">
        <f>AVERAGE(W33:AB33)</f>
        <v/>
      </c>
      <c r="AN33">
        <f>1+COUNTIF(bounds,"&lt;"&amp;ROUND(AM33,12))</f>
        <v/>
      </c>
      <c r="AO33">
        <f>IF(AK33=1,AD33,NA())</f>
        <v/>
      </c>
      <c r="AP33">
        <f>IF(AK33=0,AD33,NA())</f>
        <v/>
      </c>
    </row>
    <row r="34">
      <c r="A34" t="n">
        <v>26</v>
      </c>
      <c r="B34" t="n">
        <v>4</v>
      </c>
      <c r="C34" t="n">
        <v>1</v>
      </c>
      <c r="D34" t="n">
        <v>5</v>
      </c>
      <c r="E34" t="n">
        <v>4</v>
      </c>
      <c r="F34" t="n">
        <v>3</v>
      </c>
      <c r="G34" t="n">
        <v>3</v>
      </c>
      <c r="H34" t="n">
        <v>1</v>
      </c>
      <c r="I34" t="n">
        <v>4</v>
      </c>
      <c r="J34" t="n">
        <v>3</v>
      </c>
      <c r="K34" t="n">
        <v>2</v>
      </c>
      <c r="L34" t="n">
        <v>4</v>
      </c>
      <c r="M34" t="n">
        <v>3</v>
      </c>
      <c r="N34" t="n">
        <v>2</v>
      </c>
      <c r="O34" t="n">
        <v>5</v>
      </c>
      <c r="P34" t="n">
        <v>5</v>
      </c>
      <c r="Q34" t="n">
        <v>5</v>
      </c>
      <c r="R34" t="n">
        <v>5</v>
      </c>
      <c r="S34" t="n">
        <v>1</v>
      </c>
      <c r="T34" t="n">
        <v>2</v>
      </c>
      <c r="U34" t="n">
        <v>2</v>
      </c>
      <c r="V34" t="n">
        <v>3</v>
      </c>
      <c r="W34">
        <f>(AVERAGE(B34:D34)-1)/4</f>
        <v/>
      </c>
      <c r="X34">
        <f>(AVERAGE(E34:G34)-1)/4</f>
        <v/>
      </c>
      <c r="Y34">
        <f>(AVERAGE(H34:J34)-1)/4</f>
        <v/>
      </c>
      <c r="Z34">
        <f>(AVERAGE(K34:M34)-1)/4</f>
        <v/>
      </c>
      <c r="AA34">
        <f>(AVERAGE(N34:P34)-1)/4</f>
        <v/>
      </c>
      <c r="AB34">
        <f>(AVERAGE(Q34:S34)-1)/4</f>
        <v/>
      </c>
      <c r="AC34">
        <f>(AVERAGE(T34:V34)-1)/4</f>
        <v/>
      </c>
      <c r="AD34">
        <f>AVERAGE(W34:AA34)</f>
        <v/>
      </c>
      <c r="AE34">
        <f>MIN(W34:AA34)</f>
        <v/>
      </c>
      <c r="AF34">
        <f>1-alpha*MAX(0,delta-AE34)</f>
        <v/>
      </c>
      <c r="AG34">
        <f>AD34*AF34</f>
        <v/>
      </c>
      <c r="AH34">
        <f>1+COUNTIF(bounds,"&lt;"&amp;ROUND(AD34,12))</f>
        <v/>
      </c>
      <c r="AI34">
        <f>1+COUNTIF(bounds,"&lt;"&amp;ROUND(AG34,12))</f>
        <v/>
      </c>
      <c r="AJ34">
        <f>IF(AF34&lt;1,1,0)</f>
        <v/>
      </c>
      <c r="AK34">
        <f>IF(AH34&lt;&gt;AI34,1,0)</f>
        <v/>
      </c>
      <c r="AL34">
        <f>IF(AND(AI34&gt;=3,AB34&lt;=0.2),1,0)</f>
        <v/>
      </c>
      <c r="AM34">
        <f>AVERAGE(W34:AB34)</f>
        <v/>
      </c>
      <c r="AN34">
        <f>1+COUNTIF(bounds,"&lt;"&amp;ROUND(AM34,12))</f>
        <v/>
      </c>
      <c r="AO34">
        <f>IF(AK34=1,AD34,NA())</f>
        <v/>
      </c>
      <c r="AP34">
        <f>IF(AK34=0,AD34,NA())</f>
        <v/>
      </c>
    </row>
    <row r="35">
      <c r="A35" t="n">
        <v>27</v>
      </c>
      <c r="B35" t="n">
        <v>1</v>
      </c>
      <c r="C35" t="n">
        <v>2</v>
      </c>
      <c r="D35" t="n">
        <v>2</v>
      </c>
      <c r="E35" t="n">
        <v>5</v>
      </c>
      <c r="F35" t="n">
        <v>3</v>
      </c>
      <c r="G35" t="n">
        <v>3</v>
      </c>
      <c r="H35" t="n">
        <v>1</v>
      </c>
      <c r="I35" t="n">
        <v>1</v>
      </c>
      <c r="J35" t="n">
        <v>3</v>
      </c>
      <c r="K35" t="n">
        <v>3</v>
      </c>
      <c r="L35" t="n">
        <v>2</v>
      </c>
      <c r="M35" t="n">
        <v>3</v>
      </c>
      <c r="N35" t="n">
        <v>3</v>
      </c>
      <c r="O35" t="n">
        <v>1</v>
      </c>
      <c r="P35" t="n">
        <v>3</v>
      </c>
      <c r="Q35" t="n">
        <v>5</v>
      </c>
      <c r="R35" t="n">
        <v>3</v>
      </c>
      <c r="S35" t="n">
        <v>2</v>
      </c>
      <c r="T35" t="n">
        <v>2</v>
      </c>
      <c r="U35" t="n">
        <v>4</v>
      </c>
      <c r="V35" t="n">
        <v>1</v>
      </c>
      <c r="W35">
        <f>(AVERAGE(B35:D35)-1)/4</f>
        <v/>
      </c>
      <c r="X35">
        <f>(AVERAGE(E35:G35)-1)/4</f>
        <v/>
      </c>
      <c r="Y35">
        <f>(AVERAGE(H35:J35)-1)/4</f>
        <v/>
      </c>
      <c r="Z35">
        <f>(AVERAGE(K35:M35)-1)/4</f>
        <v/>
      </c>
      <c r="AA35">
        <f>(AVERAGE(N35:P35)-1)/4</f>
        <v/>
      </c>
      <c r="AB35">
        <f>(AVERAGE(Q35:S35)-1)/4</f>
        <v/>
      </c>
      <c r="AC35">
        <f>(AVERAGE(T35:V35)-1)/4</f>
        <v/>
      </c>
      <c r="AD35">
        <f>AVERAGE(W35:AA35)</f>
        <v/>
      </c>
      <c r="AE35">
        <f>MIN(W35:AA35)</f>
        <v/>
      </c>
      <c r="AF35">
        <f>1-alpha*MAX(0,delta-AE35)</f>
        <v/>
      </c>
      <c r="AG35">
        <f>AD35*AF35</f>
        <v/>
      </c>
      <c r="AH35">
        <f>1+COUNTIF(bounds,"&lt;"&amp;ROUND(AD35,12))</f>
        <v/>
      </c>
      <c r="AI35">
        <f>1+COUNTIF(bounds,"&lt;"&amp;ROUND(AG35,12))</f>
        <v/>
      </c>
      <c r="AJ35">
        <f>IF(AF35&lt;1,1,0)</f>
        <v/>
      </c>
      <c r="AK35">
        <f>IF(AH35&lt;&gt;AI35,1,0)</f>
        <v/>
      </c>
      <c r="AL35">
        <f>IF(AND(AI35&gt;=3,AB35&lt;=0.2),1,0)</f>
        <v/>
      </c>
      <c r="AM35">
        <f>AVERAGE(W35:AB35)</f>
        <v/>
      </c>
      <c r="AN35">
        <f>1+COUNTIF(bounds,"&lt;"&amp;ROUND(AM35,12))</f>
        <v/>
      </c>
      <c r="AO35">
        <f>IF(AK35=1,AD35,NA())</f>
        <v/>
      </c>
      <c r="AP35">
        <f>IF(AK35=0,AD35,NA())</f>
        <v/>
      </c>
    </row>
    <row r="36">
      <c r="A36" t="n">
        <v>28</v>
      </c>
      <c r="B36" t="n">
        <v>4</v>
      </c>
      <c r="C36" t="n">
        <v>3</v>
      </c>
      <c r="D36" t="n">
        <v>1</v>
      </c>
      <c r="E36" t="n">
        <v>5</v>
      </c>
      <c r="F36" t="n">
        <v>1</v>
      </c>
      <c r="G36" t="n">
        <v>4</v>
      </c>
      <c r="H36" t="n">
        <v>4</v>
      </c>
      <c r="I36" t="n">
        <v>1</v>
      </c>
      <c r="J36" t="n">
        <v>5</v>
      </c>
      <c r="K36" t="n">
        <v>3</v>
      </c>
      <c r="L36" t="n">
        <v>3</v>
      </c>
      <c r="M36" t="n">
        <v>1</v>
      </c>
      <c r="N36" t="n">
        <v>3</v>
      </c>
      <c r="O36" t="n">
        <v>4</v>
      </c>
      <c r="P36" t="n">
        <v>2</v>
      </c>
      <c r="Q36" t="n">
        <v>5</v>
      </c>
      <c r="R36" t="n">
        <v>1</v>
      </c>
      <c r="S36" t="n">
        <v>2</v>
      </c>
      <c r="T36" t="n">
        <v>5</v>
      </c>
      <c r="U36" t="n">
        <v>5</v>
      </c>
      <c r="V36" t="n">
        <v>5</v>
      </c>
      <c r="W36">
        <f>(AVERAGE(B36:D36)-1)/4</f>
        <v/>
      </c>
      <c r="X36">
        <f>(AVERAGE(E36:G36)-1)/4</f>
        <v/>
      </c>
      <c r="Y36">
        <f>(AVERAGE(H36:J36)-1)/4</f>
        <v/>
      </c>
      <c r="Z36">
        <f>(AVERAGE(K36:M36)-1)/4</f>
        <v/>
      </c>
      <c r="AA36">
        <f>(AVERAGE(N36:P36)-1)/4</f>
        <v/>
      </c>
      <c r="AB36">
        <f>(AVERAGE(Q36:S36)-1)/4</f>
        <v/>
      </c>
      <c r="AC36">
        <f>(AVERAGE(T36:V36)-1)/4</f>
        <v/>
      </c>
      <c r="AD36">
        <f>AVERAGE(W36:AA36)</f>
        <v/>
      </c>
      <c r="AE36">
        <f>MIN(W36:AA36)</f>
        <v/>
      </c>
      <c r="AF36">
        <f>1-alpha*MAX(0,delta-AE36)</f>
        <v/>
      </c>
      <c r="AG36">
        <f>AD36*AF36</f>
        <v/>
      </c>
      <c r="AH36">
        <f>1+COUNTIF(bounds,"&lt;"&amp;ROUND(AD36,12))</f>
        <v/>
      </c>
      <c r="AI36">
        <f>1+COUNTIF(bounds,"&lt;"&amp;ROUND(AG36,12))</f>
        <v/>
      </c>
      <c r="AJ36">
        <f>IF(AF36&lt;1,1,0)</f>
        <v/>
      </c>
      <c r="AK36">
        <f>IF(AH36&lt;&gt;AI36,1,0)</f>
        <v/>
      </c>
      <c r="AL36">
        <f>IF(AND(AI36&gt;=3,AB36&lt;=0.2),1,0)</f>
        <v/>
      </c>
      <c r="AM36">
        <f>AVERAGE(W36:AB36)</f>
        <v/>
      </c>
      <c r="AN36">
        <f>1+COUNTIF(bounds,"&lt;"&amp;ROUND(AM36,12))</f>
        <v/>
      </c>
      <c r="AO36">
        <f>IF(AK36=1,AD36,NA())</f>
        <v/>
      </c>
      <c r="AP36">
        <f>IF(AK36=0,AD36,NA())</f>
        <v/>
      </c>
    </row>
    <row r="37">
      <c r="A37" t="n">
        <v>29</v>
      </c>
      <c r="B37" t="n">
        <v>1</v>
      </c>
      <c r="C37" t="n">
        <v>4</v>
      </c>
      <c r="D37" t="n">
        <v>3</v>
      </c>
      <c r="E37" t="n">
        <v>5</v>
      </c>
      <c r="F37" t="n">
        <v>4</v>
      </c>
      <c r="G37" t="n">
        <v>2</v>
      </c>
      <c r="H37" t="n">
        <v>1</v>
      </c>
      <c r="I37" t="n">
        <v>2</v>
      </c>
      <c r="J37" t="n">
        <v>3</v>
      </c>
      <c r="K37" t="n">
        <v>4</v>
      </c>
      <c r="L37" t="n">
        <v>2</v>
      </c>
      <c r="M37" t="n">
        <v>3</v>
      </c>
      <c r="N37" t="n">
        <v>4</v>
      </c>
      <c r="O37" t="n">
        <v>5</v>
      </c>
      <c r="P37" t="n">
        <v>4</v>
      </c>
      <c r="Q37" t="n">
        <v>1</v>
      </c>
      <c r="R37" t="n">
        <v>1</v>
      </c>
      <c r="S37" t="n">
        <v>2</v>
      </c>
      <c r="T37" t="n">
        <v>3</v>
      </c>
      <c r="U37" t="n">
        <v>4</v>
      </c>
      <c r="V37" t="n">
        <v>3</v>
      </c>
      <c r="W37">
        <f>(AVERAGE(B37:D37)-1)/4</f>
        <v/>
      </c>
      <c r="X37">
        <f>(AVERAGE(E37:G37)-1)/4</f>
        <v/>
      </c>
      <c r="Y37">
        <f>(AVERAGE(H37:J37)-1)/4</f>
        <v/>
      </c>
      <c r="Z37">
        <f>(AVERAGE(K37:M37)-1)/4</f>
        <v/>
      </c>
      <c r="AA37">
        <f>(AVERAGE(N37:P37)-1)/4</f>
        <v/>
      </c>
      <c r="AB37">
        <f>(AVERAGE(Q37:S37)-1)/4</f>
        <v/>
      </c>
      <c r="AC37">
        <f>(AVERAGE(T37:V37)-1)/4</f>
        <v/>
      </c>
      <c r="AD37">
        <f>AVERAGE(W37:AA37)</f>
        <v/>
      </c>
      <c r="AE37">
        <f>MIN(W37:AA37)</f>
        <v/>
      </c>
      <c r="AF37">
        <f>1-alpha*MAX(0,delta-AE37)</f>
        <v/>
      </c>
      <c r="AG37">
        <f>AD37*AF37</f>
        <v/>
      </c>
      <c r="AH37">
        <f>1+COUNTIF(bounds,"&lt;"&amp;ROUND(AD37,12))</f>
        <v/>
      </c>
      <c r="AI37">
        <f>1+COUNTIF(bounds,"&lt;"&amp;ROUND(AG37,12))</f>
        <v/>
      </c>
      <c r="AJ37">
        <f>IF(AF37&lt;1,1,0)</f>
        <v/>
      </c>
      <c r="AK37">
        <f>IF(AH37&lt;&gt;AI37,1,0)</f>
        <v/>
      </c>
      <c r="AL37">
        <f>IF(AND(AI37&gt;=3,AB37&lt;=0.2),1,0)</f>
        <v/>
      </c>
      <c r="AM37">
        <f>AVERAGE(W37:AB37)</f>
        <v/>
      </c>
      <c r="AN37">
        <f>1+COUNTIF(bounds,"&lt;"&amp;ROUND(AM37,12))</f>
        <v/>
      </c>
      <c r="AO37">
        <f>IF(AK37=1,AD37,NA())</f>
        <v/>
      </c>
      <c r="AP37">
        <f>IF(AK37=0,AD37,NA())</f>
        <v/>
      </c>
    </row>
    <row r="38">
      <c r="A38" t="n">
        <v>30</v>
      </c>
      <c r="B38" t="n">
        <v>4</v>
      </c>
      <c r="C38" t="n">
        <v>3</v>
      </c>
      <c r="D38" t="n">
        <v>5</v>
      </c>
      <c r="E38" t="n">
        <v>3</v>
      </c>
      <c r="F38" t="n">
        <v>4</v>
      </c>
      <c r="G38" t="n">
        <v>4</v>
      </c>
      <c r="H38" t="n">
        <v>3</v>
      </c>
      <c r="I38" t="n">
        <v>5</v>
      </c>
      <c r="J38" t="n">
        <v>5</v>
      </c>
      <c r="K38" t="n">
        <v>4</v>
      </c>
      <c r="L38" t="n">
        <v>4</v>
      </c>
      <c r="M38" t="n">
        <v>4</v>
      </c>
      <c r="N38" t="n">
        <v>4</v>
      </c>
      <c r="O38" t="n">
        <v>5</v>
      </c>
      <c r="P38" t="n">
        <v>5</v>
      </c>
      <c r="Q38" t="n">
        <v>1</v>
      </c>
      <c r="R38" t="n">
        <v>5</v>
      </c>
      <c r="S38" t="n">
        <v>3</v>
      </c>
      <c r="T38" t="n">
        <v>1</v>
      </c>
      <c r="U38" t="n">
        <v>4</v>
      </c>
      <c r="V38" t="n">
        <v>4</v>
      </c>
      <c r="W38">
        <f>(AVERAGE(B38:D38)-1)/4</f>
        <v/>
      </c>
      <c r="X38">
        <f>(AVERAGE(E38:G38)-1)/4</f>
        <v/>
      </c>
      <c r="Y38">
        <f>(AVERAGE(H38:J38)-1)/4</f>
        <v/>
      </c>
      <c r="Z38">
        <f>(AVERAGE(K38:M38)-1)/4</f>
        <v/>
      </c>
      <c r="AA38">
        <f>(AVERAGE(N38:P38)-1)/4</f>
        <v/>
      </c>
      <c r="AB38">
        <f>(AVERAGE(Q38:S38)-1)/4</f>
        <v/>
      </c>
      <c r="AC38">
        <f>(AVERAGE(T38:V38)-1)/4</f>
        <v/>
      </c>
      <c r="AD38">
        <f>AVERAGE(W38:AA38)</f>
        <v/>
      </c>
      <c r="AE38">
        <f>MIN(W38:AA38)</f>
        <v/>
      </c>
      <c r="AF38">
        <f>1-alpha*MAX(0,delta-AE38)</f>
        <v/>
      </c>
      <c r="AG38">
        <f>AD38*AF38</f>
        <v/>
      </c>
      <c r="AH38">
        <f>1+COUNTIF(bounds,"&lt;"&amp;ROUND(AD38,12))</f>
        <v/>
      </c>
      <c r="AI38">
        <f>1+COUNTIF(bounds,"&lt;"&amp;ROUND(AG38,12))</f>
        <v/>
      </c>
      <c r="AJ38">
        <f>IF(AF38&lt;1,1,0)</f>
        <v/>
      </c>
      <c r="AK38">
        <f>IF(AH38&lt;&gt;AI38,1,0)</f>
        <v/>
      </c>
      <c r="AL38">
        <f>IF(AND(AI38&gt;=3,AB38&lt;=0.2),1,0)</f>
        <v/>
      </c>
      <c r="AM38">
        <f>AVERAGE(W38:AB38)</f>
        <v/>
      </c>
      <c r="AN38">
        <f>1+COUNTIF(bounds,"&lt;"&amp;ROUND(AM38,12))</f>
        <v/>
      </c>
      <c r="AO38">
        <f>IF(AK38=1,AD38,NA())</f>
        <v/>
      </c>
      <c r="AP38">
        <f>IF(AK38=0,AD38,NA())</f>
        <v/>
      </c>
    </row>
    <row r="39">
      <c r="A39" t="n">
        <v>31</v>
      </c>
      <c r="B39" t="n">
        <v>5</v>
      </c>
      <c r="C39" t="n">
        <v>1</v>
      </c>
      <c r="D39" t="n">
        <v>5</v>
      </c>
      <c r="E39" t="n">
        <v>1</v>
      </c>
      <c r="F39" t="n">
        <v>2</v>
      </c>
      <c r="G39" t="n">
        <v>3</v>
      </c>
      <c r="H39" t="n">
        <v>1</v>
      </c>
      <c r="I39" t="n">
        <v>3</v>
      </c>
      <c r="J39" t="n">
        <v>5</v>
      </c>
      <c r="K39" t="n">
        <v>3</v>
      </c>
      <c r="L39" t="n">
        <v>4</v>
      </c>
      <c r="M39" t="n">
        <v>1</v>
      </c>
      <c r="N39" t="n">
        <v>1</v>
      </c>
      <c r="O39" t="n">
        <v>2</v>
      </c>
      <c r="P39" t="n">
        <v>3</v>
      </c>
      <c r="Q39" t="n">
        <v>5</v>
      </c>
      <c r="R39" t="n">
        <v>5</v>
      </c>
      <c r="S39" t="n">
        <v>4</v>
      </c>
      <c r="T39" t="n">
        <v>3</v>
      </c>
      <c r="U39" t="n">
        <v>1</v>
      </c>
      <c r="V39" t="n">
        <v>4</v>
      </c>
      <c r="W39">
        <f>(AVERAGE(B39:D39)-1)/4</f>
        <v/>
      </c>
      <c r="X39">
        <f>(AVERAGE(E39:G39)-1)/4</f>
        <v/>
      </c>
      <c r="Y39">
        <f>(AVERAGE(H39:J39)-1)/4</f>
        <v/>
      </c>
      <c r="Z39">
        <f>(AVERAGE(K39:M39)-1)/4</f>
        <v/>
      </c>
      <c r="AA39">
        <f>(AVERAGE(N39:P39)-1)/4</f>
        <v/>
      </c>
      <c r="AB39">
        <f>(AVERAGE(Q39:S39)-1)/4</f>
        <v/>
      </c>
      <c r="AC39">
        <f>(AVERAGE(T39:V39)-1)/4</f>
        <v/>
      </c>
      <c r="AD39">
        <f>AVERAGE(W39:AA39)</f>
        <v/>
      </c>
      <c r="AE39">
        <f>MIN(W39:AA39)</f>
        <v/>
      </c>
      <c r="AF39">
        <f>1-alpha*MAX(0,delta-AE39)</f>
        <v/>
      </c>
      <c r="AG39">
        <f>AD39*AF39</f>
        <v/>
      </c>
      <c r="AH39">
        <f>1+COUNTIF(bounds,"&lt;"&amp;ROUND(AD39,12))</f>
        <v/>
      </c>
      <c r="AI39">
        <f>1+COUNTIF(bounds,"&lt;"&amp;ROUND(AG39,12))</f>
        <v/>
      </c>
      <c r="AJ39">
        <f>IF(AF39&lt;1,1,0)</f>
        <v/>
      </c>
      <c r="AK39">
        <f>IF(AH39&lt;&gt;AI39,1,0)</f>
        <v/>
      </c>
      <c r="AL39">
        <f>IF(AND(AI39&gt;=3,AB39&lt;=0.2),1,0)</f>
        <v/>
      </c>
      <c r="AM39">
        <f>AVERAGE(W39:AB39)</f>
        <v/>
      </c>
      <c r="AN39">
        <f>1+COUNTIF(bounds,"&lt;"&amp;ROUND(AM39,12))</f>
        <v/>
      </c>
      <c r="AO39">
        <f>IF(AK39=1,AD39,NA())</f>
        <v/>
      </c>
      <c r="AP39">
        <f>IF(AK39=0,AD39,NA())</f>
        <v/>
      </c>
    </row>
    <row r="40">
      <c r="A40" t="n">
        <v>32</v>
      </c>
      <c r="B40" t="n">
        <v>4</v>
      </c>
      <c r="C40" t="n">
        <v>4</v>
      </c>
      <c r="D40" t="n">
        <v>4</v>
      </c>
      <c r="E40" t="n">
        <v>1</v>
      </c>
      <c r="F40" t="n">
        <v>4</v>
      </c>
      <c r="G40" t="n">
        <v>5</v>
      </c>
      <c r="H40" t="n">
        <v>4</v>
      </c>
      <c r="I40" t="n">
        <v>2</v>
      </c>
      <c r="J40" t="n">
        <v>3</v>
      </c>
      <c r="K40" t="n">
        <v>1</v>
      </c>
      <c r="L40" t="n">
        <v>2</v>
      </c>
      <c r="M40" t="n">
        <v>1</v>
      </c>
      <c r="N40" t="n">
        <v>2</v>
      </c>
      <c r="O40" t="n">
        <v>5</v>
      </c>
      <c r="P40" t="n">
        <v>5</v>
      </c>
      <c r="Q40" t="n">
        <v>3</v>
      </c>
      <c r="R40" t="n">
        <v>1</v>
      </c>
      <c r="S40" t="n">
        <v>3</v>
      </c>
      <c r="T40" t="n">
        <v>3</v>
      </c>
      <c r="U40" t="n">
        <v>3</v>
      </c>
      <c r="V40" t="n">
        <v>1</v>
      </c>
      <c r="W40">
        <f>(AVERAGE(B40:D40)-1)/4</f>
        <v/>
      </c>
      <c r="X40">
        <f>(AVERAGE(E40:G40)-1)/4</f>
        <v/>
      </c>
      <c r="Y40">
        <f>(AVERAGE(H40:J40)-1)/4</f>
        <v/>
      </c>
      <c r="Z40">
        <f>(AVERAGE(K40:M40)-1)/4</f>
        <v/>
      </c>
      <c r="AA40">
        <f>(AVERAGE(N40:P40)-1)/4</f>
        <v/>
      </c>
      <c r="AB40">
        <f>(AVERAGE(Q40:S40)-1)/4</f>
        <v/>
      </c>
      <c r="AC40">
        <f>(AVERAGE(T40:V40)-1)/4</f>
        <v/>
      </c>
      <c r="AD40">
        <f>AVERAGE(W40:AA40)</f>
        <v/>
      </c>
      <c r="AE40">
        <f>MIN(W40:AA40)</f>
        <v/>
      </c>
      <c r="AF40">
        <f>1-alpha*MAX(0,delta-AE40)</f>
        <v/>
      </c>
      <c r="AG40">
        <f>AD40*AF40</f>
        <v/>
      </c>
      <c r="AH40">
        <f>1+COUNTIF(bounds,"&lt;"&amp;ROUND(AD40,12))</f>
        <v/>
      </c>
      <c r="AI40">
        <f>1+COUNTIF(bounds,"&lt;"&amp;ROUND(AG40,12))</f>
        <v/>
      </c>
      <c r="AJ40">
        <f>IF(AF40&lt;1,1,0)</f>
        <v/>
      </c>
      <c r="AK40">
        <f>IF(AH40&lt;&gt;AI40,1,0)</f>
        <v/>
      </c>
      <c r="AL40">
        <f>IF(AND(AI40&gt;=3,AB40&lt;=0.2),1,0)</f>
        <v/>
      </c>
      <c r="AM40">
        <f>AVERAGE(W40:AB40)</f>
        <v/>
      </c>
      <c r="AN40">
        <f>1+COUNTIF(bounds,"&lt;"&amp;ROUND(AM40,12))</f>
        <v/>
      </c>
      <c r="AO40">
        <f>IF(AK40=1,AD40,NA())</f>
        <v/>
      </c>
      <c r="AP40">
        <f>IF(AK40=0,AD40,NA())</f>
        <v/>
      </c>
    </row>
    <row r="41">
      <c r="A41" t="n">
        <v>33</v>
      </c>
      <c r="B41" t="n">
        <v>3</v>
      </c>
      <c r="C41" t="n">
        <v>5</v>
      </c>
      <c r="D41" t="n">
        <v>2</v>
      </c>
      <c r="E41" t="n">
        <v>2</v>
      </c>
      <c r="F41" t="n">
        <v>1</v>
      </c>
      <c r="G41" t="n">
        <v>5</v>
      </c>
      <c r="H41" t="n">
        <v>2</v>
      </c>
      <c r="I41" t="n">
        <v>1</v>
      </c>
      <c r="J41" t="n">
        <v>1</v>
      </c>
      <c r="K41" t="n">
        <v>2</v>
      </c>
      <c r="L41" t="n">
        <v>2</v>
      </c>
      <c r="M41" t="n">
        <v>3</v>
      </c>
      <c r="N41" t="n">
        <v>5</v>
      </c>
      <c r="O41" t="n">
        <v>4</v>
      </c>
      <c r="P41" t="n">
        <v>2</v>
      </c>
      <c r="Q41" t="n">
        <v>4</v>
      </c>
      <c r="R41" t="n">
        <v>1</v>
      </c>
      <c r="S41" t="n">
        <v>2</v>
      </c>
      <c r="T41" t="n">
        <v>1</v>
      </c>
      <c r="U41" t="n">
        <v>2</v>
      </c>
      <c r="V41" t="n">
        <v>4</v>
      </c>
      <c r="W41">
        <f>(AVERAGE(B41:D41)-1)/4</f>
        <v/>
      </c>
      <c r="X41">
        <f>(AVERAGE(E41:G41)-1)/4</f>
        <v/>
      </c>
      <c r="Y41">
        <f>(AVERAGE(H41:J41)-1)/4</f>
        <v/>
      </c>
      <c r="Z41">
        <f>(AVERAGE(K41:M41)-1)/4</f>
        <v/>
      </c>
      <c r="AA41">
        <f>(AVERAGE(N41:P41)-1)/4</f>
        <v/>
      </c>
      <c r="AB41">
        <f>(AVERAGE(Q41:S41)-1)/4</f>
        <v/>
      </c>
      <c r="AC41">
        <f>(AVERAGE(T41:V41)-1)/4</f>
        <v/>
      </c>
      <c r="AD41">
        <f>AVERAGE(W41:AA41)</f>
        <v/>
      </c>
      <c r="AE41">
        <f>MIN(W41:AA41)</f>
        <v/>
      </c>
      <c r="AF41">
        <f>1-alpha*MAX(0,delta-AE41)</f>
        <v/>
      </c>
      <c r="AG41">
        <f>AD41*AF41</f>
        <v/>
      </c>
      <c r="AH41">
        <f>1+COUNTIF(bounds,"&lt;"&amp;ROUND(AD41,12))</f>
        <v/>
      </c>
      <c r="AI41">
        <f>1+COUNTIF(bounds,"&lt;"&amp;ROUND(AG41,12))</f>
        <v/>
      </c>
      <c r="AJ41">
        <f>IF(AF41&lt;1,1,0)</f>
        <v/>
      </c>
      <c r="AK41">
        <f>IF(AH41&lt;&gt;AI41,1,0)</f>
        <v/>
      </c>
      <c r="AL41">
        <f>IF(AND(AI41&gt;=3,AB41&lt;=0.2),1,0)</f>
        <v/>
      </c>
      <c r="AM41">
        <f>AVERAGE(W41:AB41)</f>
        <v/>
      </c>
      <c r="AN41">
        <f>1+COUNTIF(bounds,"&lt;"&amp;ROUND(AM41,12))</f>
        <v/>
      </c>
      <c r="AO41">
        <f>IF(AK41=1,AD41,NA())</f>
        <v/>
      </c>
      <c r="AP41">
        <f>IF(AK41=0,AD41,NA())</f>
        <v/>
      </c>
    </row>
    <row r="42">
      <c r="A42" t="n">
        <v>34</v>
      </c>
      <c r="B42" t="n">
        <v>3</v>
      </c>
      <c r="C42" t="n">
        <v>5</v>
      </c>
      <c r="D42" t="n">
        <v>1</v>
      </c>
      <c r="E42" t="n">
        <v>3</v>
      </c>
      <c r="F42" t="n">
        <v>2</v>
      </c>
      <c r="G42" t="n">
        <v>3</v>
      </c>
      <c r="H42" t="n">
        <v>2</v>
      </c>
      <c r="I42" t="n">
        <v>1</v>
      </c>
      <c r="J42" t="n">
        <v>1</v>
      </c>
      <c r="K42" t="n">
        <v>4</v>
      </c>
      <c r="L42" t="n">
        <v>4</v>
      </c>
      <c r="M42" t="n">
        <v>4</v>
      </c>
      <c r="N42" t="n">
        <v>4</v>
      </c>
      <c r="O42" t="n">
        <v>1</v>
      </c>
      <c r="P42" t="n">
        <v>2</v>
      </c>
      <c r="Q42" t="n">
        <v>4</v>
      </c>
      <c r="R42" t="n">
        <v>4</v>
      </c>
      <c r="S42" t="n">
        <v>1</v>
      </c>
      <c r="T42" t="n">
        <v>5</v>
      </c>
      <c r="U42" t="n">
        <v>3</v>
      </c>
      <c r="V42" t="n">
        <v>3</v>
      </c>
      <c r="W42">
        <f>(AVERAGE(B42:D42)-1)/4</f>
        <v/>
      </c>
      <c r="X42">
        <f>(AVERAGE(E42:G42)-1)/4</f>
        <v/>
      </c>
      <c r="Y42">
        <f>(AVERAGE(H42:J42)-1)/4</f>
        <v/>
      </c>
      <c r="Z42">
        <f>(AVERAGE(K42:M42)-1)/4</f>
        <v/>
      </c>
      <c r="AA42">
        <f>(AVERAGE(N42:P42)-1)/4</f>
        <v/>
      </c>
      <c r="AB42">
        <f>(AVERAGE(Q42:S42)-1)/4</f>
        <v/>
      </c>
      <c r="AC42">
        <f>(AVERAGE(T42:V42)-1)/4</f>
        <v/>
      </c>
      <c r="AD42">
        <f>AVERAGE(W42:AA42)</f>
        <v/>
      </c>
      <c r="AE42">
        <f>MIN(W42:AA42)</f>
        <v/>
      </c>
      <c r="AF42">
        <f>1-alpha*MAX(0,delta-AE42)</f>
        <v/>
      </c>
      <c r="AG42">
        <f>AD42*AF42</f>
        <v/>
      </c>
      <c r="AH42">
        <f>1+COUNTIF(bounds,"&lt;"&amp;ROUND(AD42,12))</f>
        <v/>
      </c>
      <c r="AI42">
        <f>1+COUNTIF(bounds,"&lt;"&amp;ROUND(AG42,12))</f>
        <v/>
      </c>
      <c r="AJ42">
        <f>IF(AF42&lt;1,1,0)</f>
        <v/>
      </c>
      <c r="AK42">
        <f>IF(AH42&lt;&gt;AI42,1,0)</f>
        <v/>
      </c>
      <c r="AL42">
        <f>IF(AND(AI42&gt;=3,AB42&lt;=0.2),1,0)</f>
        <v/>
      </c>
      <c r="AM42">
        <f>AVERAGE(W42:AB42)</f>
        <v/>
      </c>
      <c r="AN42">
        <f>1+COUNTIF(bounds,"&lt;"&amp;ROUND(AM42,12))</f>
        <v/>
      </c>
      <c r="AO42">
        <f>IF(AK42=1,AD42,NA())</f>
        <v/>
      </c>
      <c r="AP42">
        <f>IF(AK42=0,AD42,NA())</f>
        <v/>
      </c>
    </row>
    <row r="43">
      <c r="A43" t="n">
        <v>35</v>
      </c>
      <c r="B43" t="n">
        <v>4</v>
      </c>
      <c r="C43" t="n">
        <v>3</v>
      </c>
      <c r="D43" t="n">
        <v>4</v>
      </c>
      <c r="E43" t="n">
        <v>2</v>
      </c>
      <c r="F43" t="n">
        <v>5</v>
      </c>
      <c r="G43" t="n">
        <v>4</v>
      </c>
      <c r="H43" t="n">
        <v>1</v>
      </c>
      <c r="I43" t="n">
        <v>3</v>
      </c>
      <c r="J43" t="n">
        <v>1</v>
      </c>
      <c r="K43" t="n">
        <v>1</v>
      </c>
      <c r="L43" t="n">
        <v>4</v>
      </c>
      <c r="M43" t="n">
        <v>4</v>
      </c>
      <c r="N43" t="n">
        <v>3</v>
      </c>
      <c r="O43" t="n">
        <v>1</v>
      </c>
      <c r="P43" t="n">
        <v>5</v>
      </c>
      <c r="Q43" t="n">
        <v>2</v>
      </c>
      <c r="R43" t="n">
        <v>2</v>
      </c>
      <c r="S43" t="n">
        <v>4</v>
      </c>
      <c r="T43" t="n">
        <v>1</v>
      </c>
      <c r="U43" t="n">
        <v>3</v>
      </c>
      <c r="V43" t="n">
        <v>1</v>
      </c>
      <c r="W43">
        <f>(AVERAGE(B43:D43)-1)/4</f>
        <v/>
      </c>
      <c r="X43">
        <f>(AVERAGE(E43:G43)-1)/4</f>
        <v/>
      </c>
      <c r="Y43">
        <f>(AVERAGE(H43:J43)-1)/4</f>
        <v/>
      </c>
      <c r="Z43">
        <f>(AVERAGE(K43:M43)-1)/4</f>
        <v/>
      </c>
      <c r="AA43">
        <f>(AVERAGE(N43:P43)-1)/4</f>
        <v/>
      </c>
      <c r="AB43">
        <f>(AVERAGE(Q43:S43)-1)/4</f>
        <v/>
      </c>
      <c r="AC43">
        <f>(AVERAGE(T43:V43)-1)/4</f>
        <v/>
      </c>
      <c r="AD43">
        <f>AVERAGE(W43:AA43)</f>
        <v/>
      </c>
      <c r="AE43">
        <f>MIN(W43:AA43)</f>
        <v/>
      </c>
      <c r="AF43">
        <f>1-alpha*MAX(0,delta-AE43)</f>
        <v/>
      </c>
      <c r="AG43">
        <f>AD43*AF43</f>
        <v/>
      </c>
      <c r="AH43">
        <f>1+COUNTIF(bounds,"&lt;"&amp;ROUND(AD43,12))</f>
        <v/>
      </c>
      <c r="AI43">
        <f>1+COUNTIF(bounds,"&lt;"&amp;ROUND(AG43,12))</f>
        <v/>
      </c>
      <c r="AJ43">
        <f>IF(AF43&lt;1,1,0)</f>
        <v/>
      </c>
      <c r="AK43">
        <f>IF(AH43&lt;&gt;AI43,1,0)</f>
        <v/>
      </c>
      <c r="AL43">
        <f>IF(AND(AI43&gt;=3,AB43&lt;=0.2),1,0)</f>
        <v/>
      </c>
      <c r="AM43">
        <f>AVERAGE(W43:AB43)</f>
        <v/>
      </c>
      <c r="AN43">
        <f>1+COUNTIF(bounds,"&lt;"&amp;ROUND(AM43,12))</f>
        <v/>
      </c>
      <c r="AO43">
        <f>IF(AK43=1,AD43,NA())</f>
        <v/>
      </c>
      <c r="AP43">
        <f>IF(AK43=0,AD43,NA())</f>
        <v/>
      </c>
    </row>
    <row r="44">
      <c r="A44" t="n">
        <v>36</v>
      </c>
      <c r="B44" t="n">
        <v>1</v>
      </c>
      <c r="C44" t="n">
        <v>4</v>
      </c>
      <c r="D44" t="n">
        <v>5</v>
      </c>
      <c r="E44" t="n">
        <v>4</v>
      </c>
      <c r="F44" t="n">
        <v>3</v>
      </c>
      <c r="G44" t="n">
        <v>2</v>
      </c>
      <c r="H44" t="n">
        <v>5</v>
      </c>
      <c r="I44" t="n">
        <v>1</v>
      </c>
      <c r="J44" t="n">
        <v>5</v>
      </c>
      <c r="K44" t="n">
        <v>3</v>
      </c>
      <c r="L44" t="n">
        <v>3</v>
      </c>
      <c r="M44" t="n">
        <v>4</v>
      </c>
      <c r="N44" t="n">
        <v>1</v>
      </c>
      <c r="O44" t="n">
        <v>4</v>
      </c>
      <c r="P44" t="n">
        <v>3</v>
      </c>
      <c r="Q44" t="n">
        <v>2</v>
      </c>
      <c r="R44" t="n">
        <v>1</v>
      </c>
      <c r="S44" t="n">
        <v>1</v>
      </c>
      <c r="T44" t="n">
        <v>3</v>
      </c>
      <c r="U44" t="n">
        <v>4</v>
      </c>
      <c r="V44" t="n">
        <v>2</v>
      </c>
      <c r="W44">
        <f>(AVERAGE(B44:D44)-1)/4</f>
        <v/>
      </c>
      <c r="X44">
        <f>(AVERAGE(E44:G44)-1)/4</f>
        <v/>
      </c>
      <c r="Y44">
        <f>(AVERAGE(H44:J44)-1)/4</f>
        <v/>
      </c>
      <c r="Z44">
        <f>(AVERAGE(K44:M44)-1)/4</f>
        <v/>
      </c>
      <c r="AA44">
        <f>(AVERAGE(N44:P44)-1)/4</f>
        <v/>
      </c>
      <c r="AB44">
        <f>(AVERAGE(Q44:S44)-1)/4</f>
        <v/>
      </c>
      <c r="AC44">
        <f>(AVERAGE(T44:V44)-1)/4</f>
        <v/>
      </c>
      <c r="AD44">
        <f>AVERAGE(W44:AA44)</f>
        <v/>
      </c>
      <c r="AE44">
        <f>MIN(W44:AA44)</f>
        <v/>
      </c>
      <c r="AF44">
        <f>1-alpha*MAX(0,delta-AE44)</f>
        <v/>
      </c>
      <c r="AG44">
        <f>AD44*AF44</f>
        <v/>
      </c>
      <c r="AH44">
        <f>1+COUNTIF(bounds,"&lt;"&amp;ROUND(AD44,12))</f>
        <v/>
      </c>
      <c r="AI44">
        <f>1+COUNTIF(bounds,"&lt;"&amp;ROUND(AG44,12))</f>
        <v/>
      </c>
      <c r="AJ44">
        <f>IF(AF44&lt;1,1,0)</f>
        <v/>
      </c>
      <c r="AK44">
        <f>IF(AH44&lt;&gt;AI44,1,0)</f>
        <v/>
      </c>
      <c r="AL44">
        <f>IF(AND(AI44&gt;=3,AB44&lt;=0.2),1,0)</f>
        <v/>
      </c>
      <c r="AM44">
        <f>AVERAGE(W44:AB44)</f>
        <v/>
      </c>
      <c r="AN44">
        <f>1+COUNTIF(bounds,"&lt;"&amp;ROUND(AM44,12))</f>
        <v/>
      </c>
      <c r="AO44">
        <f>IF(AK44=1,AD44,NA())</f>
        <v/>
      </c>
      <c r="AP44">
        <f>IF(AK44=0,AD44,NA())</f>
        <v/>
      </c>
    </row>
    <row r="45">
      <c r="A45" t="n">
        <v>37</v>
      </c>
      <c r="B45" t="n">
        <v>4</v>
      </c>
      <c r="C45" t="n">
        <v>2</v>
      </c>
      <c r="D45" t="n">
        <v>4</v>
      </c>
      <c r="E45" t="n">
        <v>5</v>
      </c>
      <c r="F45" t="n">
        <v>2</v>
      </c>
      <c r="G45" t="n">
        <v>2</v>
      </c>
      <c r="H45" t="n">
        <v>3</v>
      </c>
      <c r="I45" t="n">
        <v>4</v>
      </c>
      <c r="J45" t="n">
        <v>2</v>
      </c>
      <c r="K45" t="n">
        <v>5</v>
      </c>
      <c r="L45" t="n">
        <v>2</v>
      </c>
      <c r="M45" t="n">
        <v>2</v>
      </c>
      <c r="N45" t="n">
        <v>2</v>
      </c>
      <c r="O45" t="n">
        <v>4</v>
      </c>
      <c r="P45" t="n">
        <v>4</v>
      </c>
      <c r="Q45" t="n">
        <v>1</v>
      </c>
      <c r="R45" t="n">
        <v>1</v>
      </c>
      <c r="S45" t="n">
        <v>5</v>
      </c>
      <c r="T45" t="n">
        <v>3</v>
      </c>
      <c r="U45" t="n">
        <v>4</v>
      </c>
      <c r="V45" t="n">
        <v>5</v>
      </c>
      <c r="W45">
        <f>(AVERAGE(B45:D45)-1)/4</f>
        <v/>
      </c>
      <c r="X45">
        <f>(AVERAGE(E45:G45)-1)/4</f>
        <v/>
      </c>
      <c r="Y45">
        <f>(AVERAGE(H45:J45)-1)/4</f>
        <v/>
      </c>
      <c r="Z45">
        <f>(AVERAGE(K45:M45)-1)/4</f>
        <v/>
      </c>
      <c r="AA45">
        <f>(AVERAGE(N45:P45)-1)/4</f>
        <v/>
      </c>
      <c r="AB45">
        <f>(AVERAGE(Q45:S45)-1)/4</f>
        <v/>
      </c>
      <c r="AC45">
        <f>(AVERAGE(T45:V45)-1)/4</f>
        <v/>
      </c>
      <c r="AD45">
        <f>AVERAGE(W45:AA45)</f>
        <v/>
      </c>
      <c r="AE45">
        <f>MIN(W45:AA45)</f>
        <v/>
      </c>
      <c r="AF45">
        <f>1-alpha*MAX(0,delta-AE45)</f>
        <v/>
      </c>
      <c r="AG45">
        <f>AD45*AF45</f>
        <v/>
      </c>
      <c r="AH45">
        <f>1+COUNTIF(bounds,"&lt;"&amp;ROUND(AD45,12))</f>
        <v/>
      </c>
      <c r="AI45">
        <f>1+COUNTIF(bounds,"&lt;"&amp;ROUND(AG45,12))</f>
        <v/>
      </c>
      <c r="AJ45">
        <f>IF(AF45&lt;1,1,0)</f>
        <v/>
      </c>
      <c r="AK45">
        <f>IF(AH45&lt;&gt;AI45,1,0)</f>
        <v/>
      </c>
      <c r="AL45">
        <f>IF(AND(AI45&gt;=3,AB45&lt;=0.2),1,0)</f>
        <v/>
      </c>
      <c r="AM45">
        <f>AVERAGE(W45:AB45)</f>
        <v/>
      </c>
      <c r="AN45">
        <f>1+COUNTIF(bounds,"&lt;"&amp;ROUND(AM45,12))</f>
        <v/>
      </c>
      <c r="AO45">
        <f>IF(AK45=1,AD45,NA())</f>
        <v/>
      </c>
      <c r="AP45">
        <f>IF(AK45=0,AD45,NA())</f>
        <v/>
      </c>
    </row>
    <row r="46">
      <c r="A46" t="n">
        <v>38</v>
      </c>
      <c r="B46" t="n">
        <v>2</v>
      </c>
      <c r="C46" t="n">
        <v>4</v>
      </c>
      <c r="D46" t="n">
        <v>1</v>
      </c>
      <c r="E46" t="n">
        <v>4</v>
      </c>
      <c r="F46" t="n">
        <v>4</v>
      </c>
      <c r="G46" t="n">
        <v>1</v>
      </c>
      <c r="H46" t="n">
        <v>2</v>
      </c>
      <c r="I46" t="n">
        <v>4</v>
      </c>
      <c r="J46" t="n">
        <v>2</v>
      </c>
      <c r="K46" t="n">
        <v>2</v>
      </c>
      <c r="L46" t="n">
        <v>4</v>
      </c>
      <c r="M46" t="n">
        <v>1</v>
      </c>
      <c r="N46" t="n">
        <v>1</v>
      </c>
      <c r="O46" t="n">
        <v>5</v>
      </c>
      <c r="P46" t="n">
        <v>5</v>
      </c>
      <c r="Q46" t="n">
        <v>5</v>
      </c>
      <c r="R46" t="n">
        <v>5</v>
      </c>
      <c r="S46" t="n">
        <v>4</v>
      </c>
      <c r="T46" t="n">
        <v>3</v>
      </c>
      <c r="U46" t="n">
        <v>2</v>
      </c>
      <c r="V46" t="n">
        <v>3</v>
      </c>
      <c r="W46">
        <f>(AVERAGE(B46:D46)-1)/4</f>
        <v/>
      </c>
      <c r="X46">
        <f>(AVERAGE(E46:G46)-1)/4</f>
        <v/>
      </c>
      <c r="Y46">
        <f>(AVERAGE(H46:J46)-1)/4</f>
        <v/>
      </c>
      <c r="Z46">
        <f>(AVERAGE(K46:M46)-1)/4</f>
        <v/>
      </c>
      <c r="AA46">
        <f>(AVERAGE(N46:P46)-1)/4</f>
        <v/>
      </c>
      <c r="AB46">
        <f>(AVERAGE(Q46:S46)-1)/4</f>
        <v/>
      </c>
      <c r="AC46">
        <f>(AVERAGE(T46:V46)-1)/4</f>
        <v/>
      </c>
      <c r="AD46">
        <f>AVERAGE(W46:AA46)</f>
        <v/>
      </c>
      <c r="AE46">
        <f>MIN(W46:AA46)</f>
        <v/>
      </c>
      <c r="AF46">
        <f>1-alpha*MAX(0,delta-AE46)</f>
        <v/>
      </c>
      <c r="AG46">
        <f>AD46*AF46</f>
        <v/>
      </c>
      <c r="AH46">
        <f>1+COUNTIF(bounds,"&lt;"&amp;ROUND(AD46,12))</f>
        <v/>
      </c>
      <c r="AI46">
        <f>1+COUNTIF(bounds,"&lt;"&amp;ROUND(AG46,12))</f>
        <v/>
      </c>
      <c r="AJ46">
        <f>IF(AF46&lt;1,1,0)</f>
        <v/>
      </c>
      <c r="AK46">
        <f>IF(AH46&lt;&gt;AI46,1,0)</f>
        <v/>
      </c>
      <c r="AL46">
        <f>IF(AND(AI46&gt;=3,AB46&lt;=0.2),1,0)</f>
        <v/>
      </c>
      <c r="AM46">
        <f>AVERAGE(W46:AB46)</f>
        <v/>
      </c>
      <c r="AN46">
        <f>1+COUNTIF(bounds,"&lt;"&amp;ROUND(AM46,12))</f>
        <v/>
      </c>
      <c r="AO46">
        <f>IF(AK46=1,AD46,NA())</f>
        <v/>
      </c>
      <c r="AP46">
        <f>IF(AK46=0,AD46,NA())</f>
        <v/>
      </c>
    </row>
    <row r="47">
      <c r="A47" t="n">
        <v>39</v>
      </c>
      <c r="B47" t="n">
        <v>2</v>
      </c>
      <c r="C47" t="n">
        <v>1</v>
      </c>
      <c r="D47" t="n">
        <v>1</v>
      </c>
      <c r="E47" t="n">
        <v>4</v>
      </c>
      <c r="F47" t="n">
        <v>1</v>
      </c>
      <c r="G47" t="n">
        <v>1</v>
      </c>
      <c r="H47" t="n">
        <v>4</v>
      </c>
      <c r="I47" t="n">
        <v>3</v>
      </c>
      <c r="J47" t="n">
        <v>4</v>
      </c>
      <c r="K47" t="n">
        <v>3</v>
      </c>
      <c r="L47" t="n">
        <v>3</v>
      </c>
      <c r="M47" t="n">
        <v>2</v>
      </c>
      <c r="N47" t="n">
        <v>1</v>
      </c>
      <c r="O47" t="n">
        <v>5</v>
      </c>
      <c r="P47" t="n">
        <v>1</v>
      </c>
      <c r="Q47" t="n">
        <v>1</v>
      </c>
      <c r="R47" t="n">
        <v>4</v>
      </c>
      <c r="S47" t="n">
        <v>3</v>
      </c>
      <c r="T47" t="n">
        <v>3</v>
      </c>
      <c r="U47" t="n">
        <v>1</v>
      </c>
      <c r="V47" t="n">
        <v>2</v>
      </c>
      <c r="W47">
        <f>(AVERAGE(B47:D47)-1)/4</f>
        <v/>
      </c>
      <c r="X47">
        <f>(AVERAGE(E47:G47)-1)/4</f>
        <v/>
      </c>
      <c r="Y47">
        <f>(AVERAGE(H47:J47)-1)/4</f>
        <v/>
      </c>
      <c r="Z47">
        <f>(AVERAGE(K47:M47)-1)/4</f>
        <v/>
      </c>
      <c r="AA47">
        <f>(AVERAGE(N47:P47)-1)/4</f>
        <v/>
      </c>
      <c r="AB47">
        <f>(AVERAGE(Q47:S47)-1)/4</f>
        <v/>
      </c>
      <c r="AC47">
        <f>(AVERAGE(T47:V47)-1)/4</f>
        <v/>
      </c>
      <c r="AD47">
        <f>AVERAGE(W47:AA47)</f>
        <v/>
      </c>
      <c r="AE47">
        <f>MIN(W47:AA47)</f>
        <v/>
      </c>
      <c r="AF47">
        <f>1-alpha*MAX(0,delta-AE47)</f>
        <v/>
      </c>
      <c r="AG47">
        <f>AD47*AF47</f>
        <v/>
      </c>
      <c r="AH47">
        <f>1+COUNTIF(bounds,"&lt;"&amp;ROUND(AD47,12))</f>
        <v/>
      </c>
      <c r="AI47">
        <f>1+COUNTIF(bounds,"&lt;"&amp;ROUND(AG47,12))</f>
        <v/>
      </c>
      <c r="AJ47">
        <f>IF(AF47&lt;1,1,0)</f>
        <v/>
      </c>
      <c r="AK47">
        <f>IF(AH47&lt;&gt;AI47,1,0)</f>
        <v/>
      </c>
      <c r="AL47">
        <f>IF(AND(AI47&gt;=3,AB47&lt;=0.2),1,0)</f>
        <v/>
      </c>
      <c r="AM47">
        <f>AVERAGE(W47:AB47)</f>
        <v/>
      </c>
      <c r="AN47">
        <f>1+COUNTIF(bounds,"&lt;"&amp;ROUND(AM47,12))</f>
        <v/>
      </c>
      <c r="AO47">
        <f>IF(AK47=1,AD47,NA())</f>
        <v/>
      </c>
      <c r="AP47">
        <f>IF(AK47=0,AD47,NA())</f>
        <v/>
      </c>
    </row>
    <row r="48">
      <c r="A48" t="n">
        <v>40</v>
      </c>
      <c r="B48" t="n">
        <v>3</v>
      </c>
      <c r="C48" t="n">
        <v>2</v>
      </c>
      <c r="D48" t="n">
        <v>3</v>
      </c>
      <c r="E48" t="n">
        <v>3</v>
      </c>
      <c r="F48" t="n">
        <v>1</v>
      </c>
      <c r="G48" t="n">
        <v>5</v>
      </c>
      <c r="H48" t="n">
        <v>1</v>
      </c>
      <c r="I48" t="n">
        <v>4</v>
      </c>
      <c r="J48" t="n">
        <v>3</v>
      </c>
      <c r="K48" t="n">
        <v>5</v>
      </c>
      <c r="L48" t="n">
        <v>3</v>
      </c>
      <c r="M48" t="n">
        <v>1</v>
      </c>
      <c r="N48" t="n">
        <v>1</v>
      </c>
      <c r="O48" t="n">
        <v>5</v>
      </c>
      <c r="P48" t="n">
        <v>3</v>
      </c>
      <c r="Q48" t="n">
        <v>3</v>
      </c>
      <c r="R48" t="n">
        <v>5</v>
      </c>
      <c r="S48" t="n">
        <v>4</v>
      </c>
      <c r="T48" t="n">
        <v>3</v>
      </c>
      <c r="U48" t="n">
        <v>4</v>
      </c>
      <c r="V48" t="n">
        <v>4</v>
      </c>
      <c r="W48">
        <f>(AVERAGE(B48:D48)-1)/4</f>
        <v/>
      </c>
      <c r="X48">
        <f>(AVERAGE(E48:G48)-1)/4</f>
        <v/>
      </c>
      <c r="Y48">
        <f>(AVERAGE(H48:J48)-1)/4</f>
        <v/>
      </c>
      <c r="Z48">
        <f>(AVERAGE(K48:M48)-1)/4</f>
        <v/>
      </c>
      <c r="AA48">
        <f>(AVERAGE(N48:P48)-1)/4</f>
        <v/>
      </c>
      <c r="AB48">
        <f>(AVERAGE(Q48:S48)-1)/4</f>
        <v/>
      </c>
      <c r="AC48">
        <f>(AVERAGE(T48:V48)-1)/4</f>
        <v/>
      </c>
      <c r="AD48">
        <f>AVERAGE(W48:AA48)</f>
        <v/>
      </c>
      <c r="AE48">
        <f>MIN(W48:AA48)</f>
        <v/>
      </c>
      <c r="AF48">
        <f>1-alpha*MAX(0,delta-AE48)</f>
        <v/>
      </c>
      <c r="AG48">
        <f>AD48*AF48</f>
        <v/>
      </c>
      <c r="AH48">
        <f>1+COUNTIF(bounds,"&lt;"&amp;ROUND(AD48,12))</f>
        <v/>
      </c>
      <c r="AI48">
        <f>1+COUNTIF(bounds,"&lt;"&amp;ROUND(AG48,12))</f>
        <v/>
      </c>
      <c r="AJ48">
        <f>IF(AF48&lt;1,1,0)</f>
        <v/>
      </c>
      <c r="AK48">
        <f>IF(AH48&lt;&gt;AI48,1,0)</f>
        <v/>
      </c>
      <c r="AL48">
        <f>IF(AND(AI48&gt;=3,AB48&lt;=0.2),1,0)</f>
        <v/>
      </c>
      <c r="AM48">
        <f>AVERAGE(W48:AB48)</f>
        <v/>
      </c>
      <c r="AN48">
        <f>1+COUNTIF(bounds,"&lt;"&amp;ROUND(AM48,12))</f>
        <v/>
      </c>
      <c r="AO48">
        <f>IF(AK48=1,AD48,NA())</f>
        <v/>
      </c>
      <c r="AP48">
        <f>IF(AK48=0,AD48,NA())</f>
        <v/>
      </c>
    </row>
    <row r="49">
      <c r="A49" t="n">
        <v>41</v>
      </c>
      <c r="B49" t="n">
        <v>4</v>
      </c>
      <c r="C49" t="n">
        <v>5</v>
      </c>
      <c r="D49" t="n">
        <v>2</v>
      </c>
      <c r="E49" t="n">
        <v>2</v>
      </c>
      <c r="F49" t="n">
        <v>2</v>
      </c>
      <c r="G49" t="n">
        <v>4</v>
      </c>
      <c r="H49" t="n">
        <v>5</v>
      </c>
      <c r="I49" t="n">
        <v>4</v>
      </c>
      <c r="J49" t="n">
        <v>3</v>
      </c>
      <c r="K49" t="n">
        <v>4</v>
      </c>
      <c r="L49" t="n">
        <v>1</v>
      </c>
      <c r="M49" t="n">
        <v>1</v>
      </c>
      <c r="N49" t="n">
        <v>4</v>
      </c>
      <c r="O49" t="n">
        <v>4</v>
      </c>
      <c r="P49" t="n">
        <v>4</v>
      </c>
      <c r="Q49" t="n">
        <v>1</v>
      </c>
      <c r="R49" t="n">
        <v>2</v>
      </c>
      <c r="S49" t="n">
        <v>1</v>
      </c>
      <c r="T49" t="n">
        <v>3</v>
      </c>
      <c r="U49" t="n">
        <v>2</v>
      </c>
      <c r="V49" t="n">
        <v>2</v>
      </c>
      <c r="W49">
        <f>(AVERAGE(B49:D49)-1)/4</f>
        <v/>
      </c>
      <c r="X49">
        <f>(AVERAGE(E49:G49)-1)/4</f>
        <v/>
      </c>
      <c r="Y49">
        <f>(AVERAGE(H49:J49)-1)/4</f>
        <v/>
      </c>
      <c r="Z49">
        <f>(AVERAGE(K49:M49)-1)/4</f>
        <v/>
      </c>
      <c r="AA49">
        <f>(AVERAGE(N49:P49)-1)/4</f>
        <v/>
      </c>
      <c r="AB49">
        <f>(AVERAGE(Q49:S49)-1)/4</f>
        <v/>
      </c>
      <c r="AC49">
        <f>(AVERAGE(T49:V49)-1)/4</f>
        <v/>
      </c>
      <c r="AD49">
        <f>AVERAGE(W49:AA49)</f>
        <v/>
      </c>
      <c r="AE49">
        <f>MIN(W49:AA49)</f>
        <v/>
      </c>
      <c r="AF49">
        <f>1-alpha*MAX(0,delta-AE49)</f>
        <v/>
      </c>
      <c r="AG49">
        <f>AD49*AF49</f>
        <v/>
      </c>
      <c r="AH49">
        <f>1+COUNTIF(bounds,"&lt;"&amp;ROUND(AD49,12))</f>
        <v/>
      </c>
      <c r="AI49">
        <f>1+COUNTIF(bounds,"&lt;"&amp;ROUND(AG49,12))</f>
        <v/>
      </c>
      <c r="AJ49">
        <f>IF(AF49&lt;1,1,0)</f>
        <v/>
      </c>
      <c r="AK49">
        <f>IF(AH49&lt;&gt;AI49,1,0)</f>
        <v/>
      </c>
      <c r="AL49">
        <f>IF(AND(AI49&gt;=3,AB49&lt;=0.2),1,0)</f>
        <v/>
      </c>
      <c r="AM49">
        <f>AVERAGE(W49:AB49)</f>
        <v/>
      </c>
      <c r="AN49">
        <f>1+COUNTIF(bounds,"&lt;"&amp;ROUND(AM49,12))</f>
        <v/>
      </c>
      <c r="AO49">
        <f>IF(AK49=1,AD49,NA())</f>
        <v/>
      </c>
      <c r="AP49">
        <f>IF(AK49=0,AD49,NA())</f>
        <v/>
      </c>
    </row>
    <row r="50">
      <c r="A50" t="n">
        <v>42</v>
      </c>
      <c r="B50" t="n">
        <v>2</v>
      </c>
      <c r="C50" t="n">
        <v>2</v>
      </c>
      <c r="D50" t="n">
        <v>1</v>
      </c>
      <c r="E50" t="n">
        <v>3</v>
      </c>
      <c r="F50" t="n">
        <v>1</v>
      </c>
      <c r="G50" t="n">
        <v>3</v>
      </c>
      <c r="H50" t="n">
        <v>4</v>
      </c>
      <c r="I50" t="n">
        <v>2</v>
      </c>
      <c r="J50" t="n">
        <v>3</v>
      </c>
      <c r="K50" t="n">
        <v>1</v>
      </c>
      <c r="L50" t="n">
        <v>2</v>
      </c>
      <c r="M50" t="n">
        <v>2</v>
      </c>
      <c r="N50" t="n">
        <v>4</v>
      </c>
      <c r="O50" t="n">
        <v>4</v>
      </c>
      <c r="P50" t="n">
        <v>1</v>
      </c>
      <c r="Q50" t="n">
        <v>3</v>
      </c>
      <c r="R50" t="n">
        <v>5</v>
      </c>
      <c r="S50" t="n">
        <v>1</v>
      </c>
      <c r="T50" t="n">
        <v>3</v>
      </c>
      <c r="U50" t="n">
        <v>1</v>
      </c>
      <c r="V50" t="n">
        <v>5</v>
      </c>
      <c r="W50">
        <f>(AVERAGE(B50:D50)-1)/4</f>
        <v/>
      </c>
      <c r="X50">
        <f>(AVERAGE(E50:G50)-1)/4</f>
        <v/>
      </c>
      <c r="Y50">
        <f>(AVERAGE(H50:J50)-1)/4</f>
        <v/>
      </c>
      <c r="Z50">
        <f>(AVERAGE(K50:M50)-1)/4</f>
        <v/>
      </c>
      <c r="AA50">
        <f>(AVERAGE(N50:P50)-1)/4</f>
        <v/>
      </c>
      <c r="AB50">
        <f>(AVERAGE(Q50:S50)-1)/4</f>
        <v/>
      </c>
      <c r="AC50">
        <f>(AVERAGE(T50:V50)-1)/4</f>
        <v/>
      </c>
      <c r="AD50">
        <f>AVERAGE(W50:AA50)</f>
        <v/>
      </c>
      <c r="AE50">
        <f>MIN(W50:AA50)</f>
        <v/>
      </c>
      <c r="AF50">
        <f>1-alpha*MAX(0,delta-AE50)</f>
        <v/>
      </c>
      <c r="AG50">
        <f>AD50*AF50</f>
        <v/>
      </c>
      <c r="AH50">
        <f>1+COUNTIF(bounds,"&lt;"&amp;ROUND(AD50,12))</f>
        <v/>
      </c>
      <c r="AI50">
        <f>1+COUNTIF(bounds,"&lt;"&amp;ROUND(AG50,12))</f>
        <v/>
      </c>
      <c r="AJ50">
        <f>IF(AF50&lt;1,1,0)</f>
        <v/>
      </c>
      <c r="AK50">
        <f>IF(AH50&lt;&gt;AI50,1,0)</f>
        <v/>
      </c>
      <c r="AL50">
        <f>IF(AND(AI50&gt;=3,AB50&lt;=0.2),1,0)</f>
        <v/>
      </c>
      <c r="AM50">
        <f>AVERAGE(W50:AB50)</f>
        <v/>
      </c>
      <c r="AN50">
        <f>1+COUNTIF(bounds,"&lt;"&amp;ROUND(AM50,12))</f>
        <v/>
      </c>
      <c r="AO50">
        <f>IF(AK50=1,AD50,NA())</f>
        <v/>
      </c>
      <c r="AP50">
        <f>IF(AK50=0,AD50,NA())</f>
        <v/>
      </c>
    </row>
    <row r="51">
      <c r="A51" t="n">
        <v>43</v>
      </c>
      <c r="B51" t="n">
        <v>4</v>
      </c>
      <c r="C51" t="n">
        <v>5</v>
      </c>
      <c r="D51" t="n">
        <v>3</v>
      </c>
      <c r="E51" t="n">
        <v>2</v>
      </c>
      <c r="F51" t="n">
        <v>4</v>
      </c>
      <c r="G51" t="n">
        <v>4</v>
      </c>
      <c r="H51" t="n">
        <v>5</v>
      </c>
      <c r="I51" t="n">
        <v>4</v>
      </c>
      <c r="J51" t="n">
        <v>4</v>
      </c>
      <c r="K51" t="n">
        <v>1</v>
      </c>
      <c r="L51" t="n">
        <v>3</v>
      </c>
      <c r="M51" t="n">
        <v>1</v>
      </c>
      <c r="N51" t="n">
        <v>1</v>
      </c>
      <c r="O51" t="n">
        <v>1</v>
      </c>
      <c r="P51" t="n">
        <v>5</v>
      </c>
      <c r="Q51" t="n">
        <v>5</v>
      </c>
      <c r="R51" t="n">
        <v>2</v>
      </c>
      <c r="S51" t="n">
        <v>5</v>
      </c>
      <c r="T51" t="n">
        <v>2</v>
      </c>
      <c r="U51" t="n">
        <v>2</v>
      </c>
      <c r="V51" t="n">
        <v>4</v>
      </c>
      <c r="W51">
        <f>(AVERAGE(B51:D51)-1)/4</f>
        <v/>
      </c>
      <c r="X51">
        <f>(AVERAGE(E51:G51)-1)/4</f>
        <v/>
      </c>
      <c r="Y51">
        <f>(AVERAGE(H51:J51)-1)/4</f>
        <v/>
      </c>
      <c r="Z51">
        <f>(AVERAGE(K51:M51)-1)/4</f>
        <v/>
      </c>
      <c r="AA51">
        <f>(AVERAGE(N51:P51)-1)/4</f>
        <v/>
      </c>
      <c r="AB51">
        <f>(AVERAGE(Q51:S51)-1)/4</f>
        <v/>
      </c>
      <c r="AC51">
        <f>(AVERAGE(T51:V51)-1)/4</f>
        <v/>
      </c>
      <c r="AD51">
        <f>AVERAGE(W51:AA51)</f>
        <v/>
      </c>
      <c r="AE51">
        <f>MIN(W51:AA51)</f>
        <v/>
      </c>
      <c r="AF51">
        <f>1-alpha*MAX(0,delta-AE51)</f>
        <v/>
      </c>
      <c r="AG51">
        <f>AD51*AF51</f>
        <v/>
      </c>
      <c r="AH51">
        <f>1+COUNTIF(bounds,"&lt;"&amp;ROUND(AD51,12))</f>
        <v/>
      </c>
      <c r="AI51">
        <f>1+COUNTIF(bounds,"&lt;"&amp;ROUND(AG51,12))</f>
        <v/>
      </c>
      <c r="AJ51">
        <f>IF(AF51&lt;1,1,0)</f>
        <v/>
      </c>
      <c r="AK51">
        <f>IF(AH51&lt;&gt;AI51,1,0)</f>
        <v/>
      </c>
      <c r="AL51">
        <f>IF(AND(AI51&gt;=3,AB51&lt;=0.2),1,0)</f>
        <v/>
      </c>
      <c r="AM51">
        <f>AVERAGE(W51:AB51)</f>
        <v/>
      </c>
      <c r="AN51">
        <f>1+COUNTIF(bounds,"&lt;"&amp;ROUND(AM51,12))</f>
        <v/>
      </c>
      <c r="AO51">
        <f>IF(AK51=1,AD51,NA())</f>
        <v/>
      </c>
      <c r="AP51">
        <f>IF(AK51=0,AD51,NA())</f>
        <v/>
      </c>
    </row>
    <row r="52">
      <c r="A52" t="n">
        <v>44</v>
      </c>
      <c r="B52" t="n">
        <v>3</v>
      </c>
      <c r="C52" t="n">
        <v>5</v>
      </c>
      <c r="D52" t="n">
        <v>4</v>
      </c>
      <c r="E52" t="n">
        <v>4</v>
      </c>
      <c r="F52" t="n">
        <v>5</v>
      </c>
      <c r="G52" t="n">
        <v>3</v>
      </c>
      <c r="H52" t="n">
        <v>4</v>
      </c>
      <c r="I52" t="n">
        <v>4</v>
      </c>
      <c r="J52" t="n">
        <v>1</v>
      </c>
      <c r="K52" t="n">
        <v>3</v>
      </c>
      <c r="L52" t="n">
        <v>1</v>
      </c>
      <c r="M52" t="n">
        <v>5</v>
      </c>
      <c r="N52" t="n">
        <v>1</v>
      </c>
      <c r="O52" t="n">
        <v>1</v>
      </c>
      <c r="P52" t="n">
        <v>3</v>
      </c>
      <c r="Q52" t="n">
        <v>5</v>
      </c>
      <c r="R52" t="n">
        <v>3</v>
      </c>
      <c r="S52" t="n">
        <v>4</v>
      </c>
      <c r="T52" t="n">
        <v>1</v>
      </c>
      <c r="U52" t="n">
        <v>4</v>
      </c>
      <c r="V52" t="n">
        <v>2</v>
      </c>
      <c r="W52">
        <f>(AVERAGE(B52:D52)-1)/4</f>
        <v/>
      </c>
      <c r="X52">
        <f>(AVERAGE(E52:G52)-1)/4</f>
        <v/>
      </c>
      <c r="Y52">
        <f>(AVERAGE(H52:J52)-1)/4</f>
        <v/>
      </c>
      <c r="Z52">
        <f>(AVERAGE(K52:M52)-1)/4</f>
        <v/>
      </c>
      <c r="AA52">
        <f>(AVERAGE(N52:P52)-1)/4</f>
        <v/>
      </c>
      <c r="AB52">
        <f>(AVERAGE(Q52:S52)-1)/4</f>
        <v/>
      </c>
      <c r="AC52">
        <f>(AVERAGE(T52:V52)-1)/4</f>
        <v/>
      </c>
      <c r="AD52">
        <f>AVERAGE(W52:AA52)</f>
        <v/>
      </c>
      <c r="AE52">
        <f>MIN(W52:AA52)</f>
        <v/>
      </c>
      <c r="AF52">
        <f>1-alpha*MAX(0,delta-AE52)</f>
        <v/>
      </c>
      <c r="AG52">
        <f>AD52*AF52</f>
        <v/>
      </c>
      <c r="AH52">
        <f>1+COUNTIF(bounds,"&lt;"&amp;ROUND(AD52,12))</f>
        <v/>
      </c>
      <c r="AI52">
        <f>1+COUNTIF(bounds,"&lt;"&amp;ROUND(AG52,12))</f>
        <v/>
      </c>
      <c r="AJ52">
        <f>IF(AF52&lt;1,1,0)</f>
        <v/>
      </c>
      <c r="AK52">
        <f>IF(AH52&lt;&gt;AI52,1,0)</f>
        <v/>
      </c>
      <c r="AL52">
        <f>IF(AND(AI52&gt;=3,AB52&lt;=0.2),1,0)</f>
        <v/>
      </c>
      <c r="AM52">
        <f>AVERAGE(W52:AB52)</f>
        <v/>
      </c>
      <c r="AN52">
        <f>1+COUNTIF(bounds,"&lt;"&amp;ROUND(AM52,12))</f>
        <v/>
      </c>
      <c r="AO52">
        <f>IF(AK52=1,AD52,NA())</f>
        <v/>
      </c>
      <c r="AP52">
        <f>IF(AK52=0,AD52,NA())</f>
        <v/>
      </c>
    </row>
    <row r="53">
      <c r="A53" t="n">
        <v>45</v>
      </c>
      <c r="B53" t="n">
        <v>4</v>
      </c>
      <c r="C53" t="n">
        <v>5</v>
      </c>
      <c r="D53" t="n">
        <v>2</v>
      </c>
      <c r="E53" t="n">
        <v>3</v>
      </c>
      <c r="F53" t="n">
        <v>2</v>
      </c>
      <c r="G53" t="n">
        <v>3</v>
      </c>
      <c r="H53" t="n">
        <v>4</v>
      </c>
      <c r="I53" t="n">
        <v>5</v>
      </c>
      <c r="J53" t="n">
        <v>2</v>
      </c>
      <c r="K53" t="n">
        <v>5</v>
      </c>
      <c r="L53" t="n">
        <v>5</v>
      </c>
      <c r="M53" t="n">
        <v>4</v>
      </c>
      <c r="N53" t="n">
        <v>2</v>
      </c>
      <c r="O53" t="n">
        <v>1</v>
      </c>
      <c r="P53" t="n">
        <v>5</v>
      </c>
      <c r="Q53" t="n">
        <v>1</v>
      </c>
      <c r="R53" t="n">
        <v>1</v>
      </c>
      <c r="S53" t="n">
        <v>4</v>
      </c>
      <c r="T53" t="n">
        <v>2</v>
      </c>
      <c r="U53" t="n">
        <v>1</v>
      </c>
      <c r="V53" t="n">
        <v>2</v>
      </c>
      <c r="W53">
        <f>(AVERAGE(B53:D53)-1)/4</f>
        <v/>
      </c>
      <c r="X53">
        <f>(AVERAGE(E53:G53)-1)/4</f>
        <v/>
      </c>
      <c r="Y53">
        <f>(AVERAGE(H53:J53)-1)/4</f>
        <v/>
      </c>
      <c r="Z53">
        <f>(AVERAGE(K53:M53)-1)/4</f>
        <v/>
      </c>
      <c r="AA53">
        <f>(AVERAGE(N53:P53)-1)/4</f>
        <v/>
      </c>
      <c r="AB53">
        <f>(AVERAGE(Q53:S53)-1)/4</f>
        <v/>
      </c>
      <c r="AC53">
        <f>(AVERAGE(T53:V53)-1)/4</f>
        <v/>
      </c>
      <c r="AD53">
        <f>AVERAGE(W53:AA53)</f>
        <v/>
      </c>
      <c r="AE53">
        <f>MIN(W53:AA53)</f>
        <v/>
      </c>
      <c r="AF53">
        <f>1-alpha*MAX(0,delta-AE53)</f>
        <v/>
      </c>
      <c r="AG53">
        <f>AD53*AF53</f>
        <v/>
      </c>
      <c r="AH53">
        <f>1+COUNTIF(bounds,"&lt;"&amp;ROUND(AD53,12))</f>
        <v/>
      </c>
      <c r="AI53">
        <f>1+COUNTIF(bounds,"&lt;"&amp;ROUND(AG53,12))</f>
        <v/>
      </c>
      <c r="AJ53">
        <f>IF(AF53&lt;1,1,0)</f>
        <v/>
      </c>
      <c r="AK53">
        <f>IF(AH53&lt;&gt;AI53,1,0)</f>
        <v/>
      </c>
      <c r="AL53">
        <f>IF(AND(AI53&gt;=3,AB53&lt;=0.2),1,0)</f>
        <v/>
      </c>
      <c r="AM53">
        <f>AVERAGE(W53:AB53)</f>
        <v/>
      </c>
      <c r="AN53">
        <f>1+COUNTIF(bounds,"&lt;"&amp;ROUND(AM53,12))</f>
        <v/>
      </c>
      <c r="AO53">
        <f>IF(AK53=1,AD53,NA())</f>
        <v/>
      </c>
      <c r="AP53">
        <f>IF(AK53=0,AD53,NA())</f>
        <v/>
      </c>
    </row>
    <row r="54">
      <c r="A54" t="n">
        <v>46</v>
      </c>
      <c r="B54" t="n">
        <v>4</v>
      </c>
      <c r="C54" t="n">
        <v>4</v>
      </c>
      <c r="D54" t="n">
        <v>5</v>
      </c>
      <c r="E54" t="n">
        <v>5</v>
      </c>
      <c r="F54" t="n">
        <v>2</v>
      </c>
      <c r="G54" t="n">
        <v>1</v>
      </c>
      <c r="H54" t="n">
        <v>3</v>
      </c>
      <c r="I54" t="n">
        <v>1</v>
      </c>
      <c r="J54" t="n">
        <v>1</v>
      </c>
      <c r="K54" t="n">
        <v>1</v>
      </c>
      <c r="L54" t="n">
        <v>3</v>
      </c>
      <c r="M54" t="n">
        <v>1</v>
      </c>
      <c r="N54" t="n">
        <v>3</v>
      </c>
      <c r="O54" t="n">
        <v>4</v>
      </c>
      <c r="P54" t="n">
        <v>3</v>
      </c>
      <c r="Q54" t="n">
        <v>2</v>
      </c>
      <c r="R54" t="n">
        <v>5</v>
      </c>
      <c r="S54" t="n">
        <v>5</v>
      </c>
      <c r="T54" t="n">
        <v>5</v>
      </c>
      <c r="U54" t="n">
        <v>4</v>
      </c>
      <c r="V54" t="n">
        <v>1</v>
      </c>
      <c r="W54">
        <f>(AVERAGE(B54:D54)-1)/4</f>
        <v/>
      </c>
      <c r="X54">
        <f>(AVERAGE(E54:G54)-1)/4</f>
        <v/>
      </c>
      <c r="Y54">
        <f>(AVERAGE(H54:J54)-1)/4</f>
        <v/>
      </c>
      <c r="Z54">
        <f>(AVERAGE(K54:M54)-1)/4</f>
        <v/>
      </c>
      <c r="AA54">
        <f>(AVERAGE(N54:P54)-1)/4</f>
        <v/>
      </c>
      <c r="AB54">
        <f>(AVERAGE(Q54:S54)-1)/4</f>
        <v/>
      </c>
      <c r="AC54">
        <f>(AVERAGE(T54:V54)-1)/4</f>
        <v/>
      </c>
      <c r="AD54">
        <f>AVERAGE(W54:AA54)</f>
        <v/>
      </c>
      <c r="AE54">
        <f>MIN(W54:AA54)</f>
        <v/>
      </c>
      <c r="AF54">
        <f>1-alpha*MAX(0,delta-AE54)</f>
        <v/>
      </c>
      <c r="AG54">
        <f>AD54*AF54</f>
        <v/>
      </c>
      <c r="AH54">
        <f>1+COUNTIF(bounds,"&lt;"&amp;ROUND(AD54,12))</f>
        <v/>
      </c>
      <c r="AI54">
        <f>1+COUNTIF(bounds,"&lt;"&amp;ROUND(AG54,12))</f>
        <v/>
      </c>
      <c r="AJ54">
        <f>IF(AF54&lt;1,1,0)</f>
        <v/>
      </c>
      <c r="AK54">
        <f>IF(AH54&lt;&gt;AI54,1,0)</f>
        <v/>
      </c>
      <c r="AL54">
        <f>IF(AND(AI54&gt;=3,AB54&lt;=0.2),1,0)</f>
        <v/>
      </c>
      <c r="AM54">
        <f>AVERAGE(W54:AB54)</f>
        <v/>
      </c>
      <c r="AN54">
        <f>1+COUNTIF(bounds,"&lt;"&amp;ROUND(AM54,12))</f>
        <v/>
      </c>
      <c r="AO54">
        <f>IF(AK54=1,AD54,NA())</f>
        <v/>
      </c>
      <c r="AP54">
        <f>IF(AK54=0,AD54,NA())</f>
        <v/>
      </c>
    </row>
    <row r="55">
      <c r="A55" t="n">
        <v>47</v>
      </c>
      <c r="B55" t="n">
        <v>2</v>
      </c>
      <c r="C55" t="n">
        <v>4</v>
      </c>
      <c r="D55" t="n">
        <v>4</v>
      </c>
      <c r="E55" t="n">
        <v>2</v>
      </c>
      <c r="F55" t="n">
        <v>4</v>
      </c>
      <c r="G55" t="n">
        <v>4</v>
      </c>
      <c r="H55" t="n">
        <v>1</v>
      </c>
      <c r="I55" t="n">
        <v>4</v>
      </c>
      <c r="J55" t="n">
        <v>3</v>
      </c>
      <c r="K55" t="n">
        <v>2</v>
      </c>
      <c r="L55" t="n">
        <v>3</v>
      </c>
      <c r="M55" t="n">
        <v>4</v>
      </c>
      <c r="N55" t="n">
        <v>5</v>
      </c>
      <c r="O55" t="n">
        <v>3</v>
      </c>
      <c r="P55" t="n">
        <v>2</v>
      </c>
      <c r="Q55" t="n">
        <v>2</v>
      </c>
      <c r="R55" t="n">
        <v>5</v>
      </c>
      <c r="S55" t="n">
        <v>3</v>
      </c>
      <c r="T55" t="n">
        <v>5</v>
      </c>
      <c r="U55" t="n">
        <v>5</v>
      </c>
      <c r="V55" t="n">
        <v>5</v>
      </c>
      <c r="W55">
        <f>(AVERAGE(B55:D55)-1)/4</f>
        <v/>
      </c>
      <c r="X55">
        <f>(AVERAGE(E55:G55)-1)/4</f>
        <v/>
      </c>
      <c r="Y55">
        <f>(AVERAGE(H55:J55)-1)/4</f>
        <v/>
      </c>
      <c r="Z55">
        <f>(AVERAGE(K55:M55)-1)/4</f>
        <v/>
      </c>
      <c r="AA55">
        <f>(AVERAGE(N55:P55)-1)/4</f>
        <v/>
      </c>
      <c r="AB55">
        <f>(AVERAGE(Q55:S55)-1)/4</f>
        <v/>
      </c>
      <c r="AC55">
        <f>(AVERAGE(T55:V55)-1)/4</f>
        <v/>
      </c>
      <c r="AD55">
        <f>AVERAGE(W55:AA55)</f>
        <v/>
      </c>
      <c r="AE55">
        <f>MIN(W55:AA55)</f>
        <v/>
      </c>
      <c r="AF55">
        <f>1-alpha*MAX(0,delta-AE55)</f>
        <v/>
      </c>
      <c r="AG55">
        <f>AD55*AF55</f>
        <v/>
      </c>
      <c r="AH55">
        <f>1+COUNTIF(bounds,"&lt;"&amp;ROUND(AD55,12))</f>
        <v/>
      </c>
      <c r="AI55">
        <f>1+COUNTIF(bounds,"&lt;"&amp;ROUND(AG55,12))</f>
        <v/>
      </c>
      <c r="AJ55">
        <f>IF(AF55&lt;1,1,0)</f>
        <v/>
      </c>
      <c r="AK55">
        <f>IF(AH55&lt;&gt;AI55,1,0)</f>
        <v/>
      </c>
      <c r="AL55">
        <f>IF(AND(AI55&gt;=3,AB55&lt;=0.2),1,0)</f>
        <v/>
      </c>
      <c r="AM55">
        <f>AVERAGE(W55:AB55)</f>
        <v/>
      </c>
      <c r="AN55">
        <f>1+COUNTIF(bounds,"&lt;"&amp;ROUND(AM55,12))</f>
        <v/>
      </c>
      <c r="AO55">
        <f>IF(AK55=1,AD55,NA())</f>
        <v/>
      </c>
      <c r="AP55">
        <f>IF(AK55=0,AD55,NA())</f>
        <v/>
      </c>
    </row>
    <row r="56">
      <c r="A56" t="n">
        <v>48</v>
      </c>
      <c r="B56" t="n">
        <v>3</v>
      </c>
      <c r="C56" t="n">
        <v>1</v>
      </c>
      <c r="D56" t="n">
        <v>2</v>
      </c>
      <c r="E56" t="n">
        <v>4</v>
      </c>
      <c r="F56" t="n">
        <v>4</v>
      </c>
      <c r="G56" t="n">
        <v>4</v>
      </c>
      <c r="H56" t="n">
        <v>3</v>
      </c>
      <c r="I56" t="n">
        <v>5</v>
      </c>
      <c r="J56" t="n">
        <v>4</v>
      </c>
      <c r="K56" t="n">
        <v>5</v>
      </c>
      <c r="L56" t="n">
        <v>4</v>
      </c>
      <c r="M56" t="n">
        <v>1</v>
      </c>
      <c r="N56" t="n">
        <v>5</v>
      </c>
      <c r="O56" t="n">
        <v>4</v>
      </c>
      <c r="P56" t="n">
        <v>3</v>
      </c>
      <c r="Q56" t="n">
        <v>2</v>
      </c>
      <c r="R56" t="n">
        <v>1</v>
      </c>
      <c r="S56" t="n">
        <v>4</v>
      </c>
      <c r="T56" t="n">
        <v>3</v>
      </c>
      <c r="U56" t="n">
        <v>3</v>
      </c>
      <c r="V56" t="n">
        <v>4</v>
      </c>
      <c r="W56">
        <f>(AVERAGE(B56:D56)-1)/4</f>
        <v/>
      </c>
      <c r="X56">
        <f>(AVERAGE(E56:G56)-1)/4</f>
        <v/>
      </c>
      <c r="Y56">
        <f>(AVERAGE(H56:J56)-1)/4</f>
        <v/>
      </c>
      <c r="Z56">
        <f>(AVERAGE(K56:M56)-1)/4</f>
        <v/>
      </c>
      <c r="AA56">
        <f>(AVERAGE(N56:P56)-1)/4</f>
        <v/>
      </c>
      <c r="AB56">
        <f>(AVERAGE(Q56:S56)-1)/4</f>
        <v/>
      </c>
      <c r="AC56">
        <f>(AVERAGE(T56:V56)-1)/4</f>
        <v/>
      </c>
      <c r="AD56">
        <f>AVERAGE(W56:AA56)</f>
        <v/>
      </c>
      <c r="AE56">
        <f>MIN(W56:AA56)</f>
        <v/>
      </c>
      <c r="AF56">
        <f>1-alpha*MAX(0,delta-AE56)</f>
        <v/>
      </c>
      <c r="AG56">
        <f>AD56*AF56</f>
        <v/>
      </c>
      <c r="AH56">
        <f>1+COUNTIF(bounds,"&lt;"&amp;ROUND(AD56,12))</f>
        <v/>
      </c>
      <c r="AI56">
        <f>1+COUNTIF(bounds,"&lt;"&amp;ROUND(AG56,12))</f>
        <v/>
      </c>
      <c r="AJ56">
        <f>IF(AF56&lt;1,1,0)</f>
        <v/>
      </c>
      <c r="AK56">
        <f>IF(AH56&lt;&gt;AI56,1,0)</f>
        <v/>
      </c>
      <c r="AL56">
        <f>IF(AND(AI56&gt;=3,AB56&lt;=0.2),1,0)</f>
        <v/>
      </c>
      <c r="AM56">
        <f>AVERAGE(W56:AB56)</f>
        <v/>
      </c>
      <c r="AN56">
        <f>1+COUNTIF(bounds,"&lt;"&amp;ROUND(AM56,12))</f>
        <v/>
      </c>
      <c r="AO56">
        <f>IF(AK56=1,AD56,NA())</f>
        <v/>
      </c>
      <c r="AP56">
        <f>IF(AK56=0,AD56,NA())</f>
        <v/>
      </c>
    </row>
    <row r="57">
      <c r="A57" t="n">
        <v>49</v>
      </c>
      <c r="B57" t="n">
        <v>5</v>
      </c>
      <c r="C57" t="n">
        <v>2</v>
      </c>
      <c r="D57" t="n">
        <v>1</v>
      </c>
      <c r="E57" t="n">
        <v>2</v>
      </c>
      <c r="F57" t="n">
        <v>1</v>
      </c>
      <c r="G57" t="n">
        <v>1</v>
      </c>
      <c r="H57" t="n">
        <v>1</v>
      </c>
      <c r="I57" t="n">
        <v>3</v>
      </c>
      <c r="J57" t="n">
        <v>5</v>
      </c>
      <c r="K57" t="n">
        <v>3</v>
      </c>
      <c r="L57" t="n">
        <v>1</v>
      </c>
      <c r="M57" t="n">
        <v>4</v>
      </c>
      <c r="N57" t="n">
        <v>1</v>
      </c>
      <c r="O57" t="n">
        <v>1</v>
      </c>
      <c r="P57" t="n">
        <v>1</v>
      </c>
      <c r="Q57" t="n">
        <v>3</v>
      </c>
      <c r="R57" t="n">
        <v>2</v>
      </c>
      <c r="S57" t="n">
        <v>3</v>
      </c>
      <c r="T57" t="n">
        <v>1</v>
      </c>
      <c r="U57" t="n">
        <v>2</v>
      </c>
      <c r="V57" t="n">
        <v>5</v>
      </c>
      <c r="W57">
        <f>(AVERAGE(B57:D57)-1)/4</f>
        <v/>
      </c>
      <c r="X57">
        <f>(AVERAGE(E57:G57)-1)/4</f>
        <v/>
      </c>
      <c r="Y57">
        <f>(AVERAGE(H57:J57)-1)/4</f>
        <v/>
      </c>
      <c r="Z57">
        <f>(AVERAGE(K57:M57)-1)/4</f>
        <v/>
      </c>
      <c r="AA57">
        <f>(AVERAGE(N57:P57)-1)/4</f>
        <v/>
      </c>
      <c r="AB57">
        <f>(AVERAGE(Q57:S57)-1)/4</f>
        <v/>
      </c>
      <c r="AC57">
        <f>(AVERAGE(T57:V57)-1)/4</f>
        <v/>
      </c>
      <c r="AD57">
        <f>AVERAGE(W57:AA57)</f>
        <v/>
      </c>
      <c r="AE57">
        <f>MIN(W57:AA57)</f>
        <v/>
      </c>
      <c r="AF57">
        <f>1-alpha*MAX(0,delta-AE57)</f>
        <v/>
      </c>
      <c r="AG57">
        <f>AD57*AF57</f>
        <v/>
      </c>
      <c r="AH57">
        <f>1+COUNTIF(bounds,"&lt;"&amp;ROUND(AD57,12))</f>
        <v/>
      </c>
      <c r="AI57">
        <f>1+COUNTIF(bounds,"&lt;"&amp;ROUND(AG57,12))</f>
        <v/>
      </c>
      <c r="AJ57">
        <f>IF(AF57&lt;1,1,0)</f>
        <v/>
      </c>
      <c r="AK57">
        <f>IF(AH57&lt;&gt;AI57,1,0)</f>
        <v/>
      </c>
      <c r="AL57">
        <f>IF(AND(AI57&gt;=3,AB57&lt;=0.2),1,0)</f>
        <v/>
      </c>
      <c r="AM57">
        <f>AVERAGE(W57:AB57)</f>
        <v/>
      </c>
      <c r="AN57">
        <f>1+COUNTIF(bounds,"&lt;"&amp;ROUND(AM57,12))</f>
        <v/>
      </c>
      <c r="AO57">
        <f>IF(AK57=1,AD57,NA())</f>
        <v/>
      </c>
      <c r="AP57">
        <f>IF(AK57=0,AD57,NA())</f>
        <v/>
      </c>
    </row>
    <row r="58">
      <c r="A58" t="n">
        <v>50</v>
      </c>
      <c r="B58" t="n">
        <v>2</v>
      </c>
      <c r="C58" t="n">
        <v>1</v>
      </c>
      <c r="D58" t="n">
        <v>2</v>
      </c>
      <c r="E58" t="n">
        <v>5</v>
      </c>
      <c r="F58" t="n">
        <v>2</v>
      </c>
      <c r="G58" t="n">
        <v>5</v>
      </c>
      <c r="H58" t="n">
        <v>3</v>
      </c>
      <c r="I58" t="n">
        <v>4</v>
      </c>
      <c r="J58" t="n">
        <v>4</v>
      </c>
      <c r="K58" t="n">
        <v>3</v>
      </c>
      <c r="L58" t="n">
        <v>1</v>
      </c>
      <c r="M58" t="n">
        <v>4</v>
      </c>
      <c r="N58" t="n">
        <v>3</v>
      </c>
      <c r="O58" t="n">
        <v>5</v>
      </c>
      <c r="P58" t="n">
        <v>2</v>
      </c>
      <c r="Q58" t="n">
        <v>3</v>
      </c>
      <c r="R58" t="n">
        <v>4</v>
      </c>
      <c r="S58" t="n">
        <v>3</v>
      </c>
      <c r="T58" t="n">
        <v>3</v>
      </c>
      <c r="U58" t="n">
        <v>3</v>
      </c>
      <c r="V58" t="n">
        <v>2</v>
      </c>
      <c r="W58">
        <f>(AVERAGE(B58:D58)-1)/4</f>
        <v/>
      </c>
      <c r="X58">
        <f>(AVERAGE(E58:G58)-1)/4</f>
        <v/>
      </c>
      <c r="Y58">
        <f>(AVERAGE(H58:J58)-1)/4</f>
        <v/>
      </c>
      <c r="Z58">
        <f>(AVERAGE(K58:M58)-1)/4</f>
        <v/>
      </c>
      <c r="AA58">
        <f>(AVERAGE(N58:P58)-1)/4</f>
        <v/>
      </c>
      <c r="AB58">
        <f>(AVERAGE(Q58:S58)-1)/4</f>
        <v/>
      </c>
      <c r="AC58">
        <f>(AVERAGE(T58:V58)-1)/4</f>
        <v/>
      </c>
      <c r="AD58">
        <f>AVERAGE(W58:AA58)</f>
        <v/>
      </c>
      <c r="AE58">
        <f>MIN(W58:AA58)</f>
        <v/>
      </c>
      <c r="AF58">
        <f>1-alpha*MAX(0,delta-AE58)</f>
        <v/>
      </c>
      <c r="AG58">
        <f>AD58*AF58</f>
        <v/>
      </c>
      <c r="AH58">
        <f>1+COUNTIF(bounds,"&lt;"&amp;ROUND(AD58,12))</f>
        <v/>
      </c>
      <c r="AI58">
        <f>1+COUNTIF(bounds,"&lt;"&amp;ROUND(AG58,12))</f>
        <v/>
      </c>
      <c r="AJ58">
        <f>IF(AF58&lt;1,1,0)</f>
        <v/>
      </c>
      <c r="AK58">
        <f>IF(AH58&lt;&gt;AI58,1,0)</f>
        <v/>
      </c>
      <c r="AL58">
        <f>IF(AND(AI58&gt;=3,AB58&lt;=0.2),1,0)</f>
        <v/>
      </c>
      <c r="AM58">
        <f>AVERAGE(W58:AB58)</f>
        <v/>
      </c>
      <c r="AN58">
        <f>1+COUNTIF(bounds,"&lt;"&amp;ROUND(AM58,12))</f>
        <v/>
      </c>
      <c r="AO58">
        <f>IF(AK58=1,AD58,NA())</f>
        <v/>
      </c>
      <c r="AP58">
        <f>IF(AK58=0,AD58,NA())</f>
        <v/>
      </c>
    </row>
    <row r="59">
      <c r="A59" t="n">
        <v>51</v>
      </c>
      <c r="B59" t="n">
        <v>5</v>
      </c>
      <c r="C59" t="n">
        <v>2</v>
      </c>
      <c r="D59" t="n">
        <v>3</v>
      </c>
      <c r="E59" t="n">
        <v>5</v>
      </c>
      <c r="F59" t="n">
        <v>5</v>
      </c>
      <c r="G59" t="n">
        <v>1</v>
      </c>
      <c r="H59" t="n">
        <v>1</v>
      </c>
      <c r="I59" t="n">
        <v>2</v>
      </c>
      <c r="J59" t="n">
        <v>2</v>
      </c>
      <c r="K59" t="n">
        <v>4</v>
      </c>
      <c r="L59" t="n">
        <v>3</v>
      </c>
      <c r="M59" t="n">
        <v>2</v>
      </c>
      <c r="N59" t="n">
        <v>2</v>
      </c>
      <c r="O59" t="n">
        <v>2</v>
      </c>
      <c r="P59" t="n">
        <v>3</v>
      </c>
      <c r="Q59" t="n">
        <v>4</v>
      </c>
      <c r="R59" t="n">
        <v>3</v>
      </c>
      <c r="S59" t="n">
        <v>1</v>
      </c>
      <c r="T59" t="n">
        <v>3</v>
      </c>
      <c r="U59" t="n">
        <v>3</v>
      </c>
      <c r="V59" t="n">
        <v>1</v>
      </c>
      <c r="W59">
        <f>(AVERAGE(B59:D59)-1)/4</f>
        <v/>
      </c>
      <c r="X59">
        <f>(AVERAGE(E59:G59)-1)/4</f>
        <v/>
      </c>
      <c r="Y59">
        <f>(AVERAGE(H59:J59)-1)/4</f>
        <v/>
      </c>
      <c r="Z59">
        <f>(AVERAGE(K59:M59)-1)/4</f>
        <v/>
      </c>
      <c r="AA59">
        <f>(AVERAGE(N59:P59)-1)/4</f>
        <v/>
      </c>
      <c r="AB59">
        <f>(AVERAGE(Q59:S59)-1)/4</f>
        <v/>
      </c>
      <c r="AC59">
        <f>(AVERAGE(T59:V59)-1)/4</f>
        <v/>
      </c>
      <c r="AD59">
        <f>AVERAGE(W59:AA59)</f>
        <v/>
      </c>
      <c r="AE59">
        <f>MIN(W59:AA59)</f>
        <v/>
      </c>
      <c r="AF59">
        <f>1-alpha*MAX(0,delta-AE59)</f>
        <v/>
      </c>
      <c r="AG59">
        <f>AD59*AF59</f>
        <v/>
      </c>
      <c r="AH59">
        <f>1+COUNTIF(bounds,"&lt;"&amp;ROUND(AD59,12))</f>
        <v/>
      </c>
      <c r="AI59">
        <f>1+COUNTIF(bounds,"&lt;"&amp;ROUND(AG59,12))</f>
        <v/>
      </c>
      <c r="AJ59">
        <f>IF(AF59&lt;1,1,0)</f>
        <v/>
      </c>
      <c r="AK59">
        <f>IF(AH59&lt;&gt;AI59,1,0)</f>
        <v/>
      </c>
      <c r="AL59">
        <f>IF(AND(AI59&gt;=3,AB59&lt;=0.2),1,0)</f>
        <v/>
      </c>
      <c r="AM59">
        <f>AVERAGE(W59:AB59)</f>
        <v/>
      </c>
      <c r="AN59">
        <f>1+COUNTIF(bounds,"&lt;"&amp;ROUND(AM59,12))</f>
        <v/>
      </c>
      <c r="AO59">
        <f>IF(AK59=1,AD59,NA())</f>
        <v/>
      </c>
      <c r="AP59">
        <f>IF(AK59=0,AD59,NA())</f>
        <v/>
      </c>
    </row>
    <row r="60">
      <c r="A60" t="n">
        <v>52</v>
      </c>
      <c r="B60" t="n">
        <v>2</v>
      </c>
      <c r="C60" t="n">
        <v>4</v>
      </c>
      <c r="D60" t="n">
        <v>1</v>
      </c>
      <c r="E60" t="n">
        <v>1</v>
      </c>
      <c r="F60" t="n">
        <v>5</v>
      </c>
      <c r="G60" t="n">
        <v>2</v>
      </c>
      <c r="H60" t="n">
        <v>1</v>
      </c>
      <c r="I60" t="n">
        <v>1</v>
      </c>
      <c r="J60" t="n">
        <v>1</v>
      </c>
      <c r="K60" t="n">
        <v>5</v>
      </c>
      <c r="L60" t="n">
        <v>5</v>
      </c>
      <c r="M60" t="n">
        <v>3</v>
      </c>
      <c r="N60" t="n">
        <v>1</v>
      </c>
      <c r="O60" t="n">
        <v>1</v>
      </c>
      <c r="P60" t="n">
        <v>1</v>
      </c>
      <c r="Q60" t="n">
        <v>3</v>
      </c>
      <c r="R60" t="n">
        <v>4</v>
      </c>
      <c r="S60" t="n">
        <v>5</v>
      </c>
      <c r="T60" t="n">
        <v>5</v>
      </c>
      <c r="U60" t="n">
        <v>2</v>
      </c>
      <c r="V60" t="n">
        <v>4</v>
      </c>
      <c r="W60">
        <f>(AVERAGE(B60:D60)-1)/4</f>
        <v/>
      </c>
      <c r="X60">
        <f>(AVERAGE(E60:G60)-1)/4</f>
        <v/>
      </c>
      <c r="Y60">
        <f>(AVERAGE(H60:J60)-1)/4</f>
        <v/>
      </c>
      <c r="Z60">
        <f>(AVERAGE(K60:M60)-1)/4</f>
        <v/>
      </c>
      <c r="AA60">
        <f>(AVERAGE(N60:P60)-1)/4</f>
        <v/>
      </c>
      <c r="AB60">
        <f>(AVERAGE(Q60:S60)-1)/4</f>
        <v/>
      </c>
      <c r="AC60">
        <f>(AVERAGE(T60:V60)-1)/4</f>
        <v/>
      </c>
      <c r="AD60">
        <f>AVERAGE(W60:AA60)</f>
        <v/>
      </c>
      <c r="AE60">
        <f>MIN(W60:AA60)</f>
        <v/>
      </c>
      <c r="AF60">
        <f>1-alpha*MAX(0,delta-AE60)</f>
        <v/>
      </c>
      <c r="AG60">
        <f>AD60*AF60</f>
        <v/>
      </c>
      <c r="AH60">
        <f>1+COUNTIF(bounds,"&lt;"&amp;ROUND(AD60,12))</f>
        <v/>
      </c>
      <c r="AI60">
        <f>1+COUNTIF(bounds,"&lt;"&amp;ROUND(AG60,12))</f>
        <v/>
      </c>
      <c r="AJ60">
        <f>IF(AF60&lt;1,1,0)</f>
        <v/>
      </c>
      <c r="AK60">
        <f>IF(AH60&lt;&gt;AI60,1,0)</f>
        <v/>
      </c>
      <c r="AL60">
        <f>IF(AND(AI60&gt;=3,AB60&lt;=0.2),1,0)</f>
        <v/>
      </c>
      <c r="AM60">
        <f>AVERAGE(W60:AB60)</f>
        <v/>
      </c>
      <c r="AN60">
        <f>1+COUNTIF(bounds,"&lt;"&amp;ROUND(AM60,12))</f>
        <v/>
      </c>
      <c r="AO60">
        <f>IF(AK60=1,AD60,NA())</f>
        <v/>
      </c>
      <c r="AP60">
        <f>IF(AK60=0,AD60,NA())</f>
        <v/>
      </c>
    </row>
    <row r="61">
      <c r="A61" t="n">
        <v>53</v>
      </c>
      <c r="B61" t="n">
        <v>4</v>
      </c>
      <c r="C61" t="n">
        <v>3</v>
      </c>
      <c r="D61" t="n">
        <v>1</v>
      </c>
      <c r="E61" t="n">
        <v>2</v>
      </c>
      <c r="F61" t="n">
        <v>4</v>
      </c>
      <c r="G61" t="n">
        <v>1</v>
      </c>
      <c r="H61" t="n">
        <v>5</v>
      </c>
      <c r="I61" t="n">
        <v>5</v>
      </c>
      <c r="J61" t="n">
        <v>5</v>
      </c>
      <c r="K61" t="n">
        <v>5</v>
      </c>
      <c r="L61" t="n">
        <v>4</v>
      </c>
      <c r="M61" t="n">
        <v>5</v>
      </c>
      <c r="N61" t="n">
        <v>3</v>
      </c>
      <c r="O61" t="n">
        <v>3</v>
      </c>
      <c r="P61" t="n">
        <v>4</v>
      </c>
      <c r="Q61" t="n">
        <v>5</v>
      </c>
      <c r="R61" t="n">
        <v>1</v>
      </c>
      <c r="S61" t="n">
        <v>3</v>
      </c>
      <c r="T61" t="n">
        <v>3</v>
      </c>
      <c r="U61" t="n">
        <v>3</v>
      </c>
      <c r="V61" t="n">
        <v>4</v>
      </c>
      <c r="W61">
        <f>(AVERAGE(B61:D61)-1)/4</f>
        <v/>
      </c>
      <c r="X61">
        <f>(AVERAGE(E61:G61)-1)/4</f>
        <v/>
      </c>
      <c r="Y61">
        <f>(AVERAGE(H61:J61)-1)/4</f>
        <v/>
      </c>
      <c r="Z61">
        <f>(AVERAGE(K61:M61)-1)/4</f>
        <v/>
      </c>
      <c r="AA61">
        <f>(AVERAGE(N61:P61)-1)/4</f>
        <v/>
      </c>
      <c r="AB61">
        <f>(AVERAGE(Q61:S61)-1)/4</f>
        <v/>
      </c>
      <c r="AC61">
        <f>(AVERAGE(T61:V61)-1)/4</f>
        <v/>
      </c>
      <c r="AD61">
        <f>AVERAGE(W61:AA61)</f>
        <v/>
      </c>
      <c r="AE61">
        <f>MIN(W61:AA61)</f>
        <v/>
      </c>
      <c r="AF61">
        <f>1-alpha*MAX(0,delta-AE61)</f>
        <v/>
      </c>
      <c r="AG61">
        <f>AD61*AF61</f>
        <v/>
      </c>
      <c r="AH61">
        <f>1+COUNTIF(bounds,"&lt;"&amp;ROUND(AD61,12))</f>
        <v/>
      </c>
      <c r="AI61">
        <f>1+COUNTIF(bounds,"&lt;"&amp;ROUND(AG61,12))</f>
        <v/>
      </c>
      <c r="AJ61">
        <f>IF(AF61&lt;1,1,0)</f>
        <v/>
      </c>
      <c r="AK61">
        <f>IF(AH61&lt;&gt;AI61,1,0)</f>
        <v/>
      </c>
      <c r="AL61">
        <f>IF(AND(AI61&gt;=3,AB61&lt;=0.2),1,0)</f>
        <v/>
      </c>
      <c r="AM61">
        <f>AVERAGE(W61:AB61)</f>
        <v/>
      </c>
      <c r="AN61">
        <f>1+COUNTIF(bounds,"&lt;"&amp;ROUND(AM61,12))</f>
        <v/>
      </c>
      <c r="AO61">
        <f>IF(AK61=1,AD61,NA())</f>
        <v/>
      </c>
      <c r="AP61">
        <f>IF(AK61=0,AD61,NA())</f>
        <v/>
      </c>
    </row>
    <row r="62">
      <c r="A62" t="n">
        <v>54</v>
      </c>
      <c r="B62" t="n">
        <v>4</v>
      </c>
      <c r="C62" t="n">
        <v>3</v>
      </c>
      <c r="D62" t="n">
        <v>3</v>
      </c>
      <c r="E62" t="n">
        <v>4</v>
      </c>
      <c r="F62" t="n">
        <v>5</v>
      </c>
      <c r="G62" t="n">
        <v>1</v>
      </c>
      <c r="H62" t="n">
        <v>4</v>
      </c>
      <c r="I62" t="n">
        <v>5</v>
      </c>
      <c r="J62" t="n">
        <v>4</v>
      </c>
      <c r="K62" t="n">
        <v>4</v>
      </c>
      <c r="L62" t="n">
        <v>3</v>
      </c>
      <c r="M62" t="n">
        <v>5</v>
      </c>
      <c r="N62" t="n">
        <v>5</v>
      </c>
      <c r="O62" t="n">
        <v>3</v>
      </c>
      <c r="P62" t="n">
        <v>2</v>
      </c>
      <c r="Q62" t="n">
        <v>4</v>
      </c>
      <c r="R62" t="n">
        <v>2</v>
      </c>
      <c r="S62" t="n">
        <v>2</v>
      </c>
      <c r="T62" t="n">
        <v>4</v>
      </c>
      <c r="U62" t="n">
        <v>4</v>
      </c>
      <c r="V62" t="n">
        <v>1</v>
      </c>
      <c r="W62">
        <f>(AVERAGE(B62:D62)-1)/4</f>
        <v/>
      </c>
      <c r="X62">
        <f>(AVERAGE(E62:G62)-1)/4</f>
        <v/>
      </c>
      <c r="Y62">
        <f>(AVERAGE(H62:J62)-1)/4</f>
        <v/>
      </c>
      <c r="Z62">
        <f>(AVERAGE(K62:M62)-1)/4</f>
        <v/>
      </c>
      <c r="AA62">
        <f>(AVERAGE(N62:P62)-1)/4</f>
        <v/>
      </c>
      <c r="AB62">
        <f>(AVERAGE(Q62:S62)-1)/4</f>
        <v/>
      </c>
      <c r="AC62">
        <f>(AVERAGE(T62:V62)-1)/4</f>
        <v/>
      </c>
      <c r="AD62">
        <f>AVERAGE(W62:AA62)</f>
        <v/>
      </c>
      <c r="AE62">
        <f>MIN(W62:AA62)</f>
        <v/>
      </c>
      <c r="AF62">
        <f>1-alpha*MAX(0,delta-AE62)</f>
        <v/>
      </c>
      <c r="AG62">
        <f>AD62*AF62</f>
        <v/>
      </c>
      <c r="AH62">
        <f>1+COUNTIF(bounds,"&lt;"&amp;ROUND(AD62,12))</f>
        <v/>
      </c>
      <c r="AI62">
        <f>1+COUNTIF(bounds,"&lt;"&amp;ROUND(AG62,12))</f>
        <v/>
      </c>
      <c r="AJ62">
        <f>IF(AF62&lt;1,1,0)</f>
        <v/>
      </c>
      <c r="AK62">
        <f>IF(AH62&lt;&gt;AI62,1,0)</f>
        <v/>
      </c>
      <c r="AL62">
        <f>IF(AND(AI62&gt;=3,AB62&lt;=0.2),1,0)</f>
        <v/>
      </c>
      <c r="AM62">
        <f>AVERAGE(W62:AB62)</f>
        <v/>
      </c>
      <c r="AN62">
        <f>1+COUNTIF(bounds,"&lt;"&amp;ROUND(AM62,12))</f>
        <v/>
      </c>
      <c r="AO62">
        <f>IF(AK62=1,AD62,NA())</f>
        <v/>
      </c>
      <c r="AP62">
        <f>IF(AK62=0,AD62,NA())</f>
        <v/>
      </c>
    </row>
    <row r="63">
      <c r="A63" t="n">
        <v>55</v>
      </c>
      <c r="B63" t="n">
        <v>2</v>
      </c>
      <c r="C63" t="n">
        <v>4</v>
      </c>
      <c r="D63" t="n">
        <v>2</v>
      </c>
      <c r="E63" t="n">
        <v>5</v>
      </c>
      <c r="F63" t="n">
        <v>1</v>
      </c>
      <c r="G63" t="n">
        <v>5</v>
      </c>
      <c r="H63" t="n">
        <v>1</v>
      </c>
      <c r="I63" t="n">
        <v>1</v>
      </c>
      <c r="J63" t="n">
        <v>2</v>
      </c>
      <c r="K63" t="n">
        <v>2</v>
      </c>
      <c r="L63" t="n">
        <v>3</v>
      </c>
      <c r="M63" t="n">
        <v>4</v>
      </c>
      <c r="N63" t="n">
        <v>4</v>
      </c>
      <c r="O63" t="n">
        <v>2</v>
      </c>
      <c r="P63" t="n">
        <v>1</v>
      </c>
      <c r="Q63" t="n">
        <v>1</v>
      </c>
      <c r="R63" t="n">
        <v>2</v>
      </c>
      <c r="S63" t="n">
        <v>5</v>
      </c>
      <c r="T63" t="n">
        <v>3</v>
      </c>
      <c r="U63" t="n">
        <v>2</v>
      </c>
      <c r="V63" t="n">
        <v>5</v>
      </c>
      <c r="W63">
        <f>(AVERAGE(B63:D63)-1)/4</f>
        <v/>
      </c>
      <c r="X63">
        <f>(AVERAGE(E63:G63)-1)/4</f>
        <v/>
      </c>
      <c r="Y63">
        <f>(AVERAGE(H63:J63)-1)/4</f>
        <v/>
      </c>
      <c r="Z63">
        <f>(AVERAGE(K63:M63)-1)/4</f>
        <v/>
      </c>
      <c r="AA63">
        <f>(AVERAGE(N63:P63)-1)/4</f>
        <v/>
      </c>
      <c r="AB63">
        <f>(AVERAGE(Q63:S63)-1)/4</f>
        <v/>
      </c>
      <c r="AC63">
        <f>(AVERAGE(T63:V63)-1)/4</f>
        <v/>
      </c>
      <c r="AD63">
        <f>AVERAGE(W63:AA63)</f>
        <v/>
      </c>
      <c r="AE63">
        <f>MIN(W63:AA63)</f>
        <v/>
      </c>
      <c r="AF63">
        <f>1-alpha*MAX(0,delta-AE63)</f>
        <v/>
      </c>
      <c r="AG63">
        <f>AD63*AF63</f>
        <v/>
      </c>
      <c r="AH63">
        <f>1+COUNTIF(bounds,"&lt;"&amp;ROUND(AD63,12))</f>
        <v/>
      </c>
      <c r="AI63">
        <f>1+COUNTIF(bounds,"&lt;"&amp;ROUND(AG63,12))</f>
        <v/>
      </c>
      <c r="AJ63">
        <f>IF(AF63&lt;1,1,0)</f>
        <v/>
      </c>
      <c r="AK63">
        <f>IF(AH63&lt;&gt;AI63,1,0)</f>
        <v/>
      </c>
      <c r="AL63">
        <f>IF(AND(AI63&gt;=3,AB63&lt;=0.2),1,0)</f>
        <v/>
      </c>
      <c r="AM63">
        <f>AVERAGE(W63:AB63)</f>
        <v/>
      </c>
      <c r="AN63">
        <f>1+COUNTIF(bounds,"&lt;"&amp;ROUND(AM63,12))</f>
        <v/>
      </c>
      <c r="AO63">
        <f>IF(AK63=1,AD63,NA())</f>
        <v/>
      </c>
      <c r="AP63">
        <f>IF(AK63=0,AD63,NA())</f>
        <v/>
      </c>
    </row>
    <row r="64">
      <c r="A64" t="n">
        <v>56</v>
      </c>
      <c r="B64" t="n">
        <v>1</v>
      </c>
      <c r="C64" t="n">
        <v>5</v>
      </c>
      <c r="D64" t="n">
        <v>1</v>
      </c>
      <c r="E64" t="n">
        <v>1</v>
      </c>
      <c r="F64" t="n">
        <v>2</v>
      </c>
      <c r="G64" t="n">
        <v>2</v>
      </c>
      <c r="H64" t="n">
        <v>4</v>
      </c>
      <c r="I64" t="n">
        <v>4</v>
      </c>
      <c r="J64" t="n">
        <v>4</v>
      </c>
      <c r="K64" t="n">
        <v>2</v>
      </c>
      <c r="L64" t="n">
        <v>4</v>
      </c>
      <c r="M64" t="n">
        <v>3</v>
      </c>
      <c r="N64" t="n">
        <v>2</v>
      </c>
      <c r="O64" t="n">
        <v>4</v>
      </c>
      <c r="P64" t="n">
        <v>1</v>
      </c>
      <c r="Q64" t="n">
        <v>3</v>
      </c>
      <c r="R64" t="n">
        <v>3</v>
      </c>
      <c r="S64" t="n">
        <v>3</v>
      </c>
      <c r="T64" t="n">
        <v>4</v>
      </c>
      <c r="U64" t="n">
        <v>2</v>
      </c>
      <c r="V64" t="n">
        <v>3</v>
      </c>
      <c r="W64">
        <f>(AVERAGE(B64:D64)-1)/4</f>
        <v/>
      </c>
      <c r="X64">
        <f>(AVERAGE(E64:G64)-1)/4</f>
        <v/>
      </c>
      <c r="Y64">
        <f>(AVERAGE(H64:J64)-1)/4</f>
        <v/>
      </c>
      <c r="Z64">
        <f>(AVERAGE(K64:M64)-1)/4</f>
        <v/>
      </c>
      <c r="AA64">
        <f>(AVERAGE(N64:P64)-1)/4</f>
        <v/>
      </c>
      <c r="AB64">
        <f>(AVERAGE(Q64:S64)-1)/4</f>
        <v/>
      </c>
      <c r="AC64">
        <f>(AVERAGE(T64:V64)-1)/4</f>
        <v/>
      </c>
      <c r="AD64">
        <f>AVERAGE(W64:AA64)</f>
        <v/>
      </c>
      <c r="AE64">
        <f>MIN(W64:AA64)</f>
        <v/>
      </c>
      <c r="AF64">
        <f>1-alpha*MAX(0,delta-AE64)</f>
        <v/>
      </c>
      <c r="AG64">
        <f>AD64*AF64</f>
        <v/>
      </c>
      <c r="AH64">
        <f>1+COUNTIF(bounds,"&lt;"&amp;ROUND(AD64,12))</f>
        <v/>
      </c>
      <c r="AI64">
        <f>1+COUNTIF(bounds,"&lt;"&amp;ROUND(AG64,12))</f>
        <v/>
      </c>
      <c r="AJ64">
        <f>IF(AF64&lt;1,1,0)</f>
        <v/>
      </c>
      <c r="AK64">
        <f>IF(AH64&lt;&gt;AI64,1,0)</f>
        <v/>
      </c>
      <c r="AL64">
        <f>IF(AND(AI64&gt;=3,AB64&lt;=0.2),1,0)</f>
        <v/>
      </c>
      <c r="AM64">
        <f>AVERAGE(W64:AB64)</f>
        <v/>
      </c>
      <c r="AN64">
        <f>1+COUNTIF(bounds,"&lt;"&amp;ROUND(AM64,12))</f>
        <v/>
      </c>
      <c r="AO64">
        <f>IF(AK64=1,AD64,NA())</f>
        <v/>
      </c>
      <c r="AP64">
        <f>IF(AK64=0,AD64,NA())</f>
        <v/>
      </c>
    </row>
    <row r="65">
      <c r="A65" t="n">
        <v>57</v>
      </c>
      <c r="B65" t="n">
        <v>1</v>
      </c>
      <c r="C65" t="n">
        <v>3</v>
      </c>
      <c r="D65" t="n">
        <v>2</v>
      </c>
      <c r="E65" t="n">
        <v>4</v>
      </c>
      <c r="F65" t="n">
        <v>4</v>
      </c>
      <c r="G65" t="n">
        <v>3</v>
      </c>
      <c r="H65" t="n">
        <v>4</v>
      </c>
      <c r="I65" t="n">
        <v>3</v>
      </c>
      <c r="J65" t="n">
        <v>4</v>
      </c>
      <c r="K65" t="n">
        <v>2</v>
      </c>
      <c r="L65" t="n">
        <v>4</v>
      </c>
      <c r="M65" t="n">
        <v>4</v>
      </c>
      <c r="N65" t="n">
        <v>1</v>
      </c>
      <c r="O65" t="n">
        <v>3</v>
      </c>
      <c r="P65" t="n">
        <v>5</v>
      </c>
      <c r="Q65" t="n">
        <v>4</v>
      </c>
      <c r="R65" t="n">
        <v>5</v>
      </c>
      <c r="S65" t="n">
        <v>1</v>
      </c>
      <c r="T65" t="n">
        <v>1</v>
      </c>
      <c r="U65" t="n">
        <v>4</v>
      </c>
      <c r="V65" t="n">
        <v>2</v>
      </c>
      <c r="W65">
        <f>(AVERAGE(B65:D65)-1)/4</f>
        <v/>
      </c>
      <c r="X65">
        <f>(AVERAGE(E65:G65)-1)/4</f>
        <v/>
      </c>
      <c r="Y65">
        <f>(AVERAGE(H65:J65)-1)/4</f>
        <v/>
      </c>
      <c r="Z65">
        <f>(AVERAGE(K65:M65)-1)/4</f>
        <v/>
      </c>
      <c r="AA65">
        <f>(AVERAGE(N65:P65)-1)/4</f>
        <v/>
      </c>
      <c r="AB65">
        <f>(AVERAGE(Q65:S65)-1)/4</f>
        <v/>
      </c>
      <c r="AC65">
        <f>(AVERAGE(T65:V65)-1)/4</f>
        <v/>
      </c>
      <c r="AD65">
        <f>AVERAGE(W65:AA65)</f>
        <v/>
      </c>
      <c r="AE65">
        <f>MIN(W65:AA65)</f>
        <v/>
      </c>
      <c r="AF65">
        <f>1-alpha*MAX(0,delta-AE65)</f>
        <v/>
      </c>
      <c r="AG65">
        <f>AD65*AF65</f>
        <v/>
      </c>
      <c r="AH65">
        <f>1+COUNTIF(bounds,"&lt;"&amp;ROUND(AD65,12))</f>
        <v/>
      </c>
      <c r="AI65">
        <f>1+COUNTIF(bounds,"&lt;"&amp;ROUND(AG65,12))</f>
        <v/>
      </c>
      <c r="AJ65">
        <f>IF(AF65&lt;1,1,0)</f>
        <v/>
      </c>
      <c r="AK65">
        <f>IF(AH65&lt;&gt;AI65,1,0)</f>
        <v/>
      </c>
      <c r="AL65">
        <f>IF(AND(AI65&gt;=3,AB65&lt;=0.2),1,0)</f>
        <v/>
      </c>
      <c r="AM65">
        <f>AVERAGE(W65:AB65)</f>
        <v/>
      </c>
      <c r="AN65">
        <f>1+COUNTIF(bounds,"&lt;"&amp;ROUND(AM65,12))</f>
        <v/>
      </c>
      <c r="AO65">
        <f>IF(AK65=1,AD65,NA())</f>
        <v/>
      </c>
      <c r="AP65">
        <f>IF(AK65=0,AD65,NA())</f>
        <v/>
      </c>
    </row>
    <row r="66">
      <c r="A66" t="n">
        <v>58</v>
      </c>
      <c r="B66" t="n">
        <v>2</v>
      </c>
      <c r="C66" t="n">
        <v>3</v>
      </c>
      <c r="D66" t="n">
        <v>5</v>
      </c>
      <c r="E66" t="n">
        <v>3</v>
      </c>
      <c r="F66" t="n">
        <v>2</v>
      </c>
      <c r="G66" t="n">
        <v>3</v>
      </c>
      <c r="H66" t="n">
        <v>2</v>
      </c>
      <c r="I66" t="n">
        <v>4</v>
      </c>
      <c r="J66" t="n">
        <v>3</v>
      </c>
      <c r="K66" t="n">
        <v>2</v>
      </c>
      <c r="L66" t="n">
        <v>4</v>
      </c>
      <c r="M66" t="n">
        <v>3</v>
      </c>
      <c r="N66" t="n">
        <v>1</v>
      </c>
      <c r="O66" t="n">
        <v>2</v>
      </c>
      <c r="P66" t="n">
        <v>3</v>
      </c>
      <c r="Q66" t="n">
        <v>5</v>
      </c>
      <c r="R66" t="n">
        <v>2</v>
      </c>
      <c r="S66" t="n">
        <v>5</v>
      </c>
      <c r="T66" t="n">
        <v>3</v>
      </c>
      <c r="U66" t="n">
        <v>3</v>
      </c>
      <c r="V66" t="n">
        <v>3</v>
      </c>
      <c r="W66">
        <f>(AVERAGE(B66:D66)-1)/4</f>
        <v/>
      </c>
      <c r="X66">
        <f>(AVERAGE(E66:G66)-1)/4</f>
        <v/>
      </c>
      <c r="Y66">
        <f>(AVERAGE(H66:J66)-1)/4</f>
        <v/>
      </c>
      <c r="Z66">
        <f>(AVERAGE(K66:M66)-1)/4</f>
        <v/>
      </c>
      <c r="AA66">
        <f>(AVERAGE(N66:P66)-1)/4</f>
        <v/>
      </c>
      <c r="AB66">
        <f>(AVERAGE(Q66:S66)-1)/4</f>
        <v/>
      </c>
      <c r="AC66">
        <f>(AVERAGE(T66:V66)-1)/4</f>
        <v/>
      </c>
      <c r="AD66">
        <f>AVERAGE(W66:AA66)</f>
        <v/>
      </c>
      <c r="AE66">
        <f>MIN(W66:AA66)</f>
        <v/>
      </c>
      <c r="AF66">
        <f>1-alpha*MAX(0,delta-AE66)</f>
        <v/>
      </c>
      <c r="AG66">
        <f>AD66*AF66</f>
        <v/>
      </c>
      <c r="AH66">
        <f>1+COUNTIF(bounds,"&lt;"&amp;ROUND(AD66,12))</f>
        <v/>
      </c>
      <c r="AI66">
        <f>1+COUNTIF(bounds,"&lt;"&amp;ROUND(AG66,12))</f>
        <v/>
      </c>
      <c r="AJ66">
        <f>IF(AF66&lt;1,1,0)</f>
        <v/>
      </c>
      <c r="AK66">
        <f>IF(AH66&lt;&gt;AI66,1,0)</f>
        <v/>
      </c>
      <c r="AL66">
        <f>IF(AND(AI66&gt;=3,AB66&lt;=0.2),1,0)</f>
        <v/>
      </c>
      <c r="AM66">
        <f>AVERAGE(W66:AB66)</f>
        <v/>
      </c>
      <c r="AN66">
        <f>1+COUNTIF(bounds,"&lt;"&amp;ROUND(AM66,12))</f>
        <v/>
      </c>
      <c r="AO66">
        <f>IF(AK66=1,AD66,NA())</f>
        <v/>
      </c>
      <c r="AP66">
        <f>IF(AK66=0,AD66,NA())</f>
        <v/>
      </c>
    </row>
    <row r="67">
      <c r="A67" t="n">
        <v>59</v>
      </c>
      <c r="B67" t="n">
        <v>5</v>
      </c>
      <c r="C67" t="n">
        <v>1</v>
      </c>
      <c r="D67" t="n">
        <v>5</v>
      </c>
      <c r="E67" t="n">
        <v>3</v>
      </c>
      <c r="F67" t="n">
        <v>3</v>
      </c>
      <c r="G67" t="n">
        <v>4</v>
      </c>
      <c r="H67" t="n">
        <v>5</v>
      </c>
      <c r="I67" t="n">
        <v>4</v>
      </c>
      <c r="J67" t="n">
        <v>2</v>
      </c>
      <c r="K67" t="n">
        <v>1</v>
      </c>
      <c r="L67" t="n">
        <v>3</v>
      </c>
      <c r="M67" t="n">
        <v>5</v>
      </c>
      <c r="N67" t="n">
        <v>1</v>
      </c>
      <c r="O67" t="n">
        <v>3</v>
      </c>
      <c r="P67" t="n">
        <v>3</v>
      </c>
      <c r="Q67" t="n">
        <v>4</v>
      </c>
      <c r="R67" t="n">
        <v>1</v>
      </c>
      <c r="S67" t="n">
        <v>4</v>
      </c>
      <c r="T67" t="n">
        <v>1</v>
      </c>
      <c r="U67" t="n">
        <v>5</v>
      </c>
      <c r="V67" t="n">
        <v>1</v>
      </c>
      <c r="W67">
        <f>(AVERAGE(B67:D67)-1)/4</f>
        <v/>
      </c>
      <c r="X67">
        <f>(AVERAGE(E67:G67)-1)/4</f>
        <v/>
      </c>
      <c r="Y67">
        <f>(AVERAGE(H67:J67)-1)/4</f>
        <v/>
      </c>
      <c r="Z67">
        <f>(AVERAGE(K67:M67)-1)/4</f>
        <v/>
      </c>
      <c r="AA67">
        <f>(AVERAGE(N67:P67)-1)/4</f>
        <v/>
      </c>
      <c r="AB67">
        <f>(AVERAGE(Q67:S67)-1)/4</f>
        <v/>
      </c>
      <c r="AC67">
        <f>(AVERAGE(T67:V67)-1)/4</f>
        <v/>
      </c>
      <c r="AD67">
        <f>AVERAGE(W67:AA67)</f>
        <v/>
      </c>
      <c r="AE67">
        <f>MIN(W67:AA67)</f>
        <v/>
      </c>
      <c r="AF67">
        <f>1-alpha*MAX(0,delta-AE67)</f>
        <v/>
      </c>
      <c r="AG67">
        <f>AD67*AF67</f>
        <v/>
      </c>
      <c r="AH67">
        <f>1+COUNTIF(bounds,"&lt;"&amp;ROUND(AD67,12))</f>
        <v/>
      </c>
      <c r="AI67">
        <f>1+COUNTIF(bounds,"&lt;"&amp;ROUND(AG67,12))</f>
        <v/>
      </c>
      <c r="AJ67">
        <f>IF(AF67&lt;1,1,0)</f>
        <v/>
      </c>
      <c r="AK67">
        <f>IF(AH67&lt;&gt;AI67,1,0)</f>
        <v/>
      </c>
      <c r="AL67">
        <f>IF(AND(AI67&gt;=3,AB67&lt;=0.2),1,0)</f>
        <v/>
      </c>
      <c r="AM67">
        <f>AVERAGE(W67:AB67)</f>
        <v/>
      </c>
      <c r="AN67">
        <f>1+COUNTIF(bounds,"&lt;"&amp;ROUND(AM67,12))</f>
        <v/>
      </c>
      <c r="AO67">
        <f>IF(AK67=1,AD67,NA())</f>
        <v/>
      </c>
      <c r="AP67">
        <f>IF(AK67=0,AD67,NA())</f>
        <v/>
      </c>
    </row>
    <row r="68">
      <c r="A68" t="n">
        <v>60</v>
      </c>
      <c r="B68" t="n">
        <v>1</v>
      </c>
      <c r="C68" t="n">
        <v>5</v>
      </c>
      <c r="D68" t="n">
        <v>2</v>
      </c>
      <c r="E68" t="n">
        <v>2</v>
      </c>
      <c r="F68" t="n">
        <v>3</v>
      </c>
      <c r="G68" t="n">
        <v>3</v>
      </c>
      <c r="H68" t="n">
        <v>2</v>
      </c>
      <c r="I68" t="n">
        <v>4</v>
      </c>
      <c r="J68" t="n">
        <v>2</v>
      </c>
      <c r="K68" t="n">
        <v>3</v>
      </c>
      <c r="L68" t="n">
        <v>4</v>
      </c>
      <c r="M68" t="n">
        <v>4</v>
      </c>
      <c r="N68" t="n">
        <v>3</v>
      </c>
      <c r="O68" t="n">
        <v>2</v>
      </c>
      <c r="P68" t="n">
        <v>4</v>
      </c>
      <c r="Q68" t="n">
        <v>3</v>
      </c>
      <c r="R68" t="n">
        <v>1</v>
      </c>
      <c r="S68" t="n">
        <v>1</v>
      </c>
      <c r="T68" t="n">
        <v>3</v>
      </c>
      <c r="U68" t="n">
        <v>4</v>
      </c>
      <c r="V68" t="n">
        <v>1</v>
      </c>
      <c r="W68">
        <f>(AVERAGE(B68:D68)-1)/4</f>
        <v/>
      </c>
      <c r="X68">
        <f>(AVERAGE(E68:G68)-1)/4</f>
        <v/>
      </c>
      <c r="Y68">
        <f>(AVERAGE(H68:J68)-1)/4</f>
        <v/>
      </c>
      <c r="Z68">
        <f>(AVERAGE(K68:M68)-1)/4</f>
        <v/>
      </c>
      <c r="AA68">
        <f>(AVERAGE(N68:P68)-1)/4</f>
        <v/>
      </c>
      <c r="AB68">
        <f>(AVERAGE(Q68:S68)-1)/4</f>
        <v/>
      </c>
      <c r="AC68">
        <f>(AVERAGE(T68:V68)-1)/4</f>
        <v/>
      </c>
      <c r="AD68">
        <f>AVERAGE(W68:AA68)</f>
        <v/>
      </c>
      <c r="AE68">
        <f>MIN(W68:AA68)</f>
        <v/>
      </c>
      <c r="AF68">
        <f>1-alpha*MAX(0,delta-AE68)</f>
        <v/>
      </c>
      <c r="AG68">
        <f>AD68*AF68</f>
        <v/>
      </c>
      <c r="AH68">
        <f>1+COUNTIF(bounds,"&lt;"&amp;ROUND(AD68,12))</f>
        <v/>
      </c>
      <c r="AI68">
        <f>1+COUNTIF(bounds,"&lt;"&amp;ROUND(AG68,12))</f>
        <v/>
      </c>
      <c r="AJ68">
        <f>IF(AF68&lt;1,1,0)</f>
        <v/>
      </c>
      <c r="AK68">
        <f>IF(AH68&lt;&gt;AI68,1,0)</f>
        <v/>
      </c>
      <c r="AL68">
        <f>IF(AND(AI68&gt;=3,AB68&lt;=0.2),1,0)</f>
        <v/>
      </c>
      <c r="AM68">
        <f>AVERAGE(W68:AB68)</f>
        <v/>
      </c>
      <c r="AN68">
        <f>1+COUNTIF(bounds,"&lt;"&amp;ROUND(AM68,12))</f>
        <v/>
      </c>
      <c r="AO68">
        <f>IF(AK68=1,AD68,NA())</f>
        <v/>
      </c>
      <c r="AP68">
        <f>IF(AK68=0,AD68,NA())</f>
        <v/>
      </c>
    </row>
    <row r="69">
      <c r="A69" t="n">
        <v>61</v>
      </c>
      <c r="B69" t="n">
        <v>4</v>
      </c>
      <c r="C69" t="n">
        <v>4</v>
      </c>
      <c r="D69" t="n">
        <v>5</v>
      </c>
      <c r="E69" t="n">
        <v>4</v>
      </c>
      <c r="F69" t="n">
        <v>4</v>
      </c>
      <c r="G69" t="n">
        <v>4</v>
      </c>
      <c r="H69" t="n">
        <v>2</v>
      </c>
      <c r="I69" t="n">
        <v>1</v>
      </c>
      <c r="J69" t="n">
        <v>5</v>
      </c>
      <c r="K69" t="n">
        <v>1</v>
      </c>
      <c r="L69" t="n">
        <v>1</v>
      </c>
      <c r="M69" t="n">
        <v>5</v>
      </c>
      <c r="N69" t="n">
        <v>1</v>
      </c>
      <c r="O69" t="n">
        <v>3</v>
      </c>
      <c r="P69" t="n">
        <v>3</v>
      </c>
      <c r="Q69" t="n">
        <v>1</v>
      </c>
      <c r="R69" t="n">
        <v>4</v>
      </c>
      <c r="S69" t="n">
        <v>2</v>
      </c>
      <c r="T69" t="n">
        <v>3</v>
      </c>
      <c r="U69" t="n">
        <v>3</v>
      </c>
      <c r="V69" t="n">
        <v>5</v>
      </c>
      <c r="W69">
        <f>(AVERAGE(B69:D69)-1)/4</f>
        <v/>
      </c>
      <c r="X69">
        <f>(AVERAGE(E69:G69)-1)/4</f>
        <v/>
      </c>
      <c r="Y69">
        <f>(AVERAGE(H69:J69)-1)/4</f>
        <v/>
      </c>
      <c r="Z69">
        <f>(AVERAGE(K69:M69)-1)/4</f>
        <v/>
      </c>
      <c r="AA69">
        <f>(AVERAGE(N69:P69)-1)/4</f>
        <v/>
      </c>
      <c r="AB69">
        <f>(AVERAGE(Q69:S69)-1)/4</f>
        <v/>
      </c>
      <c r="AC69">
        <f>(AVERAGE(T69:V69)-1)/4</f>
        <v/>
      </c>
      <c r="AD69">
        <f>AVERAGE(W69:AA69)</f>
        <v/>
      </c>
      <c r="AE69">
        <f>MIN(W69:AA69)</f>
        <v/>
      </c>
      <c r="AF69">
        <f>1-alpha*MAX(0,delta-AE69)</f>
        <v/>
      </c>
      <c r="AG69">
        <f>AD69*AF69</f>
        <v/>
      </c>
      <c r="AH69">
        <f>1+COUNTIF(bounds,"&lt;"&amp;ROUND(AD69,12))</f>
        <v/>
      </c>
      <c r="AI69">
        <f>1+COUNTIF(bounds,"&lt;"&amp;ROUND(AG69,12))</f>
        <v/>
      </c>
      <c r="AJ69">
        <f>IF(AF69&lt;1,1,0)</f>
        <v/>
      </c>
      <c r="AK69">
        <f>IF(AH69&lt;&gt;AI69,1,0)</f>
        <v/>
      </c>
      <c r="AL69">
        <f>IF(AND(AI69&gt;=3,AB69&lt;=0.2),1,0)</f>
        <v/>
      </c>
      <c r="AM69">
        <f>AVERAGE(W69:AB69)</f>
        <v/>
      </c>
      <c r="AN69">
        <f>1+COUNTIF(bounds,"&lt;"&amp;ROUND(AM69,12))</f>
        <v/>
      </c>
      <c r="AO69">
        <f>IF(AK69=1,AD69,NA())</f>
        <v/>
      </c>
      <c r="AP69">
        <f>IF(AK69=0,AD69,NA())</f>
        <v/>
      </c>
    </row>
    <row r="70">
      <c r="A70" t="n">
        <v>62</v>
      </c>
      <c r="B70" t="n">
        <v>5</v>
      </c>
      <c r="C70" t="n">
        <v>2</v>
      </c>
      <c r="D70" t="n">
        <v>4</v>
      </c>
      <c r="E70" t="n">
        <v>1</v>
      </c>
      <c r="F70" t="n">
        <v>5</v>
      </c>
      <c r="G70" t="n">
        <v>3</v>
      </c>
      <c r="H70" t="n">
        <v>3</v>
      </c>
      <c r="I70" t="n">
        <v>2</v>
      </c>
      <c r="J70" t="n">
        <v>4</v>
      </c>
      <c r="K70" t="n">
        <v>2</v>
      </c>
      <c r="L70" t="n">
        <v>2</v>
      </c>
      <c r="M70" t="n">
        <v>2</v>
      </c>
      <c r="N70" t="n">
        <v>3</v>
      </c>
      <c r="O70" t="n">
        <v>3</v>
      </c>
      <c r="P70" t="n">
        <v>1</v>
      </c>
      <c r="Q70" t="n">
        <v>4</v>
      </c>
      <c r="R70" t="n">
        <v>1</v>
      </c>
      <c r="S70" t="n">
        <v>4</v>
      </c>
      <c r="T70" t="n">
        <v>3</v>
      </c>
      <c r="U70" t="n">
        <v>2</v>
      </c>
      <c r="V70" t="n">
        <v>4</v>
      </c>
      <c r="W70">
        <f>(AVERAGE(B70:D70)-1)/4</f>
        <v/>
      </c>
      <c r="X70">
        <f>(AVERAGE(E70:G70)-1)/4</f>
        <v/>
      </c>
      <c r="Y70">
        <f>(AVERAGE(H70:J70)-1)/4</f>
        <v/>
      </c>
      <c r="Z70">
        <f>(AVERAGE(K70:M70)-1)/4</f>
        <v/>
      </c>
      <c r="AA70">
        <f>(AVERAGE(N70:P70)-1)/4</f>
        <v/>
      </c>
      <c r="AB70">
        <f>(AVERAGE(Q70:S70)-1)/4</f>
        <v/>
      </c>
      <c r="AC70">
        <f>(AVERAGE(T70:V70)-1)/4</f>
        <v/>
      </c>
      <c r="AD70">
        <f>AVERAGE(W70:AA70)</f>
        <v/>
      </c>
      <c r="AE70">
        <f>MIN(W70:AA70)</f>
        <v/>
      </c>
      <c r="AF70">
        <f>1-alpha*MAX(0,delta-AE70)</f>
        <v/>
      </c>
      <c r="AG70">
        <f>AD70*AF70</f>
        <v/>
      </c>
      <c r="AH70">
        <f>1+COUNTIF(bounds,"&lt;"&amp;ROUND(AD70,12))</f>
        <v/>
      </c>
      <c r="AI70">
        <f>1+COUNTIF(bounds,"&lt;"&amp;ROUND(AG70,12))</f>
        <v/>
      </c>
      <c r="AJ70">
        <f>IF(AF70&lt;1,1,0)</f>
        <v/>
      </c>
      <c r="AK70">
        <f>IF(AH70&lt;&gt;AI70,1,0)</f>
        <v/>
      </c>
      <c r="AL70">
        <f>IF(AND(AI70&gt;=3,AB70&lt;=0.2),1,0)</f>
        <v/>
      </c>
      <c r="AM70">
        <f>AVERAGE(W70:AB70)</f>
        <v/>
      </c>
      <c r="AN70">
        <f>1+COUNTIF(bounds,"&lt;"&amp;ROUND(AM70,12))</f>
        <v/>
      </c>
      <c r="AO70">
        <f>IF(AK70=1,AD70,NA())</f>
        <v/>
      </c>
      <c r="AP70">
        <f>IF(AK70=0,AD70,NA())</f>
        <v/>
      </c>
    </row>
    <row r="71">
      <c r="A71" t="n">
        <v>63</v>
      </c>
      <c r="B71" t="n">
        <v>4</v>
      </c>
      <c r="C71" t="n">
        <v>1</v>
      </c>
      <c r="D71" t="n">
        <v>4</v>
      </c>
      <c r="E71" t="n">
        <v>5</v>
      </c>
      <c r="F71" t="n">
        <v>4</v>
      </c>
      <c r="G71" t="n">
        <v>2</v>
      </c>
      <c r="H71" t="n">
        <v>4</v>
      </c>
      <c r="I71" t="n">
        <v>1</v>
      </c>
      <c r="J71" t="n">
        <v>4</v>
      </c>
      <c r="K71" t="n">
        <v>3</v>
      </c>
      <c r="L71" t="n">
        <v>2</v>
      </c>
      <c r="M71" t="n">
        <v>3</v>
      </c>
      <c r="N71" t="n">
        <v>1</v>
      </c>
      <c r="O71" t="n">
        <v>5</v>
      </c>
      <c r="P71" t="n">
        <v>2</v>
      </c>
      <c r="Q71" t="n">
        <v>5</v>
      </c>
      <c r="R71" t="n">
        <v>4</v>
      </c>
      <c r="S71" t="n">
        <v>2</v>
      </c>
      <c r="T71" t="n">
        <v>5</v>
      </c>
      <c r="U71" t="n">
        <v>4</v>
      </c>
      <c r="V71" t="n">
        <v>3</v>
      </c>
      <c r="W71">
        <f>(AVERAGE(B71:D71)-1)/4</f>
        <v/>
      </c>
      <c r="X71">
        <f>(AVERAGE(E71:G71)-1)/4</f>
        <v/>
      </c>
      <c r="Y71">
        <f>(AVERAGE(H71:J71)-1)/4</f>
        <v/>
      </c>
      <c r="Z71">
        <f>(AVERAGE(K71:M71)-1)/4</f>
        <v/>
      </c>
      <c r="AA71">
        <f>(AVERAGE(N71:P71)-1)/4</f>
        <v/>
      </c>
      <c r="AB71">
        <f>(AVERAGE(Q71:S71)-1)/4</f>
        <v/>
      </c>
      <c r="AC71">
        <f>(AVERAGE(T71:V71)-1)/4</f>
        <v/>
      </c>
      <c r="AD71">
        <f>AVERAGE(W71:AA71)</f>
        <v/>
      </c>
      <c r="AE71">
        <f>MIN(W71:AA71)</f>
        <v/>
      </c>
      <c r="AF71">
        <f>1-alpha*MAX(0,delta-AE71)</f>
        <v/>
      </c>
      <c r="AG71">
        <f>AD71*AF71</f>
        <v/>
      </c>
      <c r="AH71">
        <f>1+COUNTIF(bounds,"&lt;"&amp;ROUND(AD71,12))</f>
        <v/>
      </c>
      <c r="AI71">
        <f>1+COUNTIF(bounds,"&lt;"&amp;ROUND(AG71,12))</f>
        <v/>
      </c>
      <c r="AJ71">
        <f>IF(AF71&lt;1,1,0)</f>
        <v/>
      </c>
      <c r="AK71">
        <f>IF(AH71&lt;&gt;AI71,1,0)</f>
        <v/>
      </c>
      <c r="AL71">
        <f>IF(AND(AI71&gt;=3,AB71&lt;=0.2),1,0)</f>
        <v/>
      </c>
      <c r="AM71">
        <f>AVERAGE(W71:AB71)</f>
        <v/>
      </c>
      <c r="AN71">
        <f>1+COUNTIF(bounds,"&lt;"&amp;ROUND(AM71,12))</f>
        <v/>
      </c>
      <c r="AO71">
        <f>IF(AK71=1,AD71,NA())</f>
        <v/>
      </c>
      <c r="AP71">
        <f>IF(AK71=0,AD71,NA())</f>
        <v/>
      </c>
    </row>
    <row r="72">
      <c r="A72" t="n">
        <v>64</v>
      </c>
      <c r="B72" t="n">
        <v>2</v>
      </c>
      <c r="C72" t="n">
        <v>1</v>
      </c>
      <c r="D72" t="n">
        <v>3</v>
      </c>
      <c r="E72" t="n">
        <v>3</v>
      </c>
      <c r="F72" t="n">
        <v>4</v>
      </c>
      <c r="G72" t="n">
        <v>3</v>
      </c>
      <c r="H72" t="n">
        <v>4</v>
      </c>
      <c r="I72" t="n">
        <v>5</v>
      </c>
      <c r="J72" t="n">
        <v>4</v>
      </c>
      <c r="K72" t="n">
        <v>2</v>
      </c>
      <c r="L72" t="n">
        <v>4</v>
      </c>
      <c r="M72" t="n">
        <v>1</v>
      </c>
      <c r="N72" t="n">
        <v>5</v>
      </c>
      <c r="O72" t="n">
        <v>4</v>
      </c>
      <c r="P72" t="n">
        <v>4</v>
      </c>
      <c r="Q72" t="n">
        <v>5</v>
      </c>
      <c r="R72" t="n">
        <v>1</v>
      </c>
      <c r="S72" t="n">
        <v>1</v>
      </c>
      <c r="T72" t="n">
        <v>4</v>
      </c>
      <c r="U72" t="n">
        <v>5</v>
      </c>
      <c r="V72" t="n">
        <v>4</v>
      </c>
      <c r="W72">
        <f>(AVERAGE(B72:D72)-1)/4</f>
        <v/>
      </c>
      <c r="X72">
        <f>(AVERAGE(E72:G72)-1)/4</f>
        <v/>
      </c>
      <c r="Y72">
        <f>(AVERAGE(H72:J72)-1)/4</f>
        <v/>
      </c>
      <c r="Z72">
        <f>(AVERAGE(K72:M72)-1)/4</f>
        <v/>
      </c>
      <c r="AA72">
        <f>(AVERAGE(N72:P72)-1)/4</f>
        <v/>
      </c>
      <c r="AB72">
        <f>(AVERAGE(Q72:S72)-1)/4</f>
        <v/>
      </c>
      <c r="AC72">
        <f>(AVERAGE(T72:V72)-1)/4</f>
        <v/>
      </c>
      <c r="AD72">
        <f>AVERAGE(W72:AA72)</f>
        <v/>
      </c>
      <c r="AE72">
        <f>MIN(W72:AA72)</f>
        <v/>
      </c>
      <c r="AF72">
        <f>1-alpha*MAX(0,delta-AE72)</f>
        <v/>
      </c>
      <c r="AG72">
        <f>AD72*AF72</f>
        <v/>
      </c>
      <c r="AH72">
        <f>1+COUNTIF(bounds,"&lt;"&amp;ROUND(AD72,12))</f>
        <v/>
      </c>
      <c r="AI72">
        <f>1+COUNTIF(bounds,"&lt;"&amp;ROUND(AG72,12))</f>
        <v/>
      </c>
      <c r="AJ72">
        <f>IF(AF72&lt;1,1,0)</f>
        <v/>
      </c>
      <c r="AK72">
        <f>IF(AH72&lt;&gt;AI72,1,0)</f>
        <v/>
      </c>
      <c r="AL72">
        <f>IF(AND(AI72&gt;=3,AB72&lt;=0.2),1,0)</f>
        <v/>
      </c>
      <c r="AM72">
        <f>AVERAGE(W72:AB72)</f>
        <v/>
      </c>
      <c r="AN72">
        <f>1+COUNTIF(bounds,"&lt;"&amp;ROUND(AM72,12))</f>
        <v/>
      </c>
      <c r="AO72">
        <f>IF(AK72=1,AD72,NA())</f>
        <v/>
      </c>
      <c r="AP72">
        <f>IF(AK72=0,AD72,NA())</f>
        <v/>
      </c>
    </row>
    <row r="73">
      <c r="A73" t="n">
        <v>65</v>
      </c>
      <c r="B73" t="n">
        <v>3</v>
      </c>
      <c r="C73" t="n">
        <v>3</v>
      </c>
      <c r="D73" t="n">
        <v>4</v>
      </c>
      <c r="E73" t="n">
        <v>4</v>
      </c>
      <c r="F73" t="n">
        <v>5</v>
      </c>
      <c r="G73" t="n">
        <v>2</v>
      </c>
      <c r="H73" t="n">
        <v>5</v>
      </c>
      <c r="I73" t="n">
        <v>3</v>
      </c>
      <c r="J73" t="n">
        <v>4</v>
      </c>
      <c r="K73" t="n">
        <v>3</v>
      </c>
      <c r="L73" t="n">
        <v>1</v>
      </c>
      <c r="M73" t="n">
        <v>3</v>
      </c>
      <c r="N73" t="n">
        <v>1</v>
      </c>
      <c r="O73" t="n">
        <v>4</v>
      </c>
      <c r="P73" t="n">
        <v>5</v>
      </c>
      <c r="Q73" t="n">
        <v>5</v>
      </c>
      <c r="R73" t="n">
        <v>2</v>
      </c>
      <c r="S73" t="n">
        <v>2</v>
      </c>
      <c r="T73" t="n">
        <v>2</v>
      </c>
      <c r="U73" t="n">
        <v>5</v>
      </c>
      <c r="V73" t="n">
        <v>5</v>
      </c>
      <c r="W73">
        <f>(AVERAGE(B73:D73)-1)/4</f>
        <v/>
      </c>
      <c r="X73">
        <f>(AVERAGE(E73:G73)-1)/4</f>
        <v/>
      </c>
      <c r="Y73">
        <f>(AVERAGE(H73:J73)-1)/4</f>
        <v/>
      </c>
      <c r="Z73">
        <f>(AVERAGE(K73:M73)-1)/4</f>
        <v/>
      </c>
      <c r="AA73">
        <f>(AVERAGE(N73:P73)-1)/4</f>
        <v/>
      </c>
      <c r="AB73">
        <f>(AVERAGE(Q73:S73)-1)/4</f>
        <v/>
      </c>
      <c r="AC73">
        <f>(AVERAGE(T73:V73)-1)/4</f>
        <v/>
      </c>
      <c r="AD73">
        <f>AVERAGE(W73:AA73)</f>
        <v/>
      </c>
      <c r="AE73">
        <f>MIN(W73:AA73)</f>
        <v/>
      </c>
      <c r="AF73">
        <f>1-alpha*MAX(0,delta-AE73)</f>
        <v/>
      </c>
      <c r="AG73">
        <f>AD73*AF73</f>
        <v/>
      </c>
      <c r="AH73">
        <f>1+COUNTIF(bounds,"&lt;"&amp;ROUND(AD73,12))</f>
        <v/>
      </c>
      <c r="AI73">
        <f>1+COUNTIF(bounds,"&lt;"&amp;ROUND(AG73,12))</f>
        <v/>
      </c>
      <c r="AJ73">
        <f>IF(AF73&lt;1,1,0)</f>
        <v/>
      </c>
      <c r="AK73">
        <f>IF(AH73&lt;&gt;AI73,1,0)</f>
        <v/>
      </c>
      <c r="AL73">
        <f>IF(AND(AI73&gt;=3,AB73&lt;=0.2),1,0)</f>
        <v/>
      </c>
      <c r="AM73">
        <f>AVERAGE(W73:AB73)</f>
        <v/>
      </c>
      <c r="AN73">
        <f>1+COUNTIF(bounds,"&lt;"&amp;ROUND(AM73,12))</f>
        <v/>
      </c>
      <c r="AO73">
        <f>IF(AK73=1,AD73,NA())</f>
        <v/>
      </c>
      <c r="AP73">
        <f>IF(AK73=0,AD73,NA())</f>
        <v/>
      </c>
    </row>
    <row r="74">
      <c r="A74" t="n">
        <v>66</v>
      </c>
      <c r="B74" t="n">
        <v>3</v>
      </c>
      <c r="C74" t="n">
        <v>5</v>
      </c>
      <c r="D74" t="n">
        <v>1</v>
      </c>
      <c r="E74" t="n">
        <v>5</v>
      </c>
      <c r="F74" t="n">
        <v>1</v>
      </c>
      <c r="G74" t="n">
        <v>4</v>
      </c>
      <c r="H74" t="n">
        <v>3</v>
      </c>
      <c r="I74" t="n">
        <v>1</v>
      </c>
      <c r="J74" t="n">
        <v>3</v>
      </c>
      <c r="K74" t="n">
        <v>2</v>
      </c>
      <c r="L74" t="n">
        <v>3</v>
      </c>
      <c r="M74" t="n">
        <v>4</v>
      </c>
      <c r="N74" t="n">
        <v>1</v>
      </c>
      <c r="O74" t="n">
        <v>2</v>
      </c>
      <c r="P74" t="n">
        <v>2</v>
      </c>
      <c r="Q74" t="n">
        <v>4</v>
      </c>
      <c r="R74" t="n">
        <v>1</v>
      </c>
      <c r="S74" t="n">
        <v>1</v>
      </c>
      <c r="T74" t="n">
        <v>1</v>
      </c>
      <c r="U74" t="n">
        <v>3</v>
      </c>
      <c r="V74" t="n">
        <v>3</v>
      </c>
      <c r="W74">
        <f>(AVERAGE(B74:D74)-1)/4</f>
        <v/>
      </c>
      <c r="X74">
        <f>(AVERAGE(E74:G74)-1)/4</f>
        <v/>
      </c>
      <c r="Y74">
        <f>(AVERAGE(H74:J74)-1)/4</f>
        <v/>
      </c>
      <c r="Z74">
        <f>(AVERAGE(K74:M74)-1)/4</f>
        <v/>
      </c>
      <c r="AA74">
        <f>(AVERAGE(N74:P74)-1)/4</f>
        <v/>
      </c>
      <c r="AB74">
        <f>(AVERAGE(Q74:S74)-1)/4</f>
        <v/>
      </c>
      <c r="AC74">
        <f>(AVERAGE(T74:V74)-1)/4</f>
        <v/>
      </c>
      <c r="AD74">
        <f>AVERAGE(W74:AA74)</f>
        <v/>
      </c>
      <c r="AE74">
        <f>MIN(W74:AA74)</f>
        <v/>
      </c>
      <c r="AF74">
        <f>1-alpha*MAX(0,delta-AE74)</f>
        <v/>
      </c>
      <c r="AG74">
        <f>AD74*AF74</f>
        <v/>
      </c>
      <c r="AH74">
        <f>1+COUNTIF(bounds,"&lt;"&amp;ROUND(AD74,12))</f>
        <v/>
      </c>
      <c r="AI74">
        <f>1+COUNTIF(bounds,"&lt;"&amp;ROUND(AG74,12))</f>
        <v/>
      </c>
      <c r="AJ74">
        <f>IF(AF74&lt;1,1,0)</f>
        <v/>
      </c>
      <c r="AK74">
        <f>IF(AH74&lt;&gt;AI74,1,0)</f>
        <v/>
      </c>
      <c r="AL74">
        <f>IF(AND(AI74&gt;=3,AB74&lt;=0.2),1,0)</f>
        <v/>
      </c>
      <c r="AM74">
        <f>AVERAGE(W74:AB74)</f>
        <v/>
      </c>
      <c r="AN74">
        <f>1+COUNTIF(bounds,"&lt;"&amp;ROUND(AM74,12))</f>
        <v/>
      </c>
      <c r="AO74">
        <f>IF(AK74=1,AD74,NA())</f>
        <v/>
      </c>
      <c r="AP74">
        <f>IF(AK74=0,AD74,NA())</f>
        <v/>
      </c>
    </row>
    <row r="75">
      <c r="A75" t="n">
        <v>67</v>
      </c>
      <c r="B75" t="n">
        <v>2</v>
      </c>
      <c r="C75" t="n">
        <v>2</v>
      </c>
      <c r="D75" t="n">
        <v>4</v>
      </c>
      <c r="E75" t="n">
        <v>1</v>
      </c>
      <c r="F75" t="n">
        <v>1</v>
      </c>
      <c r="G75" t="n">
        <v>2</v>
      </c>
      <c r="H75" t="n">
        <v>5</v>
      </c>
      <c r="I75" t="n">
        <v>3</v>
      </c>
      <c r="J75" t="n">
        <v>2</v>
      </c>
      <c r="K75" t="n">
        <v>4</v>
      </c>
      <c r="L75" t="n">
        <v>3</v>
      </c>
      <c r="M75" t="n">
        <v>3</v>
      </c>
      <c r="N75" t="n">
        <v>3</v>
      </c>
      <c r="O75" t="n">
        <v>4</v>
      </c>
      <c r="P75" t="n">
        <v>3</v>
      </c>
      <c r="Q75" t="n">
        <v>1</v>
      </c>
      <c r="R75" t="n">
        <v>2</v>
      </c>
      <c r="S75" t="n">
        <v>3</v>
      </c>
      <c r="T75" t="n">
        <v>1</v>
      </c>
      <c r="U75" t="n">
        <v>5</v>
      </c>
      <c r="V75" t="n">
        <v>2</v>
      </c>
      <c r="W75">
        <f>(AVERAGE(B75:D75)-1)/4</f>
        <v/>
      </c>
      <c r="X75">
        <f>(AVERAGE(E75:G75)-1)/4</f>
        <v/>
      </c>
      <c r="Y75">
        <f>(AVERAGE(H75:J75)-1)/4</f>
        <v/>
      </c>
      <c r="Z75">
        <f>(AVERAGE(K75:M75)-1)/4</f>
        <v/>
      </c>
      <c r="AA75">
        <f>(AVERAGE(N75:P75)-1)/4</f>
        <v/>
      </c>
      <c r="AB75">
        <f>(AVERAGE(Q75:S75)-1)/4</f>
        <v/>
      </c>
      <c r="AC75">
        <f>(AVERAGE(T75:V75)-1)/4</f>
        <v/>
      </c>
      <c r="AD75">
        <f>AVERAGE(W75:AA75)</f>
        <v/>
      </c>
      <c r="AE75">
        <f>MIN(W75:AA75)</f>
        <v/>
      </c>
      <c r="AF75">
        <f>1-alpha*MAX(0,delta-AE75)</f>
        <v/>
      </c>
      <c r="AG75">
        <f>AD75*AF75</f>
        <v/>
      </c>
      <c r="AH75">
        <f>1+COUNTIF(bounds,"&lt;"&amp;ROUND(AD75,12))</f>
        <v/>
      </c>
      <c r="AI75">
        <f>1+COUNTIF(bounds,"&lt;"&amp;ROUND(AG75,12))</f>
        <v/>
      </c>
      <c r="AJ75">
        <f>IF(AF75&lt;1,1,0)</f>
        <v/>
      </c>
      <c r="AK75">
        <f>IF(AH75&lt;&gt;AI75,1,0)</f>
        <v/>
      </c>
      <c r="AL75">
        <f>IF(AND(AI75&gt;=3,AB75&lt;=0.2),1,0)</f>
        <v/>
      </c>
      <c r="AM75">
        <f>AVERAGE(W75:AB75)</f>
        <v/>
      </c>
      <c r="AN75">
        <f>1+COUNTIF(bounds,"&lt;"&amp;ROUND(AM75,12))</f>
        <v/>
      </c>
      <c r="AO75">
        <f>IF(AK75=1,AD75,NA())</f>
        <v/>
      </c>
      <c r="AP75">
        <f>IF(AK75=0,AD75,NA())</f>
        <v/>
      </c>
    </row>
    <row r="76">
      <c r="A76" t="n">
        <v>68</v>
      </c>
      <c r="B76" t="n">
        <v>4</v>
      </c>
      <c r="C76" t="n">
        <v>2</v>
      </c>
      <c r="D76" t="n">
        <v>4</v>
      </c>
      <c r="E76" t="n">
        <v>5</v>
      </c>
      <c r="F76" t="n">
        <v>2</v>
      </c>
      <c r="G76" t="n">
        <v>1</v>
      </c>
      <c r="H76" t="n">
        <v>4</v>
      </c>
      <c r="I76" t="n">
        <v>3</v>
      </c>
      <c r="J76" t="n">
        <v>5</v>
      </c>
      <c r="K76" t="n">
        <v>3</v>
      </c>
      <c r="L76" t="n">
        <v>2</v>
      </c>
      <c r="M76" t="n">
        <v>5</v>
      </c>
      <c r="N76" t="n">
        <v>5</v>
      </c>
      <c r="O76" t="n">
        <v>2</v>
      </c>
      <c r="P76" t="n">
        <v>3</v>
      </c>
      <c r="Q76" t="n">
        <v>2</v>
      </c>
      <c r="R76" t="n">
        <v>1</v>
      </c>
      <c r="S76" t="n">
        <v>3</v>
      </c>
      <c r="T76" t="n">
        <v>5</v>
      </c>
      <c r="U76" t="n">
        <v>5</v>
      </c>
      <c r="V76" t="n">
        <v>2</v>
      </c>
      <c r="W76">
        <f>(AVERAGE(B76:D76)-1)/4</f>
        <v/>
      </c>
      <c r="X76">
        <f>(AVERAGE(E76:G76)-1)/4</f>
        <v/>
      </c>
      <c r="Y76">
        <f>(AVERAGE(H76:J76)-1)/4</f>
        <v/>
      </c>
      <c r="Z76">
        <f>(AVERAGE(K76:M76)-1)/4</f>
        <v/>
      </c>
      <c r="AA76">
        <f>(AVERAGE(N76:P76)-1)/4</f>
        <v/>
      </c>
      <c r="AB76">
        <f>(AVERAGE(Q76:S76)-1)/4</f>
        <v/>
      </c>
      <c r="AC76">
        <f>(AVERAGE(T76:V76)-1)/4</f>
        <v/>
      </c>
      <c r="AD76">
        <f>AVERAGE(W76:AA76)</f>
        <v/>
      </c>
      <c r="AE76">
        <f>MIN(W76:AA76)</f>
        <v/>
      </c>
      <c r="AF76">
        <f>1-alpha*MAX(0,delta-AE76)</f>
        <v/>
      </c>
      <c r="AG76">
        <f>AD76*AF76</f>
        <v/>
      </c>
      <c r="AH76">
        <f>1+COUNTIF(bounds,"&lt;"&amp;ROUND(AD76,12))</f>
        <v/>
      </c>
      <c r="AI76">
        <f>1+COUNTIF(bounds,"&lt;"&amp;ROUND(AG76,12))</f>
        <v/>
      </c>
      <c r="AJ76">
        <f>IF(AF76&lt;1,1,0)</f>
        <v/>
      </c>
      <c r="AK76">
        <f>IF(AH76&lt;&gt;AI76,1,0)</f>
        <v/>
      </c>
      <c r="AL76">
        <f>IF(AND(AI76&gt;=3,AB76&lt;=0.2),1,0)</f>
        <v/>
      </c>
      <c r="AM76">
        <f>AVERAGE(W76:AB76)</f>
        <v/>
      </c>
      <c r="AN76">
        <f>1+COUNTIF(bounds,"&lt;"&amp;ROUND(AM76,12))</f>
        <v/>
      </c>
      <c r="AO76">
        <f>IF(AK76=1,AD76,NA())</f>
        <v/>
      </c>
      <c r="AP76">
        <f>IF(AK76=0,AD76,NA())</f>
        <v/>
      </c>
    </row>
    <row r="77">
      <c r="A77" t="n">
        <v>69</v>
      </c>
      <c r="B77" t="n">
        <v>4</v>
      </c>
      <c r="C77" t="n">
        <v>4</v>
      </c>
      <c r="D77" t="n">
        <v>1</v>
      </c>
      <c r="E77" t="n">
        <v>4</v>
      </c>
      <c r="F77" t="n">
        <v>3</v>
      </c>
      <c r="G77" t="n">
        <v>1</v>
      </c>
      <c r="H77" t="n">
        <v>3</v>
      </c>
      <c r="I77" t="n">
        <v>4</v>
      </c>
      <c r="J77" t="n">
        <v>5</v>
      </c>
      <c r="K77" t="n">
        <v>1</v>
      </c>
      <c r="L77" t="n">
        <v>3</v>
      </c>
      <c r="M77" t="n">
        <v>3</v>
      </c>
      <c r="N77" t="n">
        <v>2</v>
      </c>
      <c r="O77" t="n">
        <v>4</v>
      </c>
      <c r="P77" t="n">
        <v>5</v>
      </c>
      <c r="Q77" t="n">
        <v>4</v>
      </c>
      <c r="R77" t="n">
        <v>4</v>
      </c>
      <c r="S77" t="n">
        <v>5</v>
      </c>
      <c r="T77" t="n">
        <v>3</v>
      </c>
      <c r="U77" t="n">
        <v>5</v>
      </c>
      <c r="V77" t="n">
        <v>5</v>
      </c>
      <c r="W77">
        <f>(AVERAGE(B77:D77)-1)/4</f>
        <v/>
      </c>
      <c r="X77">
        <f>(AVERAGE(E77:G77)-1)/4</f>
        <v/>
      </c>
      <c r="Y77">
        <f>(AVERAGE(H77:J77)-1)/4</f>
        <v/>
      </c>
      <c r="Z77">
        <f>(AVERAGE(K77:M77)-1)/4</f>
        <v/>
      </c>
      <c r="AA77">
        <f>(AVERAGE(N77:P77)-1)/4</f>
        <v/>
      </c>
      <c r="AB77">
        <f>(AVERAGE(Q77:S77)-1)/4</f>
        <v/>
      </c>
      <c r="AC77">
        <f>(AVERAGE(T77:V77)-1)/4</f>
        <v/>
      </c>
      <c r="AD77">
        <f>AVERAGE(W77:AA77)</f>
        <v/>
      </c>
      <c r="AE77">
        <f>MIN(W77:AA77)</f>
        <v/>
      </c>
      <c r="AF77">
        <f>1-alpha*MAX(0,delta-AE77)</f>
        <v/>
      </c>
      <c r="AG77">
        <f>AD77*AF77</f>
        <v/>
      </c>
      <c r="AH77">
        <f>1+COUNTIF(bounds,"&lt;"&amp;ROUND(AD77,12))</f>
        <v/>
      </c>
      <c r="AI77">
        <f>1+COUNTIF(bounds,"&lt;"&amp;ROUND(AG77,12))</f>
        <v/>
      </c>
      <c r="AJ77">
        <f>IF(AF77&lt;1,1,0)</f>
        <v/>
      </c>
      <c r="AK77">
        <f>IF(AH77&lt;&gt;AI77,1,0)</f>
        <v/>
      </c>
      <c r="AL77">
        <f>IF(AND(AI77&gt;=3,AB77&lt;=0.2),1,0)</f>
        <v/>
      </c>
      <c r="AM77">
        <f>AVERAGE(W77:AB77)</f>
        <v/>
      </c>
      <c r="AN77">
        <f>1+COUNTIF(bounds,"&lt;"&amp;ROUND(AM77,12))</f>
        <v/>
      </c>
      <c r="AO77">
        <f>IF(AK77=1,AD77,NA())</f>
        <v/>
      </c>
      <c r="AP77">
        <f>IF(AK77=0,AD77,NA())</f>
        <v/>
      </c>
    </row>
    <row r="78">
      <c r="A78" t="n">
        <v>70</v>
      </c>
      <c r="B78" t="n">
        <v>2</v>
      </c>
      <c r="C78" t="n">
        <v>5</v>
      </c>
      <c r="D78" t="n">
        <v>5</v>
      </c>
      <c r="E78" t="n">
        <v>1</v>
      </c>
      <c r="F78" t="n">
        <v>4</v>
      </c>
      <c r="G78" t="n">
        <v>4</v>
      </c>
      <c r="H78" t="n">
        <v>1</v>
      </c>
      <c r="I78" t="n">
        <v>2</v>
      </c>
      <c r="J78" t="n">
        <v>1</v>
      </c>
      <c r="K78" t="n">
        <v>5</v>
      </c>
      <c r="L78" t="n">
        <v>2</v>
      </c>
      <c r="M78" t="n">
        <v>1</v>
      </c>
      <c r="N78" t="n">
        <v>2</v>
      </c>
      <c r="O78" t="n">
        <v>1</v>
      </c>
      <c r="P78" t="n">
        <v>2</v>
      </c>
      <c r="Q78" t="n">
        <v>3</v>
      </c>
      <c r="R78" t="n">
        <v>1</v>
      </c>
      <c r="S78" t="n">
        <v>5</v>
      </c>
      <c r="T78" t="n">
        <v>3</v>
      </c>
      <c r="U78" t="n">
        <v>3</v>
      </c>
      <c r="V78" t="n">
        <v>5</v>
      </c>
      <c r="W78">
        <f>(AVERAGE(B78:D78)-1)/4</f>
        <v/>
      </c>
      <c r="X78">
        <f>(AVERAGE(E78:G78)-1)/4</f>
        <v/>
      </c>
      <c r="Y78">
        <f>(AVERAGE(H78:J78)-1)/4</f>
        <v/>
      </c>
      <c r="Z78">
        <f>(AVERAGE(K78:M78)-1)/4</f>
        <v/>
      </c>
      <c r="AA78">
        <f>(AVERAGE(N78:P78)-1)/4</f>
        <v/>
      </c>
      <c r="AB78">
        <f>(AVERAGE(Q78:S78)-1)/4</f>
        <v/>
      </c>
      <c r="AC78">
        <f>(AVERAGE(T78:V78)-1)/4</f>
        <v/>
      </c>
      <c r="AD78">
        <f>AVERAGE(W78:AA78)</f>
        <v/>
      </c>
      <c r="AE78">
        <f>MIN(W78:AA78)</f>
        <v/>
      </c>
      <c r="AF78">
        <f>1-alpha*MAX(0,delta-AE78)</f>
        <v/>
      </c>
      <c r="AG78">
        <f>AD78*AF78</f>
        <v/>
      </c>
      <c r="AH78">
        <f>1+COUNTIF(bounds,"&lt;"&amp;ROUND(AD78,12))</f>
        <v/>
      </c>
      <c r="AI78">
        <f>1+COUNTIF(bounds,"&lt;"&amp;ROUND(AG78,12))</f>
        <v/>
      </c>
      <c r="AJ78">
        <f>IF(AF78&lt;1,1,0)</f>
        <v/>
      </c>
      <c r="AK78">
        <f>IF(AH78&lt;&gt;AI78,1,0)</f>
        <v/>
      </c>
      <c r="AL78">
        <f>IF(AND(AI78&gt;=3,AB78&lt;=0.2),1,0)</f>
        <v/>
      </c>
      <c r="AM78">
        <f>AVERAGE(W78:AB78)</f>
        <v/>
      </c>
      <c r="AN78">
        <f>1+COUNTIF(bounds,"&lt;"&amp;ROUND(AM78,12))</f>
        <v/>
      </c>
      <c r="AO78">
        <f>IF(AK78=1,AD78,NA())</f>
        <v/>
      </c>
      <c r="AP78">
        <f>IF(AK78=0,AD78,NA())</f>
        <v/>
      </c>
    </row>
    <row r="79">
      <c r="A79" t="n">
        <v>71</v>
      </c>
      <c r="B79" t="n">
        <v>2</v>
      </c>
      <c r="C79" t="n">
        <v>3</v>
      </c>
      <c r="D79" t="n">
        <v>2</v>
      </c>
      <c r="E79" t="n">
        <v>3</v>
      </c>
      <c r="F79" t="n">
        <v>3</v>
      </c>
      <c r="G79" t="n">
        <v>2</v>
      </c>
      <c r="H79" t="n">
        <v>5</v>
      </c>
      <c r="I79" t="n">
        <v>1</v>
      </c>
      <c r="J79" t="n">
        <v>1</v>
      </c>
      <c r="K79" t="n">
        <v>2</v>
      </c>
      <c r="L79" t="n">
        <v>2</v>
      </c>
      <c r="M79" t="n">
        <v>2</v>
      </c>
      <c r="N79" t="n">
        <v>3</v>
      </c>
      <c r="O79" t="n">
        <v>3</v>
      </c>
      <c r="P79" t="n">
        <v>1</v>
      </c>
      <c r="Q79" t="n">
        <v>3</v>
      </c>
      <c r="R79" t="n">
        <v>4</v>
      </c>
      <c r="S79" t="n">
        <v>4</v>
      </c>
      <c r="T79" t="n">
        <v>3</v>
      </c>
      <c r="U79" t="n">
        <v>5</v>
      </c>
      <c r="V79" t="n">
        <v>2</v>
      </c>
      <c r="W79">
        <f>(AVERAGE(B79:D79)-1)/4</f>
        <v/>
      </c>
      <c r="X79">
        <f>(AVERAGE(E79:G79)-1)/4</f>
        <v/>
      </c>
      <c r="Y79">
        <f>(AVERAGE(H79:J79)-1)/4</f>
        <v/>
      </c>
      <c r="Z79">
        <f>(AVERAGE(K79:M79)-1)/4</f>
        <v/>
      </c>
      <c r="AA79">
        <f>(AVERAGE(N79:P79)-1)/4</f>
        <v/>
      </c>
      <c r="AB79">
        <f>(AVERAGE(Q79:S79)-1)/4</f>
        <v/>
      </c>
      <c r="AC79">
        <f>(AVERAGE(T79:V79)-1)/4</f>
        <v/>
      </c>
      <c r="AD79">
        <f>AVERAGE(W79:AA79)</f>
        <v/>
      </c>
      <c r="AE79">
        <f>MIN(W79:AA79)</f>
        <v/>
      </c>
      <c r="AF79">
        <f>1-alpha*MAX(0,delta-AE79)</f>
        <v/>
      </c>
      <c r="AG79">
        <f>AD79*AF79</f>
        <v/>
      </c>
      <c r="AH79">
        <f>1+COUNTIF(bounds,"&lt;"&amp;ROUND(AD79,12))</f>
        <v/>
      </c>
      <c r="AI79">
        <f>1+COUNTIF(bounds,"&lt;"&amp;ROUND(AG79,12))</f>
        <v/>
      </c>
      <c r="AJ79">
        <f>IF(AF79&lt;1,1,0)</f>
        <v/>
      </c>
      <c r="AK79">
        <f>IF(AH79&lt;&gt;AI79,1,0)</f>
        <v/>
      </c>
      <c r="AL79">
        <f>IF(AND(AI79&gt;=3,AB79&lt;=0.2),1,0)</f>
        <v/>
      </c>
      <c r="AM79">
        <f>AVERAGE(W79:AB79)</f>
        <v/>
      </c>
      <c r="AN79">
        <f>1+COUNTIF(bounds,"&lt;"&amp;ROUND(AM79,12))</f>
        <v/>
      </c>
      <c r="AO79">
        <f>IF(AK79=1,AD79,NA())</f>
        <v/>
      </c>
      <c r="AP79">
        <f>IF(AK79=0,AD79,NA())</f>
        <v/>
      </c>
    </row>
    <row r="80">
      <c r="A80" t="n">
        <v>72</v>
      </c>
      <c r="B80" t="n">
        <v>3</v>
      </c>
      <c r="C80" t="n">
        <v>1</v>
      </c>
      <c r="D80" t="n">
        <v>2</v>
      </c>
      <c r="E80" t="n">
        <v>5</v>
      </c>
      <c r="F80" t="n">
        <v>1</v>
      </c>
      <c r="G80" t="n">
        <v>4</v>
      </c>
      <c r="H80" t="n">
        <v>2</v>
      </c>
      <c r="I80" t="n">
        <v>4</v>
      </c>
      <c r="J80" t="n">
        <v>3</v>
      </c>
      <c r="K80" t="n">
        <v>1</v>
      </c>
      <c r="L80" t="n">
        <v>1</v>
      </c>
      <c r="M80" t="n">
        <v>4</v>
      </c>
      <c r="N80" t="n">
        <v>4</v>
      </c>
      <c r="O80" t="n">
        <v>5</v>
      </c>
      <c r="P80" t="n">
        <v>2</v>
      </c>
      <c r="Q80" t="n">
        <v>3</v>
      </c>
      <c r="R80" t="n">
        <v>5</v>
      </c>
      <c r="S80" t="n">
        <v>5</v>
      </c>
      <c r="T80" t="n">
        <v>1</v>
      </c>
      <c r="U80" t="n">
        <v>5</v>
      </c>
      <c r="V80" t="n">
        <v>3</v>
      </c>
      <c r="W80">
        <f>(AVERAGE(B80:D80)-1)/4</f>
        <v/>
      </c>
      <c r="X80">
        <f>(AVERAGE(E80:G80)-1)/4</f>
        <v/>
      </c>
      <c r="Y80">
        <f>(AVERAGE(H80:J80)-1)/4</f>
        <v/>
      </c>
      <c r="Z80">
        <f>(AVERAGE(K80:M80)-1)/4</f>
        <v/>
      </c>
      <c r="AA80">
        <f>(AVERAGE(N80:P80)-1)/4</f>
        <v/>
      </c>
      <c r="AB80">
        <f>(AVERAGE(Q80:S80)-1)/4</f>
        <v/>
      </c>
      <c r="AC80">
        <f>(AVERAGE(T80:V80)-1)/4</f>
        <v/>
      </c>
      <c r="AD80">
        <f>AVERAGE(W80:AA80)</f>
        <v/>
      </c>
      <c r="AE80">
        <f>MIN(W80:AA80)</f>
        <v/>
      </c>
      <c r="AF80">
        <f>1-alpha*MAX(0,delta-AE80)</f>
        <v/>
      </c>
      <c r="AG80">
        <f>AD80*AF80</f>
        <v/>
      </c>
      <c r="AH80">
        <f>1+COUNTIF(bounds,"&lt;"&amp;ROUND(AD80,12))</f>
        <v/>
      </c>
      <c r="AI80">
        <f>1+COUNTIF(bounds,"&lt;"&amp;ROUND(AG80,12))</f>
        <v/>
      </c>
      <c r="AJ80">
        <f>IF(AF80&lt;1,1,0)</f>
        <v/>
      </c>
      <c r="AK80">
        <f>IF(AH80&lt;&gt;AI80,1,0)</f>
        <v/>
      </c>
      <c r="AL80">
        <f>IF(AND(AI80&gt;=3,AB80&lt;=0.2),1,0)</f>
        <v/>
      </c>
      <c r="AM80">
        <f>AVERAGE(W80:AB80)</f>
        <v/>
      </c>
      <c r="AN80">
        <f>1+COUNTIF(bounds,"&lt;"&amp;ROUND(AM80,12))</f>
        <v/>
      </c>
      <c r="AO80">
        <f>IF(AK80=1,AD80,NA())</f>
        <v/>
      </c>
      <c r="AP80">
        <f>IF(AK80=0,AD80,NA())</f>
        <v/>
      </c>
    </row>
    <row r="81">
      <c r="A81" t="n">
        <v>73</v>
      </c>
      <c r="B81" t="n">
        <v>2</v>
      </c>
      <c r="C81" t="n">
        <v>5</v>
      </c>
      <c r="D81" t="n">
        <v>3</v>
      </c>
      <c r="E81" t="n">
        <v>5</v>
      </c>
      <c r="F81" t="n">
        <v>5</v>
      </c>
      <c r="G81" t="n">
        <v>4</v>
      </c>
      <c r="H81" t="n">
        <v>2</v>
      </c>
      <c r="I81" t="n">
        <v>3</v>
      </c>
      <c r="J81" t="n">
        <v>3</v>
      </c>
      <c r="K81" t="n">
        <v>4</v>
      </c>
      <c r="L81" t="n">
        <v>4</v>
      </c>
      <c r="M81" t="n">
        <v>2</v>
      </c>
      <c r="N81" t="n">
        <v>4</v>
      </c>
      <c r="O81" t="n">
        <v>2</v>
      </c>
      <c r="P81" t="n">
        <v>3</v>
      </c>
      <c r="Q81" t="n">
        <v>5</v>
      </c>
      <c r="R81" t="n">
        <v>2</v>
      </c>
      <c r="S81" t="n">
        <v>5</v>
      </c>
      <c r="T81" t="n">
        <v>3</v>
      </c>
      <c r="U81" t="n">
        <v>5</v>
      </c>
      <c r="V81" t="n">
        <v>3</v>
      </c>
      <c r="W81">
        <f>(AVERAGE(B81:D81)-1)/4</f>
        <v/>
      </c>
      <c r="X81">
        <f>(AVERAGE(E81:G81)-1)/4</f>
        <v/>
      </c>
      <c r="Y81">
        <f>(AVERAGE(H81:J81)-1)/4</f>
        <v/>
      </c>
      <c r="Z81">
        <f>(AVERAGE(K81:M81)-1)/4</f>
        <v/>
      </c>
      <c r="AA81">
        <f>(AVERAGE(N81:P81)-1)/4</f>
        <v/>
      </c>
      <c r="AB81">
        <f>(AVERAGE(Q81:S81)-1)/4</f>
        <v/>
      </c>
      <c r="AC81">
        <f>(AVERAGE(T81:V81)-1)/4</f>
        <v/>
      </c>
      <c r="AD81">
        <f>AVERAGE(W81:AA81)</f>
        <v/>
      </c>
      <c r="AE81">
        <f>MIN(W81:AA81)</f>
        <v/>
      </c>
      <c r="AF81">
        <f>1-alpha*MAX(0,delta-AE81)</f>
        <v/>
      </c>
      <c r="AG81">
        <f>AD81*AF81</f>
        <v/>
      </c>
      <c r="AH81">
        <f>1+COUNTIF(bounds,"&lt;"&amp;ROUND(AD81,12))</f>
        <v/>
      </c>
      <c r="AI81">
        <f>1+COUNTIF(bounds,"&lt;"&amp;ROUND(AG81,12))</f>
        <v/>
      </c>
      <c r="AJ81">
        <f>IF(AF81&lt;1,1,0)</f>
        <v/>
      </c>
      <c r="AK81">
        <f>IF(AH81&lt;&gt;AI81,1,0)</f>
        <v/>
      </c>
      <c r="AL81">
        <f>IF(AND(AI81&gt;=3,AB81&lt;=0.2),1,0)</f>
        <v/>
      </c>
      <c r="AM81">
        <f>AVERAGE(W81:AB81)</f>
        <v/>
      </c>
      <c r="AN81">
        <f>1+COUNTIF(bounds,"&lt;"&amp;ROUND(AM81,12))</f>
        <v/>
      </c>
      <c r="AO81">
        <f>IF(AK81=1,AD81,NA())</f>
        <v/>
      </c>
      <c r="AP81">
        <f>IF(AK81=0,AD81,NA())</f>
        <v/>
      </c>
    </row>
    <row r="82">
      <c r="A82" t="n">
        <v>74</v>
      </c>
      <c r="B82" t="n">
        <v>1</v>
      </c>
      <c r="C82" t="n">
        <v>3</v>
      </c>
      <c r="D82" t="n">
        <v>3</v>
      </c>
      <c r="E82" t="n">
        <v>4</v>
      </c>
      <c r="F82" t="n">
        <v>5</v>
      </c>
      <c r="G82" t="n">
        <v>3</v>
      </c>
      <c r="H82" t="n">
        <v>1</v>
      </c>
      <c r="I82" t="n">
        <v>4</v>
      </c>
      <c r="J82" t="n">
        <v>1</v>
      </c>
      <c r="K82" t="n">
        <v>3</v>
      </c>
      <c r="L82" t="n">
        <v>4</v>
      </c>
      <c r="M82" t="n">
        <v>4</v>
      </c>
      <c r="N82" t="n">
        <v>2</v>
      </c>
      <c r="O82" t="n">
        <v>5</v>
      </c>
      <c r="P82" t="n">
        <v>2</v>
      </c>
      <c r="Q82" t="n">
        <v>4</v>
      </c>
      <c r="R82" t="n">
        <v>5</v>
      </c>
      <c r="S82" t="n">
        <v>3</v>
      </c>
      <c r="T82" t="n">
        <v>2</v>
      </c>
      <c r="U82" t="n">
        <v>4</v>
      </c>
      <c r="V82" t="n">
        <v>4</v>
      </c>
      <c r="W82">
        <f>(AVERAGE(B82:D82)-1)/4</f>
        <v/>
      </c>
      <c r="X82">
        <f>(AVERAGE(E82:G82)-1)/4</f>
        <v/>
      </c>
      <c r="Y82">
        <f>(AVERAGE(H82:J82)-1)/4</f>
        <v/>
      </c>
      <c r="Z82">
        <f>(AVERAGE(K82:M82)-1)/4</f>
        <v/>
      </c>
      <c r="AA82">
        <f>(AVERAGE(N82:P82)-1)/4</f>
        <v/>
      </c>
      <c r="AB82">
        <f>(AVERAGE(Q82:S82)-1)/4</f>
        <v/>
      </c>
      <c r="AC82">
        <f>(AVERAGE(T82:V82)-1)/4</f>
        <v/>
      </c>
      <c r="AD82">
        <f>AVERAGE(W82:AA82)</f>
        <v/>
      </c>
      <c r="AE82">
        <f>MIN(W82:AA82)</f>
        <v/>
      </c>
      <c r="AF82">
        <f>1-alpha*MAX(0,delta-AE82)</f>
        <v/>
      </c>
      <c r="AG82">
        <f>AD82*AF82</f>
        <v/>
      </c>
      <c r="AH82">
        <f>1+COUNTIF(bounds,"&lt;"&amp;ROUND(AD82,12))</f>
        <v/>
      </c>
      <c r="AI82">
        <f>1+COUNTIF(bounds,"&lt;"&amp;ROUND(AG82,12))</f>
        <v/>
      </c>
      <c r="AJ82">
        <f>IF(AF82&lt;1,1,0)</f>
        <v/>
      </c>
      <c r="AK82">
        <f>IF(AH82&lt;&gt;AI82,1,0)</f>
        <v/>
      </c>
      <c r="AL82">
        <f>IF(AND(AI82&gt;=3,AB82&lt;=0.2),1,0)</f>
        <v/>
      </c>
      <c r="AM82">
        <f>AVERAGE(W82:AB82)</f>
        <v/>
      </c>
      <c r="AN82">
        <f>1+COUNTIF(bounds,"&lt;"&amp;ROUND(AM82,12))</f>
        <v/>
      </c>
      <c r="AO82">
        <f>IF(AK82=1,AD82,NA())</f>
        <v/>
      </c>
      <c r="AP82">
        <f>IF(AK82=0,AD82,NA())</f>
        <v/>
      </c>
    </row>
    <row r="83">
      <c r="A83" t="n">
        <v>75</v>
      </c>
      <c r="B83" t="n">
        <v>4</v>
      </c>
      <c r="C83" t="n">
        <v>3</v>
      </c>
      <c r="D83" t="n">
        <v>3</v>
      </c>
      <c r="E83" t="n">
        <v>5</v>
      </c>
      <c r="F83" t="n">
        <v>2</v>
      </c>
      <c r="G83" t="n">
        <v>1</v>
      </c>
      <c r="H83" t="n">
        <v>2</v>
      </c>
      <c r="I83" t="n">
        <v>4</v>
      </c>
      <c r="J83" t="n">
        <v>5</v>
      </c>
      <c r="K83" t="n">
        <v>4</v>
      </c>
      <c r="L83" t="n">
        <v>3</v>
      </c>
      <c r="M83" t="n">
        <v>4</v>
      </c>
      <c r="N83" t="n">
        <v>1</v>
      </c>
      <c r="O83" t="n">
        <v>4</v>
      </c>
      <c r="P83" t="n">
        <v>1</v>
      </c>
      <c r="Q83" t="n">
        <v>4</v>
      </c>
      <c r="R83" t="n">
        <v>3</v>
      </c>
      <c r="S83" t="n">
        <v>1</v>
      </c>
      <c r="T83" t="n">
        <v>1</v>
      </c>
      <c r="U83" t="n">
        <v>2</v>
      </c>
      <c r="V83" t="n">
        <v>3</v>
      </c>
      <c r="W83">
        <f>(AVERAGE(B83:D83)-1)/4</f>
        <v/>
      </c>
      <c r="X83">
        <f>(AVERAGE(E83:G83)-1)/4</f>
        <v/>
      </c>
      <c r="Y83">
        <f>(AVERAGE(H83:J83)-1)/4</f>
        <v/>
      </c>
      <c r="Z83">
        <f>(AVERAGE(K83:M83)-1)/4</f>
        <v/>
      </c>
      <c r="AA83">
        <f>(AVERAGE(N83:P83)-1)/4</f>
        <v/>
      </c>
      <c r="AB83">
        <f>(AVERAGE(Q83:S83)-1)/4</f>
        <v/>
      </c>
      <c r="AC83">
        <f>(AVERAGE(T83:V83)-1)/4</f>
        <v/>
      </c>
      <c r="AD83">
        <f>AVERAGE(W83:AA83)</f>
        <v/>
      </c>
      <c r="AE83">
        <f>MIN(W83:AA83)</f>
        <v/>
      </c>
      <c r="AF83">
        <f>1-alpha*MAX(0,delta-AE83)</f>
        <v/>
      </c>
      <c r="AG83">
        <f>AD83*AF83</f>
        <v/>
      </c>
      <c r="AH83">
        <f>1+COUNTIF(bounds,"&lt;"&amp;ROUND(AD83,12))</f>
        <v/>
      </c>
      <c r="AI83">
        <f>1+COUNTIF(bounds,"&lt;"&amp;ROUND(AG83,12))</f>
        <v/>
      </c>
      <c r="AJ83">
        <f>IF(AF83&lt;1,1,0)</f>
        <v/>
      </c>
      <c r="AK83">
        <f>IF(AH83&lt;&gt;AI83,1,0)</f>
        <v/>
      </c>
      <c r="AL83">
        <f>IF(AND(AI83&gt;=3,AB83&lt;=0.2),1,0)</f>
        <v/>
      </c>
      <c r="AM83">
        <f>AVERAGE(W83:AB83)</f>
        <v/>
      </c>
      <c r="AN83">
        <f>1+COUNTIF(bounds,"&lt;"&amp;ROUND(AM83,12))</f>
        <v/>
      </c>
      <c r="AO83">
        <f>IF(AK83=1,AD83,NA())</f>
        <v/>
      </c>
      <c r="AP83">
        <f>IF(AK83=0,AD83,NA())</f>
        <v/>
      </c>
    </row>
    <row r="84">
      <c r="A84" t="n">
        <v>76</v>
      </c>
      <c r="B84" t="n">
        <v>2</v>
      </c>
      <c r="C84" t="n">
        <v>3</v>
      </c>
      <c r="D84" t="n">
        <v>5</v>
      </c>
      <c r="E84" t="n">
        <v>1</v>
      </c>
      <c r="F84" t="n">
        <v>2</v>
      </c>
      <c r="G84" t="n">
        <v>4</v>
      </c>
      <c r="H84" t="n">
        <v>1</v>
      </c>
      <c r="I84" t="n">
        <v>5</v>
      </c>
      <c r="J84" t="n">
        <v>3</v>
      </c>
      <c r="K84" t="n">
        <v>5</v>
      </c>
      <c r="L84" t="n">
        <v>2</v>
      </c>
      <c r="M84" t="n">
        <v>5</v>
      </c>
      <c r="N84" t="n">
        <v>2</v>
      </c>
      <c r="O84" t="n">
        <v>3</v>
      </c>
      <c r="P84" t="n">
        <v>3</v>
      </c>
      <c r="Q84" t="n">
        <v>3</v>
      </c>
      <c r="R84" t="n">
        <v>1</v>
      </c>
      <c r="S84" t="n">
        <v>3</v>
      </c>
      <c r="T84" t="n">
        <v>2</v>
      </c>
      <c r="U84" t="n">
        <v>1</v>
      </c>
      <c r="V84" t="n">
        <v>3</v>
      </c>
      <c r="W84">
        <f>(AVERAGE(B84:D84)-1)/4</f>
        <v/>
      </c>
      <c r="X84">
        <f>(AVERAGE(E84:G84)-1)/4</f>
        <v/>
      </c>
      <c r="Y84">
        <f>(AVERAGE(H84:J84)-1)/4</f>
        <v/>
      </c>
      <c r="Z84">
        <f>(AVERAGE(K84:M84)-1)/4</f>
        <v/>
      </c>
      <c r="AA84">
        <f>(AVERAGE(N84:P84)-1)/4</f>
        <v/>
      </c>
      <c r="AB84">
        <f>(AVERAGE(Q84:S84)-1)/4</f>
        <v/>
      </c>
      <c r="AC84">
        <f>(AVERAGE(T84:V84)-1)/4</f>
        <v/>
      </c>
      <c r="AD84">
        <f>AVERAGE(W84:AA84)</f>
        <v/>
      </c>
      <c r="AE84">
        <f>MIN(W84:AA84)</f>
        <v/>
      </c>
      <c r="AF84">
        <f>1-alpha*MAX(0,delta-AE84)</f>
        <v/>
      </c>
      <c r="AG84">
        <f>AD84*AF84</f>
        <v/>
      </c>
      <c r="AH84">
        <f>1+COUNTIF(bounds,"&lt;"&amp;ROUND(AD84,12))</f>
        <v/>
      </c>
      <c r="AI84">
        <f>1+COUNTIF(bounds,"&lt;"&amp;ROUND(AG84,12))</f>
        <v/>
      </c>
      <c r="AJ84">
        <f>IF(AF84&lt;1,1,0)</f>
        <v/>
      </c>
      <c r="AK84">
        <f>IF(AH84&lt;&gt;AI84,1,0)</f>
        <v/>
      </c>
      <c r="AL84">
        <f>IF(AND(AI84&gt;=3,AB84&lt;=0.2),1,0)</f>
        <v/>
      </c>
      <c r="AM84">
        <f>AVERAGE(W84:AB84)</f>
        <v/>
      </c>
      <c r="AN84">
        <f>1+COUNTIF(bounds,"&lt;"&amp;ROUND(AM84,12))</f>
        <v/>
      </c>
      <c r="AO84">
        <f>IF(AK84=1,AD84,NA())</f>
        <v/>
      </c>
      <c r="AP84">
        <f>IF(AK84=0,AD84,NA())</f>
        <v/>
      </c>
    </row>
    <row r="85">
      <c r="A85" t="n">
        <v>77</v>
      </c>
      <c r="B85" t="n">
        <v>3</v>
      </c>
      <c r="C85" t="n">
        <v>5</v>
      </c>
      <c r="D85" t="n">
        <v>1</v>
      </c>
      <c r="E85" t="n">
        <v>2</v>
      </c>
      <c r="F85" t="n">
        <v>1</v>
      </c>
      <c r="G85" t="n">
        <v>2</v>
      </c>
      <c r="H85" t="n">
        <v>3</v>
      </c>
      <c r="I85" t="n">
        <v>2</v>
      </c>
      <c r="J85" t="n">
        <v>5</v>
      </c>
      <c r="K85" t="n">
        <v>1</v>
      </c>
      <c r="L85" t="n">
        <v>1</v>
      </c>
      <c r="M85" t="n">
        <v>4</v>
      </c>
      <c r="N85" t="n">
        <v>2</v>
      </c>
      <c r="O85" t="n">
        <v>1</v>
      </c>
      <c r="P85" t="n">
        <v>4</v>
      </c>
      <c r="Q85" t="n">
        <v>3</v>
      </c>
      <c r="R85" t="n">
        <v>2</v>
      </c>
      <c r="S85" t="n">
        <v>3</v>
      </c>
      <c r="T85" t="n">
        <v>3</v>
      </c>
      <c r="U85" t="n">
        <v>2</v>
      </c>
      <c r="V85" t="n">
        <v>1</v>
      </c>
      <c r="W85">
        <f>(AVERAGE(B85:D85)-1)/4</f>
        <v/>
      </c>
      <c r="X85">
        <f>(AVERAGE(E85:G85)-1)/4</f>
        <v/>
      </c>
      <c r="Y85">
        <f>(AVERAGE(H85:J85)-1)/4</f>
        <v/>
      </c>
      <c r="Z85">
        <f>(AVERAGE(K85:M85)-1)/4</f>
        <v/>
      </c>
      <c r="AA85">
        <f>(AVERAGE(N85:P85)-1)/4</f>
        <v/>
      </c>
      <c r="AB85">
        <f>(AVERAGE(Q85:S85)-1)/4</f>
        <v/>
      </c>
      <c r="AC85">
        <f>(AVERAGE(T85:V85)-1)/4</f>
        <v/>
      </c>
      <c r="AD85">
        <f>AVERAGE(W85:AA85)</f>
        <v/>
      </c>
      <c r="AE85">
        <f>MIN(W85:AA85)</f>
        <v/>
      </c>
      <c r="AF85">
        <f>1-alpha*MAX(0,delta-AE85)</f>
        <v/>
      </c>
      <c r="AG85">
        <f>AD85*AF85</f>
        <v/>
      </c>
      <c r="AH85">
        <f>1+COUNTIF(bounds,"&lt;"&amp;ROUND(AD85,12))</f>
        <v/>
      </c>
      <c r="AI85">
        <f>1+COUNTIF(bounds,"&lt;"&amp;ROUND(AG85,12))</f>
        <v/>
      </c>
      <c r="AJ85">
        <f>IF(AF85&lt;1,1,0)</f>
        <v/>
      </c>
      <c r="AK85">
        <f>IF(AH85&lt;&gt;AI85,1,0)</f>
        <v/>
      </c>
      <c r="AL85">
        <f>IF(AND(AI85&gt;=3,AB85&lt;=0.2),1,0)</f>
        <v/>
      </c>
      <c r="AM85">
        <f>AVERAGE(W85:AB85)</f>
        <v/>
      </c>
      <c r="AN85">
        <f>1+COUNTIF(bounds,"&lt;"&amp;ROUND(AM85,12))</f>
        <v/>
      </c>
      <c r="AO85">
        <f>IF(AK85=1,AD85,NA())</f>
        <v/>
      </c>
      <c r="AP85">
        <f>IF(AK85=0,AD85,NA())</f>
        <v/>
      </c>
    </row>
    <row r="86">
      <c r="A86" t="n">
        <v>78</v>
      </c>
      <c r="B86" t="n">
        <v>2</v>
      </c>
      <c r="C86" t="n">
        <v>5</v>
      </c>
      <c r="D86" t="n">
        <v>3</v>
      </c>
      <c r="E86" t="n">
        <v>5</v>
      </c>
      <c r="F86" t="n">
        <v>2</v>
      </c>
      <c r="G86" t="n">
        <v>3</v>
      </c>
      <c r="H86" t="n">
        <v>4</v>
      </c>
      <c r="I86" t="n">
        <v>2</v>
      </c>
      <c r="J86" t="n">
        <v>5</v>
      </c>
      <c r="K86" t="n">
        <v>3</v>
      </c>
      <c r="L86" t="n">
        <v>5</v>
      </c>
      <c r="M86" t="n">
        <v>5</v>
      </c>
      <c r="N86" t="n">
        <v>1</v>
      </c>
      <c r="O86" t="n">
        <v>1</v>
      </c>
      <c r="P86" t="n">
        <v>1</v>
      </c>
      <c r="Q86" t="n">
        <v>3</v>
      </c>
      <c r="R86" t="n">
        <v>1</v>
      </c>
      <c r="S86" t="n">
        <v>5</v>
      </c>
      <c r="T86" t="n">
        <v>2</v>
      </c>
      <c r="U86" t="n">
        <v>2</v>
      </c>
      <c r="V86" t="n">
        <v>4</v>
      </c>
      <c r="W86">
        <f>(AVERAGE(B86:D86)-1)/4</f>
        <v/>
      </c>
      <c r="X86">
        <f>(AVERAGE(E86:G86)-1)/4</f>
        <v/>
      </c>
      <c r="Y86">
        <f>(AVERAGE(H86:J86)-1)/4</f>
        <v/>
      </c>
      <c r="Z86">
        <f>(AVERAGE(K86:M86)-1)/4</f>
        <v/>
      </c>
      <c r="AA86">
        <f>(AVERAGE(N86:P86)-1)/4</f>
        <v/>
      </c>
      <c r="AB86">
        <f>(AVERAGE(Q86:S86)-1)/4</f>
        <v/>
      </c>
      <c r="AC86">
        <f>(AVERAGE(T86:V86)-1)/4</f>
        <v/>
      </c>
      <c r="AD86">
        <f>AVERAGE(W86:AA86)</f>
        <v/>
      </c>
      <c r="AE86">
        <f>MIN(W86:AA86)</f>
        <v/>
      </c>
      <c r="AF86">
        <f>1-alpha*MAX(0,delta-AE86)</f>
        <v/>
      </c>
      <c r="AG86">
        <f>AD86*AF86</f>
        <v/>
      </c>
      <c r="AH86">
        <f>1+COUNTIF(bounds,"&lt;"&amp;ROUND(AD86,12))</f>
        <v/>
      </c>
      <c r="AI86">
        <f>1+COUNTIF(bounds,"&lt;"&amp;ROUND(AG86,12))</f>
        <v/>
      </c>
      <c r="AJ86">
        <f>IF(AF86&lt;1,1,0)</f>
        <v/>
      </c>
      <c r="AK86">
        <f>IF(AH86&lt;&gt;AI86,1,0)</f>
        <v/>
      </c>
      <c r="AL86">
        <f>IF(AND(AI86&gt;=3,AB86&lt;=0.2),1,0)</f>
        <v/>
      </c>
      <c r="AM86">
        <f>AVERAGE(W86:AB86)</f>
        <v/>
      </c>
      <c r="AN86">
        <f>1+COUNTIF(bounds,"&lt;"&amp;ROUND(AM86,12))</f>
        <v/>
      </c>
      <c r="AO86">
        <f>IF(AK86=1,AD86,NA())</f>
        <v/>
      </c>
      <c r="AP86">
        <f>IF(AK86=0,AD86,NA())</f>
        <v/>
      </c>
    </row>
    <row r="87">
      <c r="A87" t="n">
        <v>79</v>
      </c>
      <c r="B87" t="n">
        <v>3</v>
      </c>
      <c r="C87" t="n">
        <v>2</v>
      </c>
      <c r="D87" t="n">
        <v>2</v>
      </c>
      <c r="E87" t="n">
        <v>4</v>
      </c>
      <c r="F87" t="n">
        <v>1</v>
      </c>
      <c r="G87" t="n">
        <v>3</v>
      </c>
      <c r="H87" t="n">
        <v>5</v>
      </c>
      <c r="I87" t="n">
        <v>3</v>
      </c>
      <c r="J87" t="n">
        <v>4</v>
      </c>
      <c r="K87" t="n">
        <v>2</v>
      </c>
      <c r="L87" t="n">
        <v>4</v>
      </c>
      <c r="M87" t="n">
        <v>3</v>
      </c>
      <c r="N87" t="n">
        <v>1</v>
      </c>
      <c r="O87" t="n">
        <v>3</v>
      </c>
      <c r="P87" t="n">
        <v>1</v>
      </c>
      <c r="Q87" t="n">
        <v>4</v>
      </c>
      <c r="R87" t="n">
        <v>4</v>
      </c>
      <c r="S87" t="n">
        <v>4</v>
      </c>
      <c r="T87" t="n">
        <v>4</v>
      </c>
      <c r="U87" t="n">
        <v>2</v>
      </c>
      <c r="V87" t="n">
        <v>5</v>
      </c>
      <c r="W87">
        <f>(AVERAGE(B87:D87)-1)/4</f>
        <v/>
      </c>
      <c r="X87">
        <f>(AVERAGE(E87:G87)-1)/4</f>
        <v/>
      </c>
      <c r="Y87">
        <f>(AVERAGE(H87:J87)-1)/4</f>
        <v/>
      </c>
      <c r="Z87">
        <f>(AVERAGE(K87:M87)-1)/4</f>
        <v/>
      </c>
      <c r="AA87">
        <f>(AVERAGE(N87:P87)-1)/4</f>
        <v/>
      </c>
      <c r="AB87">
        <f>(AVERAGE(Q87:S87)-1)/4</f>
        <v/>
      </c>
      <c r="AC87">
        <f>(AVERAGE(T87:V87)-1)/4</f>
        <v/>
      </c>
      <c r="AD87">
        <f>AVERAGE(W87:AA87)</f>
        <v/>
      </c>
      <c r="AE87">
        <f>MIN(W87:AA87)</f>
        <v/>
      </c>
      <c r="AF87">
        <f>1-alpha*MAX(0,delta-AE87)</f>
        <v/>
      </c>
      <c r="AG87">
        <f>AD87*AF87</f>
        <v/>
      </c>
      <c r="AH87">
        <f>1+COUNTIF(bounds,"&lt;"&amp;ROUND(AD87,12))</f>
        <v/>
      </c>
      <c r="AI87">
        <f>1+COUNTIF(bounds,"&lt;"&amp;ROUND(AG87,12))</f>
        <v/>
      </c>
      <c r="AJ87">
        <f>IF(AF87&lt;1,1,0)</f>
        <v/>
      </c>
      <c r="AK87">
        <f>IF(AH87&lt;&gt;AI87,1,0)</f>
        <v/>
      </c>
      <c r="AL87">
        <f>IF(AND(AI87&gt;=3,AB87&lt;=0.2),1,0)</f>
        <v/>
      </c>
      <c r="AM87">
        <f>AVERAGE(W87:AB87)</f>
        <v/>
      </c>
      <c r="AN87">
        <f>1+COUNTIF(bounds,"&lt;"&amp;ROUND(AM87,12))</f>
        <v/>
      </c>
      <c r="AO87">
        <f>IF(AK87=1,AD87,NA())</f>
        <v/>
      </c>
      <c r="AP87">
        <f>IF(AK87=0,AD87,NA())</f>
        <v/>
      </c>
    </row>
    <row r="88">
      <c r="A88" t="n">
        <v>80</v>
      </c>
      <c r="B88" t="n">
        <v>4</v>
      </c>
      <c r="C88" t="n">
        <v>2</v>
      </c>
      <c r="D88" t="n">
        <v>3</v>
      </c>
      <c r="E88" t="n">
        <v>2</v>
      </c>
      <c r="F88" t="n">
        <v>1</v>
      </c>
      <c r="G88" t="n">
        <v>5</v>
      </c>
      <c r="H88" t="n">
        <v>5</v>
      </c>
      <c r="I88" t="n">
        <v>4</v>
      </c>
      <c r="J88" t="n">
        <v>2</v>
      </c>
      <c r="K88" t="n">
        <v>1</v>
      </c>
      <c r="L88" t="n">
        <v>2</v>
      </c>
      <c r="M88" t="n">
        <v>4</v>
      </c>
      <c r="N88" t="n">
        <v>3</v>
      </c>
      <c r="O88" t="n">
        <v>5</v>
      </c>
      <c r="P88" t="n">
        <v>5</v>
      </c>
      <c r="Q88" t="n">
        <v>2</v>
      </c>
      <c r="R88" t="n">
        <v>3</v>
      </c>
      <c r="S88" t="n">
        <v>2</v>
      </c>
      <c r="T88" t="n">
        <v>4</v>
      </c>
      <c r="U88" t="n">
        <v>5</v>
      </c>
      <c r="V88" t="n">
        <v>3</v>
      </c>
      <c r="W88">
        <f>(AVERAGE(B88:D88)-1)/4</f>
        <v/>
      </c>
      <c r="X88">
        <f>(AVERAGE(E88:G88)-1)/4</f>
        <v/>
      </c>
      <c r="Y88">
        <f>(AVERAGE(H88:J88)-1)/4</f>
        <v/>
      </c>
      <c r="Z88">
        <f>(AVERAGE(K88:M88)-1)/4</f>
        <v/>
      </c>
      <c r="AA88">
        <f>(AVERAGE(N88:P88)-1)/4</f>
        <v/>
      </c>
      <c r="AB88">
        <f>(AVERAGE(Q88:S88)-1)/4</f>
        <v/>
      </c>
      <c r="AC88">
        <f>(AVERAGE(T88:V88)-1)/4</f>
        <v/>
      </c>
      <c r="AD88">
        <f>AVERAGE(W88:AA88)</f>
        <v/>
      </c>
      <c r="AE88">
        <f>MIN(W88:AA88)</f>
        <v/>
      </c>
      <c r="AF88">
        <f>1-alpha*MAX(0,delta-AE88)</f>
        <v/>
      </c>
      <c r="AG88">
        <f>AD88*AF88</f>
        <v/>
      </c>
      <c r="AH88">
        <f>1+COUNTIF(bounds,"&lt;"&amp;ROUND(AD88,12))</f>
        <v/>
      </c>
      <c r="AI88">
        <f>1+COUNTIF(bounds,"&lt;"&amp;ROUND(AG88,12))</f>
        <v/>
      </c>
      <c r="AJ88">
        <f>IF(AF88&lt;1,1,0)</f>
        <v/>
      </c>
      <c r="AK88">
        <f>IF(AH88&lt;&gt;AI88,1,0)</f>
        <v/>
      </c>
      <c r="AL88">
        <f>IF(AND(AI88&gt;=3,AB88&lt;=0.2),1,0)</f>
        <v/>
      </c>
      <c r="AM88">
        <f>AVERAGE(W88:AB88)</f>
        <v/>
      </c>
      <c r="AN88">
        <f>1+COUNTIF(bounds,"&lt;"&amp;ROUND(AM88,12))</f>
        <v/>
      </c>
      <c r="AO88">
        <f>IF(AK88=1,AD88,NA())</f>
        <v/>
      </c>
      <c r="AP88">
        <f>IF(AK88=0,AD88,NA())</f>
        <v/>
      </c>
    </row>
    <row r="89">
      <c r="A89" t="n">
        <v>81</v>
      </c>
      <c r="B89" t="n">
        <v>4</v>
      </c>
      <c r="C89" t="n">
        <v>5</v>
      </c>
      <c r="D89" t="n">
        <v>5</v>
      </c>
      <c r="E89" t="n">
        <v>1</v>
      </c>
      <c r="F89" t="n">
        <v>5</v>
      </c>
      <c r="G89" t="n">
        <v>5</v>
      </c>
      <c r="H89" t="n">
        <v>5</v>
      </c>
      <c r="I89" t="n">
        <v>5</v>
      </c>
      <c r="J89" t="n">
        <v>5</v>
      </c>
      <c r="K89" t="n">
        <v>4</v>
      </c>
      <c r="L89" t="n">
        <v>2</v>
      </c>
      <c r="M89" t="n">
        <v>1</v>
      </c>
      <c r="N89" t="n">
        <v>3</v>
      </c>
      <c r="O89" t="n">
        <v>4</v>
      </c>
      <c r="P89" t="n">
        <v>4</v>
      </c>
      <c r="Q89" t="n">
        <v>5</v>
      </c>
      <c r="R89" t="n">
        <v>3</v>
      </c>
      <c r="S89" t="n">
        <v>4</v>
      </c>
      <c r="T89" t="n">
        <v>4</v>
      </c>
      <c r="U89" t="n">
        <v>4</v>
      </c>
      <c r="V89" t="n">
        <v>4</v>
      </c>
      <c r="W89">
        <f>(AVERAGE(B89:D89)-1)/4</f>
        <v/>
      </c>
      <c r="X89">
        <f>(AVERAGE(E89:G89)-1)/4</f>
        <v/>
      </c>
      <c r="Y89">
        <f>(AVERAGE(H89:J89)-1)/4</f>
        <v/>
      </c>
      <c r="Z89">
        <f>(AVERAGE(K89:M89)-1)/4</f>
        <v/>
      </c>
      <c r="AA89">
        <f>(AVERAGE(N89:P89)-1)/4</f>
        <v/>
      </c>
      <c r="AB89">
        <f>(AVERAGE(Q89:S89)-1)/4</f>
        <v/>
      </c>
      <c r="AC89">
        <f>(AVERAGE(T89:V89)-1)/4</f>
        <v/>
      </c>
      <c r="AD89">
        <f>AVERAGE(W89:AA89)</f>
        <v/>
      </c>
      <c r="AE89">
        <f>MIN(W89:AA89)</f>
        <v/>
      </c>
      <c r="AF89">
        <f>1-alpha*MAX(0,delta-AE89)</f>
        <v/>
      </c>
      <c r="AG89">
        <f>AD89*AF89</f>
        <v/>
      </c>
      <c r="AH89">
        <f>1+COUNTIF(bounds,"&lt;"&amp;ROUND(AD89,12))</f>
        <v/>
      </c>
      <c r="AI89">
        <f>1+COUNTIF(bounds,"&lt;"&amp;ROUND(AG89,12))</f>
        <v/>
      </c>
      <c r="AJ89">
        <f>IF(AF89&lt;1,1,0)</f>
        <v/>
      </c>
      <c r="AK89">
        <f>IF(AH89&lt;&gt;AI89,1,0)</f>
        <v/>
      </c>
      <c r="AL89">
        <f>IF(AND(AI89&gt;=3,AB89&lt;=0.2),1,0)</f>
        <v/>
      </c>
      <c r="AM89">
        <f>AVERAGE(W89:AB89)</f>
        <v/>
      </c>
      <c r="AN89">
        <f>1+COUNTIF(bounds,"&lt;"&amp;ROUND(AM89,12))</f>
        <v/>
      </c>
      <c r="AO89">
        <f>IF(AK89=1,AD89,NA())</f>
        <v/>
      </c>
      <c r="AP89">
        <f>IF(AK89=0,AD89,NA())</f>
        <v/>
      </c>
    </row>
    <row r="90">
      <c r="A90" t="n">
        <v>82</v>
      </c>
      <c r="B90" t="n">
        <v>3</v>
      </c>
      <c r="C90" t="n">
        <v>1</v>
      </c>
      <c r="D90" t="n">
        <v>1</v>
      </c>
      <c r="E90" t="n">
        <v>4</v>
      </c>
      <c r="F90" t="n">
        <v>4</v>
      </c>
      <c r="G90" t="n">
        <v>4</v>
      </c>
      <c r="H90" t="n">
        <v>3</v>
      </c>
      <c r="I90" t="n">
        <v>3</v>
      </c>
      <c r="J90" t="n">
        <v>1</v>
      </c>
      <c r="K90" t="n">
        <v>1</v>
      </c>
      <c r="L90" t="n">
        <v>2</v>
      </c>
      <c r="M90" t="n">
        <v>1</v>
      </c>
      <c r="N90" t="n">
        <v>2</v>
      </c>
      <c r="O90" t="n">
        <v>1</v>
      </c>
      <c r="P90" t="n">
        <v>2</v>
      </c>
      <c r="Q90" t="n">
        <v>3</v>
      </c>
      <c r="R90" t="n">
        <v>3</v>
      </c>
      <c r="S90" t="n">
        <v>5</v>
      </c>
      <c r="T90" t="n">
        <v>2</v>
      </c>
      <c r="U90" t="n">
        <v>1</v>
      </c>
      <c r="V90" t="n">
        <v>5</v>
      </c>
      <c r="W90">
        <f>(AVERAGE(B90:D90)-1)/4</f>
        <v/>
      </c>
      <c r="X90">
        <f>(AVERAGE(E90:G90)-1)/4</f>
        <v/>
      </c>
      <c r="Y90">
        <f>(AVERAGE(H90:J90)-1)/4</f>
        <v/>
      </c>
      <c r="Z90">
        <f>(AVERAGE(K90:M90)-1)/4</f>
        <v/>
      </c>
      <c r="AA90">
        <f>(AVERAGE(N90:P90)-1)/4</f>
        <v/>
      </c>
      <c r="AB90">
        <f>(AVERAGE(Q90:S90)-1)/4</f>
        <v/>
      </c>
      <c r="AC90">
        <f>(AVERAGE(T90:V90)-1)/4</f>
        <v/>
      </c>
      <c r="AD90">
        <f>AVERAGE(W90:AA90)</f>
        <v/>
      </c>
      <c r="AE90">
        <f>MIN(W90:AA90)</f>
        <v/>
      </c>
      <c r="AF90">
        <f>1-alpha*MAX(0,delta-AE90)</f>
        <v/>
      </c>
      <c r="AG90">
        <f>AD90*AF90</f>
        <v/>
      </c>
      <c r="AH90">
        <f>1+COUNTIF(bounds,"&lt;"&amp;ROUND(AD90,12))</f>
        <v/>
      </c>
      <c r="AI90">
        <f>1+COUNTIF(bounds,"&lt;"&amp;ROUND(AG90,12))</f>
        <v/>
      </c>
      <c r="AJ90">
        <f>IF(AF90&lt;1,1,0)</f>
        <v/>
      </c>
      <c r="AK90">
        <f>IF(AH90&lt;&gt;AI90,1,0)</f>
        <v/>
      </c>
      <c r="AL90">
        <f>IF(AND(AI90&gt;=3,AB90&lt;=0.2),1,0)</f>
        <v/>
      </c>
      <c r="AM90">
        <f>AVERAGE(W90:AB90)</f>
        <v/>
      </c>
      <c r="AN90">
        <f>1+COUNTIF(bounds,"&lt;"&amp;ROUND(AM90,12))</f>
        <v/>
      </c>
      <c r="AO90">
        <f>IF(AK90=1,AD90,NA())</f>
        <v/>
      </c>
      <c r="AP90">
        <f>IF(AK90=0,AD90,NA())</f>
        <v/>
      </c>
    </row>
    <row r="91">
      <c r="A91" t="n">
        <v>83</v>
      </c>
      <c r="B91" t="n">
        <v>3</v>
      </c>
      <c r="C91" t="n">
        <v>1</v>
      </c>
      <c r="D91" t="n">
        <v>1</v>
      </c>
      <c r="E91" t="n">
        <v>4</v>
      </c>
      <c r="F91" t="n">
        <v>3</v>
      </c>
      <c r="G91" t="n">
        <v>5</v>
      </c>
      <c r="H91" t="n">
        <v>1</v>
      </c>
      <c r="I91" t="n">
        <v>1</v>
      </c>
      <c r="J91" t="n">
        <v>5</v>
      </c>
      <c r="K91" t="n">
        <v>5</v>
      </c>
      <c r="L91" t="n">
        <v>5</v>
      </c>
      <c r="M91" t="n">
        <v>3</v>
      </c>
      <c r="N91" t="n">
        <v>4</v>
      </c>
      <c r="O91" t="n">
        <v>1</v>
      </c>
      <c r="P91" t="n">
        <v>2</v>
      </c>
      <c r="Q91" t="n">
        <v>4</v>
      </c>
      <c r="R91" t="n">
        <v>2</v>
      </c>
      <c r="S91" t="n">
        <v>4</v>
      </c>
      <c r="T91" t="n">
        <v>1</v>
      </c>
      <c r="U91" t="n">
        <v>3</v>
      </c>
      <c r="V91" t="n">
        <v>2</v>
      </c>
      <c r="W91">
        <f>(AVERAGE(B91:D91)-1)/4</f>
        <v/>
      </c>
      <c r="X91">
        <f>(AVERAGE(E91:G91)-1)/4</f>
        <v/>
      </c>
      <c r="Y91">
        <f>(AVERAGE(H91:J91)-1)/4</f>
        <v/>
      </c>
      <c r="Z91">
        <f>(AVERAGE(K91:M91)-1)/4</f>
        <v/>
      </c>
      <c r="AA91">
        <f>(AVERAGE(N91:P91)-1)/4</f>
        <v/>
      </c>
      <c r="AB91">
        <f>(AVERAGE(Q91:S91)-1)/4</f>
        <v/>
      </c>
      <c r="AC91">
        <f>(AVERAGE(T91:V91)-1)/4</f>
        <v/>
      </c>
      <c r="AD91">
        <f>AVERAGE(W91:AA91)</f>
        <v/>
      </c>
      <c r="AE91">
        <f>MIN(W91:AA91)</f>
        <v/>
      </c>
      <c r="AF91">
        <f>1-alpha*MAX(0,delta-AE91)</f>
        <v/>
      </c>
      <c r="AG91">
        <f>AD91*AF91</f>
        <v/>
      </c>
      <c r="AH91">
        <f>1+COUNTIF(bounds,"&lt;"&amp;ROUND(AD91,12))</f>
        <v/>
      </c>
      <c r="AI91">
        <f>1+COUNTIF(bounds,"&lt;"&amp;ROUND(AG91,12))</f>
        <v/>
      </c>
      <c r="AJ91">
        <f>IF(AF91&lt;1,1,0)</f>
        <v/>
      </c>
      <c r="AK91">
        <f>IF(AH91&lt;&gt;AI91,1,0)</f>
        <v/>
      </c>
      <c r="AL91">
        <f>IF(AND(AI91&gt;=3,AB91&lt;=0.2),1,0)</f>
        <v/>
      </c>
      <c r="AM91">
        <f>AVERAGE(W91:AB91)</f>
        <v/>
      </c>
      <c r="AN91">
        <f>1+COUNTIF(bounds,"&lt;"&amp;ROUND(AM91,12))</f>
        <v/>
      </c>
      <c r="AO91">
        <f>IF(AK91=1,AD91,NA())</f>
        <v/>
      </c>
      <c r="AP91">
        <f>IF(AK91=0,AD91,NA())</f>
        <v/>
      </c>
    </row>
    <row r="92">
      <c r="A92" t="n">
        <v>84</v>
      </c>
      <c r="B92" t="n">
        <v>2</v>
      </c>
      <c r="C92" t="n">
        <v>5</v>
      </c>
      <c r="D92" t="n">
        <v>1</v>
      </c>
      <c r="E92" t="n">
        <v>5</v>
      </c>
      <c r="F92" t="n">
        <v>5</v>
      </c>
      <c r="G92" t="n">
        <v>3</v>
      </c>
      <c r="H92" t="n">
        <v>2</v>
      </c>
      <c r="I92" t="n">
        <v>5</v>
      </c>
      <c r="J92" t="n">
        <v>2</v>
      </c>
      <c r="K92" t="n">
        <v>3</v>
      </c>
      <c r="L92" t="n">
        <v>5</v>
      </c>
      <c r="M92" t="n">
        <v>1</v>
      </c>
      <c r="N92" t="n">
        <v>3</v>
      </c>
      <c r="O92" t="n">
        <v>5</v>
      </c>
      <c r="P92" t="n">
        <v>3</v>
      </c>
      <c r="Q92" t="n">
        <v>1</v>
      </c>
      <c r="R92" t="n">
        <v>1</v>
      </c>
      <c r="S92" t="n">
        <v>5</v>
      </c>
      <c r="T92" t="n">
        <v>4</v>
      </c>
      <c r="U92" t="n">
        <v>4</v>
      </c>
      <c r="V92" t="n">
        <v>5</v>
      </c>
      <c r="W92">
        <f>(AVERAGE(B92:D92)-1)/4</f>
        <v/>
      </c>
      <c r="X92">
        <f>(AVERAGE(E92:G92)-1)/4</f>
        <v/>
      </c>
      <c r="Y92">
        <f>(AVERAGE(H92:J92)-1)/4</f>
        <v/>
      </c>
      <c r="Z92">
        <f>(AVERAGE(K92:M92)-1)/4</f>
        <v/>
      </c>
      <c r="AA92">
        <f>(AVERAGE(N92:P92)-1)/4</f>
        <v/>
      </c>
      <c r="AB92">
        <f>(AVERAGE(Q92:S92)-1)/4</f>
        <v/>
      </c>
      <c r="AC92">
        <f>(AVERAGE(T92:V92)-1)/4</f>
        <v/>
      </c>
      <c r="AD92">
        <f>AVERAGE(W92:AA92)</f>
        <v/>
      </c>
      <c r="AE92">
        <f>MIN(W92:AA92)</f>
        <v/>
      </c>
      <c r="AF92">
        <f>1-alpha*MAX(0,delta-AE92)</f>
        <v/>
      </c>
      <c r="AG92">
        <f>AD92*AF92</f>
        <v/>
      </c>
      <c r="AH92">
        <f>1+COUNTIF(bounds,"&lt;"&amp;ROUND(AD92,12))</f>
        <v/>
      </c>
      <c r="AI92">
        <f>1+COUNTIF(bounds,"&lt;"&amp;ROUND(AG92,12))</f>
        <v/>
      </c>
      <c r="AJ92">
        <f>IF(AF92&lt;1,1,0)</f>
        <v/>
      </c>
      <c r="AK92">
        <f>IF(AH92&lt;&gt;AI92,1,0)</f>
        <v/>
      </c>
      <c r="AL92">
        <f>IF(AND(AI92&gt;=3,AB92&lt;=0.2),1,0)</f>
        <v/>
      </c>
      <c r="AM92">
        <f>AVERAGE(W92:AB92)</f>
        <v/>
      </c>
      <c r="AN92">
        <f>1+COUNTIF(bounds,"&lt;"&amp;ROUND(AM92,12))</f>
        <v/>
      </c>
      <c r="AO92">
        <f>IF(AK92=1,AD92,NA())</f>
        <v/>
      </c>
      <c r="AP92">
        <f>IF(AK92=0,AD92,NA())</f>
        <v/>
      </c>
    </row>
    <row r="93">
      <c r="A93" t="n">
        <v>85</v>
      </c>
      <c r="B93" t="n">
        <v>1</v>
      </c>
      <c r="C93" t="n">
        <v>5</v>
      </c>
      <c r="D93" t="n">
        <v>4</v>
      </c>
      <c r="E93" t="n">
        <v>2</v>
      </c>
      <c r="F93" t="n">
        <v>3</v>
      </c>
      <c r="G93" t="n">
        <v>4</v>
      </c>
      <c r="H93" t="n">
        <v>3</v>
      </c>
      <c r="I93" t="n">
        <v>3</v>
      </c>
      <c r="J93" t="n">
        <v>5</v>
      </c>
      <c r="K93" t="n">
        <v>1</v>
      </c>
      <c r="L93" t="n">
        <v>1</v>
      </c>
      <c r="M93" t="n">
        <v>3</v>
      </c>
      <c r="N93" t="n">
        <v>1</v>
      </c>
      <c r="O93" t="n">
        <v>2</v>
      </c>
      <c r="P93" t="n">
        <v>1</v>
      </c>
      <c r="Q93" t="n">
        <v>2</v>
      </c>
      <c r="R93" t="n">
        <v>3</v>
      </c>
      <c r="S93" t="n">
        <v>5</v>
      </c>
      <c r="T93" t="n">
        <v>3</v>
      </c>
      <c r="U93" t="n">
        <v>1</v>
      </c>
      <c r="V93" t="n">
        <v>3</v>
      </c>
      <c r="W93">
        <f>(AVERAGE(B93:D93)-1)/4</f>
        <v/>
      </c>
      <c r="X93">
        <f>(AVERAGE(E93:G93)-1)/4</f>
        <v/>
      </c>
      <c r="Y93">
        <f>(AVERAGE(H93:J93)-1)/4</f>
        <v/>
      </c>
      <c r="Z93">
        <f>(AVERAGE(K93:M93)-1)/4</f>
        <v/>
      </c>
      <c r="AA93">
        <f>(AVERAGE(N93:P93)-1)/4</f>
        <v/>
      </c>
      <c r="AB93">
        <f>(AVERAGE(Q93:S93)-1)/4</f>
        <v/>
      </c>
      <c r="AC93">
        <f>(AVERAGE(T93:V93)-1)/4</f>
        <v/>
      </c>
      <c r="AD93">
        <f>AVERAGE(W93:AA93)</f>
        <v/>
      </c>
      <c r="AE93">
        <f>MIN(W93:AA93)</f>
        <v/>
      </c>
      <c r="AF93">
        <f>1-alpha*MAX(0,delta-AE93)</f>
        <v/>
      </c>
      <c r="AG93">
        <f>AD93*AF93</f>
        <v/>
      </c>
      <c r="AH93">
        <f>1+COUNTIF(bounds,"&lt;"&amp;ROUND(AD93,12))</f>
        <v/>
      </c>
      <c r="AI93">
        <f>1+COUNTIF(bounds,"&lt;"&amp;ROUND(AG93,12))</f>
        <v/>
      </c>
      <c r="AJ93">
        <f>IF(AF93&lt;1,1,0)</f>
        <v/>
      </c>
      <c r="AK93">
        <f>IF(AH93&lt;&gt;AI93,1,0)</f>
        <v/>
      </c>
      <c r="AL93">
        <f>IF(AND(AI93&gt;=3,AB93&lt;=0.2),1,0)</f>
        <v/>
      </c>
      <c r="AM93">
        <f>AVERAGE(W93:AB93)</f>
        <v/>
      </c>
      <c r="AN93">
        <f>1+COUNTIF(bounds,"&lt;"&amp;ROUND(AM93,12))</f>
        <v/>
      </c>
      <c r="AO93">
        <f>IF(AK93=1,AD93,NA())</f>
        <v/>
      </c>
      <c r="AP93">
        <f>IF(AK93=0,AD93,NA())</f>
        <v/>
      </c>
    </row>
    <row r="94">
      <c r="A94" t="n">
        <v>86</v>
      </c>
      <c r="B94" t="n">
        <v>4</v>
      </c>
      <c r="C94" t="n">
        <v>2</v>
      </c>
      <c r="D94" t="n">
        <v>5</v>
      </c>
      <c r="E94" t="n">
        <v>3</v>
      </c>
      <c r="F94" t="n">
        <v>5</v>
      </c>
      <c r="G94" t="n">
        <v>5</v>
      </c>
      <c r="H94" t="n">
        <v>1</v>
      </c>
      <c r="I94" t="n">
        <v>1</v>
      </c>
      <c r="J94" t="n">
        <v>2</v>
      </c>
      <c r="K94" t="n">
        <v>2</v>
      </c>
      <c r="L94" t="n">
        <v>5</v>
      </c>
      <c r="M94" t="n">
        <v>5</v>
      </c>
      <c r="N94" t="n">
        <v>5</v>
      </c>
      <c r="O94" t="n">
        <v>5</v>
      </c>
      <c r="P94" t="n">
        <v>4</v>
      </c>
      <c r="Q94" t="n">
        <v>3</v>
      </c>
      <c r="R94" t="n">
        <v>3</v>
      </c>
      <c r="S94" t="n">
        <v>1</v>
      </c>
      <c r="T94" t="n">
        <v>1</v>
      </c>
      <c r="U94" t="n">
        <v>5</v>
      </c>
      <c r="V94" t="n">
        <v>3</v>
      </c>
      <c r="W94">
        <f>(AVERAGE(B94:D94)-1)/4</f>
        <v/>
      </c>
      <c r="X94">
        <f>(AVERAGE(E94:G94)-1)/4</f>
        <v/>
      </c>
      <c r="Y94">
        <f>(AVERAGE(H94:J94)-1)/4</f>
        <v/>
      </c>
      <c r="Z94">
        <f>(AVERAGE(K94:M94)-1)/4</f>
        <v/>
      </c>
      <c r="AA94">
        <f>(AVERAGE(N94:P94)-1)/4</f>
        <v/>
      </c>
      <c r="AB94">
        <f>(AVERAGE(Q94:S94)-1)/4</f>
        <v/>
      </c>
      <c r="AC94">
        <f>(AVERAGE(T94:V94)-1)/4</f>
        <v/>
      </c>
      <c r="AD94">
        <f>AVERAGE(W94:AA94)</f>
        <v/>
      </c>
      <c r="AE94">
        <f>MIN(W94:AA94)</f>
        <v/>
      </c>
      <c r="AF94">
        <f>1-alpha*MAX(0,delta-AE94)</f>
        <v/>
      </c>
      <c r="AG94">
        <f>AD94*AF94</f>
        <v/>
      </c>
      <c r="AH94">
        <f>1+COUNTIF(bounds,"&lt;"&amp;ROUND(AD94,12))</f>
        <v/>
      </c>
      <c r="AI94">
        <f>1+COUNTIF(bounds,"&lt;"&amp;ROUND(AG94,12))</f>
        <v/>
      </c>
      <c r="AJ94">
        <f>IF(AF94&lt;1,1,0)</f>
        <v/>
      </c>
      <c r="AK94">
        <f>IF(AH94&lt;&gt;AI94,1,0)</f>
        <v/>
      </c>
      <c r="AL94">
        <f>IF(AND(AI94&gt;=3,AB94&lt;=0.2),1,0)</f>
        <v/>
      </c>
      <c r="AM94">
        <f>AVERAGE(W94:AB94)</f>
        <v/>
      </c>
      <c r="AN94">
        <f>1+COUNTIF(bounds,"&lt;"&amp;ROUND(AM94,12))</f>
        <v/>
      </c>
      <c r="AO94">
        <f>IF(AK94=1,AD94,NA())</f>
        <v/>
      </c>
      <c r="AP94">
        <f>IF(AK94=0,AD94,NA())</f>
        <v/>
      </c>
    </row>
    <row r="95">
      <c r="A95" t="n">
        <v>87</v>
      </c>
      <c r="B95" t="n">
        <v>5</v>
      </c>
      <c r="C95" t="n">
        <v>3</v>
      </c>
      <c r="D95" t="n">
        <v>5</v>
      </c>
      <c r="E95" t="n">
        <v>5</v>
      </c>
      <c r="F95" t="n">
        <v>4</v>
      </c>
      <c r="G95" t="n">
        <v>2</v>
      </c>
      <c r="H95" t="n">
        <v>1</v>
      </c>
      <c r="I95" t="n">
        <v>1</v>
      </c>
      <c r="J95" t="n">
        <v>3</v>
      </c>
      <c r="K95" t="n">
        <v>3</v>
      </c>
      <c r="L95" t="n">
        <v>5</v>
      </c>
      <c r="M95" t="n">
        <v>5</v>
      </c>
      <c r="N95" t="n">
        <v>4</v>
      </c>
      <c r="O95" t="n">
        <v>5</v>
      </c>
      <c r="P95" t="n">
        <v>5</v>
      </c>
      <c r="Q95" t="n">
        <v>2</v>
      </c>
      <c r="R95" t="n">
        <v>2</v>
      </c>
      <c r="S95" t="n">
        <v>1</v>
      </c>
      <c r="T95" t="n">
        <v>3</v>
      </c>
      <c r="U95" t="n">
        <v>3</v>
      </c>
      <c r="V95" t="n">
        <v>3</v>
      </c>
      <c r="W95">
        <f>(AVERAGE(B95:D95)-1)/4</f>
        <v/>
      </c>
      <c r="X95">
        <f>(AVERAGE(E95:G95)-1)/4</f>
        <v/>
      </c>
      <c r="Y95">
        <f>(AVERAGE(H95:J95)-1)/4</f>
        <v/>
      </c>
      <c r="Z95">
        <f>(AVERAGE(K95:M95)-1)/4</f>
        <v/>
      </c>
      <c r="AA95">
        <f>(AVERAGE(N95:P95)-1)/4</f>
        <v/>
      </c>
      <c r="AB95">
        <f>(AVERAGE(Q95:S95)-1)/4</f>
        <v/>
      </c>
      <c r="AC95">
        <f>(AVERAGE(T95:V95)-1)/4</f>
        <v/>
      </c>
      <c r="AD95">
        <f>AVERAGE(W95:AA95)</f>
        <v/>
      </c>
      <c r="AE95">
        <f>MIN(W95:AA95)</f>
        <v/>
      </c>
      <c r="AF95">
        <f>1-alpha*MAX(0,delta-AE95)</f>
        <v/>
      </c>
      <c r="AG95">
        <f>AD95*AF95</f>
        <v/>
      </c>
      <c r="AH95">
        <f>1+COUNTIF(bounds,"&lt;"&amp;ROUND(AD95,12))</f>
        <v/>
      </c>
      <c r="AI95">
        <f>1+COUNTIF(bounds,"&lt;"&amp;ROUND(AG95,12))</f>
        <v/>
      </c>
      <c r="AJ95">
        <f>IF(AF95&lt;1,1,0)</f>
        <v/>
      </c>
      <c r="AK95">
        <f>IF(AH95&lt;&gt;AI95,1,0)</f>
        <v/>
      </c>
      <c r="AL95">
        <f>IF(AND(AI95&gt;=3,AB95&lt;=0.2),1,0)</f>
        <v/>
      </c>
      <c r="AM95">
        <f>AVERAGE(W95:AB95)</f>
        <v/>
      </c>
      <c r="AN95">
        <f>1+COUNTIF(bounds,"&lt;"&amp;ROUND(AM95,12))</f>
        <v/>
      </c>
      <c r="AO95">
        <f>IF(AK95=1,AD95,NA())</f>
        <v/>
      </c>
      <c r="AP95">
        <f>IF(AK95=0,AD95,NA())</f>
        <v/>
      </c>
    </row>
    <row r="96">
      <c r="A96" t="n">
        <v>88</v>
      </c>
      <c r="B96" t="n">
        <v>3</v>
      </c>
      <c r="C96" t="n">
        <v>3</v>
      </c>
      <c r="D96" t="n">
        <v>4</v>
      </c>
      <c r="E96" t="n">
        <v>4</v>
      </c>
      <c r="F96" t="n">
        <v>5</v>
      </c>
      <c r="G96" t="n">
        <v>5</v>
      </c>
      <c r="H96" t="n">
        <v>2</v>
      </c>
      <c r="I96" t="n">
        <v>5</v>
      </c>
      <c r="J96" t="n">
        <v>5</v>
      </c>
      <c r="K96" t="n">
        <v>4</v>
      </c>
      <c r="L96" t="n">
        <v>3</v>
      </c>
      <c r="M96" t="n">
        <v>3</v>
      </c>
      <c r="N96" t="n">
        <v>3</v>
      </c>
      <c r="O96" t="n">
        <v>1</v>
      </c>
      <c r="P96" t="n">
        <v>5</v>
      </c>
      <c r="Q96" t="n">
        <v>2</v>
      </c>
      <c r="R96" t="n">
        <v>5</v>
      </c>
      <c r="S96" t="n">
        <v>4</v>
      </c>
      <c r="T96" t="n">
        <v>2</v>
      </c>
      <c r="U96" t="n">
        <v>4</v>
      </c>
      <c r="V96" t="n">
        <v>4</v>
      </c>
      <c r="W96">
        <f>(AVERAGE(B96:D96)-1)/4</f>
        <v/>
      </c>
      <c r="X96">
        <f>(AVERAGE(E96:G96)-1)/4</f>
        <v/>
      </c>
      <c r="Y96">
        <f>(AVERAGE(H96:J96)-1)/4</f>
        <v/>
      </c>
      <c r="Z96">
        <f>(AVERAGE(K96:M96)-1)/4</f>
        <v/>
      </c>
      <c r="AA96">
        <f>(AVERAGE(N96:P96)-1)/4</f>
        <v/>
      </c>
      <c r="AB96">
        <f>(AVERAGE(Q96:S96)-1)/4</f>
        <v/>
      </c>
      <c r="AC96">
        <f>(AVERAGE(T96:V96)-1)/4</f>
        <v/>
      </c>
      <c r="AD96">
        <f>AVERAGE(W96:AA96)</f>
        <v/>
      </c>
      <c r="AE96">
        <f>MIN(W96:AA96)</f>
        <v/>
      </c>
      <c r="AF96">
        <f>1-alpha*MAX(0,delta-AE96)</f>
        <v/>
      </c>
      <c r="AG96">
        <f>AD96*AF96</f>
        <v/>
      </c>
      <c r="AH96">
        <f>1+COUNTIF(bounds,"&lt;"&amp;ROUND(AD96,12))</f>
        <v/>
      </c>
      <c r="AI96">
        <f>1+COUNTIF(bounds,"&lt;"&amp;ROUND(AG96,12))</f>
        <v/>
      </c>
      <c r="AJ96">
        <f>IF(AF96&lt;1,1,0)</f>
        <v/>
      </c>
      <c r="AK96">
        <f>IF(AH96&lt;&gt;AI96,1,0)</f>
        <v/>
      </c>
      <c r="AL96">
        <f>IF(AND(AI96&gt;=3,AB96&lt;=0.2),1,0)</f>
        <v/>
      </c>
      <c r="AM96">
        <f>AVERAGE(W96:AB96)</f>
        <v/>
      </c>
      <c r="AN96">
        <f>1+COUNTIF(bounds,"&lt;"&amp;ROUND(AM96,12))</f>
        <v/>
      </c>
      <c r="AO96">
        <f>IF(AK96=1,AD96,NA())</f>
        <v/>
      </c>
      <c r="AP96">
        <f>IF(AK96=0,AD96,NA())</f>
        <v/>
      </c>
    </row>
    <row r="97">
      <c r="A97" t="n">
        <v>89</v>
      </c>
      <c r="B97" t="n">
        <v>4</v>
      </c>
      <c r="C97" t="n">
        <v>2</v>
      </c>
      <c r="D97" t="n">
        <v>3</v>
      </c>
      <c r="E97" t="n">
        <v>4</v>
      </c>
      <c r="F97" t="n">
        <v>2</v>
      </c>
      <c r="G97" t="n">
        <v>4</v>
      </c>
      <c r="H97" t="n">
        <v>1</v>
      </c>
      <c r="I97" t="n">
        <v>4</v>
      </c>
      <c r="J97" t="n">
        <v>4</v>
      </c>
      <c r="K97" t="n">
        <v>4</v>
      </c>
      <c r="L97" t="n">
        <v>4</v>
      </c>
      <c r="M97" t="n">
        <v>3</v>
      </c>
      <c r="N97" t="n">
        <v>4</v>
      </c>
      <c r="O97" t="n">
        <v>5</v>
      </c>
      <c r="P97" t="n">
        <v>2</v>
      </c>
      <c r="Q97" t="n">
        <v>3</v>
      </c>
      <c r="R97" t="n">
        <v>2</v>
      </c>
      <c r="S97" t="n">
        <v>5</v>
      </c>
      <c r="T97" t="n">
        <v>3</v>
      </c>
      <c r="U97" t="n">
        <v>4</v>
      </c>
      <c r="V97" t="n">
        <v>1</v>
      </c>
      <c r="W97">
        <f>(AVERAGE(B97:D97)-1)/4</f>
        <v/>
      </c>
      <c r="X97">
        <f>(AVERAGE(E97:G97)-1)/4</f>
        <v/>
      </c>
      <c r="Y97">
        <f>(AVERAGE(H97:J97)-1)/4</f>
        <v/>
      </c>
      <c r="Z97">
        <f>(AVERAGE(K97:M97)-1)/4</f>
        <v/>
      </c>
      <c r="AA97">
        <f>(AVERAGE(N97:P97)-1)/4</f>
        <v/>
      </c>
      <c r="AB97">
        <f>(AVERAGE(Q97:S97)-1)/4</f>
        <v/>
      </c>
      <c r="AC97">
        <f>(AVERAGE(T97:V97)-1)/4</f>
        <v/>
      </c>
      <c r="AD97">
        <f>AVERAGE(W97:AA97)</f>
        <v/>
      </c>
      <c r="AE97">
        <f>MIN(W97:AA97)</f>
        <v/>
      </c>
      <c r="AF97">
        <f>1-alpha*MAX(0,delta-AE97)</f>
        <v/>
      </c>
      <c r="AG97">
        <f>AD97*AF97</f>
        <v/>
      </c>
      <c r="AH97">
        <f>1+COUNTIF(bounds,"&lt;"&amp;ROUND(AD97,12))</f>
        <v/>
      </c>
      <c r="AI97">
        <f>1+COUNTIF(bounds,"&lt;"&amp;ROUND(AG97,12))</f>
        <v/>
      </c>
      <c r="AJ97">
        <f>IF(AF97&lt;1,1,0)</f>
        <v/>
      </c>
      <c r="AK97">
        <f>IF(AH97&lt;&gt;AI97,1,0)</f>
        <v/>
      </c>
      <c r="AL97">
        <f>IF(AND(AI97&gt;=3,AB97&lt;=0.2),1,0)</f>
        <v/>
      </c>
      <c r="AM97">
        <f>AVERAGE(W97:AB97)</f>
        <v/>
      </c>
      <c r="AN97">
        <f>1+COUNTIF(bounds,"&lt;"&amp;ROUND(AM97,12))</f>
        <v/>
      </c>
      <c r="AO97">
        <f>IF(AK97=1,AD97,NA())</f>
        <v/>
      </c>
      <c r="AP97">
        <f>IF(AK97=0,AD97,NA())</f>
        <v/>
      </c>
    </row>
    <row r="98">
      <c r="A98" t="n">
        <v>90</v>
      </c>
      <c r="B98" t="n">
        <v>1</v>
      </c>
      <c r="C98" t="n">
        <v>5</v>
      </c>
      <c r="D98" t="n">
        <v>3</v>
      </c>
      <c r="E98" t="n">
        <v>5</v>
      </c>
      <c r="F98" t="n">
        <v>5</v>
      </c>
      <c r="G98" t="n">
        <v>1</v>
      </c>
      <c r="H98" t="n">
        <v>5</v>
      </c>
      <c r="I98" t="n">
        <v>3</v>
      </c>
      <c r="J98" t="n">
        <v>3</v>
      </c>
      <c r="K98" t="n">
        <v>1</v>
      </c>
      <c r="L98" t="n">
        <v>2</v>
      </c>
      <c r="M98" t="n">
        <v>4</v>
      </c>
      <c r="N98" t="n">
        <v>4</v>
      </c>
      <c r="O98" t="n">
        <v>3</v>
      </c>
      <c r="P98" t="n">
        <v>4</v>
      </c>
      <c r="Q98" t="n">
        <v>1</v>
      </c>
      <c r="R98" t="n">
        <v>1</v>
      </c>
      <c r="S98" t="n">
        <v>2</v>
      </c>
      <c r="T98" t="n">
        <v>1</v>
      </c>
      <c r="U98" t="n">
        <v>2</v>
      </c>
      <c r="V98" t="n">
        <v>3</v>
      </c>
      <c r="W98">
        <f>(AVERAGE(B98:D98)-1)/4</f>
        <v/>
      </c>
      <c r="X98">
        <f>(AVERAGE(E98:G98)-1)/4</f>
        <v/>
      </c>
      <c r="Y98">
        <f>(AVERAGE(H98:J98)-1)/4</f>
        <v/>
      </c>
      <c r="Z98">
        <f>(AVERAGE(K98:M98)-1)/4</f>
        <v/>
      </c>
      <c r="AA98">
        <f>(AVERAGE(N98:P98)-1)/4</f>
        <v/>
      </c>
      <c r="AB98">
        <f>(AVERAGE(Q98:S98)-1)/4</f>
        <v/>
      </c>
      <c r="AC98">
        <f>(AVERAGE(T98:V98)-1)/4</f>
        <v/>
      </c>
      <c r="AD98">
        <f>AVERAGE(W98:AA98)</f>
        <v/>
      </c>
      <c r="AE98">
        <f>MIN(W98:AA98)</f>
        <v/>
      </c>
      <c r="AF98">
        <f>1-alpha*MAX(0,delta-AE98)</f>
        <v/>
      </c>
      <c r="AG98">
        <f>AD98*AF98</f>
        <v/>
      </c>
      <c r="AH98">
        <f>1+COUNTIF(bounds,"&lt;"&amp;ROUND(AD98,12))</f>
        <v/>
      </c>
      <c r="AI98">
        <f>1+COUNTIF(bounds,"&lt;"&amp;ROUND(AG98,12))</f>
        <v/>
      </c>
      <c r="AJ98">
        <f>IF(AF98&lt;1,1,0)</f>
        <v/>
      </c>
      <c r="AK98">
        <f>IF(AH98&lt;&gt;AI98,1,0)</f>
        <v/>
      </c>
      <c r="AL98">
        <f>IF(AND(AI98&gt;=3,AB98&lt;=0.2),1,0)</f>
        <v/>
      </c>
      <c r="AM98">
        <f>AVERAGE(W98:AB98)</f>
        <v/>
      </c>
      <c r="AN98">
        <f>1+COUNTIF(bounds,"&lt;"&amp;ROUND(AM98,12))</f>
        <v/>
      </c>
      <c r="AO98">
        <f>IF(AK98=1,AD98,NA())</f>
        <v/>
      </c>
      <c r="AP98">
        <f>IF(AK98=0,AD98,NA())</f>
        <v/>
      </c>
    </row>
    <row r="99">
      <c r="A99" t="n">
        <v>91</v>
      </c>
      <c r="B99" t="n">
        <v>1</v>
      </c>
      <c r="C99" t="n">
        <v>5</v>
      </c>
      <c r="D99" t="n">
        <v>5</v>
      </c>
      <c r="E99" t="n">
        <v>2</v>
      </c>
      <c r="F99" t="n">
        <v>1</v>
      </c>
      <c r="G99" t="n">
        <v>2</v>
      </c>
      <c r="H99" t="n">
        <v>5</v>
      </c>
      <c r="I99" t="n">
        <v>3</v>
      </c>
      <c r="J99" t="n">
        <v>5</v>
      </c>
      <c r="K99" t="n">
        <v>2</v>
      </c>
      <c r="L99" t="n">
        <v>1</v>
      </c>
      <c r="M99" t="n">
        <v>3</v>
      </c>
      <c r="N99" t="n">
        <v>3</v>
      </c>
      <c r="O99" t="n">
        <v>5</v>
      </c>
      <c r="P99" t="n">
        <v>3</v>
      </c>
      <c r="Q99" t="n">
        <v>1</v>
      </c>
      <c r="R99" t="n">
        <v>4</v>
      </c>
      <c r="S99" t="n">
        <v>5</v>
      </c>
      <c r="T99" t="n">
        <v>2</v>
      </c>
      <c r="U99" t="n">
        <v>4</v>
      </c>
      <c r="V99" t="n">
        <v>3</v>
      </c>
      <c r="W99">
        <f>(AVERAGE(B99:D99)-1)/4</f>
        <v/>
      </c>
      <c r="X99">
        <f>(AVERAGE(E99:G99)-1)/4</f>
        <v/>
      </c>
      <c r="Y99">
        <f>(AVERAGE(H99:J99)-1)/4</f>
        <v/>
      </c>
      <c r="Z99">
        <f>(AVERAGE(K99:M99)-1)/4</f>
        <v/>
      </c>
      <c r="AA99">
        <f>(AVERAGE(N99:P99)-1)/4</f>
        <v/>
      </c>
      <c r="AB99">
        <f>(AVERAGE(Q99:S99)-1)/4</f>
        <v/>
      </c>
      <c r="AC99">
        <f>(AVERAGE(T99:V99)-1)/4</f>
        <v/>
      </c>
      <c r="AD99">
        <f>AVERAGE(W99:AA99)</f>
        <v/>
      </c>
      <c r="AE99">
        <f>MIN(W99:AA99)</f>
        <v/>
      </c>
      <c r="AF99">
        <f>1-alpha*MAX(0,delta-AE99)</f>
        <v/>
      </c>
      <c r="AG99">
        <f>AD99*AF99</f>
        <v/>
      </c>
      <c r="AH99">
        <f>1+COUNTIF(bounds,"&lt;"&amp;ROUND(AD99,12))</f>
        <v/>
      </c>
      <c r="AI99">
        <f>1+COUNTIF(bounds,"&lt;"&amp;ROUND(AG99,12))</f>
        <v/>
      </c>
      <c r="AJ99">
        <f>IF(AF99&lt;1,1,0)</f>
        <v/>
      </c>
      <c r="AK99">
        <f>IF(AH99&lt;&gt;AI99,1,0)</f>
        <v/>
      </c>
      <c r="AL99">
        <f>IF(AND(AI99&gt;=3,AB99&lt;=0.2),1,0)</f>
        <v/>
      </c>
      <c r="AM99">
        <f>AVERAGE(W99:AB99)</f>
        <v/>
      </c>
      <c r="AN99">
        <f>1+COUNTIF(bounds,"&lt;"&amp;ROUND(AM99,12))</f>
        <v/>
      </c>
      <c r="AO99">
        <f>IF(AK99=1,AD99,NA())</f>
        <v/>
      </c>
      <c r="AP99">
        <f>IF(AK99=0,AD99,NA())</f>
        <v/>
      </c>
    </row>
    <row r="100">
      <c r="A100" t="n">
        <v>92</v>
      </c>
      <c r="B100" t="n">
        <v>4</v>
      </c>
      <c r="C100" t="n">
        <v>3</v>
      </c>
      <c r="D100" t="n">
        <v>3</v>
      </c>
      <c r="E100" t="n">
        <v>5</v>
      </c>
      <c r="F100" t="n">
        <v>5</v>
      </c>
      <c r="G100" t="n">
        <v>5</v>
      </c>
      <c r="H100" t="n">
        <v>4</v>
      </c>
      <c r="I100" t="n">
        <v>4</v>
      </c>
      <c r="J100" t="n">
        <v>3</v>
      </c>
      <c r="K100" t="n">
        <v>1</v>
      </c>
      <c r="L100" t="n">
        <v>5</v>
      </c>
      <c r="M100" t="n">
        <v>1</v>
      </c>
      <c r="N100" t="n">
        <v>1</v>
      </c>
      <c r="O100" t="n">
        <v>5</v>
      </c>
      <c r="P100" t="n">
        <v>4</v>
      </c>
      <c r="Q100" t="n">
        <v>4</v>
      </c>
      <c r="R100" t="n">
        <v>3</v>
      </c>
      <c r="S100" t="n">
        <v>1</v>
      </c>
      <c r="T100" t="n">
        <v>5</v>
      </c>
      <c r="U100" t="n">
        <v>3</v>
      </c>
      <c r="V100" t="n">
        <v>4</v>
      </c>
      <c r="W100">
        <f>(AVERAGE(B100:D100)-1)/4</f>
        <v/>
      </c>
      <c r="X100">
        <f>(AVERAGE(E100:G100)-1)/4</f>
        <v/>
      </c>
      <c r="Y100">
        <f>(AVERAGE(H100:J100)-1)/4</f>
        <v/>
      </c>
      <c r="Z100">
        <f>(AVERAGE(K100:M100)-1)/4</f>
        <v/>
      </c>
      <c r="AA100">
        <f>(AVERAGE(N100:P100)-1)/4</f>
        <v/>
      </c>
      <c r="AB100">
        <f>(AVERAGE(Q100:S100)-1)/4</f>
        <v/>
      </c>
      <c r="AC100">
        <f>(AVERAGE(T100:V100)-1)/4</f>
        <v/>
      </c>
      <c r="AD100">
        <f>AVERAGE(W100:AA100)</f>
        <v/>
      </c>
      <c r="AE100">
        <f>MIN(W100:AA100)</f>
        <v/>
      </c>
      <c r="AF100">
        <f>1-alpha*MAX(0,delta-AE100)</f>
        <v/>
      </c>
      <c r="AG100">
        <f>AD100*AF100</f>
        <v/>
      </c>
      <c r="AH100">
        <f>1+COUNTIF(bounds,"&lt;"&amp;ROUND(AD100,12))</f>
        <v/>
      </c>
      <c r="AI100">
        <f>1+COUNTIF(bounds,"&lt;"&amp;ROUND(AG100,12))</f>
        <v/>
      </c>
      <c r="AJ100">
        <f>IF(AF100&lt;1,1,0)</f>
        <v/>
      </c>
      <c r="AK100">
        <f>IF(AH100&lt;&gt;AI100,1,0)</f>
        <v/>
      </c>
      <c r="AL100">
        <f>IF(AND(AI100&gt;=3,AB100&lt;=0.2),1,0)</f>
        <v/>
      </c>
      <c r="AM100">
        <f>AVERAGE(W100:AB100)</f>
        <v/>
      </c>
      <c r="AN100">
        <f>1+COUNTIF(bounds,"&lt;"&amp;ROUND(AM100,12))</f>
        <v/>
      </c>
      <c r="AO100">
        <f>IF(AK100=1,AD100,NA())</f>
        <v/>
      </c>
      <c r="AP100">
        <f>IF(AK100=0,AD100,NA())</f>
        <v/>
      </c>
    </row>
    <row r="101">
      <c r="A101" t="n">
        <v>93</v>
      </c>
      <c r="B101" t="n">
        <v>1</v>
      </c>
      <c r="C101" t="n">
        <v>1</v>
      </c>
      <c r="D101" t="n">
        <v>2</v>
      </c>
      <c r="E101" t="n">
        <v>1</v>
      </c>
      <c r="F101" t="n">
        <v>1</v>
      </c>
      <c r="G101" t="n">
        <v>4</v>
      </c>
      <c r="H101" t="n">
        <v>1</v>
      </c>
      <c r="I101" t="n">
        <v>1</v>
      </c>
      <c r="J101" t="n">
        <v>4</v>
      </c>
      <c r="K101" t="n">
        <v>2</v>
      </c>
      <c r="L101" t="n">
        <v>1</v>
      </c>
      <c r="M101" t="n">
        <v>3</v>
      </c>
      <c r="N101" t="n">
        <v>3</v>
      </c>
      <c r="O101" t="n">
        <v>1</v>
      </c>
      <c r="P101" t="n">
        <v>5</v>
      </c>
      <c r="Q101" t="n">
        <v>1</v>
      </c>
      <c r="R101" t="n">
        <v>3</v>
      </c>
      <c r="S101" t="n">
        <v>5</v>
      </c>
      <c r="T101" t="n">
        <v>4</v>
      </c>
      <c r="U101" t="n">
        <v>1</v>
      </c>
      <c r="V101" t="n">
        <v>3</v>
      </c>
      <c r="W101">
        <f>(AVERAGE(B101:D101)-1)/4</f>
        <v/>
      </c>
      <c r="X101">
        <f>(AVERAGE(E101:G101)-1)/4</f>
        <v/>
      </c>
      <c r="Y101">
        <f>(AVERAGE(H101:J101)-1)/4</f>
        <v/>
      </c>
      <c r="Z101">
        <f>(AVERAGE(K101:M101)-1)/4</f>
        <v/>
      </c>
      <c r="AA101">
        <f>(AVERAGE(N101:P101)-1)/4</f>
        <v/>
      </c>
      <c r="AB101">
        <f>(AVERAGE(Q101:S101)-1)/4</f>
        <v/>
      </c>
      <c r="AC101">
        <f>(AVERAGE(T101:V101)-1)/4</f>
        <v/>
      </c>
      <c r="AD101">
        <f>AVERAGE(W101:AA101)</f>
        <v/>
      </c>
      <c r="AE101">
        <f>MIN(W101:AA101)</f>
        <v/>
      </c>
      <c r="AF101">
        <f>1-alpha*MAX(0,delta-AE101)</f>
        <v/>
      </c>
      <c r="AG101">
        <f>AD101*AF101</f>
        <v/>
      </c>
      <c r="AH101">
        <f>1+COUNTIF(bounds,"&lt;"&amp;ROUND(AD101,12))</f>
        <v/>
      </c>
      <c r="AI101">
        <f>1+COUNTIF(bounds,"&lt;"&amp;ROUND(AG101,12))</f>
        <v/>
      </c>
      <c r="AJ101">
        <f>IF(AF101&lt;1,1,0)</f>
        <v/>
      </c>
      <c r="AK101">
        <f>IF(AH101&lt;&gt;AI101,1,0)</f>
        <v/>
      </c>
      <c r="AL101">
        <f>IF(AND(AI101&gt;=3,AB101&lt;=0.2),1,0)</f>
        <v/>
      </c>
      <c r="AM101">
        <f>AVERAGE(W101:AB101)</f>
        <v/>
      </c>
      <c r="AN101">
        <f>1+COUNTIF(bounds,"&lt;"&amp;ROUND(AM101,12))</f>
        <v/>
      </c>
      <c r="AO101">
        <f>IF(AK101=1,AD101,NA())</f>
        <v/>
      </c>
      <c r="AP101">
        <f>IF(AK101=0,AD101,NA())</f>
        <v/>
      </c>
    </row>
    <row r="102">
      <c r="A102" t="n">
        <v>94</v>
      </c>
      <c r="B102" t="n">
        <v>3</v>
      </c>
      <c r="C102" t="n">
        <v>4</v>
      </c>
      <c r="D102" t="n">
        <v>1</v>
      </c>
      <c r="E102" t="n">
        <v>4</v>
      </c>
      <c r="F102" t="n">
        <v>4</v>
      </c>
      <c r="G102" t="n">
        <v>5</v>
      </c>
      <c r="H102" t="n">
        <v>2</v>
      </c>
      <c r="I102" t="n">
        <v>3</v>
      </c>
      <c r="J102" t="n">
        <v>2</v>
      </c>
      <c r="K102" t="n">
        <v>4</v>
      </c>
      <c r="L102" t="n">
        <v>3</v>
      </c>
      <c r="M102" t="n">
        <v>3</v>
      </c>
      <c r="N102" t="n">
        <v>5</v>
      </c>
      <c r="O102" t="n">
        <v>1</v>
      </c>
      <c r="P102" t="n">
        <v>2</v>
      </c>
      <c r="Q102" t="n">
        <v>2</v>
      </c>
      <c r="R102" t="n">
        <v>4</v>
      </c>
      <c r="S102" t="n">
        <v>2</v>
      </c>
      <c r="T102" t="n">
        <v>2</v>
      </c>
      <c r="U102" t="n">
        <v>5</v>
      </c>
      <c r="V102" t="n">
        <v>4</v>
      </c>
      <c r="W102">
        <f>(AVERAGE(B102:D102)-1)/4</f>
        <v/>
      </c>
      <c r="X102">
        <f>(AVERAGE(E102:G102)-1)/4</f>
        <v/>
      </c>
      <c r="Y102">
        <f>(AVERAGE(H102:J102)-1)/4</f>
        <v/>
      </c>
      <c r="Z102">
        <f>(AVERAGE(K102:M102)-1)/4</f>
        <v/>
      </c>
      <c r="AA102">
        <f>(AVERAGE(N102:P102)-1)/4</f>
        <v/>
      </c>
      <c r="AB102">
        <f>(AVERAGE(Q102:S102)-1)/4</f>
        <v/>
      </c>
      <c r="AC102">
        <f>(AVERAGE(T102:V102)-1)/4</f>
        <v/>
      </c>
      <c r="AD102">
        <f>AVERAGE(W102:AA102)</f>
        <v/>
      </c>
      <c r="AE102">
        <f>MIN(W102:AA102)</f>
        <v/>
      </c>
      <c r="AF102">
        <f>1-alpha*MAX(0,delta-AE102)</f>
        <v/>
      </c>
      <c r="AG102">
        <f>AD102*AF102</f>
        <v/>
      </c>
      <c r="AH102">
        <f>1+COUNTIF(bounds,"&lt;"&amp;ROUND(AD102,12))</f>
        <v/>
      </c>
      <c r="AI102">
        <f>1+COUNTIF(bounds,"&lt;"&amp;ROUND(AG102,12))</f>
        <v/>
      </c>
      <c r="AJ102">
        <f>IF(AF102&lt;1,1,0)</f>
        <v/>
      </c>
      <c r="AK102">
        <f>IF(AH102&lt;&gt;AI102,1,0)</f>
        <v/>
      </c>
      <c r="AL102">
        <f>IF(AND(AI102&gt;=3,AB102&lt;=0.2),1,0)</f>
        <v/>
      </c>
      <c r="AM102">
        <f>AVERAGE(W102:AB102)</f>
        <v/>
      </c>
      <c r="AN102">
        <f>1+COUNTIF(bounds,"&lt;"&amp;ROUND(AM102,12))</f>
        <v/>
      </c>
      <c r="AO102">
        <f>IF(AK102=1,AD102,NA())</f>
        <v/>
      </c>
      <c r="AP102">
        <f>IF(AK102=0,AD102,NA())</f>
        <v/>
      </c>
    </row>
    <row r="103">
      <c r="A103" t="n">
        <v>95</v>
      </c>
      <c r="B103" t="n">
        <v>1</v>
      </c>
      <c r="C103" t="n">
        <v>4</v>
      </c>
      <c r="D103" t="n">
        <v>5</v>
      </c>
      <c r="E103" t="n">
        <v>2</v>
      </c>
      <c r="F103" t="n">
        <v>5</v>
      </c>
      <c r="G103" t="n">
        <v>4</v>
      </c>
      <c r="H103" t="n">
        <v>1</v>
      </c>
      <c r="I103" t="n">
        <v>1</v>
      </c>
      <c r="J103" t="n">
        <v>5</v>
      </c>
      <c r="K103" t="n">
        <v>1</v>
      </c>
      <c r="L103" t="n">
        <v>2</v>
      </c>
      <c r="M103" t="n">
        <v>5</v>
      </c>
      <c r="N103" t="n">
        <v>3</v>
      </c>
      <c r="O103" t="n">
        <v>4</v>
      </c>
      <c r="P103" t="n">
        <v>2</v>
      </c>
      <c r="Q103" t="n">
        <v>3</v>
      </c>
      <c r="R103" t="n">
        <v>3</v>
      </c>
      <c r="S103" t="n">
        <v>1</v>
      </c>
      <c r="T103" t="n">
        <v>5</v>
      </c>
      <c r="U103" t="n">
        <v>4</v>
      </c>
      <c r="V103" t="n">
        <v>4</v>
      </c>
      <c r="W103">
        <f>(AVERAGE(B103:D103)-1)/4</f>
        <v/>
      </c>
      <c r="X103">
        <f>(AVERAGE(E103:G103)-1)/4</f>
        <v/>
      </c>
      <c r="Y103">
        <f>(AVERAGE(H103:J103)-1)/4</f>
        <v/>
      </c>
      <c r="Z103">
        <f>(AVERAGE(K103:M103)-1)/4</f>
        <v/>
      </c>
      <c r="AA103">
        <f>(AVERAGE(N103:P103)-1)/4</f>
        <v/>
      </c>
      <c r="AB103">
        <f>(AVERAGE(Q103:S103)-1)/4</f>
        <v/>
      </c>
      <c r="AC103">
        <f>(AVERAGE(T103:V103)-1)/4</f>
        <v/>
      </c>
      <c r="AD103">
        <f>AVERAGE(W103:AA103)</f>
        <v/>
      </c>
      <c r="AE103">
        <f>MIN(W103:AA103)</f>
        <v/>
      </c>
      <c r="AF103">
        <f>1-alpha*MAX(0,delta-AE103)</f>
        <v/>
      </c>
      <c r="AG103">
        <f>AD103*AF103</f>
        <v/>
      </c>
      <c r="AH103">
        <f>1+COUNTIF(bounds,"&lt;"&amp;ROUND(AD103,12))</f>
        <v/>
      </c>
      <c r="AI103">
        <f>1+COUNTIF(bounds,"&lt;"&amp;ROUND(AG103,12))</f>
        <v/>
      </c>
      <c r="AJ103">
        <f>IF(AF103&lt;1,1,0)</f>
        <v/>
      </c>
      <c r="AK103">
        <f>IF(AH103&lt;&gt;AI103,1,0)</f>
        <v/>
      </c>
      <c r="AL103">
        <f>IF(AND(AI103&gt;=3,AB103&lt;=0.2),1,0)</f>
        <v/>
      </c>
      <c r="AM103">
        <f>AVERAGE(W103:AB103)</f>
        <v/>
      </c>
      <c r="AN103">
        <f>1+COUNTIF(bounds,"&lt;"&amp;ROUND(AM103,12))</f>
        <v/>
      </c>
      <c r="AO103">
        <f>IF(AK103=1,AD103,NA())</f>
        <v/>
      </c>
      <c r="AP103">
        <f>IF(AK103=0,AD103,NA())</f>
        <v/>
      </c>
    </row>
    <row r="104">
      <c r="A104" t="n">
        <v>96</v>
      </c>
      <c r="B104" t="n">
        <v>5</v>
      </c>
      <c r="C104" t="n">
        <v>4</v>
      </c>
      <c r="D104" t="n">
        <v>5</v>
      </c>
      <c r="E104" t="n">
        <v>1</v>
      </c>
      <c r="F104" t="n">
        <v>3</v>
      </c>
      <c r="G104" t="n">
        <v>5</v>
      </c>
      <c r="H104" t="n">
        <v>3</v>
      </c>
      <c r="I104" t="n">
        <v>1</v>
      </c>
      <c r="J104" t="n">
        <v>3</v>
      </c>
      <c r="K104" t="n">
        <v>4</v>
      </c>
      <c r="L104" t="n">
        <v>4</v>
      </c>
      <c r="M104" t="n">
        <v>3</v>
      </c>
      <c r="N104" t="n">
        <v>4</v>
      </c>
      <c r="O104" t="n">
        <v>2</v>
      </c>
      <c r="P104" t="n">
        <v>1</v>
      </c>
      <c r="Q104" t="n">
        <v>1</v>
      </c>
      <c r="R104" t="n">
        <v>4</v>
      </c>
      <c r="S104" t="n">
        <v>4</v>
      </c>
      <c r="T104" t="n">
        <v>1</v>
      </c>
      <c r="U104" t="n">
        <v>4</v>
      </c>
      <c r="V104" t="n">
        <v>5</v>
      </c>
      <c r="W104">
        <f>(AVERAGE(B104:D104)-1)/4</f>
        <v/>
      </c>
      <c r="X104">
        <f>(AVERAGE(E104:G104)-1)/4</f>
        <v/>
      </c>
      <c r="Y104">
        <f>(AVERAGE(H104:J104)-1)/4</f>
        <v/>
      </c>
      <c r="Z104">
        <f>(AVERAGE(K104:M104)-1)/4</f>
        <v/>
      </c>
      <c r="AA104">
        <f>(AVERAGE(N104:P104)-1)/4</f>
        <v/>
      </c>
      <c r="AB104">
        <f>(AVERAGE(Q104:S104)-1)/4</f>
        <v/>
      </c>
      <c r="AC104">
        <f>(AVERAGE(T104:V104)-1)/4</f>
        <v/>
      </c>
      <c r="AD104">
        <f>AVERAGE(W104:AA104)</f>
        <v/>
      </c>
      <c r="AE104">
        <f>MIN(W104:AA104)</f>
        <v/>
      </c>
      <c r="AF104">
        <f>1-alpha*MAX(0,delta-AE104)</f>
        <v/>
      </c>
      <c r="AG104">
        <f>AD104*AF104</f>
        <v/>
      </c>
      <c r="AH104">
        <f>1+COUNTIF(bounds,"&lt;"&amp;ROUND(AD104,12))</f>
        <v/>
      </c>
      <c r="AI104">
        <f>1+COUNTIF(bounds,"&lt;"&amp;ROUND(AG104,12))</f>
        <v/>
      </c>
      <c r="AJ104">
        <f>IF(AF104&lt;1,1,0)</f>
        <v/>
      </c>
      <c r="AK104">
        <f>IF(AH104&lt;&gt;AI104,1,0)</f>
        <v/>
      </c>
      <c r="AL104">
        <f>IF(AND(AI104&gt;=3,AB104&lt;=0.2),1,0)</f>
        <v/>
      </c>
      <c r="AM104">
        <f>AVERAGE(W104:AB104)</f>
        <v/>
      </c>
      <c r="AN104">
        <f>1+COUNTIF(bounds,"&lt;"&amp;ROUND(AM104,12))</f>
        <v/>
      </c>
      <c r="AO104">
        <f>IF(AK104=1,AD104,NA())</f>
        <v/>
      </c>
      <c r="AP104">
        <f>IF(AK104=0,AD104,NA())</f>
        <v/>
      </c>
    </row>
    <row r="105">
      <c r="A105" t="n">
        <v>97</v>
      </c>
      <c r="B105" t="n">
        <v>3</v>
      </c>
      <c r="C105" t="n">
        <v>4</v>
      </c>
      <c r="D105" t="n">
        <v>3</v>
      </c>
      <c r="E105" t="n">
        <v>3</v>
      </c>
      <c r="F105" t="n">
        <v>2</v>
      </c>
      <c r="G105" t="n">
        <v>4</v>
      </c>
      <c r="H105" t="n">
        <v>3</v>
      </c>
      <c r="I105" t="n">
        <v>2</v>
      </c>
      <c r="J105" t="n">
        <v>3</v>
      </c>
      <c r="K105" t="n">
        <v>2</v>
      </c>
      <c r="L105" t="n">
        <v>2</v>
      </c>
      <c r="M105" t="n">
        <v>2</v>
      </c>
      <c r="N105" t="n">
        <v>4</v>
      </c>
      <c r="O105" t="n">
        <v>4</v>
      </c>
      <c r="P105" t="n">
        <v>2</v>
      </c>
      <c r="Q105" t="n">
        <v>2</v>
      </c>
      <c r="R105" t="n">
        <v>4</v>
      </c>
      <c r="S105" t="n">
        <v>1</v>
      </c>
      <c r="T105" t="n">
        <v>3</v>
      </c>
      <c r="U105" t="n">
        <v>5</v>
      </c>
      <c r="V105" t="n">
        <v>5</v>
      </c>
      <c r="W105">
        <f>(AVERAGE(B105:D105)-1)/4</f>
        <v/>
      </c>
      <c r="X105">
        <f>(AVERAGE(E105:G105)-1)/4</f>
        <v/>
      </c>
      <c r="Y105">
        <f>(AVERAGE(H105:J105)-1)/4</f>
        <v/>
      </c>
      <c r="Z105">
        <f>(AVERAGE(K105:M105)-1)/4</f>
        <v/>
      </c>
      <c r="AA105">
        <f>(AVERAGE(N105:P105)-1)/4</f>
        <v/>
      </c>
      <c r="AB105">
        <f>(AVERAGE(Q105:S105)-1)/4</f>
        <v/>
      </c>
      <c r="AC105">
        <f>(AVERAGE(T105:V105)-1)/4</f>
        <v/>
      </c>
      <c r="AD105">
        <f>AVERAGE(W105:AA105)</f>
        <v/>
      </c>
      <c r="AE105">
        <f>MIN(W105:AA105)</f>
        <v/>
      </c>
      <c r="AF105">
        <f>1-alpha*MAX(0,delta-AE105)</f>
        <v/>
      </c>
      <c r="AG105">
        <f>AD105*AF105</f>
        <v/>
      </c>
      <c r="AH105">
        <f>1+COUNTIF(bounds,"&lt;"&amp;ROUND(AD105,12))</f>
        <v/>
      </c>
      <c r="AI105">
        <f>1+COUNTIF(bounds,"&lt;"&amp;ROUND(AG105,12))</f>
        <v/>
      </c>
      <c r="AJ105">
        <f>IF(AF105&lt;1,1,0)</f>
        <v/>
      </c>
      <c r="AK105">
        <f>IF(AH105&lt;&gt;AI105,1,0)</f>
        <v/>
      </c>
      <c r="AL105">
        <f>IF(AND(AI105&gt;=3,AB105&lt;=0.2),1,0)</f>
        <v/>
      </c>
      <c r="AM105">
        <f>AVERAGE(W105:AB105)</f>
        <v/>
      </c>
      <c r="AN105">
        <f>1+COUNTIF(bounds,"&lt;"&amp;ROUND(AM105,12))</f>
        <v/>
      </c>
      <c r="AO105">
        <f>IF(AK105=1,AD105,NA())</f>
        <v/>
      </c>
      <c r="AP105">
        <f>IF(AK105=0,AD105,NA())</f>
        <v/>
      </c>
    </row>
    <row r="106">
      <c r="A106" t="n">
        <v>98</v>
      </c>
      <c r="B106" t="n">
        <v>2</v>
      </c>
      <c r="C106" t="n">
        <v>5</v>
      </c>
      <c r="D106" t="n">
        <v>3</v>
      </c>
      <c r="E106" t="n">
        <v>4</v>
      </c>
      <c r="F106" t="n">
        <v>4</v>
      </c>
      <c r="G106" t="n">
        <v>2</v>
      </c>
      <c r="H106" t="n">
        <v>1</v>
      </c>
      <c r="I106" t="n">
        <v>4</v>
      </c>
      <c r="J106" t="n">
        <v>1</v>
      </c>
      <c r="K106" t="n">
        <v>5</v>
      </c>
      <c r="L106" t="n">
        <v>1</v>
      </c>
      <c r="M106" t="n">
        <v>4</v>
      </c>
      <c r="N106" t="n">
        <v>3</v>
      </c>
      <c r="O106" t="n">
        <v>1</v>
      </c>
      <c r="P106" t="n">
        <v>5</v>
      </c>
      <c r="Q106" t="n">
        <v>1</v>
      </c>
      <c r="R106" t="n">
        <v>4</v>
      </c>
      <c r="S106" t="n">
        <v>5</v>
      </c>
      <c r="T106" t="n">
        <v>2</v>
      </c>
      <c r="U106" t="n">
        <v>1</v>
      </c>
      <c r="V106" t="n">
        <v>3</v>
      </c>
      <c r="W106">
        <f>(AVERAGE(B106:D106)-1)/4</f>
        <v/>
      </c>
      <c r="X106">
        <f>(AVERAGE(E106:G106)-1)/4</f>
        <v/>
      </c>
      <c r="Y106">
        <f>(AVERAGE(H106:J106)-1)/4</f>
        <v/>
      </c>
      <c r="Z106">
        <f>(AVERAGE(K106:M106)-1)/4</f>
        <v/>
      </c>
      <c r="AA106">
        <f>(AVERAGE(N106:P106)-1)/4</f>
        <v/>
      </c>
      <c r="AB106">
        <f>(AVERAGE(Q106:S106)-1)/4</f>
        <v/>
      </c>
      <c r="AC106">
        <f>(AVERAGE(T106:V106)-1)/4</f>
        <v/>
      </c>
      <c r="AD106">
        <f>AVERAGE(W106:AA106)</f>
        <v/>
      </c>
      <c r="AE106">
        <f>MIN(W106:AA106)</f>
        <v/>
      </c>
      <c r="AF106">
        <f>1-alpha*MAX(0,delta-AE106)</f>
        <v/>
      </c>
      <c r="AG106">
        <f>AD106*AF106</f>
        <v/>
      </c>
      <c r="AH106">
        <f>1+COUNTIF(bounds,"&lt;"&amp;ROUND(AD106,12))</f>
        <v/>
      </c>
      <c r="AI106">
        <f>1+COUNTIF(bounds,"&lt;"&amp;ROUND(AG106,12))</f>
        <v/>
      </c>
      <c r="AJ106">
        <f>IF(AF106&lt;1,1,0)</f>
        <v/>
      </c>
      <c r="AK106">
        <f>IF(AH106&lt;&gt;AI106,1,0)</f>
        <v/>
      </c>
      <c r="AL106">
        <f>IF(AND(AI106&gt;=3,AB106&lt;=0.2),1,0)</f>
        <v/>
      </c>
      <c r="AM106">
        <f>AVERAGE(W106:AB106)</f>
        <v/>
      </c>
      <c r="AN106">
        <f>1+COUNTIF(bounds,"&lt;"&amp;ROUND(AM106,12))</f>
        <v/>
      </c>
      <c r="AO106">
        <f>IF(AK106=1,AD106,NA())</f>
        <v/>
      </c>
      <c r="AP106">
        <f>IF(AK106=0,AD106,NA())</f>
        <v/>
      </c>
    </row>
    <row r="107">
      <c r="A107" t="n">
        <v>99</v>
      </c>
      <c r="B107" t="n">
        <v>4</v>
      </c>
      <c r="C107" t="n">
        <v>3</v>
      </c>
      <c r="D107" t="n">
        <v>1</v>
      </c>
      <c r="E107" t="n">
        <v>2</v>
      </c>
      <c r="F107" t="n">
        <v>3</v>
      </c>
      <c r="G107" t="n">
        <v>5</v>
      </c>
      <c r="H107" t="n">
        <v>2</v>
      </c>
      <c r="I107" t="n">
        <v>1</v>
      </c>
      <c r="J107" t="n">
        <v>4</v>
      </c>
      <c r="K107" t="n">
        <v>1</v>
      </c>
      <c r="L107" t="n">
        <v>1</v>
      </c>
      <c r="M107" t="n">
        <v>5</v>
      </c>
      <c r="N107" t="n">
        <v>1</v>
      </c>
      <c r="O107" t="n">
        <v>2</v>
      </c>
      <c r="P107" t="n">
        <v>3</v>
      </c>
      <c r="Q107" t="n">
        <v>4</v>
      </c>
      <c r="R107" t="n">
        <v>2</v>
      </c>
      <c r="S107" t="n">
        <v>3</v>
      </c>
      <c r="T107" t="n">
        <v>5</v>
      </c>
      <c r="U107" t="n">
        <v>3</v>
      </c>
      <c r="V107" t="n">
        <v>4</v>
      </c>
      <c r="W107">
        <f>(AVERAGE(B107:D107)-1)/4</f>
        <v/>
      </c>
      <c r="X107">
        <f>(AVERAGE(E107:G107)-1)/4</f>
        <v/>
      </c>
      <c r="Y107">
        <f>(AVERAGE(H107:J107)-1)/4</f>
        <v/>
      </c>
      <c r="Z107">
        <f>(AVERAGE(K107:M107)-1)/4</f>
        <v/>
      </c>
      <c r="AA107">
        <f>(AVERAGE(N107:P107)-1)/4</f>
        <v/>
      </c>
      <c r="AB107">
        <f>(AVERAGE(Q107:S107)-1)/4</f>
        <v/>
      </c>
      <c r="AC107">
        <f>(AVERAGE(T107:V107)-1)/4</f>
        <v/>
      </c>
      <c r="AD107">
        <f>AVERAGE(W107:AA107)</f>
        <v/>
      </c>
      <c r="AE107">
        <f>MIN(W107:AA107)</f>
        <v/>
      </c>
      <c r="AF107">
        <f>1-alpha*MAX(0,delta-AE107)</f>
        <v/>
      </c>
      <c r="AG107">
        <f>AD107*AF107</f>
        <v/>
      </c>
      <c r="AH107">
        <f>1+COUNTIF(bounds,"&lt;"&amp;ROUND(AD107,12))</f>
        <v/>
      </c>
      <c r="AI107">
        <f>1+COUNTIF(bounds,"&lt;"&amp;ROUND(AG107,12))</f>
        <v/>
      </c>
      <c r="AJ107">
        <f>IF(AF107&lt;1,1,0)</f>
        <v/>
      </c>
      <c r="AK107">
        <f>IF(AH107&lt;&gt;AI107,1,0)</f>
        <v/>
      </c>
      <c r="AL107">
        <f>IF(AND(AI107&gt;=3,AB107&lt;=0.2),1,0)</f>
        <v/>
      </c>
      <c r="AM107">
        <f>AVERAGE(W107:AB107)</f>
        <v/>
      </c>
      <c r="AN107">
        <f>1+COUNTIF(bounds,"&lt;"&amp;ROUND(AM107,12))</f>
        <v/>
      </c>
      <c r="AO107">
        <f>IF(AK107=1,AD107,NA())</f>
        <v/>
      </c>
      <c r="AP107">
        <f>IF(AK107=0,AD107,NA())</f>
        <v/>
      </c>
    </row>
    <row r="108">
      <c r="A108" t="n">
        <v>100</v>
      </c>
      <c r="B108" t="n">
        <v>1</v>
      </c>
      <c r="C108" t="n">
        <v>3</v>
      </c>
      <c r="D108" t="n">
        <v>4</v>
      </c>
      <c r="E108" t="n">
        <v>4</v>
      </c>
      <c r="F108" t="n">
        <v>4</v>
      </c>
      <c r="G108" t="n">
        <v>2</v>
      </c>
      <c r="H108" t="n">
        <v>5</v>
      </c>
      <c r="I108" t="n">
        <v>2</v>
      </c>
      <c r="J108" t="n">
        <v>4</v>
      </c>
      <c r="K108" t="n">
        <v>5</v>
      </c>
      <c r="L108" t="n">
        <v>2</v>
      </c>
      <c r="M108" t="n">
        <v>1</v>
      </c>
      <c r="N108" t="n">
        <v>5</v>
      </c>
      <c r="O108" t="n">
        <v>4</v>
      </c>
      <c r="P108" t="n">
        <v>1</v>
      </c>
      <c r="Q108" t="n">
        <v>1</v>
      </c>
      <c r="R108" t="n">
        <v>3</v>
      </c>
      <c r="S108" t="n">
        <v>3</v>
      </c>
      <c r="T108" t="n">
        <v>3</v>
      </c>
      <c r="U108" t="n">
        <v>2</v>
      </c>
      <c r="V108" t="n">
        <v>5</v>
      </c>
      <c r="W108">
        <f>(AVERAGE(B108:D108)-1)/4</f>
        <v/>
      </c>
      <c r="X108">
        <f>(AVERAGE(E108:G108)-1)/4</f>
        <v/>
      </c>
      <c r="Y108">
        <f>(AVERAGE(H108:J108)-1)/4</f>
        <v/>
      </c>
      <c r="Z108">
        <f>(AVERAGE(K108:M108)-1)/4</f>
        <v/>
      </c>
      <c r="AA108">
        <f>(AVERAGE(N108:P108)-1)/4</f>
        <v/>
      </c>
      <c r="AB108">
        <f>(AVERAGE(Q108:S108)-1)/4</f>
        <v/>
      </c>
      <c r="AC108">
        <f>(AVERAGE(T108:V108)-1)/4</f>
        <v/>
      </c>
      <c r="AD108">
        <f>AVERAGE(W108:AA108)</f>
        <v/>
      </c>
      <c r="AE108">
        <f>MIN(W108:AA108)</f>
        <v/>
      </c>
      <c r="AF108">
        <f>1-alpha*MAX(0,delta-AE108)</f>
        <v/>
      </c>
      <c r="AG108">
        <f>AD108*AF108</f>
        <v/>
      </c>
      <c r="AH108">
        <f>1+COUNTIF(bounds,"&lt;"&amp;ROUND(AD108,12))</f>
        <v/>
      </c>
      <c r="AI108">
        <f>1+COUNTIF(bounds,"&lt;"&amp;ROUND(AG108,12))</f>
        <v/>
      </c>
      <c r="AJ108">
        <f>IF(AF108&lt;1,1,0)</f>
        <v/>
      </c>
      <c r="AK108">
        <f>IF(AH108&lt;&gt;AI108,1,0)</f>
        <v/>
      </c>
      <c r="AL108">
        <f>IF(AND(AI108&gt;=3,AB108&lt;=0.2),1,0)</f>
        <v/>
      </c>
      <c r="AM108">
        <f>AVERAGE(W108:AB108)</f>
        <v/>
      </c>
      <c r="AN108">
        <f>1+COUNTIF(bounds,"&lt;"&amp;ROUND(AM108,12))</f>
        <v/>
      </c>
      <c r="AO108">
        <f>IF(AK108=1,AD108,NA())</f>
        <v/>
      </c>
      <c r="AP108">
        <f>IF(AK108=0,AD108,NA())</f>
        <v/>
      </c>
    </row>
    <row r="109">
      <c r="A109" t="n">
        <v>101</v>
      </c>
      <c r="B109" t="n">
        <v>4</v>
      </c>
      <c r="C109" t="n">
        <v>2</v>
      </c>
      <c r="D109" t="n">
        <v>1</v>
      </c>
      <c r="E109" t="n">
        <v>4</v>
      </c>
      <c r="F109" t="n">
        <v>3</v>
      </c>
      <c r="G109" t="n">
        <v>1</v>
      </c>
      <c r="H109" t="n">
        <v>5</v>
      </c>
      <c r="I109" t="n">
        <v>2</v>
      </c>
      <c r="J109" t="n">
        <v>4</v>
      </c>
      <c r="K109" t="n">
        <v>2</v>
      </c>
      <c r="L109" t="n">
        <v>2</v>
      </c>
      <c r="M109" t="n">
        <v>1</v>
      </c>
      <c r="N109" t="n">
        <v>5</v>
      </c>
      <c r="O109" t="n">
        <v>3</v>
      </c>
      <c r="P109" t="n">
        <v>4</v>
      </c>
      <c r="Q109" t="n">
        <v>4</v>
      </c>
      <c r="R109" t="n">
        <v>2</v>
      </c>
      <c r="S109" t="n">
        <v>1</v>
      </c>
      <c r="T109" t="n">
        <v>5</v>
      </c>
      <c r="U109" t="n">
        <v>1</v>
      </c>
      <c r="V109" t="n">
        <v>1</v>
      </c>
      <c r="W109">
        <f>(AVERAGE(B109:D109)-1)/4</f>
        <v/>
      </c>
      <c r="X109">
        <f>(AVERAGE(E109:G109)-1)/4</f>
        <v/>
      </c>
      <c r="Y109">
        <f>(AVERAGE(H109:J109)-1)/4</f>
        <v/>
      </c>
      <c r="Z109">
        <f>(AVERAGE(K109:M109)-1)/4</f>
        <v/>
      </c>
      <c r="AA109">
        <f>(AVERAGE(N109:P109)-1)/4</f>
        <v/>
      </c>
      <c r="AB109">
        <f>(AVERAGE(Q109:S109)-1)/4</f>
        <v/>
      </c>
      <c r="AC109">
        <f>(AVERAGE(T109:V109)-1)/4</f>
        <v/>
      </c>
      <c r="AD109">
        <f>AVERAGE(W109:AA109)</f>
        <v/>
      </c>
      <c r="AE109">
        <f>MIN(W109:AA109)</f>
        <v/>
      </c>
      <c r="AF109">
        <f>1-alpha*MAX(0,delta-AE109)</f>
        <v/>
      </c>
      <c r="AG109">
        <f>AD109*AF109</f>
        <v/>
      </c>
      <c r="AH109">
        <f>1+COUNTIF(bounds,"&lt;"&amp;ROUND(AD109,12))</f>
        <v/>
      </c>
      <c r="AI109">
        <f>1+COUNTIF(bounds,"&lt;"&amp;ROUND(AG109,12))</f>
        <v/>
      </c>
      <c r="AJ109">
        <f>IF(AF109&lt;1,1,0)</f>
        <v/>
      </c>
      <c r="AK109">
        <f>IF(AH109&lt;&gt;AI109,1,0)</f>
        <v/>
      </c>
      <c r="AL109">
        <f>IF(AND(AI109&gt;=3,AB109&lt;=0.2),1,0)</f>
        <v/>
      </c>
      <c r="AM109">
        <f>AVERAGE(W109:AB109)</f>
        <v/>
      </c>
      <c r="AN109">
        <f>1+COUNTIF(bounds,"&lt;"&amp;ROUND(AM109,12))</f>
        <v/>
      </c>
      <c r="AO109">
        <f>IF(AK109=1,AD109,NA())</f>
        <v/>
      </c>
      <c r="AP109">
        <f>IF(AK109=0,AD109,NA())</f>
        <v/>
      </c>
    </row>
    <row r="110">
      <c r="A110" t="n">
        <v>102</v>
      </c>
      <c r="B110" t="n">
        <v>3</v>
      </c>
      <c r="C110" t="n">
        <v>1</v>
      </c>
      <c r="D110" t="n">
        <v>2</v>
      </c>
      <c r="E110" t="n">
        <v>5</v>
      </c>
      <c r="F110" t="n">
        <v>1</v>
      </c>
      <c r="G110" t="n">
        <v>5</v>
      </c>
      <c r="H110" t="n">
        <v>5</v>
      </c>
      <c r="I110" t="n">
        <v>3</v>
      </c>
      <c r="J110" t="n">
        <v>4</v>
      </c>
      <c r="K110" t="n">
        <v>3</v>
      </c>
      <c r="L110" t="n">
        <v>2</v>
      </c>
      <c r="M110" t="n">
        <v>2</v>
      </c>
      <c r="N110" t="n">
        <v>4</v>
      </c>
      <c r="O110" t="n">
        <v>5</v>
      </c>
      <c r="P110" t="n">
        <v>5</v>
      </c>
      <c r="Q110" t="n">
        <v>3</v>
      </c>
      <c r="R110" t="n">
        <v>4</v>
      </c>
      <c r="S110" t="n">
        <v>1</v>
      </c>
      <c r="T110" t="n">
        <v>4</v>
      </c>
      <c r="U110" t="n">
        <v>4</v>
      </c>
      <c r="V110" t="n">
        <v>1</v>
      </c>
      <c r="W110">
        <f>(AVERAGE(B110:D110)-1)/4</f>
        <v/>
      </c>
      <c r="X110">
        <f>(AVERAGE(E110:G110)-1)/4</f>
        <v/>
      </c>
      <c r="Y110">
        <f>(AVERAGE(H110:J110)-1)/4</f>
        <v/>
      </c>
      <c r="Z110">
        <f>(AVERAGE(K110:M110)-1)/4</f>
        <v/>
      </c>
      <c r="AA110">
        <f>(AVERAGE(N110:P110)-1)/4</f>
        <v/>
      </c>
      <c r="AB110">
        <f>(AVERAGE(Q110:S110)-1)/4</f>
        <v/>
      </c>
      <c r="AC110">
        <f>(AVERAGE(T110:V110)-1)/4</f>
        <v/>
      </c>
      <c r="AD110">
        <f>AVERAGE(W110:AA110)</f>
        <v/>
      </c>
      <c r="AE110">
        <f>MIN(W110:AA110)</f>
        <v/>
      </c>
      <c r="AF110">
        <f>1-alpha*MAX(0,delta-AE110)</f>
        <v/>
      </c>
      <c r="AG110">
        <f>AD110*AF110</f>
        <v/>
      </c>
      <c r="AH110">
        <f>1+COUNTIF(bounds,"&lt;"&amp;ROUND(AD110,12))</f>
        <v/>
      </c>
      <c r="AI110">
        <f>1+COUNTIF(bounds,"&lt;"&amp;ROUND(AG110,12))</f>
        <v/>
      </c>
      <c r="AJ110">
        <f>IF(AF110&lt;1,1,0)</f>
        <v/>
      </c>
      <c r="AK110">
        <f>IF(AH110&lt;&gt;AI110,1,0)</f>
        <v/>
      </c>
      <c r="AL110">
        <f>IF(AND(AI110&gt;=3,AB110&lt;=0.2),1,0)</f>
        <v/>
      </c>
      <c r="AM110">
        <f>AVERAGE(W110:AB110)</f>
        <v/>
      </c>
      <c r="AN110">
        <f>1+COUNTIF(bounds,"&lt;"&amp;ROUND(AM110,12))</f>
        <v/>
      </c>
      <c r="AO110">
        <f>IF(AK110=1,AD110,NA())</f>
        <v/>
      </c>
      <c r="AP110">
        <f>IF(AK110=0,AD110,NA())</f>
        <v/>
      </c>
    </row>
    <row r="111">
      <c r="A111" t="n">
        <v>103</v>
      </c>
      <c r="B111" t="n">
        <v>3</v>
      </c>
      <c r="C111" t="n">
        <v>2</v>
      </c>
      <c r="D111" t="n">
        <v>3</v>
      </c>
      <c r="E111" t="n">
        <v>2</v>
      </c>
      <c r="F111" t="n">
        <v>4</v>
      </c>
      <c r="G111" t="n">
        <v>5</v>
      </c>
      <c r="H111" t="n">
        <v>3</v>
      </c>
      <c r="I111" t="n">
        <v>5</v>
      </c>
      <c r="J111" t="n">
        <v>2</v>
      </c>
      <c r="K111" t="n">
        <v>4</v>
      </c>
      <c r="L111" t="n">
        <v>2</v>
      </c>
      <c r="M111" t="n">
        <v>1</v>
      </c>
      <c r="N111" t="n">
        <v>4</v>
      </c>
      <c r="O111" t="n">
        <v>5</v>
      </c>
      <c r="P111" t="n">
        <v>5</v>
      </c>
      <c r="Q111" t="n">
        <v>5</v>
      </c>
      <c r="R111" t="n">
        <v>5</v>
      </c>
      <c r="S111" t="n">
        <v>5</v>
      </c>
      <c r="T111" t="n">
        <v>3</v>
      </c>
      <c r="U111" t="n">
        <v>1</v>
      </c>
      <c r="V111" t="n">
        <v>3</v>
      </c>
      <c r="W111">
        <f>(AVERAGE(B111:D111)-1)/4</f>
        <v/>
      </c>
      <c r="X111">
        <f>(AVERAGE(E111:G111)-1)/4</f>
        <v/>
      </c>
      <c r="Y111">
        <f>(AVERAGE(H111:J111)-1)/4</f>
        <v/>
      </c>
      <c r="Z111">
        <f>(AVERAGE(K111:M111)-1)/4</f>
        <v/>
      </c>
      <c r="AA111">
        <f>(AVERAGE(N111:P111)-1)/4</f>
        <v/>
      </c>
      <c r="AB111">
        <f>(AVERAGE(Q111:S111)-1)/4</f>
        <v/>
      </c>
      <c r="AC111">
        <f>(AVERAGE(T111:V111)-1)/4</f>
        <v/>
      </c>
      <c r="AD111">
        <f>AVERAGE(W111:AA111)</f>
        <v/>
      </c>
      <c r="AE111">
        <f>MIN(W111:AA111)</f>
        <v/>
      </c>
      <c r="AF111">
        <f>1-alpha*MAX(0,delta-AE111)</f>
        <v/>
      </c>
      <c r="AG111">
        <f>AD111*AF111</f>
        <v/>
      </c>
      <c r="AH111">
        <f>1+COUNTIF(bounds,"&lt;"&amp;ROUND(AD111,12))</f>
        <v/>
      </c>
      <c r="AI111">
        <f>1+COUNTIF(bounds,"&lt;"&amp;ROUND(AG111,12))</f>
        <v/>
      </c>
      <c r="AJ111">
        <f>IF(AF111&lt;1,1,0)</f>
        <v/>
      </c>
      <c r="AK111">
        <f>IF(AH111&lt;&gt;AI111,1,0)</f>
        <v/>
      </c>
      <c r="AL111">
        <f>IF(AND(AI111&gt;=3,AB111&lt;=0.2),1,0)</f>
        <v/>
      </c>
      <c r="AM111">
        <f>AVERAGE(W111:AB111)</f>
        <v/>
      </c>
      <c r="AN111">
        <f>1+COUNTIF(bounds,"&lt;"&amp;ROUND(AM111,12))</f>
        <v/>
      </c>
      <c r="AO111">
        <f>IF(AK111=1,AD111,NA())</f>
        <v/>
      </c>
      <c r="AP111">
        <f>IF(AK111=0,AD111,NA())</f>
        <v/>
      </c>
    </row>
    <row r="112">
      <c r="A112" t="n">
        <v>104</v>
      </c>
      <c r="B112" t="n">
        <v>1</v>
      </c>
      <c r="C112" t="n">
        <v>1</v>
      </c>
      <c r="D112" t="n">
        <v>5</v>
      </c>
      <c r="E112" t="n">
        <v>2</v>
      </c>
      <c r="F112" t="n">
        <v>5</v>
      </c>
      <c r="G112" t="n">
        <v>1</v>
      </c>
      <c r="H112" t="n">
        <v>5</v>
      </c>
      <c r="I112" t="n">
        <v>3</v>
      </c>
      <c r="J112" t="n">
        <v>1</v>
      </c>
      <c r="K112" t="n">
        <v>5</v>
      </c>
      <c r="L112" t="n">
        <v>2</v>
      </c>
      <c r="M112" t="n">
        <v>2</v>
      </c>
      <c r="N112" t="n">
        <v>5</v>
      </c>
      <c r="O112" t="n">
        <v>5</v>
      </c>
      <c r="P112" t="n">
        <v>3</v>
      </c>
      <c r="Q112" t="n">
        <v>4</v>
      </c>
      <c r="R112" t="n">
        <v>2</v>
      </c>
      <c r="S112" t="n">
        <v>2</v>
      </c>
      <c r="T112" t="n">
        <v>2</v>
      </c>
      <c r="U112" t="n">
        <v>3</v>
      </c>
      <c r="V112" t="n">
        <v>2</v>
      </c>
      <c r="W112">
        <f>(AVERAGE(B112:D112)-1)/4</f>
        <v/>
      </c>
      <c r="X112">
        <f>(AVERAGE(E112:G112)-1)/4</f>
        <v/>
      </c>
      <c r="Y112">
        <f>(AVERAGE(H112:J112)-1)/4</f>
        <v/>
      </c>
      <c r="Z112">
        <f>(AVERAGE(K112:M112)-1)/4</f>
        <v/>
      </c>
      <c r="AA112">
        <f>(AVERAGE(N112:P112)-1)/4</f>
        <v/>
      </c>
      <c r="AB112">
        <f>(AVERAGE(Q112:S112)-1)/4</f>
        <v/>
      </c>
      <c r="AC112">
        <f>(AVERAGE(T112:V112)-1)/4</f>
        <v/>
      </c>
      <c r="AD112">
        <f>AVERAGE(W112:AA112)</f>
        <v/>
      </c>
      <c r="AE112">
        <f>MIN(W112:AA112)</f>
        <v/>
      </c>
      <c r="AF112">
        <f>1-alpha*MAX(0,delta-AE112)</f>
        <v/>
      </c>
      <c r="AG112">
        <f>AD112*AF112</f>
        <v/>
      </c>
      <c r="AH112">
        <f>1+COUNTIF(bounds,"&lt;"&amp;ROUND(AD112,12))</f>
        <v/>
      </c>
      <c r="AI112">
        <f>1+COUNTIF(bounds,"&lt;"&amp;ROUND(AG112,12))</f>
        <v/>
      </c>
      <c r="AJ112">
        <f>IF(AF112&lt;1,1,0)</f>
        <v/>
      </c>
      <c r="AK112">
        <f>IF(AH112&lt;&gt;AI112,1,0)</f>
        <v/>
      </c>
      <c r="AL112">
        <f>IF(AND(AI112&gt;=3,AB112&lt;=0.2),1,0)</f>
        <v/>
      </c>
      <c r="AM112">
        <f>AVERAGE(W112:AB112)</f>
        <v/>
      </c>
      <c r="AN112">
        <f>1+COUNTIF(bounds,"&lt;"&amp;ROUND(AM112,12))</f>
        <v/>
      </c>
      <c r="AO112">
        <f>IF(AK112=1,AD112,NA())</f>
        <v/>
      </c>
      <c r="AP112">
        <f>IF(AK112=0,AD112,NA())</f>
        <v/>
      </c>
    </row>
    <row r="113">
      <c r="A113" t="n">
        <v>105</v>
      </c>
      <c r="B113" t="n">
        <v>3</v>
      </c>
      <c r="C113" t="n">
        <v>5</v>
      </c>
      <c r="D113" t="n">
        <v>5</v>
      </c>
      <c r="E113" t="n">
        <v>3</v>
      </c>
      <c r="F113" t="n">
        <v>1</v>
      </c>
      <c r="G113" t="n">
        <v>1</v>
      </c>
      <c r="H113" t="n">
        <v>5</v>
      </c>
      <c r="I113" t="n">
        <v>5</v>
      </c>
      <c r="J113" t="n">
        <v>5</v>
      </c>
      <c r="K113" t="n">
        <v>3</v>
      </c>
      <c r="L113" t="n">
        <v>4</v>
      </c>
      <c r="M113" t="n">
        <v>3</v>
      </c>
      <c r="N113" t="n">
        <v>1</v>
      </c>
      <c r="O113" t="n">
        <v>3</v>
      </c>
      <c r="P113" t="n">
        <v>4</v>
      </c>
      <c r="Q113" t="n">
        <v>1</v>
      </c>
      <c r="R113" t="n">
        <v>2</v>
      </c>
      <c r="S113" t="n">
        <v>2</v>
      </c>
      <c r="T113" t="n">
        <v>2</v>
      </c>
      <c r="U113" t="n">
        <v>3</v>
      </c>
      <c r="V113" t="n">
        <v>4</v>
      </c>
      <c r="W113">
        <f>(AVERAGE(B113:D113)-1)/4</f>
        <v/>
      </c>
      <c r="X113">
        <f>(AVERAGE(E113:G113)-1)/4</f>
        <v/>
      </c>
      <c r="Y113">
        <f>(AVERAGE(H113:J113)-1)/4</f>
        <v/>
      </c>
      <c r="Z113">
        <f>(AVERAGE(K113:M113)-1)/4</f>
        <v/>
      </c>
      <c r="AA113">
        <f>(AVERAGE(N113:P113)-1)/4</f>
        <v/>
      </c>
      <c r="AB113">
        <f>(AVERAGE(Q113:S113)-1)/4</f>
        <v/>
      </c>
      <c r="AC113">
        <f>(AVERAGE(T113:V113)-1)/4</f>
        <v/>
      </c>
      <c r="AD113">
        <f>AVERAGE(W113:AA113)</f>
        <v/>
      </c>
      <c r="AE113">
        <f>MIN(W113:AA113)</f>
        <v/>
      </c>
      <c r="AF113">
        <f>1-alpha*MAX(0,delta-AE113)</f>
        <v/>
      </c>
      <c r="AG113">
        <f>AD113*AF113</f>
        <v/>
      </c>
      <c r="AH113">
        <f>1+COUNTIF(bounds,"&lt;"&amp;ROUND(AD113,12))</f>
        <v/>
      </c>
      <c r="AI113">
        <f>1+COUNTIF(bounds,"&lt;"&amp;ROUND(AG113,12))</f>
        <v/>
      </c>
      <c r="AJ113">
        <f>IF(AF113&lt;1,1,0)</f>
        <v/>
      </c>
      <c r="AK113">
        <f>IF(AH113&lt;&gt;AI113,1,0)</f>
        <v/>
      </c>
      <c r="AL113">
        <f>IF(AND(AI113&gt;=3,AB113&lt;=0.2),1,0)</f>
        <v/>
      </c>
      <c r="AM113">
        <f>AVERAGE(W113:AB113)</f>
        <v/>
      </c>
      <c r="AN113">
        <f>1+COUNTIF(bounds,"&lt;"&amp;ROUND(AM113,12))</f>
        <v/>
      </c>
      <c r="AO113">
        <f>IF(AK113=1,AD113,NA())</f>
        <v/>
      </c>
      <c r="AP113">
        <f>IF(AK113=0,AD113,NA())</f>
        <v/>
      </c>
    </row>
    <row r="114">
      <c r="A114" t="n">
        <v>106</v>
      </c>
      <c r="B114" t="n">
        <v>1</v>
      </c>
      <c r="C114" t="n">
        <v>2</v>
      </c>
      <c r="D114" t="n">
        <v>3</v>
      </c>
      <c r="E114" t="n">
        <v>3</v>
      </c>
      <c r="F114" t="n">
        <v>2</v>
      </c>
      <c r="G114" t="n">
        <v>3</v>
      </c>
      <c r="H114" t="n">
        <v>5</v>
      </c>
      <c r="I114" t="n">
        <v>5</v>
      </c>
      <c r="J114" t="n">
        <v>1</v>
      </c>
      <c r="K114" t="n">
        <v>5</v>
      </c>
      <c r="L114" t="n">
        <v>2</v>
      </c>
      <c r="M114" t="n">
        <v>4</v>
      </c>
      <c r="N114" t="n">
        <v>1</v>
      </c>
      <c r="O114" t="n">
        <v>4</v>
      </c>
      <c r="P114" t="n">
        <v>5</v>
      </c>
      <c r="Q114" t="n">
        <v>5</v>
      </c>
      <c r="R114" t="n">
        <v>1</v>
      </c>
      <c r="S114" t="n">
        <v>5</v>
      </c>
      <c r="T114" t="n">
        <v>4</v>
      </c>
      <c r="U114" t="n">
        <v>5</v>
      </c>
      <c r="V114" t="n">
        <v>3</v>
      </c>
      <c r="W114">
        <f>(AVERAGE(B114:D114)-1)/4</f>
        <v/>
      </c>
      <c r="X114">
        <f>(AVERAGE(E114:G114)-1)/4</f>
        <v/>
      </c>
      <c r="Y114">
        <f>(AVERAGE(H114:J114)-1)/4</f>
        <v/>
      </c>
      <c r="Z114">
        <f>(AVERAGE(K114:M114)-1)/4</f>
        <v/>
      </c>
      <c r="AA114">
        <f>(AVERAGE(N114:P114)-1)/4</f>
        <v/>
      </c>
      <c r="AB114">
        <f>(AVERAGE(Q114:S114)-1)/4</f>
        <v/>
      </c>
      <c r="AC114">
        <f>(AVERAGE(T114:V114)-1)/4</f>
        <v/>
      </c>
      <c r="AD114">
        <f>AVERAGE(W114:AA114)</f>
        <v/>
      </c>
      <c r="AE114">
        <f>MIN(W114:AA114)</f>
        <v/>
      </c>
      <c r="AF114">
        <f>1-alpha*MAX(0,delta-AE114)</f>
        <v/>
      </c>
      <c r="AG114">
        <f>AD114*AF114</f>
        <v/>
      </c>
      <c r="AH114">
        <f>1+COUNTIF(bounds,"&lt;"&amp;ROUND(AD114,12))</f>
        <v/>
      </c>
      <c r="AI114">
        <f>1+COUNTIF(bounds,"&lt;"&amp;ROUND(AG114,12))</f>
        <v/>
      </c>
      <c r="AJ114">
        <f>IF(AF114&lt;1,1,0)</f>
        <v/>
      </c>
      <c r="AK114">
        <f>IF(AH114&lt;&gt;AI114,1,0)</f>
        <v/>
      </c>
      <c r="AL114">
        <f>IF(AND(AI114&gt;=3,AB114&lt;=0.2),1,0)</f>
        <v/>
      </c>
      <c r="AM114">
        <f>AVERAGE(W114:AB114)</f>
        <v/>
      </c>
      <c r="AN114">
        <f>1+COUNTIF(bounds,"&lt;"&amp;ROUND(AM114,12))</f>
        <v/>
      </c>
      <c r="AO114">
        <f>IF(AK114=1,AD114,NA())</f>
        <v/>
      </c>
      <c r="AP114">
        <f>IF(AK114=0,AD114,NA())</f>
        <v/>
      </c>
    </row>
    <row r="115">
      <c r="A115" t="n">
        <v>107</v>
      </c>
      <c r="B115" t="n">
        <v>1</v>
      </c>
      <c r="C115" t="n">
        <v>1</v>
      </c>
      <c r="D115" t="n">
        <v>5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4</v>
      </c>
      <c r="L115" t="n">
        <v>2</v>
      </c>
      <c r="M115" t="n">
        <v>2</v>
      </c>
      <c r="N115" t="n">
        <v>3</v>
      </c>
      <c r="O115" t="n">
        <v>1</v>
      </c>
      <c r="P115" t="n">
        <v>1</v>
      </c>
      <c r="Q115" t="n">
        <v>1</v>
      </c>
      <c r="R115" t="n">
        <v>1</v>
      </c>
      <c r="S115" t="n">
        <v>2</v>
      </c>
      <c r="T115" t="n">
        <v>3</v>
      </c>
      <c r="U115" t="n">
        <v>2</v>
      </c>
      <c r="V115" t="n">
        <v>5</v>
      </c>
      <c r="W115">
        <f>(AVERAGE(B115:D115)-1)/4</f>
        <v/>
      </c>
      <c r="X115">
        <f>(AVERAGE(E115:G115)-1)/4</f>
        <v/>
      </c>
      <c r="Y115">
        <f>(AVERAGE(H115:J115)-1)/4</f>
        <v/>
      </c>
      <c r="Z115">
        <f>(AVERAGE(K115:M115)-1)/4</f>
        <v/>
      </c>
      <c r="AA115">
        <f>(AVERAGE(N115:P115)-1)/4</f>
        <v/>
      </c>
      <c r="AB115">
        <f>(AVERAGE(Q115:S115)-1)/4</f>
        <v/>
      </c>
      <c r="AC115">
        <f>(AVERAGE(T115:V115)-1)/4</f>
        <v/>
      </c>
      <c r="AD115">
        <f>AVERAGE(W115:AA115)</f>
        <v/>
      </c>
      <c r="AE115">
        <f>MIN(W115:AA115)</f>
        <v/>
      </c>
      <c r="AF115">
        <f>1-alpha*MAX(0,delta-AE115)</f>
        <v/>
      </c>
      <c r="AG115">
        <f>AD115*AF115</f>
        <v/>
      </c>
      <c r="AH115">
        <f>1+COUNTIF(bounds,"&lt;"&amp;ROUND(AD115,12))</f>
        <v/>
      </c>
      <c r="AI115">
        <f>1+COUNTIF(bounds,"&lt;"&amp;ROUND(AG115,12))</f>
        <v/>
      </c>
      <c r="AJ115">
        <f>IF(AF115&lt;1,1,0)</f>
        <v/>
      </c>
      <c r="AK115">
        <f>IF(AH115&lt;&gt;AI115,1,0)</f>
        <v/>
      </c>
      <c r="AL115">
        <f>IF(AND(AI115&gt;=3,AB115&lt;=0.2),1,0)</f>
        <v/>
      </c>
      <c r="AM115">
        <f>AVERAGE(W115:AB115)</f>
        <v/>
      </c>
      <c r="AN115">
        <f>1+COUNTIF(bounds,"&lt;"&amp;ROUND(AM115,12))</f>
        <v/>
      </c>
      <c r="AO115">
        <f>IF(AK115=1,AD115,NA())</f>
        <v/>
      </c>
      <c r="AP115">
        <f>IF(AK115=0,AD115,NA())</f>
        <v/>
      </c>
    </row>
    <row r="116">
      <c r="A116" t="n">
        <v>108</v>
      </c>
      <c r="B116" t="n">
        <v>5</v>
      </c>
      <c r="C116" t="n">
        <v>2</v>
      </c>
      <c r="D116" t="n">
        <v>4</v>
      </c>
      <c r="E116" t="n">
        <v>5</v>
      </c>
      <c r="F116" t="n">
        <v>3</v>
      </c>
      <c r="G116" t="n">
        <v>4</v>
      </c>
      <c r="H116" t="n">
        <v>3</v>
      </c>
      <c r="I116" t="n">
        <v>3</v>
      </c>
      <c r="J116" t="n">
        <v>4</v>
      </c>
      <c r="K116" t="n">
        <v>2</v>
      </c>
      <c r="L116" t="n">
        <v>2</v>
      </c>
      <c r="M116" t="n">
        <v>3</v>
      </c>
      <c r="N116" t="n">
        <v>2</v>
      </c>
      <c r="O116" t="n">
        <v>4</v>
      </c>
      <c r="P116" t="n">
        <v>2</v>
      </c>
      <c r="Q116" t="n">
        <v>3</v>
      </c>
      <c r="R116" t="n">
        <v>3</v>
      </c>
      <c r="S116" t="n">
        <v>1</v>
      </c>
      <c r="T116" t="n">
        <v>4</v>
      </c>
      <c r="U116" t="n">
        <v>3</v>
      </c>
      <c r="V116" t="n">
        <v>2</v>
      </c>
      <c r="W116">
        <f>(AVERAGE(B116:D116)-1)/4</f>
        <v/>
      </c>
      <c r="X116">
        <f>(AVERAGE(E116:G116)-1)/4</f>
        <v/>
      </c>
      <c r="Y116">
        <f>(AVERAGE(H116:J116)-1)/4</f>
        <v/>
      </c>
      <c r="Z116">
        <f>(AVERAGE(K116:M116)-1)/4</f>
        <v/>
      </c>
      <c r="AA116">
        <f>(AVERAGE(N116:P116)-1)/4</f>
        <v/>
      </c>
      <c r="AB116">
        <f>(AVERAGE(Q116:S116)-1)/4</f>
        <v/>
      </c>
      <c r="AC116">
        <f>(AVERAGE(T116:V116)-1)/4</f>
        <v/>
      </c>
      <c r="AD116">
        <f>AVERAGE(W116:AA116)</f>
        <v/>
      </c>
      <c r="AE116">
        <f>MIN(W116:AA116)</f>
        <v/>
      </c>
      <c r="AF116">
        <f>1-alpha*MAX(0,delta-AE116)</f>
        <v/>
      </c>
      <c r="AG116">
        <f>AD116*AF116</f>
        <v/>
      </c>
      <c r="AH116">
        <f>1+COUNTIF(bounds,"&lt;"&amp;ROUND(AD116,12))</f>
        <v/>
      </c>
      <c r="AI116">
        <f>1+COUNTIF(bounds,"&lt;"&amp;ROUND(AG116,12))</f>
        <v/>
      </c>
      <c r="AJ116">
        <f>IF(AF116&lt;1,1,0)</f>
        <v/>
      </c>
      <c r="AK116">
        <f>IF(AH116&lt;&gt;AI116,1,0)</f>
        <v/>
      </c>
      <c r="AL116">
        <f>IF(AND(AI116&gt;=3,AB116&lt;=0.2),1,0)</f>
        <v/>
      </c>
      <c r="AM116">
        <f>AVERAGE(W116:AB116)</f>
        <v/>
      </c>
      <c r="AN116">
        <f>1+COUNTIF(bounds,"&lt;"&amp;ROUND(AM116,12))</f>
        <v/>
      </c>
      <c r="AO116">
        <f>IF(AK116=1,AD116,NA())</f>
        <v/>
      </c>
      <c r="AP116">
        <f>IF(AK116=0,AD116,NA())</f>
        <v/>
      </c>
    </row>
    <row r="117">
      <c r="A117" t="n">
        <v>109</v>
      </c>
      <c r="B117" t="n">
        <v>3</v>
      </c>
      <c r="C117" t="n">
        <v>4</v>
      </c>
      <c r="D117" t="n">
        <v>2</v>
      </c>
      <c r="E117" t="n">
        <v>3</v>
      </c>
      <c r="F117" t="n">
        <v>5</v>
      </c>
      <c r="G117" t="n">
        <v>3</v>
      </c>
      <c r="H117" t="n">
        <v>1</v>
      </c>
      <c r="I117" t="n">
        <v>3</v>
      </c>
      <c r="J117" t="n">
        <v>5</v>
      </c>
      <c r="K117" t="n">
        <v>5</v>
      </c>
      <c r="L117" t="n">
        <v>3</v>
      </c>
      <c r="M117" t="n">
        <v>2</v>
      </c>
      <c r="N117" t="n">
        <v>4</v>
      </c>
      <c r="O117" t="n">
        <v>3</v>
      </c>
      <c r="P117" t="n">
        <v>5</v>
      </c>
      <c r="Q117" t="n">
        <v>1</v>
      </c>
      <c r="R117" t="n">
        <v>5</v>
      </c>
      <c r="S117" t="n">
        <v>5</v>
      </c>
      <c r="T117" t="n">
        <v>1</v>
      </c>
      <c r="U117" t="n">
        <v>2</v>
      </c>
      <c r="V117" t="n">
        <v>4</v>
      </c>
      <c r="W117">
        <f>(AVERAGE(B117:D117)-1)/4</f>
        <v/>
      </c>
      <c r="X117">
        <f>(AVERAGE(E117:G117)-1)/4</f>
        <v/>
      </c>
      <c r="Y117">
        <f>(AVERAGE(H117:J117)-1)/4</f>
        <v/>
      </c>
      <c r="Z117">
        <f>(AVERAGE(K117:M117)-1)/4</f>
        <v/>
      </c>
      <c r="AA117">
        <f>(AVERAGE(N117:P117)-1)/4</f>
        <v/>
      </c>
      <c r="AB117">
        <f>(AVERAGE(Q117:S117)-1)/4</f>
        <v/>
      </c>
      <c r="AC117">
        <f>(AVERAGE(T117:V117)-1)/4</f>
        <v/>
      </c>
      <c r="AD117">
        <f>AVERAGE(W117:AA117)</f>
        <v/>
      </c>
      <c r="AE117">
        <f>MIN(W117:AA117)</f>
        <v/>
      </c>
      <c r="AF117">
        <f>1-alpha*MAX(0,delta-AE117)</f>
        <v/>
      </c>
      <c r="AG117">
        <f>AD117*AF117</f>
        <v/>
      </c>
      <c r="AH117">
        <f>1+COUNTIF(bounds,"&lt;"&amp;ROUND(AD117,12))</f>
        <v/>
      </c>
      <c r="AI117">
        <f>1+COUNTIF(bounds,"&lt;"&amp;ROUND(AG117,12))</f>
        <v/>
      </c>
      <c r="AJ117">
        <f>IF(AF117&lt;1,1,0)</f>
        <v/>
      </c>
      <c r="AK117">
        <f>IF(AH117&lt;&gt;AI117,1,0)</f>
        <v/>
      </c>
      <c r="AL117">
        <f>IF(AND(AI117&gt;=3,AB117&lt;=0.2),1,0)</f>
        <v/>
      </c>
      <c r="AM117">
        <f>AVERAGE(W117:AB117)</f>
        <v/>
      </c>
      <c r="AN117">
        <f>1+COUNTIF(bounds,"&lt;"&amp;ROUND(AM117,12))</f>
        <v/>
      </c>
      <c r="AO117">
        <f>IF(AK117=1,AD117,NA())</f>
        <v/>
      </c>
      <c r="AP117">
        <f>IF(AK117=0,AD117,NA())</f>
        <v/>
      </c>
    </row>
    <row r="118">
      <c r="A118" t="n">
        <v>110</v>
      </c>
      <c r="B118" t="n">
        <v>3</v>
      </c>
      <c r="C118" t="n">
        <v>5</v>
      </c>
      <c r="D118" t="n">
        <v>5</v>
      </c>
      <c r="E118" t="n">
        <v>2</v>
      </c>
      <c r="F118" t="n">
        <v>1</v>
      </c>
      <c r="G118" t="n">
        <v>5</v>
      </c>
      <c r="H118" t="n">
        <v>1</v>
      </c>
      <c r="I118" t="n">
        <v>5</v>
      </c>
      <c r="J118" t="n">
        <v>4</v>
      </c>
      <c r="K118" t="n">
        <v>2</v>
      </c>
      <c r="L118" t="n">
        <v>5</v>
      </c>
      <c r="M118" t="n">
        <v>5</v>
      </c>
      <c r="N118" t="n">
        <v>3</v>
      </c>
      <c r="O118" t="n">
        <v>1</v>
      </c>
      <c r="P118" t="n">
        <v>4</v>
      </c>
      <c r="Q118" t="n">
        <v>4</v>
      </c>
      <c r="R118" t="n">
        <v>1</v>
      </c>
      <c r="S118" t="n">
        <v>3</v>
      </c>
      <c r="T118" t="n">
        <v>2</v>
      </c>
      <c r="U118" t="n">
        <v>2</v>
      </c>
      <c r="V118" t="n">
        <v>4</v>
      </c>
      <c r="W118">
        <f>(AVERAGE(B118:D118)-1)/4</f>
        <v/>
      </c>
      <c r="X118">
        <f>(AVERAGE(E118:G118)-1)/4</f>
        <v/>
      </c>
      <c r="Y118">
        <f>(AVERAGE(H118:J118)-1)/4</f>
        <v/>
      </c>
      <c r="Z118">
        <f>(AVERAGE(K118:M118)-1)/4</f>
        <v/>
      </c>
      <c r="AA118">
        <f>(AVERAGE(N118:P118)-1)/4</f>
        <v/>
      </c>
      <c r="AB118">
        <f>(AVERAGE(Q118:S118)-1)/4</f>
        <v/>
      </c>
      <c r="AC118">
        <f>(AVERAGE(T118:V118)-1)/4</f>
        <v/>
      </c>
      <c r="AD118">
        <f>AVERAGE(W118:AA118)</f>
        <v/>
      </c>
      <c r="AE118">
        <f>MIN(W118:AA118)</f>
        <v/>
      </c>
      <c r="AF118">
        <f>1-alpha*MAX(0,delta-AE118)</f>
        <v/>
      </c>
      <c r="AG118">
        <f>AD118*AF118</f>
        <v/>
      </c>
      <c r="AH118">
        <f>1+COUNTIF(bounds,"&lt;"&amp;ROUND(AD118,12))</f>
        <v/>
      </c>
      <c r="AI118">
        <f>1+COUNTIF(bounds,"&lt;"&amp;ROUND(AG118,12))</f>
        <v/>
      </c>
      <c r="AJ118">
        <f>IF(AF118&lt;1,1,0)</f>
        <v/>
      </c>
      <c r="AK118">
        <f>IF(AH118&lt;&gt;AI118,1,0)</f>
        <v/>
      </c>
      <c r="AL118">
        <f>IF(AND(AI118&gt;=3,AB118&lt;=0.2),1,0)</f>
        <v/>
      </c>
      <c r="AM118">
        <f>AVERAGE(W118:AB118)</f>
        <v/>
      </c>
      <c r="AN118">
        <f>1+COUNTIF(bounds,"&lt;"&amp;ROUND(AM118,12))</f>
        <v/>
      </c>
      <c r="AO118">
        <f>IF(AK118=1,AD118,NA())</f>
        <v/>
      </c>
      <c r="AP118">
        <f>IF(AK118=0,AD118,NA())</f>
        <v/>
      </c>
    </row>
    <row r="119">
      <c r="A119" t="n">
        <v>111</v>
      </c>
      <c r="B119" t="n">
        <v>2</v>
      </c>
      <c r="C119" t="n">
        <v>5</v>
      </c>
      <c r="D119" t="n">
        <v>2</v>
      </c>
      <c r="E119" t="n">
        <v>3</v>
      </c>
      <c r="F119" t="n">
        <v>5</v>
      </c>
      <c r="G119" t="n">
        <v>3</v>
      </c>
      <c r="H119" t="n">
        <v>5</v>
      </c>
      <c r="I119" t="n">
        <v>5</v>
      </c>
      <c r="J119" t="n">
        <v>1</v>
      </c>
      <c r="K119" t="n">
        <v>1</v>
      </c>
      <c r="L119" t="n">
        <v>5</v>
      </c>
      <c r="M119" t="n">
        <v>4</v>
      </c>
      <c r="N119" t="n">
        <v>3</v>
      </c>
      <c r="O119" t="n">
        <v>3</v>
      </c>
      <c r="P119" t="n">
        <v>5</v>
      </c>
      <c r="Q119" t="n">
        <v>2</v>
      </c>
      <c r="R119" t="n">
        <v>5</v>
      </c>
      <c r="S119" t="n">
        <v>3</v>
      </c>
      <c r="T119" t="n">
        <v>1</v>
      </c>
      <c r="U119" t="n">
        <v>2</v>
      </c>
      <c r="V119" t="n">
        <v>2</v>
      </c>
      <c r="W119">
        <f>(AVERAGE(B119:D119)-1)/4</f>
        <v/>
      </c>
      <c r="X119">
        <f>(AVERAGE(E119:G119)-1)/4</f>
        <v/>
      </c>
      <c r="Y119">
        <f>(AVERAGE(H119:J119)-1)/4</f>
        <v/>
      </c>
      <c r="Z119">
        <f>(AVERAGE(K119:M119)-1)/4</f>
        <v/>
      </c>
      <c r="AA119">
        <f>(AVERAGE(N119:P119)-1)/4</f>
        <v/>
      </c>
      <c r="AB119">
        <f>(AVERAGE(Q119:S119)-1)/4</f>
        <v/>
      </c>
      <c r="AC119">
        <f>(AVERAGE(T119:V119)-1)/4</f>
        <v/>
      </c>
      <c r="AD119">
        <f>AVERAGE(W119:AA119)</f>
        <v/>
      </c>
      <c r="AE119">
        <f>MIN(W119:AA119)</f>
        <v/>
      </c>
      <c r="AF119">
        <f>1-alpha*MAX(0,delta-AE119)</f>
        <v/>
      </c>
      <c r="AG119">
        <f>AD119*AF119</f>
        <v/>
      </c>
      <c r="AH119">
        <f>1+COUNTIF(bounds,"&lt;"&amp;ROUND(AD119,12))</f>
        <v/>
      </c>
      <c r="AI119">
        <f>1+COUNTIF(bounds,"&lt;"&amp;ROUND(AG119,12))</f>
        <v/>
      </c>
      <c r="AJ119">
        <f>IF(AF119&lt;1,1,0)</f>
        <v/>
      </c>
      <c r="AK119">
        <f>IF(AH119&lt;&gt;AI119,1,0)</f>
        <v/>
      </c>
      <c r="AL119">
        <f>IF(AND(AI119&gt;=3,AB119&lt;=0.2),1,0)</f>
        <v/>
      </c>
      <c r="AM119">
        <f>AVERAGE(W119:AB119)</f>
        <v/>
      </c>
      <c r="AN119">
        <f>1+COUNTIF(bounds,"&lt;"&amp;ROUND(AM119,12))</f>
        <v/>
      </c>
      <c r="AO119">
        <f>IF(AK119=1,AD119,NA())</f>
        <v/>
      </c>
      <c r="AP119">
        <f>IF(AK119=0,AD119,NA())</f>
        <v/>
      </c>
    </row>
    <row r="120">
      <c r="A120" t="n">
        <v>112</v>
      </c>
      <c r="B120" t="n">
        <v>4</v>
      </c>
      <c r="C120" t="n">
        <v>4</v>
      </c>
      <c r="D120" t="n">
        <v>3</v>
      </c>
      <c r="E120" t="n">
        <v>3</v>
      </c>
      <c r="F120" t="n">
        <v>2</v>
      </c>
      <c r="G120" t="n">
        <v>3</v>
      </c>
      <c r="H120" t="n">
        <v>5</v>
      </c>
      <c r="I120" t="n">
        <v>4</v>
      </c>
      <c r="J120" t="n">
        <v>2</v>
      </c>
      <c r="K120" t="n">
        <v>2</v>
      </c>
      <c r="L120" t="n">
        <v>2</v>
      </c>
      <c r="M120" t="n">
        <v>5</v>
      </c>
      <c r="N120" t="n">
        <v>1</v>
      </c>
      <c r="O120" t="n">
        <v>3</v>
      </c>
      <c r="P120" t="n">
        <v>3</v>
      </c>
      <c r="Q120" t="n">
        <v>3</v>
      </c>
      <c r="R120" t="n">
        <v>1</v>
      </c>
      <c r="S120" t="n">
        <v>1</v>
      </c>
      <c r="T120" t="n">
        <v>4</v>
      </c>
      <c r="U120" t="n">
        <v>3</v>
      </c>
      <c r="V120" t="n">
        <v>1</v>
      </c>
      <c r="W120">
        <f>(AVERAGE(B120:D120)-1)/4</f>
        <v/>
      </c>
      <c r="X120">
        <f>(AVERAGE(E120:G120)-1)/4</f>
        <v/>
      </c>
      <c r="Y120">
        <f>(AVERAGE(H120:J120)-1)/4</f>
        <v/>
      </c>
      <c r="Z120">
        <f>(AVERAGE(K120:M120)-1)/4</f>
        <v/>
      </c>
      <c r="AA120">
        <f>(AVERAGE(N120:P120)-1)/4</f>
        <v/>
      </c>
      <c r="AB120">
        <f>(AVERAGE(Q120:S120)-1)/4</f>
        <v/>
      </c>
      <c r="AC120">
        <f>(AVERAGE(T120:V120)-1)/4</f>
        <v/>
      </c>
      <c r="AD120">
        <f>AVERAGE(W120:AA120)</f>
        <v/>
      </c>
      <c r="AE120">
        <f>MIN(W120:AA120)</f>
        <v/>
      </c>
      <c r="AF120">
        <f>1-alpha*MAX(0,delta-AE120)</f>
        <v/>
      </c>
      <c r="AG120">
        <f>AD120*AF120</f>
        <v/>
      </c>
      <c r="AH120">
        <f>1+COUNTIF(bounds,"&lt;"&amp;ROUND(AD120,12))</f>
        <v/>
      </c>
      <c r="AI120">
        <f>1+COUNTIF(bounds,"&lt;"&amp;ROUND(AG120,12))</f>
        <v/>
      </c>
      <c r="AJ120">
        <f>IF(AF120&lt;1,1,0)</f>
        <v/>
      </c>
      <c r="AK120">
        <f>IF(AH120&lt;&gt;AI120,1,0)</f>
        <v/>
      </c>
      <c r="AL120">
        <f>IF(AND(AI120&gt;=3,AB120&lt;=0.2),1,0)</f>
        <v/>
      </c>
      <c r="AM120">
        <f>AVERAGE(W120:AB120)</f>
        <v/>
      </c>
      <c r="AN120">
        <f>1+COUNTIF(bounds,"&lt;"&amp;ROUND(AM120,12))</f>
        <v/>
      </c>
      <c r="AO120">
        <f>IF(AK120=1,AD120,NA())</f>
        <v/>
      </c>
      <c r="AP120">
        <f>IF(AK120=0,AD120,NA())</f>
        <v/>
      </c>
    </row>
    <row r="121">
      <c r="A121" t="n">
        <v>113</v>
      </c>
      <c r="B121" t="n">
        <v>5</v>
      </c>
      <c r="C121" t="n">
        <v>3</v>
      </c>
      <c r="D121" t="n">
        <v>5</v>
      </c>
      <c r="E121" t="n">
        <v>4</v>
      </c>
      <c r="F121" t="n">
        <v>2</v>
      </c>
      <c r="G121" t="n">
        <v>3</v>
      </c>
      <c r="H121" t="n">
        <v>3</v>
      </c>
      <c r="I121" t="n">
        <v>2</v>
      </c>
      <c r="J121" t="n">
        <v>2</v>
      </c>
      <c r="K121" t="n">
        <v>4</v>
      </c>
      <c r="L121" t="n">
        <v>2</v>
      </c>
      <c r="M121" t="n">
        <v>5</v>
      </c>
      <c r="N121" t="n">
        <v>2</v>
      </c>
      <c r="O121" t="n">
        <v>1</v>
      </c>
      <c r="P121" t="n">
        <v>4</v>
      </c>
      <c r="Q121" t="n">
        <v>3</v>
      </c>
      <c r="R121" t="n">
        <v>3</v>
      </c>
      <c r="S121" t="n">
        <v>5</v>
      </c>
      <c r="T121" t="n">
        <v>5</v>
      </c>
      <c r="U121" t="n">
        <v>3</v>
      </c>
      <c r="V121" t="n">
        <v>5</v>
      </c>
      <c r="W121">
        <f>(AVERAGE(B121:D121)-1)/4</f>
        <v/>
      </c>
      <c r="X121">
        <f>(AVERAGE(E121:G121)-1)/4</f>
        <v/>
      </c>
      <c r="Y121">
        <f>(AVERAGE(H121:J121)-1)/4</f>
        <v/>
      </c>
      <c r="Z121">
        <f>(AVERAGE(K121:M121)-1)/4</f>
        <v/>
      </c>
      <c r="AA121">
        <f>(AVERAGE(N121:P121)-1)/4</f>
        <v/>
      </c>
      <c r="AB121">
        <f>(AVERAGE(Q121:S121)-1)/4</f>
        <v/>
      </c>
      <c r="AC121">
        <f>(AVERAGE(T121:V121)-1)/4</f>
        <v/>
      </c>
      <c r="AD121">
        <f>AVERAGE(W121:AA121)</f>
        <v/>
      </c>
      <c r="AE121">
        <f>MIN(W121:AA121)</f>
        <v/>
      </c>
      <c r="AF121">
        <f>1-alpha*MAX(0,delta-AE121)</f>
        <v/>
      </c>
      <c r="AG121">
        <f>AD121*AF121</f>
        <v/>
      </c>
      <c r="AH121">
        <f>1+COUNTIF(bounds,"&lt;"&amp;ROUND(AD121,12))</f>
        <v/>
      </c>
      <c r="AI121">
        <f>1+COUNTIF(bounds,"&lt;"&amp;ROUND(AG121,12))</f>
        <v/>
      </c>
      <c r="AJ121">
        <f>IF(AF121&lt;1,1,0)</f>
        <v/>
      </c>
      <c r="AK121">
        <f>IF(AH121&lt;&gt;AI121,1,0)</f>
        <v/>
      </c>
      <c r="AL121">
        <f>IF(AND(AI121&gt;=3,AB121&lt;=0.2),1,0)</f>
        <v/>
      </c>
      <c r="AM121">
        <f>AVERAGE(W121:AB121)</f>
        <v/>
      </c>
      <c r="AN121">
        <f>1+COUNTIF(bounds,"&lt;"&amp;ROUND(AM121,12))</f>
        <v/>
      </c>
      <c r="AO121">
        <f>IF(AK121=1,AD121,NA())</f>
        <v/>
      </c>
      <c r="AP121">
        <f>IF(AK121=0,AD121,NA())</f>
        <v/>
      </c>
    </row>
    <row r="122">
      <c r="A122" t="n">
        <v>114</v>
      </c>
      <c r="B122" t="n">
        <v>5</v>
      </c>
      <c r="C122" t="n">
        <v>5</v>
      </c>
      <c r="D122" t="n">
        <v>5</v>
      </c>
      <c r="E122" t="n">
        <v>5</v>
      </c>
      <c r="F122" t="n">
        <v>1</v>
      </c>
      <c r="G122" t="n">
        <v>1</v>
      </c>
      <c r="H122" t="n">
        <v>2</v>
      </c>
      <c r="I122" t="n">
        <v>5</v>
      </c>
      <c r="J122" t="n">
        <v>2</v>
      </c>
      <c r="K122" t="n">
        <v>5</v>
      </c>
      <c r="L122" t="n">
        <v>3</v>
      </c>
      <c r="M122" t="n">
        <v>4</v>
      </c>
      <c r="N122" t="n">
        <v>5</v>
      </c>
      <c r="O122" t="n">
        <v>3</v>
      </c>
      <c r="P122" t="n">
        <v>5</v>
      </c>
      <c r="Q122" t="n">
        <v>4</v>
      </c>
      <c r="R122" t="n">
        <v>5</v>
      </c>
      <c r="S122" t="n">
        <v>4</v>
      </c>
      <c r="T122" t="n">
        <v>4</v>
      </c>
      <c r="U122" t="n">
        <v>3</v>
      </c>
      <c r="V122" t="n">
        <v>5</v>
      </c>
      <c r="W122">
        <f>(AVERAGE(B122:D122)-1)/4</f>
        <v/>
      </c>
      <c r="X122">
        <f>(AVERAGE(E122:G122)-1)/4</f>
        <v/>
      </c>
      <c r="Y122">
        <f>(AVERAGE(H122:J122)-1)/4</f>
        <v/>
      </c>
      <c r="Z122">
        <f>(AVERAGE(K122:M122)-1)/4</f>
        <v/>
      </c>
      <c r="AA122">
        <f>(AVERAGE(N122:P122)-1)/4</f>
        <v/>
      </c>
      <c r="AB122">
        <f>(AVERAGE(Q122:S122)-1)/4</f>
        <v/>
      </c>
      <c r="AC122">
        <f>(AVERAGE(T122:V122)-1)/4</f>
        <v/>
      </c>
      <c r="AD122">
        <f>AVERAGE(W122:AA122)</f>
        <v/>
      </c>
      <c r="AE122">
        <f>MIN(W122:AA122)</f>
        <v/>
      </c>
      <c r="AF122">
        <f>1-alpha*MAX(0,delta-AE122)</f>
        <v/>
      </c>
      <c r="AG122">
        <f>AD122*AF122</f>
        <v/>
      </c>
      <c r="AH122">
        <f>1+COUNTIF(bounds,"&lt;"&amp;ROUND(AD122,12))</f>
        <v/>
      </c>
      <c r="AI122">
        <f>1+COUNTIF(bounds,"&lt;"&amp;ROUND(AG122,12))</f>
        <v/>
      </c>
      <c r="AJ122">
        <f>IF(AF122&lt;1,1,0)</f>
        <v/>
      </c>
      <c r="AK122">
        <f>IF(AH122&lt;&gt;AI122,1,0)</f>
        <v/>
      </c>
      <c r="AL122">
        <f>IF(AND(AI122&gt;=3,AB122&lt;=0.2),1,0)</f>
        <v/>
      </c>
      <c r="AM122">
        <f>AVERAGE(W122:AB122)</f>
        <v/>
      </c>
      <c r="AN122">
        <f>1+COUNTIF(bounds,"&lt;"&amp;ROUND(AM122,12))</f>
        <v/>
      </c>
      <c r="AO122">
        <f>IF(AK122=1,AD122,NA())</f>
        <v/>
      </c>
      <c r="AP122">
        <f>IF(AK122=0,AD122,NA())</f>
        <v/>
      </c>
    </row>
    <row r="123">
      <c r="A123" t="n">
        <v>115</v>
      </c>
      <c r="B123" t="n">
        <v>1</v>
      </c>
      <c r="C123" t="n">
        <v>4</v>
      </c>
      <c r="D123" t="n">
        <v>4</v>
      </c>
      <c r="E123" t="n">
        <v>4</v>
      </c>
      <c r="F123" t="n">
        <v>3</v>
      </c>
      <c r="G123" t="n">
        <v>3</v>
      </c>
      <c r="H123" t="n">
        <v>5</v>
      </c>
      <c r="I123" t="n">
        <v>5</v>
      </c>
      <c r="J123" t="n">
        <v>3</v>
      </c>
      <c r="K123" t="n">
        <v>5</v>
      </c>
      <c r="L123" t="n">
        <v>5</v>
      </c>
      <c r="M123" t="n">
        <v>3</v>
      </c>
      <c r="N123" t="n">
        <v>3</v>
      </c>
      <c r="O123" t="n">
        <v>1</v>
      </c>
      <c r="P123" t="n">
        <v>4</v>
      </c>
      <c r="Q123" t="n">
        <v>1</v>
      </c>
      <c r="R123" t="n">
        <v>1</v>
      </c>
      <c r="S123" t="n">
        <v>2</v>
      </c>
      <c r="T123" t="n">
        <v>4</v>
      </c>
      <c r="U123" t="n">
        <v>4</v>
      </c>
      <c r="V123" t="n">
        <v>1</v>
      </c>
      <c r="W123">
        <f>(AVERAGE(B123:D123)-1)/4</f>
        <v/>
      </c>
      <c r="X123">
        <f>(AVERAGE(E123:G123)-1)/4</f>
        <v/>
      </c>
      <c r="Y123">
        <f>(AVERAGE(H123:J123)-1)/4</f>
        <v/>
      </c>
      <c r="Z123">
        <f>(AVERAGE(K123:M123)-1)/4</f>
        <v/>
      </c>
      <c r="AA123">
        <f>(AVERAGE(N123:P123)-1)/4</f>
        <v/>
      </c>
      <c r="AB123">
        <f>(AVERAGE(Q123:S123)-1)/4</f>
        <v/>
      </c>
      <c r="AC123">
        <f>(AVERAGE(T123:V123)-1)/4</f>
        <v/>
      </c>
      <c r="AD123">
        <f>AVERAGE(W123:AA123)</f>
        <v/>
      </c>
      <c r="AE123">
        <f>MIN(W123:AA123)</f>
        <v/>
      </c>
      <c r="AF123">
        <f>1-alpha*MAX(0,delta-AE123)</f>
        <v/>
      </c>
      <c r="AG123">
        <f>AD123*AF123</f>
        <v/>
      </c>
      <c r="AH123">
        <f>1+COUNTIF(bounds,"&lt;"&amp;ROUND(AD123,12))</f>
        <v/>
      </c>
      <c r="AI123">
        <f>1+COUNTIF(bounds,"&lt;"&amp;ROUND(AG123,12))</f>
        <v/>
      </c>
      <c r="AJ123">
        <f>IF(AF123&lt;1,1,0)</f>
        <v/>
      </c>
      <c r="AK123">
        <f>IF(AH123&lt;&gt;AI123,1,0)</f>
        <v/>
      </c>
      <c r="AL123">
        <f>IF(AND(AI123&gt;=3,AB123&lt;=0.2),1,0)</f>
        <v/>
      </c>
      <c r="AM123">
        <f>AVERAGE(W123:AB123)</f>
        <v/>
      </c>
      <c r="AN123">
        <f>1+COUNTIF(bounds,"&lt;"&amp;ROUND(AM123,12))</f>
        <v/>
      </c>
      <c r="AO123">
        <f>IF(AK123=1,AD123,NA())</f>
        <v/>
      </c>
      <c r="AP123">
        <f>IF(AK123=0,AD123,NA())</f>
        <v/>
      </c>
    </row>
    <row r="124">
      <c r="A124" t="n">
        <v>116</v>
      </c>
      <c r="B124" t="n">
        <v>3</v>
      </c>
      <c r="C124" t="n">
        <v>3</v>
      </c>
      <c r="D124" t="n">
        <v>2</v>
      </c>
      <c r="E124" t="n">
        <v>2</v>
      </c>
      <c r="F124" t="n">
        <v>2</v>
      </c>
      <c r="G124" t="n">
        <v>4</v>
      </c>
      <c r="H124" t="n">
        <v>4</v>
      </c>
      <c r="I124" t="n">
        <v>5</v>
      </c>
      <c r="J124" t="n">
        <v>2</v>
      </c>
      <c r="K124" t="n">
        <v>1</v>
      </c>
      <c r="L124" t="n">
        <v>4</v>
      </c>
      <c r="M124" t="n">
        <v>1</v>
      </c>
      <c r="N124" t="n">
        <v>4</v>
      </c>
      <c r="O124" t="n">
        <v>1</v>
      </c>
      <c r="P124" t="n">
        <v>3</v>
      </c>
      <c r="Q124" t="n">
        <v>3</v>
      </c>
      <c r="R124" t="n">
        <v>1</v>
      </c>
      <c r="S124" t="n">
        <v>3</v>
      </c>
      <c r="T124" t="n">
        <v>3</v>
      </c>
      <c r="U124" t="n">
        <v>4</v>
      </c>
      <c r="V124" t="n">
        <v>2</v>
      </c>
      <c r="W124">
        <f>(AVERAGE(B124:D124)-1)/4</f>
        <v/>
      </c>
      <c r="X124">
        <f>(AVERAGE(E124:G124)-1)/4</f>
        <v/>
      </c>
      <c r="Y124">
        <f>(AVERAGE(H124:J124)-1)/4</f>
        <v/>
      </c>
      <c r="Z124">
        <f>(AVERAGE(K124:M124)-1)/4</f>
        <v/>
      </c>
      <c r="AA124">
        <f>(AVERAGE(N124:P124)-1)/4</f>
        <v/>
      </c>
      <c r="AB124">
        <f>(AVERAGE(Q124:S124)-1)/4</f>
        <v/>
      </c>
      <c r="AC124">
        <f>(AVERAGE(T124:V124)-1)/4</f>
        <v/>
      </c>
      <c r="AD124">
        <f>AVERAGE(W124:AA124)</f>
        <v/>
      </c>
      <c r="AE124">
        <f>MIN(W124:AA124)</f>
        <v/>
      </c>
      <c r="AF124">
        <f>1-alpha*MAX(0,delta-AE124)</f>
        <v/>
      </c>
      <c r="AG124">
        <f>AD124*AF124</f>
        <v/>
      </c>
      <c r="AH124">
        <f>1+COUNTIF(bounds,"&lt;"&amp;ROUND(AD124,12))</f>
        <v/>
      </c>
      <c r="AI124">
        <f>1+COUNTIF(bounds,"&lt;"&amp;ROUND(AG124,12))</f>
        <v/>
      </c>
      <c r="AJ124">
        <f>IF(AF124&lt;1,1,0)</f>
        <v/>
      </c>
      <c r="AK124">
        <f>IF(AH124&lt;&gt;AI124,1,0)</f>
        <v/>
      </c>
      <c r="AL124">
        <f>IF(AND(AI124&gt;=3,AB124&lt;=0.2),1,0)</f>
        <v/>
      </c>
      <c r="AM124">
        <f>AVERAGE(W124:AB124)</f>
        <v/>
      </c>
      <c r="AN124">
        <f>1+COUNTIF(bounds,"&lt;"&amp;ROUND(AM124,12))</f>
        <v/>
      </c>
      <c r="AO124">
        <f>IF(AK124=1,AD124,NA())</f>
        <v/>
      </c>
      <c r="AP124">
        <f>IF(AK124=0,AD124,NA())</f>
        <v/>
      </c>
    </row>
    <row r="125">
      <c r="A125" t="n">
        <v>117</v>
      </c>
      <c r="B125" t="n">
        <v>1</v>
      </c>
      <c r="C125" t="n">
        <v>4</v>
      </c>
      <c r="D125" t="n">
        <v>1</v>
      </c>
      <c r="E125" t="n">
        <v>5</v>
      </c>
      <c r="F125" t="n">
        <v>5</v>
      </c>
      <c r="G125" t="n">
        <v>4</v>
      </c>
      <c r="H125" t="n">
        <v>4</v>
      </c>
      <c r="I125" t="n">
        <v>5</v>
      </c>
      <c r="J125" t="n">
        <v>2</v>
      </c>
      <c r="K125" t="n">
        <v>2</v>
      </c>
      <c r="L125" t="n">
        <v>3</v>
      </c>
      <c r="M125" t="n">
        <v>4</v>
      </c>
      <c r="N125" t="n">
        <v>1</v>
      </c>
      <c r="O125" t="n">
        <v>4</v>
      </c>
      <c r="P125" t="n">
        <v>2</v>
      </c>
      <c r="Q125" t="n">
        <v>2</v>
      </c>
      <c r="R125" t="n">
        <v>3</v>
      </c>
      <c r="S125" t="n">
        <v>3</v>
      </c>
      <c r="T125" t="n">
        <v>2</v>
      </c>
      <c r="U125" t="n">
        <v>4</v>
      </c>
      <c r="V125" t="n">
        <v>1</v>
      </c>
      <c r="W125">
        <f>(AVERAGE(B125:D125)-1)/4</f>
        <v/>
      </c>
      <c r="X125">
        <f>(AVERAGE(E125:G125)-1)/4</f>
        <v/>
      </c>
      <c r="Y125">
        <f>(AVERAGE(H125:J125)-1)/4</f>
        <v/>
      </c>
      <c r="Z125">
        <f>(AVERAGE(K125:M125)-1)/4</f>
        <v/>
      </c>
      <c r="AA125">
        <f>(AVERAGE(N125:P125)-1)/4</f>
        <v/>
      </c>
      <c r="AB125">
        <f>(AVERAGE(Q125:S125)-1)/4</f>
        <v/>
      </c>
      <c r="AC125">
        <f>(AVERAGE(T125:V125)-1)/4</f>
        <v/>
      </c>
      <c r="AD125">
        <f>AVERAGE(W125:AA125)</f>
        <v/>
      </c>
      <c r="AE125">
        <f>MIN(W125:AA125)</f>
        <v/>
      </c>
      <c r="AF125">
        <f>1-alpha*MAX(0,delta-AE125)</f>
        <v/>
      </c>
      <c r="AG125">
        <f>AD125*AF125</f>
        <v/>
      </c>
      <c r="AH125">
        <f>1+COUNTIF(bounds,"&lt;"&amp;ROUND(AD125,12))</f>
        <v/>
      </c>
      <c r="AI125">
        <f>1+COUNTIF(bounds,"&lt;"&amp;ROUND(AG125,12))</f>
        <v/>
      </c>
      <c r="AJ125">
        <f>IF(AF125&lt;1,1,0)</f>
        <v/>
      </c>
      <c r="AK125">
        <f>IF(AH125&lt;&gt;AI125,1,0)</f>
        <v/>
      </c>
      <c r="AL125">
        <f>IF(AND(AI125&gt;=3,AB125&lt;=0.2),1,0)</f>
        <v/>
      </c>
      <c r="AM125">
        <f>AVERAGE(W125:AB125)</f>
        <v/>
      </c>
      <c r="AN125">
        <f>1+COUNTIF(bounds,"&lt;"&amp;ROUND(AM125,12))</f>
        <v/>
      </c>
      <c r="AO125">
        <f>IF(AK125=1,AD125,NA())</f>
        <v/>
      </c>
      <c r="AP125">
        <f>IF(AK125=0,AD125,NA())</f>
        <v/>
      </c>
    </row>
    <row r="126">
      <c r="A126" t="n">
        <v>118</v>
      </c>
      <c r="B126" t="n">
        <v>4</v>
      </c>
      <c r="C126" t="n">
        <v>1</v>
      </c>
      <c r="D126" t="n">
        <v>3</v>
      </c>
      <c r="E126" t="n">
        <v>4</v>
      </c>
      <c r="F126" t="n">
        <v>4</v>
      </c>
      <c r="G126" t="n">
        <v>1</v>
      </c>
      <c r="H126" t="n">
        <v>2</v>
      </c>
      <c r="I126" t="n">
        <v>1</v>
      </c>
      <c r="J126" t="n">
        <v>3</v>
      </c>
      <c r="K126" t="n">
        <v>4</v>
      </c>
      <c r="L126" t="n">
        <v>4</v>
      </c>
      <c r="M126" t="n">
        <v>3</v>
      </c>
      <c r="N126" t="n">
        <v>2</v>
      </c>
      <c r="O126" t="n">
        <v>3</v>
      </c>
      <c r="P126" t="n">
        <v>1</v>
      </c>
      <c r="Q126" t="n">
        <v>1</v>
      </c>
      <c r="R126" t="n">
        <v>5</v>
      </c>
      <c r="S126" t="n">
        <v>1</v>
      </c>
      <c r="T126" t="n">
        <v>3</v>
      </c>
      <c r="U126" t="n">
        <v>1</v>
      </c>
      <c r="V126" t="n">
        <v>5</v>
      </c>
      <c r="W126">
        <f>(AVERAGE(B126:D126)-1)/4</f>
        <v/>
      </c>
      <c r="X126">
        <f>(AVERAGE(E126:G126)-1)/4</f>
        <v/>
      </c>
      <c r="Y126">
        <f>(AVERAGE(H126:J126)-1)/4</f>
        <v/>
      </c>
      <c r="Z126">
        <f>(AVERAGE(K126:M126)-1)/4</f>
        <v/>
      </c>
      <c r="AA126">
        <f>(AVERAGE(N126:P126)-1)/4</f>
        <v/>
      </c>
      <c r="AB126">
        <f>(AVERAGE(Q126:S126)-1)/4</f>
        <v/>
      </c>
      <c r="AC126">
        <f>(AVERAGE(T126:V126)-1)/4</f>
        <v/>
      </c>
      <c r="AD126">
        <f>AVERAGE(W126:AA126)</f>
        <v/>
      </c>
      <c r="AE126">
        <f>MIN(W126:AA126)</f>
        <v/>
      </c>
      <c r="AF126">
        <f>1-alpha*MAX(0,delta-AE126)</f>
        <v/>
      </c>
      <c r="AG126">
        <f>AD126*AF126</f>
        <v/>
      </c>
      <c r="AH126">
        <f>1+COUNTIF(bounds,"&lt;"&amp;ROUND(AD126,12))</f>
        <v/>
      </c>
      <c r="AI126">
        <f>1+COUNTIF(bounds,"&lt;"&amp;ROUND(AG126,12))</f>
        <v/>
      </c>
      <c r="AJ126">
        <f>IF(AF126&lt;1,1,0)</f>
        <v/>
      </c>
      <c r="AK126">
        <f>IF(AH126&lt;&gt;AI126,1,0)</f>
        <v/>
      </c>
      <c r="AL126">
        <f>IF(AND(AI126&gt;=3,AB126&lt;=0.2),1,0)</f>
        <v/>
      </c>
      <c r="AM126">
        <f>AVERAGE(W126:AB126)</f>
        <v/>
      </c>
      <c r="AN126">
        <f>1+COUNTIF(bounds,"&lt;"&amp;ROUND(AM126,12))</f>
        <v/>
      </c>
      <c r="AO126">
        <f>IF(AK126=1,AD126,NA())</f>
        <v/>
      </c>
      <c r="AP126">
        <f>IF(AK126=0,AD126,NA())</f>
        <v/>
      </c>
    </row>
    <row r="127">
      <c r="A127" t="n">
        <v>119</v>
      </c>
      <c r="B127" t="n">
        <v>1</v>
      </c>
      <c r="C127" t="n">
        <v>4</v>
      </c>
      <c r="D127" t="n">
        <v>2</v>
      </c>
      <c r="E127" t="n">
        <v>3</v>
      </c>
      <c r="F127" t="n">
        <v>1</v>
      </c>
      <c r="G127" t="n">
        <v>2</v>
      </c>
      <c r="H127" t="n">
        <v>2</v>
      </c>
      <c r="I127" t="n">
        <v>4</v>
      </c>
      <c r="J127" t="n">
        <v>4</v>
      </c>
      <c r="K127" t="n">
        <v>1</v>
      </c>
      <c r="L127" t="n">
        <v>2</v>
      </c>
      <c r="M127" t="n">
        <v>1</v>
      </c>
      <c r="N127" t="n">
        <v>3</v>
      </c>
      <c r="O127" t="n">
        <v>1</v>
      </c>
      <c r="P127" t="n">
        <v>3</v>
      </c>
      <c r="Q127" t="n">
        <v>4</v>
      </c>
      <c r="R127" t="n">
        <v>2</v>
      </c>
      <c r="S127" t="n">
        <v>4</v>
      </c>
      <c r="T127" t="n">
        <v>5</v>
      </c>
      <c r="U127" t="n">
        <v>2</v>
      </c>
      <c r="V127" t="n">
        <v>4</v>
      </c>
      <c r="W127">
        <f>(AVERAGE(B127:D127)-1)/4</f>
        <v/>
      </c>
      <c r="X127">
        <f>(AVERAGE(E127:G127)-1)/4</f>
        <v/>
      </c>
      <c r="Y127">
        <f>(AVERAGE(H127:J127)-1)/4</f>
        <v/>
      </c>
      <c r="Z127">
        <f>(AVERAGE(K127:M127)-1)/4</f>
        <v/>
      </c>
      <c r="AA127">
        <f>(AVERAGE(N127:P127)-1)/4</f>
        <v/>
      </c>
      <c r="AB127">
        <f>(AVERAGE(Q127:S127)-1)/4</f>
        <v/>
      </c>
      <c r="AC127">
        <f>(AVERAGE(T127:V127)-1)/4</f>
        <v/>
      </c>
      <c r="AD127">
        <f>AVERAGE(W127:AA127)</f>
        <v/>
      </c>
      <c r="AE127">
        <f>MIN(W127:AA127)</f>
        <v/>
      </c>
      <c r="AF127">
        <f>1-alpha*MAX(0,delta-AE127)</f>
        <v/>
      </c>
      <c r="AG127">
        <f>AD127*AF127</f>
        <v/>
      </c>
      <c r="AH127">
        <f>1+COUNTIF(bounds,"&lt;"&amp;ROUND(AD127,12))</f>
        <v/>
      </c>
      <c r="AI127">
        <f>1+COUNTIF(bounds,"&lt;"&amp;ROUND(AG127,12))</f>
        <v/>
      </c>
      <c r="AJ127">
        <f>IF(AF127&lt;1,1,0)</f>
        <v/>
      </c>
      <c r="AK127">
        <f>IF(AH127&lt;&gt;AI127,1,0)</f>
        <v/>
      </c>
      <c r="AL127">
        <f>IF(AND(AI127&gt;=3,AB127&lt;=0.2),1,0)</f>
        <v/>
      </c>
      <c r="AM127">
        <f>AVERAGE(W127:AB127)</f>
        <v/>
      </c>
      <c r="AN127">
        <f>1+COUNTIF(bounds,"&lt;"&amp;ROUND(AM127,12))</f>
        <v/>
      </c>
      <c r="AO127">
        <f>IF(AK127=1,AD127,NA())</f>
        <v/>
      </c>
      <c r="AP127">
        <f>IF(AK127=0,AD127,NA())</f>
        <v/>
      </c>
    </row>
    <row r="128">
      <c r="A128" t="n">
        <v>120</v>
      </c>
      <c r="B128" t="n">
        <v>3</v>
      </c>
      <c r="C128" t="n">
        <v>2</v>
      </c>
      <c r="D128" t="n">
        <v>3</v>
      </c>
      <c r="E128" t="n">
        <v>2</v>
      </c>
      <c r="F128" t="n">
        <v>4</v>
      </c>
      <c r="G128" t="n">
        <v>2</v>
      </c>
      <c r="H128" t="n">
        <v>1</v>
      </c>
      <c r="I128" t="n">
        <v>4</v>
      </c>
      <c r="J128" t="n">
        <v>3</v>
      </c>
      <c r="K128" t="n">
        <v>4</v>
      </c>
      <c r="L128" t="n">
        <v>5</v>
      </c>
      <c r="M128" t="n">
        <v>1</v>
      </c>
      <c r="N128" t="n">
        <v>4</v>
      </c>
      <c r="O128" t="n">
        <v>1</v>
      </c>
      <c r="P128" t="n">
        <v>3</v>
      </c>
      <c r="Q128" t="n">
        <v>3</v>
      </c>
      <c r="R128" t="n">
        <v>4</v>
      </c>
      <c r="S128" t="n">
        <v>2</v>
      </c>
      <c r="T128" t="n">
        <v>4</v>
      </c>
      <c r="U128" t="n">
        <v>5</v>
      </c>
      <c r="V128" t="n">
        <v>5</v>
      </c>
      <c r="W128">
        <f>(AVERAGE(B128:D128)-1)/4</f>
        <v/>
      </c>
      <c r="X128">
        <f>(AVERAGE(E128:G128)-1)/4</f>
        <v/>
      </c>
      <c r="Y128">
        <f>(AVERAGE(H128:J128)-1)/4</f>
        <v/>
      </c>
      <c r="Z128">
        <f>(AVERAGE(K128:M128)-1)/4</f>
        <v/>
      </c>
      <c r="AA128">
        <f>(AVERAGE(N128:P128)-1)/4</f>
        <v/>
      </c>
      <c r="AB128">
        <f>(AVERAGE(Q128:S128)-1)/4</f>
        <v/>
      </c>
      <c r="AC128">
        <f>(AVERAGE(T128:V128)-1)/4</f>
        <v/>
      </c>
      <c r="AD128">
        <f>AVERAGE(W128:AA128)</f>
        <v/>
      </c>
      <c r="AE128">
        <f>MIN(W128:AA128)</f>
        <v/>
      </c>
      <c r="AF128">
        <f>1-alpha*MAX(0,delta-AE128)</f>
        <v/>
      </c>
      <c r="AG128">
        <f>AD128*AF128</f>
        <v/>
      </c>
      <c r="AH128">
        <f>1+COUNTIF(bounds,"&lt;"&amp;ROUND(AD128,12))</f>
        <v/>
      </c>
      <c r="AI128">
        <f>1+COUNTIF(bounds,"&lt;"&amp;ROUND(AG128,12))</f>
        <v/>
      </c>
      <c r="AJ128">
        <f>IF(AF128&lt;1,1,0)</f>
        <v/>
      </c>
      <c r="AK128">
        <f>IF(AH128&lt;&gt;AI128,1,0)</f>
        <v/>
      </c>
      <c r="AL128">
        <f>IF(AND(AI128&gt;=3,AB128&lt;=0.2),1,0)</f>
        <v/>
      </c>
      <c r="AM128">
        <f>AVERAGE(W128:AB128)</f>
        <v/>
      </c>
      <c r="AN128">
        <f>1+COUNTIF(bounds,"&lt;"&amp;ROUND(AM128,12))</f>
        <v/>
      </c>
      <c r="AO128">
        <f>IF(AK128=1,AD128,NA())</f>
        <v/>
      </c>
      <c r="AP128">
        <f>IF(AK128=0,AD128,NA())</f>
        <v/>
      </c>
    </row>
    <row r="129">
      <c r="A129" t="n">
        <v>121</v>
      </c>
      <c r="B129" t="n">
        <v>4</v>
      </c>
      <c r="C129" t="n">
        <v>1</v>
      </c>
      <c r="D129" t="n">
        <v>4</v>
      </c>
      <c r="E129" t="n">
        <v>5</v>
      </c>
      <c r="F129" t="n">
        <v>5</v>
      </c>
      <c r="G129" t="n">
        <v>3</v>
      </c>
      <c r="H129" t="n">
        <v>4</v>
      </c>
      <c r="I129" t="n">
        <v>1</v>
      </c>
      <c r="J129" t="n">
        <v>1</v>
      </c>
      <c r="K129" t="n">
        <v>5</v>
      </c>
      <c r="L129" t="n">
        <v>4</v>
      </c>
      <c r="M129" t="n">
        <v>5</v>
      </c>
      <c r="N129" t="n">
        <v>2</v>
      </c>
      <c r="O129" t="n">
        <v>5</v>
      </c>
      <c r="P129" t="n">
        <v>5</v>
      </c>
      <c r="Q129" t="n">
        <v>3</v>
      </c>
      <c r="R129" t="n">
        <v>3</v>
      </c>
      <c r="S129" t="n">
        <v>1</v>
      </c>
      <c r="T129" t="n">
        <v>1</v>
      </c>
      <c r="U129" t="n">
        <v>5</v>
      </c>
      <c r="V129" t="n">
        <v>1</v>
      </c>
      <c r="W129">
        <f>(AVERAGE(B129:D129)-1)/4</f>
        <v/>
      </c>
      <c r="X129">
        <f>(AVERAGE(E129:G129)-1)/4</f>
        <v/>
      </c>
      <c r="Y129">
        <f>(AVERAGE(H129:J129)-1)/4</f>
        <v/>
      </c>
      <c r="Z129">
        <f>(AVERAGE(K129:M129)-1)/4</f>
        <v/>
      </c>
      <c r="AA129">
        <f>(AVERAGE(N129:P129)-1)/4</f>
        <v/>
      </c>
      <c r="AB129">
        <f>(AVERAGE(Q129:S129)-1)/4</f>
        <v/>
      </c>
      <c r="AC129">
        <f>(AVERAGE(T129:V129)-1)/4</f>
        <v/>
      </c>
      <c r="AD129">
        <f>AVERAGE(W129:AA129)</f>
        <v/>
      </c>
      <c r="AE129">
        <f>MIN(W129:AA129)</f>
        <v/>
      </c>
      <c r="AF129">
        <f>1-alpha*MAX(0,delta-AE129)</f>
        <v/>
      </c>
      <c r="AG129">
        <f>AD129*AF129</f>
        <v/>
      </c>
      <c r="AH129">
        <f>1+COUNTIF(bounds,"&lt;"&amp;ROUND(AD129,12))</f>
        <v/>
      </c>
      <c r="AI129">
        <f>1+COUNTIF(bounds,"&lt;"&amp;ROUND(AG129,12))</f>
        <v/>
      </c>
      <c r="AJ129">
        <f>IF(AF129&lt;1,1,0)</f>
        <v/>
      </c>
      <c r="AK129">
        <f>IF(AH129&lt;&gt;AI129,1,0)</f>
        <v/>
      </c>
      <c r="AL129">
        <f>IF(AND(AI129&gt;=3,AB129&lt;=0.2),1,0)</f>
        <v/>
      </c>
      <c r="AM129">
        <f>AVERAGE(W129:AB129)</f>
        <v/>
      </c>
      <c r="AN129">
        <f>1+COUNTIF(bounds,"&lt;"&amp;ROUND(AM129,12))</f>
        <v/>
      </c>
      <c r="AO129">
        <f>IF(AK129=1,AD129,NA())</f>
        <v/>
      </c>
      <c r="AP129">
        <f>IF(AK129=0,AD129,NA())</f>
        <v/>
      </c>
    </row>
    <row r="130">
      <c r="A130" t="n">
        <v>122</v>
      </c>
      <c r="B130" t="n">
        <v>4</v>
      </c>
      <c r="C130" t="n">
        <v>5</v>
      </c>
      <c r="D130" t="n">
        <v>2</v>
      </c>
      <c r="E130" t="n">
        <v>1</v>
      </c>
      <c r="F130" t="n">
        <v>2</v>
      </c>
      <c r="G130" t="n">
        <v>2</v>
      </c>
      <c r="H130" t="n">
        <v>4</v>
      </c>
      <c r="I130" t="n">
        <v>1</v>
      </c>
      <c r="J130" t="n">
        <v>5</v>
      </c>
      <c r="K130" t="n">
        <v>3</v>
      </c>
      <c r="L130" t="n">
        <v>3</v>
      </c>
      <c r="M130" t="n">
        <v>1</v>
      </c>
      <c r="N130" t="n">
        <v>4</v>
      </c>
      <c r="O130" t="n">
        <v>4</v>
      </c>
      <c r="P130" t="n">
        <v>4</v>
      </c>
      <c r="Q130" t="n">
        <v>2</v>
      </c>
      <c r="R130" t="n">
        <v>5</v>
      </c>
      <c r="S130" t="n">
        <v>1</v>
      </c>
      <c r="T130" t="n">
        <v>4</v>
      </c>
      <c r="U130" t="n">
        <v>3</v>
      </c>
      <c r="V130" t="n">
        <v>1</v>
      </c>
      <c r="W130">
        <f>(AVERAGE(B130:D130)-1)/4</f>
        <v/>
      </c>
      <c r="X130">
        <f>(AVERAGE(E130:G130)-1)/4</f>
        <v/>
      </c>
      <c r="Y130">
        <f>(AVERAGE(H130:J130)-1)/4</f>
        <v/>
      </c>
      <c r="Z130">
        <f>(AVERAGE(K130:M130)-1)/4</f>
        <v/>
      </c>
      <c r="AA130">
        <f>(AVERAGE(N130:P130)-1)/4</f>
        <v/>
      </c>
      <c r="AB130">
        <f>(AVERAGE(Q130:S130)-1)/4</f>
        <v/>
      </c>
      <c r="AC130">
        <f>(AVERAGE(T130:V130)-1)/4</f>
        <v/>
      </c>
      <c r="AD130">
        <f>AVERAGE(W130:AA130)</f>
        <v/>
      </c>
      <c r="AE130">
        <f>MIN(W130:AA130)</f>
        <v/>
      </c>
      <c r="AF130">
        <f>1-alpha*MAX(0,delta-AE130)</f>
        <v/>
      </c>
      <c r="AG130">
        <f>AD130*AF130</f>
        <v/>
      </c>
      <c r="AH130">
        <f>1+COUNTIF(bounds,"&lt;"&amp;ROUND(AD130,12))</f>
        <v/>
      </c>
      <c r="AI130">
        <f>1+COUNTIF(bounds,"&lt;"&amp;ROUND(AG130,12))</f>
        <v/>
      </c>
      <c r="AJ130">
        <f>IF(AF130&lt;1,1,0)</f>
        <v/>
      </c>
      <c r="AK130">
        <f>IF(AH130&lt;&gt;AI130,1,0)</f>
        <v/>
      </c>
      <c r="AL130">
        <f>IF(AND(AI130&gt;=3,AB130&lt;=0.2),1,0)</f>
        <v/>
      </c>
      <c r="AM130">
        <f>AVERAGE(W130:AB130)</f>
        <v/>
      </c>
      <c r="AN130">
        <f>1+COUNTIF(bounds,"&lt;"&amp;ROUND(AM130,12))</f>
        <v/>
      </c>
      <c r="AO130">
        <f>IF(AK130=1,AD130,NA())</f>
        <v/>
      </c>
      <c r="AP130">
        <f>IF(AK130=0,AD130,NA())</f>
        <v/>
      </c>
    </row>
    <row r="131">
      <c r="A131" t="n">
        <v>123</v>
      </c>
      <c r="B131" t="n">
        <v>5</v>
      </c>
      <c r="C131" t="n">
        <v>1</v>
      </c>
      <c r="D131" t="n">
        <v>5</v>
      </c>
      <c r="E131" t="n">
        <v>2</v>
      </c>
      <c r="F131" t="n">
        <v>5</v>
      </c>
      <c r="G131" t="n">
        <v>4</v>
      </c>
      <c r="H131" t="n">
        <v>5</v>
      </c>
      <c r="I131" t="n">
        <v>5</v>
      </c>
      <c r="J131" t="n">
        <v>5</v>
      </c>
      <c r="K131" t="n">
        <v>1</v>
      </c>
      <c r="L131" t="n">
        <v>2</v>
      </c>
      <c r="M131" t="n">
        <v>2</v>
      </c>
      <c r="N131" t="n">
        <v>3</v>
      </c>
      <c r="O131" t="n">
        <v>2</v>
      </c>
      <c r="P131" t="n">
        <v>4</v>
      </c>
      <c r="Q131" t="n">
        <v>2</v>
      </c>
      <c r="R131" t="n">
        <v>4</v>
      </c>
      <c r="S131" t="n">
        <v>4</v>
      </c>
      <c r="T131" t="n">
        <v>2</v>
      </c>
      <c r="U131" t="n">
        <v>2</v>
      </c>
      <c r="V131" t="n">
        <v>3</v>
      </c>
      <c r="W131">
        <f>(AVERAGE(B131:D131)-1)/4</f>
        <v/>
      </c>
      <c r="X131">
        <f>(AVERAGE(E131:G131)-1)/4</f>
        <v/>
      </c>
      <c r="Y131">
        <f>(AVERAGE(H131:J131)-1)/4</f>
        <v/>
      </c>
      <c r="Z131">
        <f>(AVERAGE(K131:M131)-1)/4</f>
        <v/>
      </c>
      <c r="AA131">
        <f>(AVERAGE(N131:P131)-1)/4</f>
        <v/>
      </c>
      <c r="AB131">
        <f>(AVERAGE(Q131:S131)-1)/4</f>
        <v/>
      </c>
      <c r="AC131">
        <f>(AVERAGE(T131:V131)-1)/4</f>
        <v/>
      </c>
      <c r="AD131">
        <f>AVERAGE(W131:AA131)</f>
        <v/>
      </c>
      <c r="AE131">
        <f>MIN(W131:AA131)</f>
        <v/>
      </c>
      <c r="AF131">
        <f>1-alpha*MAX(0,delta-AE131)</f>
        <v/>
      </c>
      <c r="AG131">
        <f>AD131*AF131</f>
        <v/>
      </c>
      <c r="AH131">
        <f>1+COUNTIF(bounds,"&lt;"&amp;ROUND(AD131,12))</f>
        <v/>
      </c>
      <c r="AI131">
        <f>1+COUNTIF(bounds,"&lt;"&amp;ROUND(AG131,12))</f>
        <v/>
      </c>
      <c r="AJ131">
        <f>IF(AF131&lt;1,1,0)</f>
        <v/>
      </c>
      <c r="AK131">
        <f>IF(AH131&lt;&gt;AI131,1,0)</f>
        <v/>
      </c>
      <c r="AL131">
        <f>IF(AND(AI131&gt;=3,AB131&lt;=0.2),1,0)</f>
        <v/>
      </c>
      <c r="AM131">
        <f>AVERAGE(W131:AB131)</f>
        <v/>
      </c>
      <c r="AN131">
        <f>1+COUNTIF(bounds,"&lt;"&amp;ROUND(AM131,12))</f>
        <v/>
      </c>
      <c r="AO131">
        <f>IF(AK131=1,AD131,NA())</f>
        <v/>
      </c>
      <c r="AP131">
        <f>IF(AK131=0,AD131,NA())</f>
        <v/>
      </c>
    </row>
    <row r="132">
      <c r="A132" t="n">
        <v>124</v>
      </c>
      <c r="B132" t="n">
        <v>2</v>
      </c>
      <c r="C132" t="n">
        <v>2</v>
      </c>
      <c r="D132" t="n">
        <v>1</v>
      </c>
      <c r="E132" t="n">
        <v>3</v>
      </c>
      <c r="F132" t="n">
        <v>1</v>
      </c>
      <c r="G132" t="n">
        <v>2</v>
      </c>
      <c r="H132" t="n">
        <v>4</v>
      </c>
      <c r="I132" t="n">
        <v>2</v>
      </c>
      <c r="J132" t="n">
        <v>5</v>
      </c>
      <c r="K132" t="n">
        <v>4</v>
      </c>
      <c r="L132" t="n">
        <v>2</v>
      </c>
      <c r="M132" t="n">
        <v>3</v>
      </c>
      <c r="N132" t="n">
        <v>1</v>
      </c>
      <c r="O132" t="n">
        <v>5</v>
      </c>
      <c r="P132" t="n">
        <v>1</v>
      </c>
      <c r="Q132" t="n">
        <v>2</v>
      </c>
      <c r="R132" t="n">
        <v>4</v>
      </c>
      <c r="S132" t="n">
        <v>5</v>
      </c>
      <c r="T132" t="n">
        <v>3</v>
      </c>
      <c r="U132" t="n">
        <v>4</v>
      </c>
      <c r="V132" t="n">
        <v>1</v>
      </c>
      <c r="W132">
        <f>(AVERAGE(B132:D132)-1)/4</f>
        <v/>
      </c>
      <c r="X132">
        <f>(AVERAGE(E132:G132)-1)/4</f>
        <v/>
      </c>
      <c r="Y132">
        <f>(AVERAGE(H132:J132)-1)/4</f>
        <v/>
      </c>
      <c r="Z132">
        <f>(AVERAGE(K132:M132)-1)/4</f>
        <v/>
      </c>
      <c r="AA132">
        <f>(AVERAGE(N132:P132)-1)/4</f>
        <v/>
      </c>
      <c r="AB132">
        <f>(AVERAGE(Q132:S132)-1)/4</f>
        <v/>
      </c>
      <c r="AC132">
        <f>(AVERAGE(T132:V132)-1)/4</f>
        <v/>
      </c>
      <c r="AD132">
        <f>AVERAGE(W132:AA132)</f>
        <v/>
      </c>
      <c r="AE132">
        <f>MIN(W132:AA132)</f>
        <v/>
      </c>
      <c r="AF132">
        <f>1-alpha*MAX(0,delta-AE132)</f>
        <v/>
      </c>
      <c r="AG132">
        <f>AD132*AF132</f>
        <v/>
      </c>
      <c r="AH132">
        <f>1+COUNTIF(bounds,"&lt;"&amp;ROUND(AD132,12))</f>
        <v/>
      </c>
      <c r="AI132">
        <f>1+COUNTIF(bounds,"&lt;"&amp;ROUND(AG132,12))</f>
        <v/>
      </c>
      <c r="AJ132">
        <f>IF(AF132&lt;1,1,0)</f>
        <v/>
      </c>
      <c r="AK132">
        <f>IF(AH132&lt;&gt;AI132,1,0)</f>
        <v/>
      </c>
      <c r="AL132">
        <f>IF(AND(AI132&gt;=3,AB132&lt;=0.2),1,0)</f>
        <v/>
      </c>
      <c r="AM132">
        <f>AVERAGE(W132:AB132)</f>
        <v/>
      </c>
      <c r="AN132">
        <f>1+COUNTIF(bounds,"&lt;"&amp;ROUND(AM132,12))</f>
        <v/>
      </c>
      <c r="AO132">
        <f>IF(AK132=1,AD132,NA())</f>
        <v/>
      </c>
      <c r="AP132">
        <f>IF(AK132=0,AD132,NA())</f>
        <v/>
      </c>
    </row>
    <row r="133">
      <c r="A133" t="n">
        <v>125</v>
      </c>
      <c r="B133" t="n">
        <v>5</v>
      </c>
      <c r="C133" t="n">
        <v>3</v>
      </c>
      <c r="D133" t="n">
        <v>5</v>
      </c>
      <c r="E133" t="n">
        <v>4</v>
      </c>
      <c r="F133" t="n">
        <v>3</v>
      </c>
      <c r="G133" t="n">
        <v>4</v>
      </c>
      <c r="H133" t="n">
        <v>1</v>
      </c>
      <c r="I133" t="n">
        <v>1</v>
      </c>
      <c r="J133" t="n">
        <v>3</v>
      </c>
      <c r="K133" t="n">
        <v>3</v>
      </c>
      <c r="L133" t="n">
        <v>1</v>
      </c>
      <c r="M133" t="n">
        <v>3</v>
      </c>
      <c r="N133" t="n">
        <v>1</v>
      </c>
      <c r="O133" t="n">
        <v>5</v>
      </c>
      <c r="P133" t="n">
        <v>4</v>
      </c>
      <c r="Q133" t="n">
        <v>3</v>
      </c>
      <c r="R133" t="n">
        <v>5</v>
      </c>
      <c r="S133" t="n">
        <v>3</v>
      </c>
      <c r="T133" t="n">
        <v>1</v>
      </c>
      <c r="U133" t="n">
        <v>3</v>
      </c>
      <c r="V133" t="n">
        <v>3</v>
      </c>
      <c r="W133">
        <f>(AVERAGE(B133:D133)-1)/4</f>
        <v/>
      </c>
      <c r="X133">
        <f>(AVERAGE(E133:G133)-1)/4</f>
        <v/>
      </c>
      <c r="Y133">
        <f>(AVERAGE(H133:J133)-1)/4</f>
        <v/>
      </c>
      <c r="Z133">
        <f>(AVERAGE(K133:M133)-1)/4</f>
        <v/>
      </c>
      <c r="AA133">
        <f>(AVERAGE(N133:P133)-1)/4</f>
        <v/>
      </c>
      <c r="AB133">
        <f>(AVERAGE(Q133:S133)-1)/4</f>
        <v/>
      </c>
      <c r="AC133">
        <f>(AVERAGE(T133:V133)-1)/4</f>
        <v/>
      </c>
      <c r="AD133">
        <f>AVERAGE(W133:AA133)</f>
        <v/>
      </c>
      <c r="AE133">
        <f>MIN(W133:AA133)</f>
        <v/>
      </c>
      <c r="AF133">
        <f>1-alpha*MAX(0,delta-AE133)</f>
        <v/>
      </c>
      <c r="AG133">
        <f>AD133*AF133</f>
        <v/>
      </c>
      <c r="AH133">
        <f>1+COUNTIF(bounds,"&lt;"&amp;ROUND(AD133,12))</f>
        <v/>
      </c>
      <c r="AI133">
        <f>1+COUNTIF(bounds,"&lt;"&amp;ROUND(AG133,12))</f>
        <v/>
      </c>
      <c r="AJ133">
        <f>IF(AF133&lt;1,1,0)</f>
        <v/>
      </c>
      <c r="AK133">
        <f>IF(AH133&lt;&gt;AI133,1,0)</f>
        <v/>
      </c>
      <c r="AL133">
        <f>IF(AND(AI133&gt;=3,AB133&lt;=0.2),1,0)</f>
        <v/>
      </c>
      <c r="AM133">
        <f>AVERAGE(W133:AB133)</f>
        <v/>
      </c>
      <c r="AN133">
        <f>1+COUNTIF(bounds,"&lt;"&amp;ROUND(AM133,12))</f>
        <v/>
      </c>
      <c r="AO133">
        <f>IF(AK133=1,AD133,NA())</f>
        <v/>
      </c>
      <c r="AP133">
        <f>IF(AK133=0,AD133,NA())</f>
        <v/>
      </c>
    </row>
    <row r="134">
      <c r="A134" t="n">
        <v>126</v>
      </c>
      <c r="B134" t="n">
        <v>1</v>
      </c>
      <c r="C134" t="n">
        <v>5</v>
      </c>
      <c r="D134" t="n">
        <v>2</v>
      </c>
      <c r="E134" t="n">
        <v>1</v>
      </c>
      <c r="F134" t="n">
        <v>2</v>
      </c>
      <c r="G134" t="n">
        <v>3</v>
      </c>
      <c r="H134" t="n">
        <v>2</v>
      </c>
      <c r="I134" t="n">
        <v>4</v>
      </c>
      <c r="J134" t="n">
        <v>2</v>
      </c>
      <c r="K134" t="n">
        <v>4</v>
      </c>
      <c r="L134" t="n">
        <v>3</v>
      </c>
      <c r="M134" t="n">
        <v>3</v>
      </c>
      <c r="N134" t="n">
        <v>4</v>
      </c>
      <c r="O134" t="n">
        <v>5</v>
      </c>
      <c r="P134" t="n">
        <v>5</v>
      </c>
      <c r="Q134" t="n">
        <v>4</v>
      </c>
      <c r="R134" t="n">
        <v>4</v>
      </c>
      <c r="S134" t="n">
        <v>3</v>
      </c>
      <c r="T134" t="n">
        <v>2</v>
      </c>
      <c r="U134" t="n">
        <v>5</v>
      </c>
      <c r="V134" t="n">
        <v>1</v>
      </c>
      <c r="W134">
        <f>(AVERAGE(B134:D134)-1)/4</f>
        <v/>
      </c>
      <c r="X134">
        <f>(AVERAGE(E134:G134)-1)/4</f>
        <v/>
      </c>
      <c r="Y134">
        <f>(AVERAGE(H134:J134)-1)/4</f>
        <v/>
      </c>
      <c r="Z134">
        <f>(AVERAGE(K134:M134)-1)/4</f>
        <v/>
      </c>
      <c r="AA134">
        <f>(AVERAGE(N134:P134)-1)/4</f>
        <v/>
      </c>
      <c r="AB134">
        <f>(AVERAGE(Q134:S134)-1)/4</f>
        <v/>
      </c>
      <c r="AC134">
        <f>(AVERAGE(T134:V134)-1)/4</f>
        <v/>
      </c>
      <c r="AD134">
        <f>AVERAGE(W134:AA134)</f>
        <v/>
      </c>
      <c r="AE134">
        <f>MIN(W134:AA134)</f>
        <v/>
      </c>
      <c r="AF134">
        <f>1-alpha*MAX(0,delta-AE134)</f>
        <v/>
      </c>
      <c r="AG134">
        <f>AD134*AF134</f>
        <v/>
      </c>
      <c r="AH134">
        <f>1+COUNTIF(bounds,"&lt;"&amp;ROUND(AD134,12))</f>
        <v/>
      </c>
      <c r="AI134">
        <f>1+COUNTIF(bounds,"&lt;"&amp;ROUND(AG134,12))</f>
        <v/>
      </c>
      <c r="AJ134">
        <f>IF(AF134&lt;1,1,0)</f>
        <v/>
      </c>
      <c r="AK134">
        <f>IF(AH134&lt;&gt;AI134,1,0)</f>
        <v/>
      </c>
      <c r="AL134">
        <f>IF(AND(AI134&gt;=3,AB134&lt;=0.2),1,0)</f>
        <v/>
      </c>
      <c r="AM134">
        <f>AVERAGE(W134:AB134)</f>
        <v/>
      </c>
      <c r="AN134">
        <f>1+COUNTIF(bounds,"&lt;"&amp;ROUND(AM134,12))</f>
        <v/>
      </c>
      <c r="AO134">
        <f>IF(AK134=1,AD134,NA())</f>
        <v/>
      </c>
      <c r="AP134">
        <f>IF(AK134=0,AD134,NA())</f>
        <v/>
      </c>
    </row>
    <row r="135">
      <c r="A135" t="n">
        <v>127</v>
      </c>
      <c r="B135" t="n">
        <v>2</v>
      </c>
      <c r="C135" t="n">
        <v>4</v>
      </c>
      <c r="D135" t="n">
        <v>1</v>
      </c>
      <c r="E135" t="n">
        <v>4</v>
      </c>
      <c r="F135" t="n">
        <v>4</v>
      </c>
      <c r="G135" t="n">
        <v>2</v>
      </c>
      <c r="H135" t="n">
        <v>1</v>
      </c>
      <c r="I135" t="n">
        <v>2</v>
      </c>
      <c r="J135" t="n">
        <v>4</v>
      </c>
      <c r="K135" t="n">
        <v>1</v>
      </c>
      <c r="L135" t="n">
        <v>1</v>
      </c>
      <c r="M135" t="n">
        <v>1</v>
      </c>
      <c r="N135" t="n">
        <v>4</v>
      </c>
      <c r="O135" t="n">
        <v>3</v>
      </c>
      <c r="P135" t="n">
        <v>4</v>
      </c>
      <c r="Q135" t="n">
        <v>1</v>
      </c>
      <c r="R135" t="n">
        <v>3</v>
      </c>
      <c r="S135" t="n">
        <v>4</v>
      </c>
      <c r="T135" t="n">
        <v>3</v>
      </c>
      <c r="U135" t="n">
        <v>3</v>
      </c>
      <c r="V135" t="n">
        <v>4</v>
      </c>
      <c r="W135">
        <f>(AVERAGE(B135:D135)-1)/4</f>
        <v/>
      </c>
      <c r="X135">
        <f>(AVERAGE(E135:G135)-1)/4</f>
        <v/>
      </c>
      <c r="Y135">
        <f>(AVERAGE(H135:J135)-1)/4</f>
        <v/>
      </c>
      <c r="Z135">
        <f>(AVERAGE(K135:M135)-1)/4</f>
        <v/>
      </c>
      <c r="AA135">
        <f>(AVERAGE(N135:P135)-1)/4</f>
        <v/>
      </c>
      <c r="AB135">
        <f>(AVERAGE(Q135:S135)-1)/4</f>
        <v/>
      </c>
      <c r="AC135">
        <f>(AVERAGE(T135:V135)-1)/4</f>
        <v/>
      </c>
      <c r="AD135">
        <f>AVERAGE(W135:AA135)</f>
        <v/>
      </c>
      <c r="AE135">
        <f>MIN(W135:AA135)</f>
        <v/>
      </c>
      <c r="AF135">
        <f>1-alpha*MAX(0,delta-AE135)</f>
        <v/>
      </c>
      <c r="AG135">
        <f>AD135*AF135</f>
        <v/>
      </c>
      <c r="AH135">
        <f>1+COUNTIF(bounds,"&lt;"&amp;ROUND(AD135,12))</f>
        <v/>
      </c>
      <c r="AI135">
        <f>1+COUNTIF(bounds,"&lt;"&amp;ROUND(AG135,12))</f>
        <v/>
      </c>
      <c r="AJ135">
        <f>IF(AF135&lt;1,1,0)</f>
        <v/>
      </c>
      <c r="AK135">
        <f>IF(AH135&lt;&gt;AI135,1,0)</f>
        <v/>
      </c>
      <c r="AL135">
        <f>IF(AND(AI135&gt;=3,AB135&lt;=0.2),1,0)</f>
        <v/>
      </c>
      <c r="AM135">
        <f>AVERAGE(W135:AB135)</f>
        <v/>
      </c>
      <c r="AN135">
        <f>1+COUNTIF(bounds,"&lt;"&amp;ROUND(AM135,12))</f>
        <v/>
      </c>
      <c r="AO135">
        <f>IF(AK135=1,AD135,NA())</f>
        <v/>
      </c>
      <c r="AP135">
        <f>IF(AK135=0,AD135,NA())</f>
        <v/>
      </c>
    </row>
    <row r="136">
      <c r="A136" t="n">
        <v>128</v>
      </c>
      <c r="B136" t="n">
        <v>3</v>
      </c>
      <c r="C136" t="n">
        <v>3</v>
      </c>
      <c r="D136" t="n">
        <v>1</v>
      </c>
      <c r="E136" t="n">
        <v>4</v>
      </c>
      <c r="F136" t="n">
        <v>5</v>
      </c>
      <c r="G136" t="n">
        <v>4</v>
      </c>
      <c r="H136" t="n">
        <v>4</v>
      </c>
      <c r="I136" t="n">
        <v>2</v>
      </c>
      <c r="J136" t="n">
        <v>5</v>
      </c>
      <c r="K136" t="n">
        <v>4</v>
      </c>
      <c r="L136" t="n">
        <v>1</v>
      </c>
      <c r="M136" t="n">
        <v>4</v>
      </c>
      <c r="N136" t="n">
        <v>1</v>
      </c>
      <c r="O136" t="n">
        <v>1</v>
      </c>
      <c r="P136" t="n">
        <v>4</v>
      </c>
      <c r="Q136" t="n">
        <v>3</v>
      </c>
      <c r="R136" t="n">
        <v>2</v>
      </c>
      <c r="S136" t="n">
        <v>3</v>
      </c>
      <c r="T136" t="n">
        <v>1</v>
      </c>
      <c r="U136" t="n">
        <v>3</v>
      </c>
      <c r="V136" t="n">
        <v>5</v>
      </c>
      <c r="W136">
        <f>(AVERAGE(B136:D136)-1)/4</f>
        <v/>
      </c>
      <c r="X136">
        <f>(AVERAGE(E136:G136)-1)/4</f>
        <v/>
      </c>
      <c r="Y136">
        <f>(AVERAGE(H136:J136)-1)/4</f>
        <v/>
      </c>
      <c r="Z136">
        <f>(AVERAGE(K136:M136)-1)/4</f>
        <v/>
      </c>
      <c r="AA136">
        <f>(AVERAGE(N136:P136)-1)/4</f>
        <v/>
      </c>
      <c r="AB136">
        <f>(AVERAGE(Q136:S136)-1)/4</f>
        <v/>
      </c>
      <c r="AC136">
        <f>(AVERAGE(T136:V136)-1)/4</f>
        <v/>
      </c>
      <c r="AD136">
        <f>AVERAGE(W136:AA136)</f>
        <v/>
      </c>
      <c r="AE136">
        <f>MIN(W136:AA136)</f>
        <v/>
      </c>
      <c r="AF136">
        <f>1-alpha*MAX(0,delta-AE136)</f>
        <v/>
      </c>
      <c r="AG136">
        <f>AD136*AF136</f>
        <v/>
      </c>
      <c r="AH136">
        <f>1+COUNTIF(bounds,"&lt;"&amp;ROUND(AD136,12))</f>
        <v/>
      </c>
      <c r="AI136">
        <f>1+COUNTIF(bounds,"&lt;"&amp;ROUND(AG136,12))</f>
        <v/>
      </c>
      <c r="AJ136">
        <f>IF(AF136&lt;1,1,0)</f>
        <v/>
      </c>
      <c r="AK136">
        <f>IF(AH136&lt;&gt;AI136,1,0)</f>
        <v/>
      </c>
      <c r="AL136">
        <f>IF(AND(AI136&gt;=3,AB136&lt;=0.2),1,0)</f>
        <v/>
      </c>
      <c r="AM136">
        <f>AVERAGE(W136:AB136)</f>
        <v/>
      </c>
      <c r="AN136">
        <f>1+COUNTIF(bounds,"&lt;"&amp;ROUND(AM136,12))</f>
        <v/>
      </c>
      <c r="AO136">
        <f>IF(AK136=1,AD136,NA())</f>
        <v/>
      </c>
      <c r="AP136">
        <f>IF(AK136=0,AD136,NA())</f>
        <v/>
      </c>
    </row>
    <row r="137">
      <c r="A137" t="n">
        <v>129</v>
      </c>
      <c r="B137" t="n">
        <v>3</v>
      </c>
      <c r="C137" t="n">
        <v>2</v>
      </c>
      <c r="D137" t="n">
        <v>2</v>
      </c>
      <c r="E137" t="n">
        <v>3</v>
      </c>
      <c r="F137" t="n">
        <v>5</v>
      </c>
      <c r="G137" t="n">
        <v>3</v>
      </c>
      <c r="H137" t="n">
        <v>4</v>
      </c>
      <c r="I137" t="n">
        <v>4</v>
      </c>
      <c r="J137" t="n">
        <v>5</v>
      </c>
      <c r="K137" t="n">
        <v>3</v>
      </c>
      <c r="L137" t="n">
        <v>3</v>
      </c>
      <c r="M137" t="n">
        <v>3</v>
      </c>
      <c r="N137" t="n">
        <v>4</v>
      </c>
      <c r="O137" t="n">
        <v>3</v>
      </c>
      <c r="P137" t="n">
        <v>3</v>
      </c>
      <c r="Q137" t="n">
        <v>2</v>
      </c>
      <c r="R137" t="n">
        <v>5</v>
      </c>
      <c r="S137" t="n">
        <v>3</v>
      </c>
      <c r="T137" t="n">
        <v>3</v>
      </c>
      <c r="U137" t="n">
        <v>4</v>
      </c>
      <c r="V137" t="n">
        <v>2</v>
      </c>
      <c r="W137">
        <f>(AVERAGE(B137:D137)-1)/4</f>
        <v/>
      </c>
      <c r="X137">
        <f>(AVERAGE(E137:G137)-1)/4</f>
        <v/>
      </c>
      <c r="Y137">
        <f>(AVERAGE(H137:J137)-1)/4</f>
        <v/>
      </c>
      <c r="Z137">
        <f>(AVERAGE(K137:M137)-1)/4</f>
        <v/>
      </c>
      <c r="AA137">
        <f>(AVERAGE(N137:P137)-1)/4</f>
        <v/>
      </c>
      <c r="AB137">
        <f>(AVERAGE(Q137:S137)-1)/4</f>
        <v/>
      </c>
      <c r="AC137">
        <f>(AVERAGE(T137:V137)-1)/4</f>
        <v/>
      </c>
      <c r="AD137">
        <f>AVERAGE(W137:AA137)</f>
        <v/>
      </c>
      <c r="AE137">
        <f>MIN(W137:AA137)</f>
        <v/>
      </c>
      <c r="AF137">
        <f>1-alpha*MAX(0,delta-AE137)</f>
        <v/>
      </c>
      <c r="AG137">
        <f>AD137*AF137</f>
        <v/>
      </c>
      <c r="AH137">
        <f>1+COUNTIF(bounds,"&lt;"&amp;ROUND(AD137,12))</f>
        <v/>
      </c>
      <c r="AI137">
        <f>1+COUNTIF(bounds,"&lt;"&amp;ROUND(AG137,12))</f>
        <v/>
      </c>
      <c r="AJ137">
        <f>IF(AF137&lt;1,1,0)</f>
        <v/>
      </c>
      <c r="AK137">
        <f>IF(AH137&lt;&gt;AI137,1,0)</f>
        <v/>
      </c>
      <c r="AL137">
        <f>IF(AND(AI137&gt;=3,AB137&lt;=0.2),1,0)</f>
        <v/>
      </c>
      <c r="AM137">
        <f>AVERAGE(W137:AB137)</f>
        <v/>
      </c>
      <c r="AN137">
        <f>1+COUNTIF(bounds,"&lt;"&amp;ROUND(AM137,12))</f>
        <v/>
      </c>
      <c r="AO137">
        <f>IF(AK137=1,AD137,NA())</f>
        <v/>
      </c>
      <c r="AP137">
        <f>IF(AK137=0,AD137,NA())</f>
        <v/>
      </c>
    </row>
    <row r="138">
      <c r="A138" t="n">
        <v>130</v>
      </c>
      <c r="B138" t="n">
        <v>5</v>
      </c>
      <c r="C138" t="n">
        <v>3</v>
      </c>
      <c r="D138" t="n">
        <v>1</v>
      </c>
      <c r="E138" t="n">
        <v>4</v>
      </c>
      <c r="F138" t="n">
        <v>4</v>
      </c>
      <c r="G138" t="n">
        <v>1</v>
      </c>
      <c r="H138" t="n">
        <v>1</v>
      </c>
      <c r="I138" t="n">
        <v>5</v>
      </c>
      <c r="J138" t="n">
        <v>2</v>
      </c>
      <c r="K138" t="n">
        <v>2</v>
      </c>
      <c r="L138" t="n">
        <v>1</v>
      </c>
      <c r="M138" t="n">
        <v>5</v>
      </c>
      <c r="N138" t="n">
        <v>5</v>
      </c>
      <c r="O138" t="n">
        <v>3</v>
      </c>
      <c r="P138" t="n">
        <v>4</v>
      </c>
      <c r="Q138" t="n">
        <v>3</v>
      </c>
      <c r="R138" t="n">
        <v>5</v>
      </c>
      <c r="S138" t="n">
        <v>1</v>
      </c>
      <c r="T138" t="n">
        <v>2</v>
      </c>
      <c r="U138" t="n">
        <v>2</v>
      </c>
      <c r="V138" t="n">
        <v>4</v>
      </c>
      <c r="W138">
        <f>(AVERAGE(B138:D138)-1)/4</f>
        <v/>
      </c>
      <c r="X138">
        <f>(AVERAGE(E138:G138)-1)/4</f>
        <v/>
      </c>
      <c r="Y138">
        <f>(AVERAGE(H138:J138)-1)/4</f>
        <v/>
      </c>
      <c r="Z138">
        <f>(AVERAGE(K138:M138)-1)/4</f>
        <v/>
      </c>
      <c r="AA138">
        <f>(AVERAGE(N138:P138)-1)/4</f>
        <v/>
      </c>
      <c r="AB138">
        <f>(AVERAGE(Q138:S138)-1)/4</f>
        <v/>
      </c>
      <c r="AC138">
        <f>(AVERAGE(T138:V138)-1)/4</f>
        <v/>
      </c>
      <c r="AD138">
        <f>AVERAGE(W138:AA138)</f>
        <v/>
      </c>
      <c r="AE138">
        <f>MIN(W138:AA138)</f>
        <v/>
      </c>
      <c r="AF138">
        <f>1-alpha*MAX(0,delta-AE138)</f>
        <v/>
      </c>
      <c r="AG138">
        <f>AD138*AF138</f>
        <v/>
      </c>
      <c r="AH138">
        <f>1+COUNTIF(bounds,"&lt;"&amp;ROUND(AD138,12))</f>
        <v/>
      </c>
      <c r="AI138">
        <f>1+COUNTIF(bounds,"&lt;"&amp;ROUND(AG138,12))</f>
        <v/>
      </c>
      <c r="AJ138">
        <f>IF(AF138&lt;1,1,0)</f>
        <v/>
      </c>
      <c r="AK138">
        <f>IF(AH138&lt;&gt;AI138,1,0)</f>
        <v/>
      </c>
      <c r="AL138">
        <f>IF(AND(AI138&gt;=3,AB138&lt;=0.2),1,0)</f>
        <v/>
      </c>
      <c r="AM138">
        <f>AVERAGE(W138:AB138)</f>
        <v/>
      </c>
      <c r="AN138">
        <f>1+COUNTIF(bounds,"&lt;"&amp;ROUND(AM138,12))</f>
        <v/>
      </c>
      <c r="AO138">
        <f>IF(AK138=1,AD138,NA())</f>
        <v/>
      </c>
      <c r="AP138">
        <f>IF(AK138=0,AD138,NA())</f>
        <v/>
      </c>
    </row>
    <row r="139">
      <c r="A139" t="n">
        <v>131</v>
      </c>
      <c r="B139" t="n">
        <v>4</v>
      </c>
      <c r="C139" t="n">
        <v>2</v>
      </c>
      <c r="D139" t="n">
        <v>3</v>
      </c>
      <c r="E139" t="n">
        <v>1</v>
      </c>
      <c r="F139" t="n">
        <v>2</v>
      </c>
      <c r="G139" t="n">
        <v>4</v>
      </c>
      <c r="H139" t="n">
        <v>2</v>
      </c>
      <c r="I139" t="n">
        <v>2</v>
      </c>
      <c r="J139" t="n">
        <v>2</v>
      </c>
      <c r="K139" t="n">
        <v>4</v>
      </c>
      <c r="L139" t="n">
        <v>5</v>
      </c>
      <c r="M139" t="n">
        <v>2</v>
      </c>
      <c r="N139" t="n">
        <v>1</v>
      </c>
      <c r="O139" t="n">
        <v>2</v>
      </c>
      <c r="P139" t="n">
        <v>1</v>
      </c>
      <c r="Q139" t="n">
        <v>2</v>
      </c>
      <c r="R139" t="n">
        <v>2</v>
      </c>
      <c r="S139" t="n">
        <v>4</v>
      </c>
      <c r="T139" t="n">
        <v>1</v>
      </c>
      <c r="U139" t="n">
        <v>5</v>
      </c>
      <c r="V139" t="n">
        <v>3</v>
      </c>
      <c r="W139">
        <f>(AVERAGE(B139:D139)-1)/4</f>
        <v/>
      </c>
      <c r="X139">
        <f>(AVERAGE(E139:G139)-1)/4</f>
        <v/>
      </c>
      <c r="Y139">
        <f>(AVERAGE(H139:J139)-1)/4</f>
        <v/>
      </c>
      <c r="Z139">
        <f>(AVERAGE(K139:M139)-1)/4</f>
        <v/>
      </c>
      <c r="AA139">
        <f>(AVERAGE(N139:P139)-1)/4</f>
        <v/>
      </c>
      <c r="AB139">
        <f>(AVERAGE(Q139:S139)-1)/4</f>
        <v/>
      </c>
      <c r="AC139">
        <f>(AVERAGE(T139:V139)-1)/4</f>
        <v/>
      </c>
      <c r="AD139">
        <f>AVERAGE(W139:AA139)</f>
        <v/>
      </c>
      <c r="AE139">
        <f>MIN(W139:AA139)</f>
        <v/>
      </c>
      <c r="AF139">
        <f>1-alpha*MAX(0,delta-AE139)</f>
        <v/>
      </c>
      <c r="AG139">
        <f>AD139*AF139</f>
        <v/>
      </c>
      <c r="AH139">
        <f>1+COUNTIF(bounds,"&lt;"&amp;ROUND(AD139,12))</f>
        <v/>
      </c>
      <c r="AI139">
        <f>1+COUNTIF(bounds,"&lt;"&amp;ROUND(AG139,12))</f>
        <v/>
      </c>
      <c r="AJ139">
        <f>IF(AF139&lt;1,1,0)</f>
        <v/>
      </c>
      <c r="AK139">
        <f>IF(AH139&lt;&gt;AI139,1,0)</f>
        <v/>
      </c>
      <c r="AL139">
        <f>IF(AND(AI139&gt;=3,AB139&lt;=0.2),1,0)</f>
        <v/>
      </c>
      <c r="AM139">
        <f>AVERAGE(W139:AB139)</f>
        <v/>
      </c>
      <c r="AN139">
        <f>1+COUNTIF(bounds,"&lt;"&amp;ROUND(AM139,12))</f>
        <v/>
      </c>
      <c r="AO139">
        <f>IF(AK139=1,AD139,NA())</f>
        <v/>
      </c>
      <c r="AP139">
        <f>IF(AK139=0,AD139,NA())</f>
        <v/>
      </c>
    </row>
    <row r="140">
      <c r="A140" t="n">
        <v>132</v>
      </c>
      <c r="B140" t="n">
        <v>2</v>
      </c>
      <c r="C140" t="n">
        <v>4</v>
      </c>
      <c r="D140" t="n">
        <v>4</v>
      </c>
      <c r="E140" t="n">
        <v>1</v>
      </c>
      <c r="F140" t="n">
        <v>4</v>
      </c>
      <c r="G140" t="n">
        <v>2</v>
      </c>
      <c r="H140" t="n">
        <v>1</v>
      </c>
      <c r="I140" t="n">
        <v>4</v>
      </c>
      <c r="J140" t="n">
        <v>2</v>
      </c>
      <c r="K140" t="n">
        <v>1</v>
      </c>
      <c r="L140" t="n">
        <v>4</v>
      </c>
      <c r="M140" t="n">
        <v>1</v>
      </c>
      <c r="N140" t="n">
        <v>3</v>
      </c>
      <c r="O140" t="n">
        <v>1</v>
      </c>
      <c r="P140" t="n">
        <v>5</v>
      </c>
      <c r="Q140" t="n">
        <v>1</v>
      </c>
      <c r="R140" t="n">
        <v>4</v>
      </c>
      <c r="S140" t="n">
        <v>5</v>
      </c>
      <c r="T140" t="n">
        <v>1</v>
      </c>
      <c r="U140" t="n">
        <v>4</v>
      </c>
      <c r="V140" t="n">
        <v>1</v>
      </c>
      <c r="W140">
        <f>(AVERAGE(B140:D140)-1)/4</f>
        <v/>
      </c>
      <c r="X140">
        <f>(AVERAGE(E140:G140)-1)/4</f>
        <v/>
      </c>
      <c r="Y140">
        <f>(AVERAGE(H140:J140)-1)/4</f>
        <v/>
      </c>
      <c r="Z140">
        <f>(AVERAGE(K140:M140)-1)/4</f>
        <v/>
      </c>
      <c r="AA140">
        <f>(AVERAGE(N140:P140)-1)/4</f>
        <v/>
      </c>
      <c r="AB140">
        <f>(AVERAGE(Q140:S140)-1)/4</f>
        <v/>
      </c>
      <c r="AC140">
        <f>(AVERAGE(T140:V140)-1)/4</f>
        <v/>
      </c>
      <c r="AD140">
        <f>AVERAGE(W140:AA140)</f>
        <v/>
      </c>
      <c r="AE140">
        <f>MIN(W140:AA140)</f>
        <v/>
      </c>
      <c r="AF140">
        <f>1-alpha*MAX(0,delta-AE140)</f>
        <v/>
      </c>
      <c r="AG140">
        <f>AD140*AF140</f>
        <v/>
      </c>
      <c r="AH140">
        <f>1+COUNTIF(bounds,"&lt;"&amp;ROUND(AD140,12))</f>
        <v/>
      </c>
      <c r="AI140">
        <f>1+COUNTIF(bounds,"&lt;"&amp;ROUND(AG140,12))</f>
        <v/>
      </c>
      <c r="AJ140">
        <f>IF(AF140&lt;1,1,0)</f>
        <v/>
      </c>
      <c r="AK140">
        <f>IF(AH140&lt;&gt;AI140,1,0)</f>
        <v/>
      </c>
      <c r="AL140">
        <f>IF(AND(AI140&gt;=3,AB140&lt;=0.2),1,0)</f>
        <v/>
      </c>
      <c r="AM140">
        <f>AVERAGE(W140:AB140)</f>
        <v/>
      </c>
      <c r="AN140">
        <f>1+COUNTIF(bounds,"&lt;"&amp;ROUND(AM140,12))</f>
        <v/>
      </c>
      <c r="AO140">
        <f>IF(AK140=1,AD140,NA())</f>
        <v/>
      </c>
      <c r="AP140">
        <f>IF(AK140=0,AD140,NA())</f>
        <v/>
      </c>
    </row>
    <row r="141">
      <c r="A141" t="n">
        <v>133</v>
      </c>
      <c r="B141" t="n">
        <v>2</v>
      </c>
      <c r="C141" t="n">
        <v>5</v>
      </c>
      <c r="D141" t="n">
        <v>4</v>
      </c>
      <c r="E141" t="n">
        <v>5</v>
      </c>
      <c r="F141" t="n">
        <v>1</v>
      </c>
      <c r="G141" t="n">
        <v>2</v>
      </c>
      <c r="H141" t="n">
        <v>2</v>
      </c>
      <c r="I141" t="n">
        <v>2</v>
      </c>
      <c r="J141" t="n">
        <v>5</v>
      </c>
      <c r="K141" t="n">
        <v>4</v>
      </c>
      <c r="L141" t="n">
        <v>4</v>
      </c>
      <c r="M141" t="n">
        <v>1</v>
      </c>
      <c r="N141" t="n">
        <v>3</v>
      </c>
      <c r="O141" t="n">
        <v>1</v>
      </c>
      <c r="P141" t="n">
        <v>1</v>
      </c>
      <c r="Q141" t="n">
        <v>3</v>
      </c>
      <c r="R141" t="n">
        <v>2</v>
      </c>
      <c r="S141" t="n">
        <v>4</v>
      </c>
      <c r="T141" t="n">
        <v>5</v>
      </c>
      <c r="U141" t="n">
        <v>2</v>
      </c>
      <c r="V141" t="n">
        <v>4</v>
      </c>
      <c r="W141">
        <f>(AVERAGE(B141:D141)-1)/4</f>
        <v/>
      </c>
      <c r="X141">
        <f>(AVERAGE(E141:G141)-1)/4</f>
        <v/>
      </c>
      <c r="Y141">
        <f>(AVERAGE(H141:J141)-1)/4</f>
        <v/>
      </c>
      <c r="Z141">
        <f>(AVERAGE(K141:M141)-1)/4</f>
        <v/>
      </c>
      <c r="AA141">
        <f>(AVERAGE(N141:P141)-1)/4</f>
        <v/>
      </c>
      <c r="AB141">
        <f>(AVERAGE(Q141:S141)-1)/4</f>
        <v/>
      </c>
      <c r="AC141">
        <f>(AVERAGE(T141:V141)-1)/4</f>
        <v/>
      </c>
      <c r="AD141">
        <f>AVERAGE(W141:AA141)</f>
        <v/>
      </c>
      <c r="AE141">
        <f>MIN(W141:AA141)</f>
        <v/>
      </c>
      <c r="AF141">
        <f>1-alpha*MAX(0,delta-AE141)</f>
        <v/>
      </c>
      <c r="AG141">
        <f>AD141*AF141</f>
        <v/>
      </c>
      <c r="AH141">
        <f>1+COUNTIF(bounds,"&lt;"&amp;ROUND(AD141,12))</f>
        <v/>
      </c>
      <c r="AI141">
        <f>1+COUNTIF(bounds,"&lt;"&amp;ROUND(AG141,12))</f>
        <v/>
      </c>
      <c r="AJ141">
        <f>IF(AF141&lt;1,1,0)</f>
        <v/>
      </c>
      <c r="AK141">
        <f>IF(AH141&lt;&gt;AI141,1,0)</f>
        <v/>
      </c>
      <c r="AL141">
        <f>IF(AND(AI141&gt;=3,AB141&lt;=0.2),1,0)</f>
        <v/>
      </c>
      <c r="AM141">
        <f>AVERAGE(W141:AB141)</f>
        <v/>
      </c>
      <c r="AN141">
        <f>1+COUNTIF(bounds,"&lt;"&amp;ROUND(AM141,12))</f>
        <v/>
      </c>
      <c r="AO141">
        <f>IF(AK141=1,AD141,NA())</f>
        <v/>
      </c>
      <c r="AP141">
        <f>IF(AK141=0,AD141,NA())</f>
        <v/>
      </c>
    </row>
    <row r="142">
      <c r="A142" t="n">
        <v>134</v>
      </c>
      <c r="B142" t="n">
        <v>4</v>
      </c>
      <c r="C142" t="n">
        <v>2</v>
      </c>
      <c r="D142" t="n">
        <v>2</v>
      </c>
      <c r="E142" t="n">
        <v>1</v>
      </c>
      <c r="F142" t="n">
        <v>2</v>
      </c>
      <c r="G142" t="n">
        <v>5</v>
      </c>
      <c r="H142" t="n">
        <v>1</v>
      </c>
      <c r="I142" t="n">
        <v>2</v>
      </c>
      <c r="J142" t="n">
        <v>4</v>
      </c>
      <c r="K142" t="n">
        <v>3</v>
      </c>
      <c r="L142" t="n">
        <v>5</v>
      </c>
      <c r="M142" t="n">
        <v>3</v>
      </c>
      <c r="N142" t="n">
        <v>3</v>
      </c>
      <c r="O142" t="n">
        <v>3</v>
      </c>
      <c r="P142" t="n">
        <v>5</v>
      </c>
      <c r="Q142" t="n">
        <v>3</v>
      </c>
      <c r="R142" t="n">
        <v>5</v>
      </c>
      <c r="S142" t="n">
        <v>5</v>
      </c>
      <c r="T142" t="n">
        <v>5</v>
      </c>
      <c r="U142" t="n">
        <v>1</v>
      </c>
      <c r="V142" t="n">
        <v>1</v>
      </c>
      <c r="W142">
        <f>(AVERAGE(B142:D142)-1)/4</f>
        <v/>
      </c>
      <c r="X142">
        <f>(AVERAGE(E142:G142)-1)/4</f>
        <v/>
      </c>
      <c r="Y142">
        <f>(AVERAGE(H142:J142)-1)/4</f>
        <v/>
      </c>
      <c r="Z142">
        <f>(AVERAGE(K142:M142)-1)/4</f>
        <v/>
      </c>
      <c r="AA142">
        <f>(AVERAGE(N142:P142)-1)/4</f>
        <v/>
      </c>
      <c r="AB142">
        <f>(AVERAGE(Q142:S142)-1)/4</f>
        <v/>
      </c>
      <c r="AC142">
        <f>(AVERAGE(T142:V142)-1)/4</f>
        <v/>
      </c>
      <c r="AD142">
        <f>AVERAGE(W142:AA142)</f>
        <v/>
      </c>
      <c r="AE142">
        <f>MIN(W142:AA142)</f>
        <v/>
      </c>
      <c r="AF142">
        <f>1-alpha*MAX(0,delta-AE142)</f>
        <v/>
      </c>
      <c r="AG142">
        <f>AD142*AF142</f>
        <v/>
      </c>
      <c r="AH142">
        <f>1+COUNTIF(bounds,"&lt;"&amp;ROUND(AD142,12))</f>
        <v/>
      </c>
      <c r="AI142">
        <f>1+COUNTIF(bounds,"&lt;"&amp;ROUND(AG142,12))</f>
        <v/>
      </c>
      <c r="AJ142">
        <f>IF(AF142&lt;1,1,0)</f>
        <v/>
      </c>
      <c r="AK142">
        <f>IF(AH142&lt;&gt;AI142,1,0)</f>
        <v/>
      </c>
      <c r="AL142">
        <f>IF(AND(AI142&gt;=3,AB142&lt;=0.2),1,0)</f>
        <v/>
      </c>
      <c r="AM142">
        <f>AVERAGE(W142:AB142)</f>
        <v/>
      </c>
      <c r="AN142">
        <f>1+COUNTIF(bounds,"&lt;"&amp;ROUND(AM142,12))</f>
        <v/>
      </c>
      <c r="AO142">
        <f>IF(AK142=1,AD142,NA())</f>
        <v/>
      </c>
      <c r="AP142">
        <f>IF(AK142=0,AD142,NA())</f>
        <v/>
      </c>
    </row>
    <row r="143">
      <c r="A143" t="n">
        <v>135</v>
      </c>
      <c r="B143" t="n">
        <v>2</v>
      </c>
      <c r="C143" t="n">
        <v>1</v>
      </c>
      <c r="D143" t="n">
        <v>1</v>
      </c>
      <c r="E143" t="n">
        <v>4</v>
      </c>
      <c r="F143" t="n">
        <v>4</v>
      </c>
      <c r="G143" t="n">
        <v>2</v>
      </c>
      <c r="H143" t="n">
        <v>1</v>
      </c>
      <c r="I143" t="n">
        <v>2</v>
      </c>
      <c r="J143" t="n">
        <v>5</v>
      </c>
      <c r="K143" t="n">
        <v>5</v>
      </c>
      <c r="L143" t="n">
        <v>2</v>
      </c>
      <c r="M143" t="n">
        <v>3</v>
      </c>
      <c r="N143" t="n">
        <v>1</v>
      </c>
      <c r="O143" t="n">
        <v>3</v>
      </c>
      <c r="P143" t="n">
        <v>5</v>
      </c>
      <c r="Q143" t="n">
        <v>2</v>
      </c>
      <c r="R143" t="n">
        <v>1</v>
      </c>
      <c r="S143" t="n">
        <v>5</v>
      </c>
      <c r="T143" t="n">
        <v>3</v>
      </c>
      <c r="U143" t="n">
        <v>3</v>
      </c>
      <c r="V143" t="n">
        <v>4</v>
      </c>
      <c r="W143">
        <f>(AVERAGE(B143:D143)-1)/4</f>
        <v/>
      </c>
      <c r="X143">
        <f>(AVERAGE(E143:G143)-1)/4</f>
        <v/>
      </c>
      <c r="Y143">
        <f>(AVERAGE(H143:J143)-1)/4</f>
        <v/>
      </c>
      <c r="Z143">
        <f>(AVERAGE(K143:M143)-1)/4</f>
        <v/>
      </c>
      <c r="AA143">
        <f>(AVERAGE(N143:P143)-1)/4</f>
        <v/>
      </c>
      <c r="AB143">
        <f>(AVERAGE(Q143:S143)-1)/4</f>
        <v/>
      </c>
      <c r="AC143">
        <f>(AVERAGE(T143:V143)-1)/4</f>
        <v/>
      </c>
      <c r="AD143">
        <f>AVERAGE(W143:AA143)</f>
        <v/>
      </c>
      <c r="AE143">
        <f>MIN(W143:AA143)</f>
        <v/>
      </c>
      <c r="AF143">
        <f>1-alpha*MAX(0,delta-AE143)</f>
        <v/>
      </c>
      <c r="AG143">
        <f>AD143*AF143</f>
        <v/>
      </c>
      <c r="AH143">
        <f>1+COUNTIF(bounds,"&lt;"&amp;ROUND(AD143,12))</f>
        <v/>
      </c>
      <c r="AI143">
        <f>1+COUNTIF(bounds,"&lt;"&amp;ROUND(AG143,12))</f>
        <v/>
      </c>
      <c r="AJ143">
        <f>IF(AF143&lt;1,1,0)</f>
        <v/>
      </c>
      <c r="AK143">
        <f>IF(AH143&lt;&gt;AI143,1,0)</f>
        <v/>
      </c>
      <c r="AL143">
        <f>IF(AND(AI143&gt;=3,AB143&lt;=0.2),1,0)</f>
        <v/>
      </c>
      <c r="AM143">
        <f>AVERAGE(W143:AB143)</f>
        <v/>
      </c>
      <c r="AN143">
        <f>1+COUNTIF(bounds,"&lt;"&amp;ROUND(AM143,12))</f>
        <v/>
      </c>
      <c r="AO143">
        <f>IF(AK143=1,AD143,NA())</f>
        <v/>
      </c>
      <c r="AP143">
        <f>IF(AK143=0,AD143,NA())</f>
        <v/>
      </c>
    </row>
    <row r="144">
      <c r="A144" t="n">
        <v>136</v>
      </c>
      <c r="B144" t="n">
        <v>4</v>
      </c>
      <c r="C144" t="n">
        <v>2</v>
      </c>
      <c r="D144" t="n">
        <v>4</v>
      </c>
      <c r="E144" t="n">
        <v>2</v>
      </c>
      <c r="F144" t="n">
        <v>2</v>
      </c>
      <c r="G144" t="n">
        <v>2</v>
      </c>
      <c r="H144" t="n">
        <v>1</v>
      </c>
      <c r="I144" t="n">
        <v>4</v>
      </c>
      <c r="J144" t="n">
        <v>5</v>
      </c>
      <c r="K144" t="n">
        <v>4</v>
      </c>
      <c r="L144" t="n">
        <v>3</v>
      </c>
      <c r="M144" t="n">
        <v>3</v>
      </c>
      <c r="N144" t="n">
        <v>1</v>
      </c>
      <c r="O144" t="n">
        <v>4</v>
      </c>
      <c r="P144" t="n">
        <v>3</v>
      </c>
      <c r="Q144" t="n">
        <v>1</v>
      </c>
      <c r="R144" t="n">
        <v>5</v>
      </c>
      <c r="S144" t="n">
        <v>5</v>
      </c>
      <c r="T144" t="n">
        <v>2</v>
      </c>
      <c r="U144" t="n">
        <v>2</v>
      </c>
      <c r="V144" t="n">
        <v>3</v>
      </c>
      <c r="W144">
        <f>(AVERAGE(B144:D144)-1)/4</f>
        <v/>
      </c>
      <c r="X144">
        <f>(AVERAGE(E144:G144)-1)/4</f>
        <v/>
      </c>
      <c r="Y144">
        <f>(AVERAGE(H144:J144)-1)/4</f>
        <v/>
      </c>
      <c r="Z144">
        <f>(AVERAGE(K144:M144)-1)/4</f>
        <v/>
      </c>
      <c r="AA144">
        <f>(AVERAGE(N144:P144)-1)/4</f>
        <v/>
      </c>
      <c r="AB144">
        <f>(AVERAGE(Q144:S144)-1)/4</f>
        <v/>
      </c>
      <c r="AC144">
        <f>(AVERAGE(T144:V144)-1)/4</f>
        <v/>
      </c>
      <c r="AD144">
        <f>AVERAGE(W144:AA144)</f>
        <v/>
      </c>
      <c r="AE144">
        <f>MIN(W144:AA144)</f>
        <v/>
      </c>
      <c r="AF144">
        <f>1-alpha*MAX(0,delta-AE144)</f>
        <v/>
      </c>
      <c r="AG144">
        <f>AD144*AF144</f>
        <v/>
      </c>
      <c r="AH144">
        <f>1+COUNTIF(bounds,"&lt;"&amp;ROUND(AD144,12))</f>
        <v/>
      </c>
      <c r="AI144">
        <f>1+COUNTIF(bounds,"&lt;"&amp;ROUND(AG144,12))</f>
        <v/>
      </c>
      <c r="AJ144">
        <f>IF(AF144&lt;1,1,0)</f>
        <v/>
      </c>
      <c r="AK144">
        <f>IF(AH144&lt;&gt;AI144,1,0)</f>
        <v/>
      </c>
      <c r="AL144">
        <f>IF(AND(AI144&gt;=3,AB144&lt;=0.2),1,0)</f>
        <v/>
      </c>
      <c r="AM144">
        <f>AVERAGE(W144:AB144)</f>
        <v/>
      </c>
      <c r="AN144">
        <f>1+COUNTIF(bounds,"&lt;"&amp;ROUND(AM144,12))</f>
        <v/>
      </c>
      <c r="AO144">
        <f>IF(AK144=1,AD144,NA())</f>
        <v/>
      </c>
      <c r="AP144">
        <f>IF(AK144=0,AD144,NA())</f>
        <v/>
      </c>
    </row>
    <row r="145">
      <c r="A145" t="n">
        <v>137</v>
      </c>
      <c r="B145" t="n">
        <v>1</v>
      </c>
      <c r="C145" t="n">
        <v>4</v>
      </c>
      <c r="D145" t="n">
        <v>2</v>
      </c>
      <c r="E145" t="n">
        <v>3</v>
      </c>
      <c r="F145" t="n">
        <v>3</v>
      </c>
      <c r="G145" t="n">
        <v>3</v>
      </c>
      <c r="H145" t="n">
        <v>4</v>
      </c>
      <c r="I145" t="n">
        <v>5</v>
      </c>
      <c r="J145" t="n">
        <v>2</v>
      </c>
      <c r="K145" t="n">
        <v>2</v>
      </c>
      <c r="L145" t="n">
        <v>4</v>
      </c>
      <c r="M145" t="n">
        <v>3</v>
      </c>
      <c r="N145" t="n">
        <v>2</v>
      </c>
      <c r="O145" t="n">
        <v>1</v>
      </c>
      <c r="P145" t="n">
        <v>2</v>
      </c>
      <c r="Q145" t="n">
        <v>5</v>
      </c>
      <c r="R145" t="n">
        <v>1</v>
      </c>
      <c r="S145" t="n">
        <v>1</v>
      </c>
      <c r="T145" t="n">
        <v>5</v>
      </c>
      <c r="U145" t="n">
        <v>1</v>
      </c>
      <c r="V145" t="n">
        <v>1</v>
      </c>
      <c r="W145">
        <f>(AVERAGE(B145:D145)-1)/4</f>
        <v/>
      </c>
      <c r="X145">
        <f>(AVERAGE(E145:G145)-1)/4</f>
        <v/>
      </c>
      <c r="Y145">
        <f>(AVERAGE(H145:J145)-1)/4</f>
        <v/>
      </c>
      <c r="Z145">
        <f>(AVERAGE(K145:M145)-1)/4</f>
        <v/>
      </c>
      <c r="AA145">
        <f>(AVERAGE(N145:P145)-1)/4</f>
        <v/>
      </c>
      <c r="AB145">
        <f>(AVERAGE(Q145:S145)-1)/4</f>
        <v/>
      </c>
      <c r="AC145">
        <f>(AVERAGE(T145:V145)-1)/4</f>
        <v/>
      </c>
      <c r="AD145">
        <f>AVERAGE(W145:AA145)</f>
        <v/>
      </c>
      <c r="AE145">
        <f>MIN(W145:AA145)</f>
        <v/>
      </c>
      <c r="AF145">
        <f>1-alpha*MAX(0,delta-AE145)</f>
        <v/>
      </c>
      <c r="AG145">
        <f>AD145*AF145</f>
        <v/>
      </c>
      <c r="AH145">
        <f>1+COUNTIF(bounds,"&lt;"&amp;ROUND(AD145,12))</f>
        <v/>
      </c>
      <c r="AI145">
        <f>1+COUNTIF(bounds,"&lt;"&amp;ROUND(AG145,12))</f>
        <v/>
      </c>
      <c r="AJ145">
        <f>IF(AF145&lt;1,1,0)</f>
        <v/>
      </c>
      <c r="AK145">
        <f>IF(AH145&lt;&gt;AI145,1,0)</f>
        <v/>
      </c>
      <c r="AL145">
        <f>IF(AND(AI145&gt;=3,AB145&lt;=0.2),1,0)</f>
        <v/>
      </c>
      <c r="AM145">
        <f>AVERAGE(W145:AB145)</f>
        <v/>
      </c>
      <c r="AN145">
        <f>1+COUNTIF(bounds,"&lt;"&amp;ROUND(AM145,12))</f>
        <v/>
      </c>
      <c r="AO145">
        <f>IF(AK145=1,AD145,NA())</f>
        <v/>
      </c>
      <c r="AP145">
        <f>IF(AK145=0,AD145,NA())</f>
        <v/>
      </c>
    </row>
    <row r="146">
      <c r="A146" t="n">
        <v>138</v>
      </c>
      <c r="B146" t="n">
        <v>5</v>
      </c>
      <c r="C146" t="n">
        <v>5</v>
      </c>
      <c r="D146" t="n">
        <v>4</v>
      </c>
      <c r="E146" t="n">
        <v>2</v>
      </c>
      <c r="F146" t="n">
        <v>5</v>
      </c>
      <c r="G146" t="n">
        <v>3</v>
      </c>
      <c r="H146" t="n">
        <v>5</v>
      </c>
      <c r="I146" t="n">
        <v>3</v>
      </c>
      <c r="J146" t="n">
        <v>2</v>
      </c>
      <c r="K146" t="n">
        <v>4</v>
      </c>
      <c r="L146" t="n">
        <v>2</v>
      </c>
      <c r="M146" t="n">
        <v>2</v>
      </c>
      <c r="N146" t="n">
        <v>1</v>
      </c>
      <c r="O146" t="n">
        <v>5</v>
      </c>
      <c r="P146" t="n">
        <v>2</v>
      </c>
      <c r="Q146" t="n">
        <v>4</v>
      </c>
      <c r="R146" t="n">
        <v>5</v>
      </c>
      <c r="S146" t="n">
        <v>5</v>
      </c>
      <c r="T146" t="n">
        <v>2</v>
      </c>
      <c r="U146" t="n">
        <v>3</v>
      </c>
      <c r="V146" t="n">
        <v>4</v>
      </c>
      <c r="W146">
        <f>(AVERAGE(B146:D146)-1)/4</f>
        <v/>
      </c>
      <c r="X146">
        <f>(AVERAGE(E146:G146)-1)/4</f>
        <v/>
      </c>
      <c r="Y146">
        <f>(AVERAGE(H146:J146)-1)/4</f>
        <v/>
      </c>
      <c r="Z146">
        <f>(AVERAGE(K146:M146)-1)/4</f>
        <v/>
      </c>
      <c r="AA146">
        <f>(AVERAGE(N146:P146)-1)/4</f>
        <v/>
      </c>
      <c r="AB146">
        <f>(AVERAGE(Q146:S146)-1)/4</f>
        <v/>
      </c>
      <c r="AC146">
        <f>(AVERAGE(T146:V146)-1)/4</f>
        <v/>
      </c>
      <c r="AD146">
        <f>AVERAGE(W146:AA146)</f>
        <v/>
      </c>
      <c r="AE146">
        <f>MIN(W146:AA146)</f>
        <v/>
      </c>
      <c r="AF146">
        <f>1-alpha*MAX(0,delta-AE146)</f>
        <v/>
      </c>
      <c r="AG146">
        <f>AD146*AF146</f>
        <v/>
      </c>
      <c r="AH146">
        <f>1+COUNTIF(bounds,"&lt;"&amp;ROUND(AD146,12))</f>
        <v/>
      </c>
      <c r="AI146">
        <f>1+COUNTIF(bounds,"&lt;"&amp;ROUND(AG146,12))</f>
        <v/>
      </c>
      <c r="AJ146">
        <f>IF(AF146&lt;1,1,0)</f>
        <v/>
      </c>
      <c r="AK146">
        <f>IF(AH146&lt;&gt;AI146,1,0)</f>
        <v/>
      </c>
      <c r="AL146">
        <f>IF(AND(AI146&gt;=3,AB146&lt;=0.2),1,0)</f>
        <v/>
      </c>
      <c r="AM146">
        <f>AVERAGE(W146:AB146)</f>
        <v/>
      </c>
      <c r="AN146">
        <f>1+COUNTIF(bounds,"&lt;"&amp;ROUND(AM146,12))</f>
        <v/>
      </c>
      <c r="AO146">
        <f>IF(AK146=1,AD146,NA())</f>
        <v/>
      </c>
      <c r="AP146">
        <f>IF(AK146=0,AD146,NA())</f>
        <v/>
      </c>
    </row>
    <row r="147">
      <c r="A147" t="n">
        <v>139</v>
      </c>
      <c r="B147" t="n">
        <v>2</v>
      </c>
      <c r="C147" t="n">
        <v>1</v>
      </c>
      <c r="D147" t="n">
        <v>4</v>
      </c>
      <c r="E147" t="n">
        <v>3</v>
      </c>
      <c r="F147" t="n">
        <v>5</v>
      </c>
      <c r="G147" t="n">
        <v>1</v>
      </c>
      <c r="H147" t="n">
        <v>4</v>
      </c>
      <c r="I147" t="n">
        <v>2</v>
      </c>
      <c r="J147" t="n">
        <v>2</v>
      </c>
      <c r="K147" t="n">
        <v>2</v>
      </c>
      <c r="L147" t="n">
        <v>1</v>
      </c>
      <c r="M147" t="n">
        <v>5</v>
      </c>
      <c r="N147" t="n">
        <v>3</v>
      </c>
      <c r="O147" t="n">
        <v>5</v>
      </c>
      <c r="P147" t="n">
        <v>2</v>
      </c>
      <c r="Q147" t="n">
        <v>4</v>
      </c>
      <c r="R147" t="n">
        <v>5</v>
      </c>
      <c r="S147" t="n">
        <v>4</v>
      </c>
      <c r="T147" t="n">
        <v>1</v>
      </c>
      <c r="U147" t="n">
        <v>5</v>
      </c>
      <c r="V147" t="n">
        <v>1</v>
      </c>
      <c r="W147">
        <f>(AVERAGE(B147:D147)-1)/4</f>
        <v/>
      </c>
      <c r="X147">
        <f>(AVERAGE(E147:G147)-1)/4</f>
        <v/>
      </c>
      <c r="Y147">
        <f>(AVERAGE(H147:J147)-1)/4</f>
        <v/>
      </c>
      <c r="Z147">
        <f>(AVERAGE(K147:M147)-1)/4</f>
        <v/>
      </c>
      <c r="AA147">
        <f>(AVERAGE(N147:P147)-1)/4</f>
        <v/>
      </c>
      <c r="AB147">
        <f>(AVERAGE(Q147:S147)-1)/4</f>
        <v/>
      </c>
      <c r="AC147">
        <f>(AVERAGE(T147:V147)-1)/4</f>
        <v/>
      </c>
      <c r="AD147">
        <f>AVERAGE(W147:AA147)</f>
        <v/>
      </c>
      <c r="AE147">
        <f>MIN(W147:AA147)</f>
        <v/>
      </c>
      <c r="AF147">
        <f>1-alpha*MAX(0,delta-AE147)</f>
        <v/>
      </c>
      <c r="AG147">
        <f>AD147*AF147</f>
        <v/>
      </c>
      <c r="AH147">
        <f>1+COUNTIF(bounds,"&lt;"&amp;ROUND(AD147,12))</f>
        <v/>
      </c>
      <c r="AI147">
        <f>1+COUNTIF(bounds,"&lt;"&amp;ROUND(AG147,12))</f>
        <v/>
      </c>
      <c r="AJ147">
        <f>IF(AF147&lt;1,1,0)</f>
        <v/>
      </c>
      <c r="AK147">
        <f>IF(AH147&lt;&gt;AI147,1,0)</f>
        <v/>
      </c>
      <c r="AL147">
        <f>IF(AND(AI147&gt;=3,AB147&lt;=0.2),1,0)</f>
        <v/>
      </c>
      <c r="AM147">
        <f>AVERAGE(W147:AB147)</f>
        <v/>
      </c>
      <c r="AN147">
        <f>1+COUNTIF(bounds,"&lt;"&amp;ROUND(AM147,12))</f>
        <v/>
      </c>
      <c r="AO147">
        <f>IF(AK147=1,AD147,NA())</f>
        <v/>
      </c>
      <c r="AP147">
        <f>IF(AK147=0,AD147,NA())</f>
        <v/>
      </c>
    </row>
    <row r="148">
      <c r="A148" t="n">
        <v>140</v>
      </c>
      <c r="B148" t="n">
        <v>3</v>
      </c>
      <c r="C148" t="n">
        <v>1</v>
      </c>
      <c r="D148" t="n">
        <v>3</v>
      </c>
      <c r="E148" t="n">
        <v>1</v>
      </c>
      <c r="F148" t="n">
        <v>2</v>
      </c>
      <c r="G148" t="n">
        <v>2</v>
      </c>
      <c r="H148" t="n">
        <v>2</v>
      </c>
      <c r="I148" t="n">
        <v>3</v>
      </c>
      <c r="J148" t="n">
        <v>3</v>
      </c>
      <c r="K148" t="n">
        <v>5</v>
      </c>
      <c r="L148" t="n">
        <v>3</v>
      </c>
      <c r="M148" t="n">
        <v>3</v>
      </c>
      <c r="N148" t="n">
        <v>1</v>
      </c>
      <c r="O148" t="n">
        <v>1</v>
      </c>
      <c r="P148" t="n">
        <v>3</v>
      </c>
      <c r="Q148" t="n">
        <v>1</v>
      </c>
      <c r="R148" t="n">
        <v>1</v>
      </c>
      <c r="S148" t="n">
        <v>2</v>
      </c>
      <c r="T148" t="n">
        <v>5</v>
      </c>
      <c r="U148" t="n">
        <v>2</v>
      </c>
      <c r="V148" t="n">
        <v>4</v>
      </c>
      <c r="W148">
        <f>(AVERAGE(B148:D148)-1)/4</f>
        <v/>
      </c>
      <c r="X148">
        <f>(AVERAGE(E148:G148)-1)/4</f>
        <v/>
      </c>
      <c r="Y148">
        <f>(AVERAGE(H148:J148)-1)/4</f>
        <v/>
      </c>
      <c r="Z148">
        <f>(AVERAGE(K148:M148)-1)/4</f>
        <v/>
      </c>
      <c r="AA148">
        <f>(AVERAGE(N148:P148)-1)/4</f>
        <v/>
      </c>
      <c r="AB148">
        <f>(AVERAGE(Q148:S148)-1)/4</f>
        <v/>
      </c>
      <c r="AC148">
        <f>(AVERAGE(T148:V148)-1)/4</f>
        <v/>
      </c>
      <c r="AD148">
        <f>AVERAGE(W148:AA148)</f>
        <v/>
      </c>
      <c r="AE148">
        <f>MIN(W148:AA148)</f>
        <v/>
      </c>
      <c r="AF148">
        <f>1-alpha*MAX(0,delta-AE148)</f>
        <v/>
      </c>
      <c r="AG148">
        <f>AD148*AF148</f>
        <v/>
      </c>
      <c r="AH148">
        <f>1+COUNTIF(bounds,"&lt;"&amp;ROUND(AD148,12))</f>
        <v/>
      </c>
      <c r="AI148">
        <f>1+COUNTIF(bounds,"&lt;"&amp;ROUND(AG148,12))</f>
        <v/>
      </c>
      <c r="AJ148">
        <f>IF(AF148&lt;1,1,0)</f>
        <v/>
      </c>
      <c r="AK148">
        <f>IF(AH148&lt;&gt;AI148,1,0)</f>
        <v/>
      </c>
      <c r="AL148">
        <f>IF(AND(AI148&gt;=3,AB148&lt;=0.2),1,0)</f>
        <v/>
      </c>
      <c r="AM148">
        <f>AVERAGE(W148:AB148)</f>
        <v/>
      </c>
      <c r="AN148">
        <f>1+COUNTIF(bounds,"&lt;"&amp;ROUND(AM148,12))</f>
        <v/>
      </c>
      <c r="AO148">
        <f>IF(AK148=1,AD148,NA())</f>
        <v/>
      </c>
      <c r="AP148">
        <f>IF(AK148=0,AD148,NA())</f>
        <v/>
      </c>
    </row>
    <row r="149">
      <c r="A149" t="n">
        <v>141</v>
      </c>
      <c r="B149" t="n">
        <v>1</v>
      </c>
      <c r="C149" t="n">
        <v>3</v>
      </c>
      <c r="D149" t="n">
        <v>4</v>
      </c>
      <c r="E149" t="n">
        <v>3</v>
      </c>
      <c r="F149" t="n">
        <v>1</v>
      </c>
      <c r="G149" t="n">
        <v>4</v>
      </c>
      <c r="H149" t="n">
        <v>5</v>
      </c>
      <c r="I149" t="n">
        <v>4</v>
      </c>
      <c r="J149" t="n">
        <v>4</v>
      </c>
      <c r="K149" t="n">
        <v>4</v>
      </c>
      <c r="L149" t="n">
        <v>2</v>
      </c>
      <c r="M149" t="n">
        <v>5</v>
      </c>
      <c r="N149" t="n">
        <v>1</v>
      </c>
      <c r="O149" t="n">
        <v>1</v>
      </c>
      <c r="P149" t="n">
        <v>1</v>
      </c>
      <c r="Q149" t="n">
        <v>1</v>
      </c>
      <c r="R149" t="n">
        <v>4</v>
      </c>
      <c r="S149" t="n">
        <v>5</v>
      </c>
      <c r="T149" t="n">
        <v>4</v>
      </c>
      <c r="U149" t="n">
        <v>3</v>
      </c>
      <c r="V149" t="n">
        <v>3</v>
      </c>
      <c r="W149">
        <f>(AVERAGE(B149:D149)-1)/4</f>
        <v/>
      </c>
      <c r="X149">
        <f>(AVERAGE(E149:G149)-1)/4</f>
        <v/>
      </c>
      <c r="Y149">
        <f>(AVERAGE(H149:J149)-1)/4</f>
        <v/>
      </c>
      <c r="Z149">
        <f>(AVERAGE(K149:M149)-1)/4</f>
        <v/>
      </c>
      <c r="AA149">
        <f>(AVERAGE(N149:P149)-1)/4</f>
        <v/>
      </c>
      <c r="AB149">
        <f>(AVERAGE(Q149:S149)-1)/4</f>
        <v/>
      </c>
      <c r="AC149">
        <f>(AVERAGE(T149:V149)-1)/4</f>
        <v/>
      </c>
      <c r="AD149">
        <f>AVERAGE(W149:AA149)</f>
        <v/>
      </c>
      <c r="AE149">
        <f>MIN(W149:AA149)</f>
        <v/>
      </c>
      <c r="AF149">
        <f>1-alpha*MAX(0,delta-AE149)</f>
        <v/>
      </c>
      <c r="AG149">
        <f>AD149*AF149</f>
        <v/>
      </c>
      <c r="AH149">
        <f>1+COUNTIF(bounds,"&lt;"&amp;ROUND(AD149,12))</f>
        <v/>
      </c>
      <c r="AI149">
        <f>1+COUNTIF(bounds,"&lt;"&amp;ROUND(AG149,12))</f>
        <v/>
      </c>
      <c r="AJ149">
        <f>IF(AF149&lt;1,1,0)</f>
        <v/>
      </c>
      <c r="AK149">
        <f>IF(AH149&lt;&gt;AI149,1,0)</f>
        <v/>
      </c>
      <c r="AL149">
        <f>IF(AND(AI149&gt;=3,AB149&lt;=0.2),1,0)</f>
        <v/>
      </c>
      <c r="AM149">
        <f>AVERAGE(W149:AB149)</f>
        <v/>
      </c>
      <c r="AN149">
        <f>1+COUNTIF(bounds,"&lt;"&amp;ROUND(AM149,12))</f>
        <v/>
      </c>
      <c r="AO149">
        <f>IF(AK149=1,AD149,NA())</f>
        <v/>
      </c>
      <c r="AP149">
        <f>IF(AK149=0,AD149,NA())</f>
        <v/>
      </c>
    </row>
    <row r="150">
      <c r="A150" t="n">
        <v>142</v>
      </c>
      <c r="B150" t="n">
        <v>5</v>
      </c>
      <c r="C150" t="n">
        <v>2</v>
      </c>
      <c r="D150" t="n">
        <v>2</v>
      </c>
      <c r="E150" t="n">
        <v>2</v>
      </c>
      <c r="F150" t="n">
        <v>2</v>
      </c>
      <c r="G150" t="n">
        <v>4</v>
      </c>
      <c r="H150" t="n">
        <v>4</v>
      </c>
      <c r="I150" t="n">
        <v>1</v>
      </c>
      <c r="J150" t="n">
        <v>5</v>
      </c>
      <c r="K150" t="n">
        <v>1</v>
      </c>
      <c r="L150" t="n">
        <v>5</v>
      </c>
      <c r="M150" t="n">
        <v>1</v>
      </c>
      <c r="N150" t="n">
        <v>1</v>
      </c>
      <c r="O150" t="n">
        <v>5</v>
      </c>
      <c r="P150" t="n">
        <v>2</v>
      </c>
      <c r="Q150" t="n">
        <v>4</v>
      </c>
      <c r="R150" t="n">
        <v>4</v>
      </c>
      <c r="S150" t="n">
        <v>4</v>
      </c>
      <c r="T150" t="n">
        <v>5</v>
      </c>
      <c r="U150" t="n">
        <v>5</v>
      </c>
      <c r="V150" t="n">
        <v>1</v>
      </c>
      <c r="W150">
        <f>(AVERAGE(B150:D150)-1)/4</f>
        <v/>
      </c>
      <c r="X150">
        <f>(AVERAGE(E150:G150)-1)/4</f>
        <v/>
      </c>
      <c r="Y150">
        <f>(AVERAGE(H150:J150)-1)/4</f>
        <v/>
      </c>
      <c r="Z150">
        <f>(AVERAGE(K150:M150)-1)/4</f>
        <v/>
      </c>
      <c r="AA150">
        <f>(AVERAGE(N150:P150)-1)/4</f>
        <v/>
      </c>
      <c r="AB150">
        <f>(AVERAGE(Q150:S150)-1)/4</f>
        <v/>
      </c>
      <c r="AC150">
        <f>(AVERAGE(T150:V150)-1)/4</f>
        <v/>
      </c>
      <c r="AD150">
        <f>AVERAGE(W150:AA150)</f>
        <v/>
      </c>
      <c r="AE150">
        <f>MIN(W150:AA150)</f>
        <v/>
      </c>
      <c r="AF150">
        <f>1-alpha*MAX(0,delta-AE150)</f>
        <v/>
      </c>
      <c r="AG150">
        <f>AD150*AF150</f>
        <v/>
      </c>
      <c r="AH150">
        <f>1+COUNTIF(bounds,"&lt;"&amp;ROUND(AD150,12))</f>
        <v/>
      </c>
      <c r="AI150">
        <f>1+COUNTIF(bounds,"&lt;"&amp;ROUND(AG150,12))</f>
        <v/>
      </c>
      <c r="AJ150">
        <f>IF(AF150&lt;1,1,0)</f>
        <v/>
      </c>
      <c r="AK150">
        <f>IF(AH150&lt;&gt;AI150,1,0)</f>
        <v/>
      </c>
      <c r="AL150">
        <f>IF(AND(AI150&gt;=3,AB150&lt;=0.2),1,0)</f>
        <v/>
      </c>
      <c r="AM150">
        <f>AVERAGE(W150:AB150)</f>
        <v/>
      </c>
      <c r="AN150">
        <f>1+COUNTIF(bounds,"&lt;"&amp;ROUND(AM150,12))</f>
        <v/>
      </c>
      <c r="AO150">
        <f>IF(AK150=1,AD150,NA())</f>
        <v/>
      </c>
      <c r="AP150">
        <f>IF(AK150=0,AD150,NA())</f>
        <v/>
      </c>
    </row>
    <row r="151">
      <c r="A151" t="n">
        <v>143</v>
      </c>
      <c r="B151" t="n">
        <v>2</v>
      </c>
      <c r="C151" t="n">
        <v>1</v>
      </c>
      <c r="D151" t="n">
        <v>5</v>
      </c>
      <c r="E151" t="n">
        <v>1</v>
      </c>
      <c r="F151" t="n">
        <v>3</v>
      </c>
      <c r="G151" t="n">
        <v>3</v>
      </c>
      <c r="H151" t="n">
        <v>2</v>
      </c>
      <c r="I151" t="n">
        <v>2</v>
      </c>
      <c r="J151" t="n">
        <v>3</v>
      </c>
      <c r="K151" t="n">
        <v>2</v>
      </c>
      <c r="L151" t="n">
        <v>1</v>
      </c>
      <c r="M151" t="n">
        <v>5</v>
      </c>
      <c r="N151" t="n">
        <v>1</v>
      </c>
      <c r="O151" t="n">
        <v>1</v>
      </c>
      <c r="P151" t="n">
        <v>1</v>
      </c>
      <c r="Q151" t="n">
        <v>1</v>
      </c>
      <c r="R151" t="n">
        <v>4</v>
      </c>
      <c r="S151" t="n">
        <v>5</v>
      </c>
      <c r="T151" t="n">
        <v>2</v>
      </c>
      <c r="U151" t="n">
        <v>2</v>
      </c>
      <c r="V151" t="n">
        <v>4</v>
      </c>
      <c r="W151">
        <f>(AVERAGE(B151:D151)-1)/4</f>
        <v/>
      </c>
      <c r="X151">
        <f>(AVERAGE(E151:G151)-1)/4</f>
        <v/>
      </c>
      <c r="Y151">
        <f>(AVERAGE(H151:J151)-1)/4</f>
        <v/>
      </c>
      <c r="Z151">
        <f>(AVERAGE(K151:M151)-1)/4</f>
        <v/>
      </c>
      <c r="AA151">
        <f>(AVERAGE(N151:P151)-1)/4</f>
        <v/>
      </c>
      <c r="AB151">
        <f>(AVERAGE(Q151:S151)-1)/4</f>
        <v/>
      </c>
      <c r="AC151">
        <f>(AVERAGE(T151:V151)-1)/4</f>
        <v/>
      </c>
      <c r="AD151">
        <f>AVERAGE(W151:AA151)</f>
        <v/>
      </c>
      <c r="AE151">
        <f>MIN(W151:AA151)</f>
        <v/>
      </c>
      <c r="AF151">
        <f>1-alpha*MAX(0,delta-AE151)</f>
        <v/>
      </c>
      <c r="AG151">
        <f>AD151*AF151</f>
        <v/>
      </c>
      <c r="AH151">
        <f>1+COUNTIF(bounds,"&lt;"&amp;ROUND(AD151,12))</f>
        <v/>
      </c>
      <c r="AI151">
        <f>1+COUNTIF(bounds,"&lt;"&amp;ROUND(AG151,12))</f>
        <v/>
      </c>
      <c r="AJ151">
        <f>IF(AF151&lt;1,1,0)</f>
        <v/>
      </c>
      <c r="AK151">
        <f>IF(AH151&lt;&gt;AI151,1,0)</f>
        <v/>
      </c>
      <c r="AL151">
        <f>IF(AND(AI151&gt;=3,AB151&lt;=0.2),1,0)</f>
        <v/>
      </c>
      <c r="AM151">
        <f>AVERAGE(W151:AB151)</f>
        <v/>
      </c>
      <c r="AN151">
        <f>1+COUNTIF(bounds,"&lt;"&amp;ROUND(AM151,12))</f>
        <v/>
      </c>
      <c r="AO151">
        <f>IF(AK151=1,AD151,NA())</f>
        <v/>
      </c>
      <c r="AP151">
        <f>IF(AK151=0,AD151,NA())</f>
        <v/>
      </c>
    </row>
    <row r="152">
      <c r="A152" t="n">
        <v>144</v>
      </c>
      <c r="B152" t="n">
        <v>5</v>
      </c>
      <c r="C152" t="n">
        <v>4</v>
      </c>
      <c r="D152" t="n">
        <v>1</v>
      </c>
      <c r="E152" t="n">
        <v>2</v>
      </c>
      <c r="F152" t="n">
        <v>4</v>
      </c>
      <c r="G152" t="n">
        <v>5</v>
      </c>
      <c r="H152" t="n">
        <v>4</v>
      </c>
      <c r="I152" t="n">
        <v>1</v>
      </c>
      <c r="J152" t="n">
        <v>4</v>
      </c>
      <c r="K152" t="n">
        <v>1</v>
      </c>
      <c r="L152" t="n">
        <v>3</v>
      </c>
      <c r="M152" t="n">
        <v>3</v>
      </c>
      <c r="N152" t="n">
        <v>2</v>
      </c>
      <c r="O152" t="n">
        <v>2</v>
      </c>
      <c r="P152" t="n">
        <v>4</v>
      </c>
      <c r="Q152" t="n">
        <v>3</v>
      </c>
      <c r="R152" t="n">
        <v>2</v>
      </c>
      <c r="S152" t="n">
        <v>4</v>
      </c>
      <c r="T152" t="n">
        <v>2</v>
      </c>
      <c r="U152" t="n">
        <v>1</v>
      </c>
      <c r="V152" t="n">
        <v>4</v>
      </c>
      <c r="W152">
        <f>(AVERAGE(B152:D152)-1)/4</f>
        <v/>
      </c>
      <c r="X152">
        <f>(AVERAGE(E152:G152)-1)/4</f>
        <v/>
      </c>
      <c r="Y152">
        <f>(AVERAGE(H152:J152)-1)/4</f>
        <v/>
      </c>
      <c r="Z152">
        <f>(AVERAGE(K152:M152)-1)/4</f>
        <v/>
      </c>
      <c r="AA152">
        <f>(AVERAGE(N152:P152)-1)/4</f>
        <v/>
      </c>
      <c r="AB152">
        <f>(AVERAGE(Q152:S152)-1)/4</f>
        <v/>
      </c>
      <c r="AC152">
        <f>(AVERAGE(T152:V152)-1)/4</f>
        <v/>
      </c>
      <c r="AD152">
        <f>AVERAGE(W152:AA152)</f>
        <v/>
      </c>
      <c r="AE152">
        <f>MIN(W152:AA152)</f>
        <v/>
      </c>
      <c r="AF152">
        <f>1-alpha*MAX(0,delta-AE152)</f>
        <v/>
      </c>
      <c r="AG152">
        <f>AD152*AF152</f>
        <v/>
      </c>
      <c r="AH152">
        <f>1+COUNTIF(bounds,"&lt;"&amp;ROUND(AD152,12))</f>
        <v/>
      </c>
      <c r="AI152">
        <f>1+COUNTIF(bounds,"&lt;"&amp;ROUND(AG152,12))</f>
        <v/>
      </c>
      <c r="AJ152">
        <f>IF(AF152&lt;1,1,0)</f>
        <v/>
      </c>
      <c r="AK152">
        <f>IF(AH152&lt;&gt;AI152,1,0)</f>
        <v/>
      </c>
      <c r="AL152">
        <f>IF(AND(AI152&gt;=3,AB152&lt;=0.2),1,0)</f>
        <v/>
      </c>
      <c r="AM152">
        <f>AVERAGE(W152:AB152)</f>
        <v/>
      </c>
      <c r="AN152">
        <f>1+COUNTIF(bounds,"&lt;"&amp;ROUND(AM152,12))</f>
        <v/>
      </c>
      <c r="AO152">
        <f>IF(AK152=1,AD152,NA())</f>
        <v/>
      </c>
      <c r="AP152">
        <f>IF(AK152=0,AD152,NA())</f>
        <v/>
      </c>
    </row>
    <row r="153">
      <c r="A153" t="n">
        <v>145</v>
      </c>
      <c r="B153" t="n">
        <v>1</v>
      </c>
      <c r="C153" t="n">
        <v>5</v>
      </c>
      <c r="D153" t="n">
        <v>1</v>
      </c>
      <c r="E153" t="n">
        <v>1</v>
      </c>
      <c r="F153" t="n">
        <v>5</v>
      </c>
      <c r="G153" t="n">
        <v>2</v>
      </c>
      <c r="H153" t="n">
        <v>1</v>
      </c>
      <c r="I153" t="n">
        <v>5</v>
      </c>
      <c r="J153" t="n">
        <v>1</v>
      </c>
      <c r="K153" t="n">
        <v>4</v>
      </c>
      <c r="L153" t="n">
        <v>1</v>
      </c>
      <c r="M153" t="n">
        <v>1</v>
      </c>
      <c r="N153" t="n">
        <v>4</v>
      </c>
      <c r="O153" t="n">
        <v>4</v>
      </c>
      <c r="P153" t="n">
        <v>2</v>
      </c>
      <c r="Q153" t="n">
        <v>4</v>
      </c>
      <c r="R153" t="n">
        <v>1</v>
      </c>
      <c r="S153" t="n">
        <v>1</v>
      </c>
      <c r="T153" t="n">
        <v>2</v>
      </c>
      <c r="U153" t="n">
        <v>1</v>
      </c>
      <c r="V153" t="n">
        <v>3</v>
      </c>
      <c r="W153">
        <f>(AVERAGE(B153:D153)-1)/4</f>
        <v/>
      </c>
      <c r="X153">
        <f>(AVERAGE(E153:G153)-1)/4</f>
        <v/>
      </c>
      <c r="Y153">
        <f>(AVERAGE(H153:J153)-1)/4</f>
        <v/>
      </c>
      <c r="Z153">
        <f>(AVERAGE(K153:M153)-1)/4</f>
        <v/>
      </c>
      <c r="AA153">
        <f>(AVERAGE(N153:P153)-1)/4</f>
        <v/>
      </c>
      <c r="AB153">
        <f>(AVERAGE(Q153:S153)-1)/4</f>
        <v/>
      </c>
      <c r="AC153">
        <f>(AVERAGE(T153:V153)-1)/4</f>
        <v/>
      </c>
      <c r="AD153">
        <f>AVERAGE(W153:AA153)</f>
        <v/>
      </c>
      <c r="AE153">
        <f>MIN(W153:AA153)</f>
        <v/>
      </c>
      <c r="AF153">
        <f>1-alpha*MAX(0,delta-AE153)</f>
        <v/>
      </c>
      <c r="AG153">
        <f>AD153*AF153</f>
        <v/>
      </c>
      <c r="AH153">
        <f>1+COUNTIF(bounds,"&lt;"&amp;ROUND(AD153,12))</f>
        <v/>
      </c>
      <c r="AI153">
        <f>1+COUNTIF(bounds,"&lt;"&amp;ROUND(AG153,12))</f>
        <v/>
      </c>
      <c r="AJ153">
        <f>IF(AF153&lt;1,1,0)</f>
        <v/>
      </c>
      <c r="AK153">
        <f>IF(AH153&lt;&gt;AI153,1,0)</f>
        <v/>
      </c>
      <c r="AL153">
        <f>IF(AND(AI153&gt;=3,AB153&lt;=0.2),1,0)</f>
        <v/>
      </c>
      <c r="AM153">
        <f>AVERAGE(W153:AB153)</f>
        <v/>
      </c>
      <c r="AN153">
        <f>1+COUNTIF(bounds,"&lt;"&amp;ROUND(AM153,12))</f>
        <v/>
      </c>
      <c r="AO153">
        <f>IF(AK153=1,AD153,NA())</f>
        <v/>
      </c>
      <c r="AP153">
        <f>IF(AK153=0,AD153,NA())</f>
        <v/>
      </c>
    </row>
    <row r="154">
      <c r="A154" t="n">
        <v>146</v>
      </c>
      <c r="B154" t="n">
        <v>1</v>
      </c>
      <c r="C154" t="n">
        <v>4</v>
      </c>
      <c r="D154" t="n">
        <v>2</v>
      </c>
      <c r="E154" t="n">
        <v>4</v>
      </c>
      <c r="F154" t="n">
        <v>3</v>
      </c>
      <c r="G154" t="n">
        <v>1</v>
      </c>
      <c r="H154" t="n">
        <v>2</v>
      </c>
      <c r="I154" t="n">
        <v>2</v>
      </c>
      <c r="J154" t="n">
        <v>3</v>
      </c>
      <c r="K154" t="n">
        <v>2</v>
      </c>
      <c r="L154" t="n">
        <v>2</v>
      </c>
      <c r="M154" t="n">
        <v>3</v>
      </c>
      <c r="N154" t="n">
        <v>3</v>
      </c>
      <c r="O154" t="n">
        <v>1</v>
      </c>
      <c r="P154" t="n">
        <v>5</v>
      </c>
      <c r="Q154" t="n">
        <v>1</v>
      </c>
      <c r="R154" t="n">
        <v>2</v>
      </c>
      <c r="S154" t="n">
        <v>4</v>
      </c>
      <c r="T154" t="n">
        <v>1</v>
      </c>
      <c r="U154" t="n">
        <v>1</v>
      </c>
      <c r="V154" t="n">
        <v>4</v>
      </c>
      <c r="W154">
        <f>(AVERAGE(B154:D154)-1)/4</f>
        <v/>
      </c>
      <c r="X154">
        <f>(AVERAGE(E154:G154)-1)/4</f>
        <v/>
      </c>
      <c r="Y154">
        <f>(AVERAGE(H154:J154)-1)/4</f>
        <v/>
      </c>
      <c r="Z154">
        <f>(AVERAGE(K154:M154)-1)/4</f>
        <v/>
      </c>
      <c r="AA154">
        <f>(AVERAGE(N154:P154)-1)/4</f>
        <v/>
      </c>
      <c r="AB154">
        <f>(AVERAGE(Q154:S154)-1)/4</f>
        <v/>
      </c>
      <c r="AC154">
        <f>(AVERAGE(T154:V154)-1)/4</f>
        <v/>
      </c>
      <c r="AD154">
        <f>AVERAGE(W154:AA154)</f>
        <v/>
      </c>
      <c r="AE154">
        <f>MIN(W154:AA154)</f>
        <v/>
      </c>
      <c r="AF154">
        <f>1-alpha*MAX(0,delta-AE154)</f>
        <v/>
      </c>
      <c r="AG154">
        <f>AD154*AF154</f>
        <v/>
      </c>
      <c r="AH154">
        <f>1+COUNTIF(bounds,"&lt;"&amp;ROUND(AD154,12))</f>
        <v/>
      </c>
      <c r="AI154">
        <f>1+COUNTIF(bounds,"&lt;"&amp;ROUND(AG154,12))</f>
        <v/>
      </c>
      <c r="AJ154">
        <f>IF(AF154&lt;1,1,0)</f>
        <v/>
      </c>
      <c r="AK154">
        <f>IF(AH154&lt;&gt;AI154,1,0)</f>
        <v/>
      </c>
      <c r="AL154">
        <f>IF(AND(AI154&gt;=3,AB154&lt;=0.2),1,0)</f>
        <v/>
      </c>
      <c r="AM154">
        <f>AVERAGE(W154:AB154)</f>
        <v/>
      </c>
      <c r="AN154">
        <f>1+COUNTIF(bounds,"&lt;"&amp;ROUND(AM154,12))</f>
        <v/>
      </c>
      <c r="AO154">
        <f>IF(AK154=1,AD154,NA())</f>
        <v/>
      </c>
      <c r="AP154">
        <f>IF(AK154=0,AD154,NA())</f>
        <v/>
      </c>
    </row>
    <row r="155">
      <c r="A155" t="n">
        <v>147</v>
      </c>
      <c r="B155" t="n">
        <v>3</v>
      </c>
      <c r="C155" t="n">
        <v>3</v>
      </c>
      <c r="D155" t="n">
        <v>4</v>
      </c>
      <c r="E155" t="n">
        <v>1</v>
      </c>
      <c r="F155" t="n">
        <v>5</v>
      </c>
      <c r="G155" t="n">
        <v>5</v>
      </c>
      <c r="H155" t="n">
        <v>3</v>
      </c>
      <c r="I155" t="n">
        <v>4</v>
      </c>
      <c r="J155" t="n">
        <v>3</v>
      </c>
      <c r="K155" t="n">
        <v>3</v>
      </c>
      <c r="L155" t="n">
        <v>1</v>
      </c>
      <c r="M155" t="n">
        <v>1</v>
      </c>
      <c r="N155" t="n">
        <v>2</v>
      </c>
      <c r="O155" t="n">
        <v>4</v>
      </c>
      <c r="P155" t="n">
        <v>1</v>
      </c>
      <c r="Q155" t="n">
        <v>5</v>
      </c>
      <c r="R155" t="n">
        <v>4</v>
      </c>
      <c r="S155" t="n">
        <v>4</v>
      </c>
      <c r="T155" t="n">
        <v>3</v>
      </c>
      <c r="U155" t="n">
        <v>5</v>
      </c>
      <c r="V155" t="n">
        <v>5</v>
      </c>
      <c r="W155">
        <f>(AVERAGE(B155:D155)-1)/4</f>
        <v/>
      </c>
      <c r="X155">
        <f>(AVERAGE(E155:G155)-1)/4</f>
        <v/>
      </c>
      <c r="Y155">
        <f>(AVERAGE(H155:J155)-1)/4</f>
        <v/>
      </c>
      <c r="Z155">
        <f>(AVERAGE(K155:M155)-1)/4</f>
        <v/>
      </c>
      <c r="AA155">
        <f>(AVERAGE(N155:P155)-1)/4</f>
        <v/>
      </c>
      <c r="AB155">
        <f>(AVERAGE(Q155:S155)-1)/4</f>
        <v/>
      </c>
      <c r="AC155">
        <f>(AVERAGE(T155:V155)-1)/4</f>
        <v/>
      </c>
      <c r="AD155">
        <f>AVERAGE(W155:AA155)</f>
        <v/>
      </c>
      <c r="AE155">
        <f>MIN(W155:AA155)</f>
        <v/>
      </c>
      <c r="AF155">
        <f>1-alpha*MAX(0,delta-AE155)</f>
        <v/>
      </c>
      <c r="AG155">
        <f>AD155*AF155</f>
        <v/>
      </c>
      <c r="AH155">
        <f>1+COUNTIF(bounds,"&lt;"&amp;ROUND(AD155,12))</f>
        <v/>
      </c>
      <c r="AI155">
        <f>1+COUNTIF(bounds,"&lt;"&amp;ROUND(AG155,12))</f>
        <v/>
      </c>
      <c r="AJ155">
        <f>IF(AF155&lt;1,1,0)</f>
        <v/>
      </c>
      <c r="AK155">
        <f>IF(AH155&lt;&gt;AI155,1,0)</f>
        <v/>
      </c>
      <c r="AL155">
        <f>IF(AND(AI155&gt;=3,AB155&lt;=0.2),1,0)</f>
        <v/>
      </c>
      <c r="AM155">
        <f>AVERAGE(W155:AB155)</f>
        <v/>
      </c>
      <c r="AN155">
        <f>1+COUNTIF(bounds,"&lt;"&amp;ROUND(AM155,12))</f>
        <v/>
      </c>
      <c r="AO155">
        <f>IF(AK155=1,AD155,NA())</f>
        <v/>
      </c>
      <c r="AP155">
        <f>IF(AK155=0,AD155,NA())</f>
        <v/>
      </c>
    </row>
    <row r="156">
      <c r="A156" t="n">
        <v>148</v>
      </c>
      <c r="B156" t="n">
        <v>3</v>
      </c>
      <c r="C156" t="n">
        <v>5</v>
      </c>
      <c r="D156" t="n">
        <v>3</v>
      </c>
      <c r="E156" t="n">
        <v>4</v>
      </c>
      <c r="F156" t="n">
        <v>4</v>
      </c>
      <c r="G156" t="n">
        <v>4</v>
      </c>
      <c r="H156" t="n">
        <v>4</v>
      </c>
      <c r="I156" t="n">
        <v>3</v>
      </c>
      <c r="J156" t="n">
        <v>2</v>
      </c>
      <c r="K156" t="n">
        <v>2</v>
      </c>
      <c r="L156" t="n">
        <v>2</v>
      </c>
      <c r="M156" t="n">
        <v>4</v>
      </c>
      <c r="N156" t="n">
        <v>2</v>
      </c>
      <c r="O156" t="n">
        <v>3</v>
      </c>
      <c r="P156" t="n">
        <v>4</v>
      </c>
      <c r="Q156" t="n">
        <v>4</v>
      </c>
      <c r="R156" t="n">
        <v>2</v>
      </c>
      <c r="S156" t="n">
        <v>1</v>
      </c>
      <c r="T156" t="n">
        <v>2</v>
      </c>
      <c r="U156" t="n">
        <v>3</v>
      </c>
      <c r="V156" t="n">
        <v>3</v>
      </c>
      <c r="W156">
        <f>(AVERAGE(B156:D156)-1)/4</f>
        <v/>
      </c>
      <c r="X156">
        <f>(AVERAGE(E156:G156)-1)/4</f>
        <v/>
      </c>
      <c r="Y156">
        <f>(AVERAGE(H156:J156)-1)/4</f>
        <v/>
      </c>
      <c r="Z156">
        <f>(AVERAGE(K156:M156)-1)/4</f>
        <v/>
      </c>
      <c r="AA156">
        <f>(AVERAGE(N156:P156)-1)/4</f>
        <v/>
      </c>
      <c r="AB156">
        <f>(AVERAGE(Q156:S156)-1)/4</f>
        <v/>
      </c>
      <c r="AC156">
        <f>(AVERAGE(T156:V156)-1)/4</f>
        <v/>
      </c>
      <c r="AD156">
        <f>AVERAGE(W156:AA156)</f>
        <v/>
      </c>
      <c r="AE156">
        <f>MIN(W156:AA156)</f>
        <v/>
      </c>
      <c r="AF156">
        <f>1-alpha*MAX(0,delta-AE156)</f>
        <v/>
      </c>
      <c r="AG156">
        <f>AD156*AF156</f>
        <v/>
      </c>
      <c r="AH156">
        <f>1+COUNTIF(bounds,"&lt;"&amp;ROUND(AD156,12))</f>
        <v/>
      </c>
      <c r="AI156">
        <f>1+COUNTIF(bounds,"&lt;"&amp;ROUND(AG156,12))</f>
        <v/>
      </c>
      <c r="AJ156">
        <f>IF(AF156&lt;1,1,0)</f>
        <v/>
      </c>
      <c r="AK156">
        <f>IF(AH156&lt;&gt;AI156,1,0)</f>
        <v/>
      </c>
      <c r="AL156">
        <f>IF(AND(AI156&gt;=3,AB156&lt;=0.2),1,0)</f>
        <v/>
      </c>
      <c r="AM156">
        <f>AVERAGE(W156:AB156)</f>
        <v/>
      </c>
      <c r="AN156">
        <f>1+COUNTIF(bounds,"&lt;"&amp;ROUND(AM156,12))</f>
        <v/>
      </c>
      <c r="AO156">
        <f>IF(AK156=1,AD156,NA())</f>
        <v/>
      </c>
      <c r="AP156">
        <f>IF(AK156=0,AD156,NA())</f>
        <v/>
      </c>
    </row>
    <row r="157">
      <c r="A157" t="n">
        <v>149</v>
      </c>
      <c r="B157" t="n">
        <v>2</v>
      </c>
      <c r="C157" t="n">
        <v>1</v>
      </c>
      <c r="D157" t="n">
        <v>4</v>
      </c>
      <c r="E157" t="n">
        <v>4</v>
      </c>
      <c r="F157" t="n">
        <v>3</v>
      </c>
      <c r="G157" t="n">
        <v>2</v>
      </c>
      <c r="H157" t="n">
        <v>2</v>
      </c>
      <c r="I157" t="n">
        <v>2</v>
      </c>
      <c r="J157" t="n">
        <v>1</v>
      </c>
      <c r="K157" t="n">
        <v>4</v>
      </c>
      <c r="L157" t="n">
        <v>5</v>
      </c>
      <c r="M157" t="n">
        <v>2</v>
      </c>
      <c r="N157" t="n">
        <v>1</v>
      </c>
      <c r="O157" t="n">
        <v>3</v>
      </c>
      <c r="P157" t="n">
        <v>4</v>
      </c>
      <c r="Q157" t="n">
        <v>5</v>
      </c>
      <c r="R157" t="n">
        <v>5</v>
      </c>
      <c r="S157" t="n">
        <v>1</v>
      </c>
      <c r="T157" t="n">
        <v>2</v>
      </c>
      <c r="U157" t="n">
        <v>1</v>
      </c>
      <c r="V157" t="n">
        <v>4</v>
      </c>
      <c r="W157">
        <f>(AVERAGE(B157:D157)-1)/4</f>
        <v/>
      </c>
      <c r="X157">
        <f>(AVERAGE(E157:G157)-1)/4</f>
        <v/>
      </c>
      <c r="Y157">
        <f>(AVERAGE(H157:J157)-1)/4</f>
        <v/>
      </c>
      <c r="Z157">
        <f>(AVERAGE(K157:M157)-1)/4</f>
        <v/>
      </c>
      <c r="AA157">
        <f>(AVERAGE(N157:P157)-1)/4</f>
        <v/>
      </c>
      <c r="AB157">
        <f>(AVERAGE(Q157:S157)-1)/4</f>
        <v/>
      </c>
      <c r="AC157">
        <f>(AVERAGE(T157:V157)-1)/4</f>
        <v/>
      </c>
      <c r="AD157">
        <f>AVERAGE(W157:AA157)</f>
        <v/>
      </c>
      <c r="AE157">
        <f>MIN(W157:AA157)</f>
        <v/>
      </c>
      <c r="AF157">
        <f>1-alpha*MAX(0,delta-AE157)</f>
        <v/>
      </c>
      <c r="AG157">
        <f>AD157*AF157</f>
        <v/>
      </c>
      <c r="AH157">
        <f>1+COUNTIF(bounds,"&lt;"&amp;ROUND(AD157,12))</f>
        <v/>
      </c>
      <c r="AI157">
        <f>1+COUNTIF(bounds,"&lt;"&amp;ROUND(AG157,12))</f>
        <v/>
      </c>
      <c r="AJ157">
        <f>IF(AF157&lt;1,1,0)</f>
        <v/>
      </c>
      <c r="AK157">
        <f>IF(AH157&lt;&gt;AI157,1,0)</f>
        <v/>
      </c>
      <c r="AL157">
        <f>IF(AND(AI157&gt;=3,AB157&lt;=0.2),1,0)</f>
        <v/>
      </c>
      <c r="AM157">
        <f>AVERAGE(W157:AB157)</f>
        <v/>
      </c>
      <c r="AN157">
        <f>1+COUNTIF(bounds,"&lt;"&amp;ROUND(AM157,12))</f>
        <v/>
      </c>
      <c r="AO157">
        <f>IF(AK157=1,AD157,NA())</f>
        <v/>
      </c>
      <c r="AP157">
        <f>IF(AK157=0,AD157,NA())</f>
        <v/>
      </c>
    </row>
    <row r="158">
      <c r="A158" t="n">
        <v>150</v>
      </c>
      <c r="B158" t="n">
        <v>2</v>
      </c>
      <c r="C158" t="n">
        <v>4</v>
      </c>
      <c r="D158" t="n">
        <v>4</v>
      </c>
      <c r="E158" t="n">
        <v>5</v>
      </c>
      <c r="F158" t="n">
        <v>5</v>
      </c>
      <c r="G158" t="n">
        <v>1</v>
      </c>
      <c r="H158" t="n">
        <v>4</v>
      </c>
      <c r="I158" t="n">
        <v>1</v>
      </c>
      <c r="J158" t="n">
        <v>2</v>
      </c>
      <c r="K158" t="n">
        <v>1</v>
      </c>
      <c r="L158" t="n">
        <v>3</v>
      </c>
      <c r="M158" t="n">
        <v>5</v>
      </c>
      <c r="N158" t="n">
        <v>5</v>
      </c>
      <c r="O158" t="n">
        <v>3</v>
      </c>
      <c r="P158" t="n">
        <v>4</v>
      </c>
      <c r="Q158" t="n">
        <v>5</v>
      </c>
      <c r="R158" t="n">
        <v>1</v>
      </c>
      <c r="S158" t="n">
        <v>3</v>
      </c>
      <c r="T158" t="n">
        <v>4</v>
      </c>
      <c r="U158" t="n">
        <v>2</v>
      </c>
      <c r="V158" t="n">
        <v>1</v>
      </c>
      <c r="W158">
        <f>(AVERAGE(B158:D158)-1)/4</f>
        <v/>
      </c>
      <c r="X158">
        <f>(AVERAGE(E158:G158)-1)/4</f>
        <v/>
      </c>
      <c r="Y158">
        <f>(AVERAGE(H158:J158)-1)/4</f>
        <v/>
      </c>
      <c r="Z158">
        <f>(AVERAGE(K158:M158)-1)/4</f>
        <v/>
      </c>
      <c r="AA158">
        <f>(AVERAGE(N158:P158)-1)/4</f>
        <v/>
      </c>
      <c r="AB158">
        <f>(AVERAGE(Q158:S158)-1)/4</f>
        <v/>
      </c>
      <c r="AC158">
        <f>(AVERAGE(T158:V158)-1)/4</f>
        <v/>
      </c>
      <c r="AD158">
        <f>AVERAGE(W158:AA158)</f>
        <v/>
      </c>
      <c r="AE158">
        <f>MIN(W158:AA158)</f>
        <v/>
      </c>
      <c r="AF158">
        <f>1-alpha*MAX(0,delta-AE158)</f>
        <v/>
      </c>
      <c r="AG158">
        <f>AD158*AF158</f>
        <v/>
      </c>
      <c r="AH158">
        <f>1+COUNTIF(bounds,"&lt;"&amp;ROUND(AD158,12))</f>
        <v/>
      </c>
      <c r="AI158">
        <f>1+COUNTIF(bounds,"&lt;"&amp;ROUND(AG158,12))</f>
        <v/>
      </c>
      <c r="AJ158">
        <f>IF(AF158&lt;1,1,0)</f>
        <v/>
      </c>
      <c r="AK158">
        <f>IF(AH158&lt;&gt;AI158,1,0)</f>
        <v/>
      </c>
      <c r="AL158">
        <f>IF(AND(AI158&gt;=3,AB158&lt;=0.2),1,0)</f>
        <v/>
      </c>
      <c r="AM158">
        <f>AVERAGE(W158:AB158)</f>
        <v/>
      </c>
      <c r="AN158">
        <f>1+COUNTIF(bounds,"&lt;"&amp;ROUND(AM158,12))</f>
        <v/>
      </c>
      <c r="AO158">
        <f>IF(AK158=1,AD158,NA())</f>
        <v/>
      </c>
      <c r="AP158">
        <f>IF(AK158=0,AD158,NA())</f>
        <v/>
      </c>
    </row>
    <row r="159">
      <c r="A159" t="n">
        <v>151</v>
      </c>
      <c r="B159" t="n">
        <v>5</v>
      </c>
      <c r="C159" t="n">
        <v>1</v>
      </c>
      <c r="D159" t="n">
        <v>2</v>
      </c>
      <c r="E159" t="n">
        <v>1</v>
      </c>
      <c r="F159" t="n">
        <v>4</v>
      </c>
      <c r="G159" t="n">
        <v>2</v>
      </c>
      <c r="H159" t="n">
        <v>1</v>
      </c>
      <c r="I159" t="n">
        <v>2</v>
      </c>
      <c r="J159" t="n">
        <v>4</v>
      </c>
      <c r="K159" t="n">
        <v>1</v>
      </c>
      <c r="L159" t="n">
        <v>2</v>
      </c>
      <c r="M159" t="n">
        <v>3</v>
      </c>
      <c r="N159" t="n">
        <v>1</v>
      </c>
      <c r="O159" t="n">
        <v>3</v>
      </c>
      <c r="P159" t="n">
        <v>2</v>
      </c>
      <c r="Q159" t="n">
        <v>5</v>
      </c>
      <c r="R159" t="n">
        <v>1</v>
      </c>
      <c r="S159" t="n">
        <v>4</v>
      </c>
      <c r="T159" t="n">
        <v>5</v>
      </c>
      <c r="U159" t="n">
        <v>5</v>
      </c>
      <c r="V159" t="n">
        <v>4</v>
      </c>
      <c r="W159">
        <f>(AVERAGE(B159:D159)-1)/4</f>
        <v/>
      </c>
      <c r="X159">
        <f>(AVERAGE(E159:G159)-1)/4</f>
        <v/>
      </c>
      <c r="Y159">
        <f>(AVERAGE(H159:J159)-1)/4</f>
        <v/>
      </c>
      <c r="Z159">
        <f>(AVERAGE(K159:M159)-1)/4</f>
        <v/>
      </c>
      <c r="AA159">
        <f>(AVERAGE(N159:P159)-1)/4</f>
        <v/>
      </c>
      <c r="AB159">
        <f>(AVERAGE(Q159:S159)-1)/4</f>
        <v/>
      </c>
      <c r="AC159">
        <f>(AVERAGE(T159:V159)-1)/4</f>
        <v/>
      </c>
      <c r="AD159">
        <f>AVERAGE(W159:AA159)</f>
        <v/>
      </c>
      <c r="AE159">
        <f>MIN(W159:AA159)</f>
        <v/>
      </c>
      <c r="AF159">
        <f>1-alpha*MAX(0,delta-AE159)</f>
        <v/>
      </c>
      <c r="AG159">
        <f>AD159*AF159</f>
        <v/>
      </c>
      <c r="AH159">
        <f>1+COUNTIF(bounds,"&lt;"&amp;ROUND(AD159,12))</f>
        <v/>
      </c>
      <c r="AI159">
        <f>1+COUNTIF(bounds,"&lt;"&amp;ROUND(AG159,12))</f>
        <v/>
      </c>
      <c r="AJ159">
        <f>IF(AF159&lt;1,1,0)</f>
        <v/>
      </c>
      <c r="AK159">
        <f>IF(AH159&lt;&gt;AI159,1,0)</f>
        <v/>
      </c>
      <c r="AL159">
        <f>IF(AND(AI159&gt;=3,AB159&lt;=0.2),1,0)</f>
        <v/>
      </c>
      <c r="AM159">
        <f>AVERAGE(W159:AB159)</f>
        <v/>
      </c>
      <c r="AN159">
        <f>1+COUNTIF(bounds,"&lt;"&amp;ROUND(AM159,12))</f>
        <v/>
      </c>
      <c r="AO159">
        <f>IF(AK159=1,AD159,NA())</f>
        <v/>
      </c>
      <c r="AP159">
        <f>IF(AK159=0,AD159,NA())</f>
        <v/>
      </c>
    </row>
    <row r="160">
      <c r="A160" t="n">
        <v>152</v>
      </c>
      <c r="B160" t="n">
        <v>4</v>
      </c>
      <c r="C160" t="n">
        <v>2</v>
      </c>
      <c r="D160" t="n">
        <v>1</v>
      </c>
      <c r="E160" t="n">
        <v>3</v>
      </c>
      <c r="F160" t="n">
        <v>1</v>
      </c>
      <c r="G160" t="n">
        <v>5</v>
      </c>
      <c r="H160" t="n">
        <v>3</v>
      </c>
      <c r="I160" t="n">
        <v>2</v>
      </c>
      <c r="J160" t="n">
        <v>5</v>
      </c>
      <c r="K160" t="n">
        <v>5</v>
      </c>
      <c r="L160" t="n">
        <v>5</v>
      </c>
      <c r="M160" t="n">
        <v>5</v>
      </c>
      <c r="N160" t="n">
        <v>5</v>
      </c>
      <c r="O160" t="n">
        <v>4</v>
      </c>
      <c r="P160" t="n">
        <v>3</v>
      </c>
      <c r="Q160" t="n">
        <v>5</v>
      </c>
      <c r="R160" t="n">
        <v>2</v>
      </c>
      <c r="S160" t="n">
        <v>5</v>
      </c>
      <c r="T160" t="n">
        <v>2</v>
      </c>
      <c r="U160" t="n">
        <v>3</v>
      </c>
      <c r="V160" t="n">
        <v>1</v>
      </c>
      <c r="W160">
        <f>(AVERAGE(B160:D160)-1)/4</f>
        <v/>
      </c>
      <c r="X160">
        <f>(AVERAGE(E160:G160)-1)/4</f>
        <v/>
      </c>
      <c r="Y160">
        <f>(AVERAGE(H160:J160)-1)/4</f>
        <v/>
      </c>
      <c r="Z160">
        <f>(AVERAGE(K160:M160)-1)/4</f>
        <v/>
      </c>
      <c r="AA160">
        <f>(AVERAGE(N160:P160)-1)/4</f>
        <v/>
      </c>
      <c r="AB160">
        <f>(AVERAGE(Q160:S160)-1)/4</f>
        <v/>
      </c>
      <c r="AC160">
        <f>(AVERAGE(T160:V160)-1)/4</f>
        <v/>
      </c>
      <c r="AD160">
        <f>AVERAGE(W160:AA160)</f>
        <v/>
      </c>
      <c r="AE160">
        <f>MIN(W160:AA160)</f>
        <v/>
      </c>
      <c r="AF160">
        <f>1-alpha*MAX(0,delta-AE160)</f>
        <v/>
      </c>
      <c r="AG160">
        <f>AD160*AF160</f>
        <v/>
      </c>
      <c r="AH160">
        <f>1+COUNTIF(bounds,"&lt;"&amp;ROUND(AD160,12))</f>
        <v/>
      </c>
      <c r="AI160">
        <f>1+COUNTIF(bounds,"&lt;"&amp;ROUND(AG160,12))</f>
        <v/>
      </c>
      <c r="AJ160">
        <f>IF(AF160&lt;1,1,0)</f>
        <v/>
      </c>
      <c r="AK160">
        <f>IF(AH160&lt;&gt;AI160,1,0)</f>
        <v/>
      </c>
      <c r="AL160">
        <f>IF(AND(AI160&gt;=3,AB160&lt;=0.2),1,0)</f>
        <v/>
      </c>
      <c r="AM160">
        <f>AVERAGE(W160:AB160)</f>
        <v/>
      </c>
      <c r="AN160">
        <f>1+COUNTIF(bounds,"&lt;"&amp;ROUND(AM160,12))</f>
        <v/>
      </c>
      <c r="AO160">
        <f>IF(AK160=1,AD160,NA())</f>
        <v/>
      </c>
      <c r="AP160">
        <f>IF(AK160=0,AD160,NA())</f>
        <v/>
      </c>
    </row>
    <row r="161">
      <c r="A161" t="n">
        <v>153</v>
      </c>
      <c r="B161" t="n">
        <v>5</v>
      </c>
      <c r="C161" t="n">
        <v>4</v>
      </c>
      <c r="D161" t="n">
        <v>2</v>
      </c>
      <c r="E161" t="n">
        <v>1</v>
      </c>
      <c r="F161" t="n">
        <v>1</v>
      </c>
      <c r="G161" t="n">
        <v>5</v>
      </c>
      <c r="H161" t="n">
        <v>2</v>
      </c>
      <c r="I161" t="n">
        <v>2</v>
      </c>
      <c r="J161" t="n">
        <v>1</v>
      </c>
      <c r="K161" t="n">
        <v>5</v>
      </c>
      <c r="L161" t="n">
        <v>5</v>
      </c>
      <c r="M161" t="n">
        <v>5</v>
      </c>
      <c r="N161" t="n">
        <v>5</v>
      </c>
      <c r="O161" t="n">
        <v>4</v>
      </c>
      <c r="P161" t="n">
        <v>3</v>
      </c>
      <c r="Q161" t="n">
        <v>4</v>
      </c>
      <c r="R161" t="n">
        <v>2</v>
      </c>
      <c r="S161" t="n">
        <v>1</v>
      </c>
      <c r="T161" t="n">
        <v>4</v>
      </c>
      <c r="U161" t="n">
        <v>5</v>
      </c>
      <c r="V161" t="n">
        <v>4</v>
      </c>
      <c r="W161">
        <f>(AVERAGE(B161:D161)-1)/4</f>
        <v/>
      </c>
      <c r="X161">
        <f>(AVERAGE(E161:G161)-1)/4</f>
        <v/>
      </c>
      <c r="Y161">
        <f>(AVERAGE(H161:J161)-1)/4</f>
        <v/>
      </c>
      <c r="Z161">
        <f>(AVERAGE(K161:M161)-1)/4</f>
        <v/>
      </c>
      <c r="AA161">
        <f>(AVERAGE(N161:P161)-1)/4</f>
        <v/>
      </c>
      <c r="AB161">
        <f>(AVERAGE(Q161:S161)-1)/4</f>
        <v/>
      </c>
      <c r="AC161">
        <f>(AVERAGE(T161:V161)-1)/4</f>
        <v/>
      </c>
      <c r="AD161">
        <f>AVERAGE(W161:AA161)</f>
        <v/>
      </c>
      <c r="AE161">
        <f>MIN(W161:AA161)</f>
        <v/>
      </c>
      <c r="AF161">
        <f>1-alpha*MAX(0,delta-AE161)</f>
        <v/>
      </c>
      <c r="AG161">
        <f>AD161*AF161</f>
        <v/>
      </c>
      <c r="AH161">
        <f>1+COUNTIF(bounds,"&lt;"&amp;ROUND(AD161,12))</f>
        <v/>
      </c>
      <c r="AI161">
        <f>1+COUNTIF(bounds,"&lt;"&amp;ROUND(AG161,12))</f>
        <v/>
      </c>
      <c r="AJ161">
        <f>IF(AF161&lt;1,1,0)</f>
        <v/>
      </c>
      <c r="AK161">
        <f>IF(AH161&lt;&gt;AI161,1,0)</f>
        <v/>
      </c>
      <c r="AL161">
        <f>IF(AND(AI161&gt;=3,AB161&lt;=0.2),1,0)</f>
        <v/>
      </c>
      <c r="AM161">
        <f>AVERAGE(W161:AB161)</f>
        <v/>
      </c>
      <c r="AN161">
        <f>1+COUNTIF(bounds,"&lt;"&amp;ROUND(AM161,12))</f>
        <v/>
      </c>
      <c r="AO161">
        <f>IF(AK161=1,AD161,NA())</f>
        <v/>
      </c>
      <c r="AP161">
        <f>IF(AK161=0,AD161,NA())</f>
        <v/>
      </c>
    </row>
    <row r="162">
      <c r="A162" t="n">
        <v>154</v>
      </c>
      <c r="B162" t="n">
        <v>1</v>
      </c>
      <c r="C162" t="n">
        <v>5</v>
      </c>
      <c r="D162" t="n">
        <v>3</v>
      </c>
      <c r="E162" t="n">
        <v>4</v>
      </c>
      <c r="F162" t="n">
        <v>5</v>
      </c>
      <c r="G162" t="n">
        <v>2</v>
      </c>
      <c r="H162" t="n">
        <v>5</v>
      </c>
      <c r="I162" t="n">
        <v>3</v>
      </c>
      <c r="J162" t="n">
        <v>4</v>
      </c>
      <c r="K162" t="n">
        <v>3</v>
      </c>
      <c r="L162" t="n">
        <v>5</v>
      </c>
      <c r="M162" t="n">
        <v>5</v>
      </c>
      <c r="N162" t="n">
        <v>4</v>
      </c>
      <c r="O162" t="n">
        <v>5</v>
      </c>
      <c r="P162" t="n">
        <v>3</v>
      </c>
      <c r="Q162" t="n">
        <v>2</v>
      </c>
      <c r="R162" t="n">
        <v>2</v>
      </c>
      <c r="S162" t="n">
        <v>4</v>
      </c>
      <c r="T162" t="n">
        <v>2</v>
      </c>
      <c r="U162" t="n">
        <v>4</v>
      </c>
      <c r="V162" t="n">
        <v>1</v>
      </c>
      <c r="W162">
        <f>(AVERAGE(B162:D162)-1)/4</f>
        <v/>
      </c>
      <c r="X162">
        <f>(AVERAGE(E162:G162)-1)/4</f>
        <v/>
      </c>
      <c r="Y162">
        <f>(AVERAGE(H162:J162)-1)/4</f>
        <v/>
      </c>
      <c r="Z162">
        <f>(AVERAGE(K162:M162)-1)/4</f>
        <v/>
      </c>
      <c r="AA162">
        <f>(AVERAGE(N162:P162)-1)/4</f>
        <v/>
      </c>
      <c r="AB162">
        <f>(AVERAGE(Q162:S162)-1)/4</f>
        <v/>
      </c>
      <c r="AC162">
        <f>(AVERAGE(T162:V162)-1)/4</f>
        <v/>
      </c>
      <c r="AD162">
        <f>AVERAGE(W162:AA162)</f>
        <v/>
      </c>
      <c r="AE162">
        <f>MIN(W162:AA162)</f>
        <v/>
      </c>
      <c r="AF162">
        <f>1-alpha*MAX(0,delta-AE162)</f>
        <v/>
      </c>
      <c r="AG162">
        <f>AD162*AF162</f>
        <v/>
      </c>
      <c r="AH162">
        <f>1+COUNTIF(bounds,"&lt;"&amp;ROUND(AD162,12))</f>
        <v/>
      </c>
      <c r="AI162">
        <f>1+COUNTIF(bounds,"&lt;"&amp;ROUND(AG162,12))</f>
        <v/>
      </c>
      <c r="AJ162">
        <f>IF(AF162&lt;1,1,0)</f>
        <v/>
      </c>
      <c r="AK162">
        <f>IF(AH162&lt;&gt;AI162,1,0)</f>
        <v/>
      </c>
      <c r="AL162">
        <f>IF(AND(AI162&gt;=3,AB162&lt;=0.2),1,0)</f>
        <v/>
      </c>
      <c r="AM162">
        <f>AVERAGE(W162:AB162)</f>
        <v/>
      </c>
      <c r="AN162">
        <f>1+COUNTIF(bounds,"&lt;"&amp;ROUND(AM162,12))</f>
        <v/>
      </c>
      <c r="AO162">
        <f>IF(AK162=1,AD162,NA())</f>
        <v/>
      </c>
      <c r="AP162">
        <f>IF(AK162=0,AD162,NA())</f>
        <v/>
      </c>
    </row>
    <row r="163">
      <c r="A163" t="n">
        <v>155</v>
      </c>
      <c r="B163" t="n">
        <v>5</v>
      </c>
      <c r="C163" t="n">
        <v>3</v>
      </c>
      <c r="D163" t="n">
        <v>2</v>
      </c>
      <c r="E163" t="n">
        <v>5</v>
      </c>
      <c r="F163" t="n">
        <v>2</v>
      </c>
      <c r="G163" t="n">
        <v>5</v>
      </c>
      <c r="H163" t="n">
        <v>5</v>
      </c>
      <c r="I163" t="n">
        <v>1</v>
      </c>
      <c r="J163" t="n">
        <v>3</v>
      </c>
      <c r="K163" t="n">
        <v>4</v>
      </c>
      <c r="L163" t="n">
        <v>1</v>
      </c>
      <c r="M163" t="n">
        <v>4</v>
      </c>
      <c r="N163" t="n">
        <v>3</v>
      </c>
      <c r="O163" t="n">
        <v>1</v>
      </c>
      <c r="P163" t="n">
        <v>4</v>
      </c>
      <c r="Q163" t="n">
        <v>5</v>
      </c>
      <c r="R163" t="n">
        <v>2</v>
      </c>
      <c r="S163" t="n">
        <v>4</v>
      </c>
      <c r="T163" t="n">
        <v>3</v>
      </c>
      <c r="U163" t="n">
        <v>3</v>
      </c>
      <c r="V163" t="n">
        <v>3</v>
      </c>
      <c r="W163">
        <f>(AVERAGE(B163:D163)-1)/4</f>
        <v/>
      </c>
      <c r="X163">
        <f>(AVERAGE(E163:G163)-1)/4</f>
        <v/>
      </c>
      <c r="Y163">
        <f>(AVERAGE(H163:J163)-1)/4</f>
        <v/>
      </c>
      <c r="Z163">
        <f>(AVERAGE(K163:M163)-1)/4</f>
        <v/>
      </c>
      <c r="AA163">
        <f>(AVERAGE(N163:P163)-1)/4</f>
        <v/>
      </c>
      <c r="AB163">
        <f>(AVERAGE(Q163:S163)-1)/4</f>
        <v/>
      </c>
      <c r="AC163">
        <f>(AVERAGE(T163:V163)-1)/4</f>
        <v/>
      </c>
      <c r="AD163">
        <f>AVERAGE(W163:AA163)</f>
        <v/>
      </c>
      <c r="AE163">
        <f>MIN(W163:AA163)</f>
        <v/>
      </c>
      <c r="AF163">
        <f>1-alpha*MAX(0,delta-AE163)</f>
        <v/>
      </c>
      <c r="AG163">
        <f>AD163*AF163</f>
        <v/>
      </c>
      <c r="AH163">
        <f>1+COUNTIF(bounds,"&lt;"&amp;ROUND(AD163,12))</f>
        <v/>
      </c>
      <c r="AI163">
        <f>1+COUNTIF(bounds,"&lt;"&amp;ROUND(AG163,12))</f>
        <v/>
      </c>
      <c r="AJ163">
        <f>IF(AF163&lt;1,1,0)</f>
        <v/>
      </c>
      <c r="AK163">
        <f>IF(AH163&lt;&gt;AI163,1,0)</f>
        <v/>
      </c>
      <c r="AL163">
        <f>IF(AND(AI163&gt;=3,AB163&lt;=0.2),1,0)</f>
        <v/>
      </c>
      <c r="AM163">
        <f>AVERAGE(W163:AB163)</f>
        <v/>
      </c>
      <c r="AN163">
        <f>1+COUNTIF(bounds,"&lt;"&amp;ROUND(AM163,12))</f>
        <v/>
      </c>
      <c r="AO163">
        <f>IF(AK163=1,AD163,NA())</f>
        <v/>
      </c>
      <c r="AP163">
        <f>IF(AK163=0,AD163,NA())</f>
        <v/>
      </c>
    </row>
    <row r="164">
      <c r="A164" t="n">
        <v>156</v>
      </c>
      <c r="B164" t="n">
        <v>1</v>
      </c>
      <c r="C164" t="n">
        <v>3</v>
      </c>
      <c r="D164" t="n">
        <v>4</v>
      </c>
      <c r="E164" t="n">
        <v>4</v>
      </c>
      <c r="F164" t="n">
        <v>4</v>
      </c>
      <c r="G164" t="n">
        <v>1</v>
      </c>
      <c r="H164" t="n">
        <v>2</v>
      </c>
      <c r="I164" t="n">
        <v>3</v>
      </c>
      <c r="J164" t="n">
        <v>1</v>
      </c>
      <c r="K164" t="n">
        <v>1</v>
      </c>
      <c r="L164" t="n">
        <v>1</v>
      </c>
      <c r="M164" t="n">
        <v>5</v>
      </c>
      <c r="N164" t="n">
        <v>5</v>
      </c>
      <c r="O164" t="n">
        <v>4</v>
      </c>
      <c r="P164" t="n">
        <v>5</v>
      </c>
      <c r="Q164" t="n">
        <v>4</v>
      </c>
      <c r="R164" t="n">
        <v>1</v>
      </c>
      <c r="S164" t="n">
        <v>2</v>
      </c>
      <c r="T164" t="n">
        <v>3</v>
      </c>
      <c r="U164" t="n">
        <v>3</v>
      </c>
      <c r="V164" t="n">
        <v>4</v>
      </c>
      <c r="W164">
        <f>(AVERAGE(B164:D164)-1)/4</f>
        <v/>
      </c>
      <c r="X164">
        <f>(AVERAGE(E164:G164)-1)/4</f>
        <v/>
      </c>
      <c r="Y164">
        <f>(AVERAGE(H164:J164)-1)/4</f>
        <v/>
      </c>
      <c r="Z164">
        <f>(AVERAGE(K164:M164)-1)/4</f>
        <v/>
      </c>
      <c r="AA164">
        <f>(AVERAGE(N164:P164)-1)/4</f>
        <v/>
      </c>
      <c r="AB164">
        <f>(AVERAGE(Q164:S164)-1)/4</f>
        <v/>
      </c>
      <c r="AC164">
        <f>(AVERAGE(T164:V164)-1)/4</f>
        <v/>
      </c>
      <c r="AD164">
        <f>AVERAGE(W164:AA164)</f>
        <v/>
      </c>
      <c r="AE164">
        <f>MIN(W164:AA164)</f>
        <v/>
      </c>
      <c r="AF164">
        <f>1-alpha*MAX(0,delta-AE164)</f>
        <v/>
      </c>
      <c r="AG164">
        <f>AD164*AF164</f>
        <v/>
      </c>
      <c r="AH164">
        <f>1+COUNTIF(bounds,"&lt;"&amp;ROUND(AD164,12))</f>
        <v/>
      </c>
      <c r="AI164">
        <f>1+COUNTIF(bounds,"&lt;"&amp;ROUND(AG164,12))</f>
        <v/>
      </c>
      <c r="AJ164">
        <f>IF(AF164&lt;1,1,0)</f>
        <v/>
      </c>
      <c r="AK164">
        <f>IF(AH164&lt;&gt;AI164,1,0)</f>
        <v/>
      </c>
      <c r="AL164">
        <f>IF(AND(AI164&gt;=3,AB164&lt;=0.2),1,0)</f>
        <v/>
      </c>
      <c r="AM164">
        <f>AVERAGE(W164:AB164)</f>
        <v/>
      </c>
      <c r="AN164">
        <f>1+COUNTIF(bounds,"&lt;"&amp;ROUND(AM164,12))</f>
        <v/>
      </c>
      <c r="AO164">
        <f>IF(AK164=1,AD164,NA())</f>
        <v/>
      </c>
      <c r="AP164">
        <f>IF(AK164=0,AD164,NA())</f>
        <v/>
      </c>
    </row>
    <row r="165">
      <c r="A165" t="n">
        <v>157</v>
      </c>
      <c r="B165" t="n">
        <v>1</v>
      </c>
      <c r="C165" t="n">
        <v>2</v>
      </c>
      <c r="D165" t="n">
        <v>3</v>
      </c>
      <c r="E165" t="n">
        <v>1</v>
      </c>
      <c r="F165" t="n">
        <v>3</v>
      </c>
      <c r="G165" t="n">
        <v>3</v>
      </c>
      <c r="H165" t="n">
        <v>1</v>
      </c>
      <c r="I165" t="n">
        <v>1</v>
      </c>
      <c r="J165" t="n">
        <v>2</v>
      </c>
      <c r="K165" t="n">
        <v>2</v>
      </c>
      <c r="L165" t="n">
        <v>2</v>
      </c>
      <c r="M165" t="n">
        <v>4</v>
      </c>
      <c r="N165" t="n">
        <v>1</v>
      </c>
      <c r="O165" t="n">
        <v>2</v>
      </c>
      <c r="P165" t="n">
        <v>3</v>
      </c>
      <c r="Q165" t="n">
        <v>5</v>
      </c>
      <c r="R165" t="n">
        <v>2</v>
      </c>
      <c r="S165" t="n">
        <v>5</v>
      </c>
      <c r="T165" t="n">
        <v>3</v>
      </c>
      <c r="U165" t="n">
        <v>2</v>
      </c>
      <c r="V165" t="n">
        <v>5</v>
      </c>
      <c r="W165">
        <f>(AVERAGE(B165:D165)-1)/4</f>
        <v/>
      </c>
      <c r="X165">
        <f>(AVERAGE(E165:G165)-1)/4</f>
        <v/>
      </c>
      <c r="Y165">
        <f>(AVERAGE(H165:J165)-1)/4</f>
        <v/>
      </c>
      <c r="Z165">
        <f>(AVERAGE(K165:M165)-1)/4</f>
        <v/>
      </c>
      <c r="AA165">
        <f>(AVERAGE(N165:P165)-1)/4</f>
        <v/>
      </c>
      <c r="AB165">
        <f>(AVERAGE(Q165:S165)-1)/4</f>
        <v/>
      </c>
      <c r="AC165">
        <f>(AVERAGE(T165:V165)-1)/4</f>
        <v/>
      </c>
      <c r="AD165">
        <f>AVERAGE(W165:AA165)</f>
        <v/>
      </c>
      <c r="AE165">
        <f>MIN(W165:AA165)</f>
        <v/>
      </c>
      <c r="AF165">
        <f>1-alpha*MAX(0,delta-AE165)</f>
        <v/>
      </c>
      <c r="AG165">
        <f>AD165*AF165</f>
        <v/>
      </c>
      <c r="AH165">
        <f>1+COUNTIF(bounds,"&lt;"&amp;ROUND(AD165,12))</f>
        <v/>
      </c>
      <c r="AI165">
        <f>1+COUNTIF(bounds,"&lt;"&amp;ROUND(AG165,12))</f>
        <v/>
      </c>
      <c r="AJ165">
        <f>IF(AF165&lt;1,1,0)</f>
        <v/>
      </c>
      <c r="AK165">
        <f>IF(AH165&lt;&gt;AI165,1,0)</f>
        <v/>
      </c>
      <c r="AL165">
        <f>IF(AND(AI165&gt;=3,AB165&lt;=0.2),1,0)</f>
        <v/>
      </c>
      <c r="AM165">
        <f>AVERAGE(W165:AB165)</f>
        <v/>
      </c>
      <c r="AN165">
        <f>1+COUNTIF(bounds,"&lt;"&amp;ROUND(AM165,12))</f>
        <v/>
      </c>
      <c r="AO165">
        <f>IF(AK165=1,AD165,NA())</f>
        <v/>
      </c>
      <c r="AP165">
        <f>IF(AK165=0,AD165,NA())</f>
        <v/>
      </c>
    </row>
    <row r="166">
      <c r="A166" t="n">
        <v>158</v>
      </c>
      <c r="B166" t="n">
        <v>4</v>
      </c>
      <c r="C166" t="n">
        <v>1</v>
      </c>
      <c r="D166" t="n">
        <v>5</v>
      </c>
      <c r="E166" t="n">
        <v>5</v>
      </c>
      <c r="F166" t="n">
        <v>1</v>
      </c>
      <c r="G166" t="n">
        <v>2</v>
      </c>
      <c r="H166" t="n">
        <v>2</v>
      </c>
      <c r="I166" t="n">
        <v>5</v>
      </c>
      <c r="J166" t="n">
        <v>1</v>
      </c>
      <c r="K166" t="n">
        <v>5</v>
      </c>
      <c r="L166" t="n">
        <v>4</v>
      </c>
      <c r="M166" t="n">
        <v>2</v>
      </c>
      <c r="N166" t="n">
        <v>1</v>
      </c>
      <c r="O166" t="n">
        <v>1</v>
      </c>
      <c r="P166" t="n">
        <v>1</v>
      </c>
      <c r="Q166" t="n">
        <v>1</v>
      </c>
      <c r="R166" t="n">
        <v>5</v>
      </c>
      <c r="S166" t="n">
        <v>3</v>
      </c>
      <c r="T166" t="n">
        <v>4</v>
      </c>
      <c r="U166" t="n">
        <v>4</v>
      </c>
      <c r="V166" t="n">
        <v>5</v>
      </c>
      <c r="W166">
        <f>(AVERAGE(B166:D166)-1)/4</f>
        <v/>
      </c>
      <c r="X166">
        <f>(AVERAGE(E166:G166)-1)/4</f>
        <v/>
      </c>
      <c r="Y166">
        <f>(AVERAGE(H166:J166)-1)/4</f>
        <v/>
      </c>
      <c r="Z166">
        <f>(AVERAGE(K166:M166)-1)/4</f>
        <v/>
      </c>
      <c r="AA166">
        <f>(AVERAGE(N166:P166)-1)/4</f>
        <v/>
      </c>
      <c r="AB166">
        <f>(AVERAGE(Q166:S166)-1)/4</f>
        <v/>
      </c>
      <c r="AC166">
        <f>(AVERAGE(T166:V166)-1)/4</f>
        <v/>
      </c>
      <c r="AD166">
        <f>AVERAGE(W166:AA166)</f>
        <v/>
      </c>
      <c r="AE166">
        <f>MIN(W166:AA166)</f>
        <v/>
      </c>
      <c r="AF166">
        <f>1-alpha*MAX(0,delta-AE166)</f>
        <v/>
      </c>
      <c r="AG166">
        <f>AD166*AF166</f>
        <v/>
      </c>
      <c r="AH166">
        <f>1+COUNTIF(bounds,"&lt;"&amp;ROUND(AD166,12))</f>
        <v/>
      </c>
      <c r="AI166">
        <f>1+COUNTIF(bounds,"&lt;"&amp;ROUND(AG166,12))</f>
        <v/>
      </c>
      <c r="AJ166">
        <f>IF(AF166&lt;1,1,0)</f>
        <v/>
      </c>
      <c r="AK166">
        <f>IF(AH166&lt;&gt;AI166,1,0)</f>
        <v/>
      </c>
      <c r="AL166">
        <f>IF(AND(AI166&gt;=3,AB166&lt;=0.2),1,0)</f>
        <v/>
      </c>
      <c r="AM166">
        <f>AVERAGE(W166:AB166)</f>
        <v/>
      </c>
      <c r="AN166">
        <f>1+COUNTIF(bounds,"&lt;"&amp;ROUND(AM166,12))</f>
        <v/>
      </c>
      <c r="AO166">
        <f>IF(AK166=1,AD166,NA())</f>
        <v/>
      </c>
      <c r="AP166">
        <f>IF(AK166=0,AD166,NA())</f>
        <v/>
      </c>
    </row>
    <row r="167">
      <c r="A167" t="n">
        <v>159</v>
      </c>
      <c r="B167" t="n">
        <v>2</v>
      </c>
      <c r="C167" t="n">
        <v>5</v>
      </c>
      <c r="D167" t="n">
        <v>5</v>
      </c>
      <c r="E167" t="n">
        <v>4</v>
      </c>
      <c r="F167" t="n">
        <v>1</v>
      </c>
      <c r="G167" t="n">
        <v>4</v>
      </c>
      <c r="H167" t="n">
        <v>3</v>
      </c>
      <c r="I167" t="n">
        <v>5</v>
      </c>
      <c r="J167" t="n">
        <v>2</v>
      </c>
      <c r="K167" t="n">
        <v>1</v>
      </c>
      <c r="L167" t="n">
        <v>1</v>
      </c>
      <c r="M167" t="n">
        <v>4</v>
      </c>
      <c r="N167" t="n">
        <v>2</v>
      </c>
      <c r="O167" t="n">
        <v>4</v>
      </c>
      <c r="P167" t="n">
        <v>5</v>
      </c>
      <c r="Q167" t="n">
        <v>5</v>
      </c>
      <c r="R167" t="n">
        <v>5</v>
      </c>
      <c r="S167" t="n">
        <v>1</v>
      </c>
      <c r="T167" t="n">
        <v>3</v>
      </c>
      <c r="U167" t="n">
        <v>2</v>
      </c>
      <c r="V167" t="n">
        <v>3</v>
      </c>
      <c r="W167">
        <f>(AVERAGE(B167:D167)-1)/4</f>
        <v/>
      </c>
      <c r="X167">
        <f>(AVERAGE(E167:G167)-1)/4</f>
        <v/>
      </c>
      <c r="Y167">
        <f>(AVERAGE(H167:J167)-1)/4</f>
        <v/>
      </c>
      <c r="Z167">
        <f>(AVERAGE(K167:M167)-1)/4</f>
        <v/>
      </c>
      <c r="AA167">
        <f>(AVERAGE(N167:P167)-1)/4</f>
        <v/>
      </c>
      <c r="AB167">
        <f>(AVERAGE(Q167:S167)-1)/4</f>
        <v/>
      </c>
      <c r="AC167">
        <f>(AVERAGE(T167:V167)-1)/4</f>
        <v/>
      </c>
      <c r="AD167">
        <f>AVERAGE(W167:AA167)</f>
        <v/>
      </c>
      <c r="AE167">
        <f>MIN(W167:AA167)</f>
        <v/>
      </c>
      <c r="AF167">
        <f>1-alpha*MAX(0,delta-AE167)</f>
        <v/>
      </c>
      <c r="AG167">
        <f>AD167*AF167</f>
        <v/>
      </c>
      <c r="AH167">
        <f>1+COUNTIF(bounds,"&lt;"&amp;ROUND(AD167,12))</f>
        <v/>
      </c>
      <c r="AI167">
        <f>1+COUNTIF(bounds,"&lt;"&amp;ROUND(AG167,12))</f>
        <v/>
      </c>
      <c r="AJ167">
        <f>IF(AF167&lt;1,1,0)</f>
        <v/>
      </c>
      <c r="AK167">
        <f>IF(AH167&lt;&gt;AI167,1,0)</f>
        <v/>
      </c>
      <c r="AL167">
        <f>IF(AND(AI167&gt;=3,AB167&lt;=0.2),1,0)</f>
        <v/>
      </c>
      <c r="AM167">
        <f>AVERAGE(W167:AB167)</f>
        <v/>
      </c>
      <c r="AN167">
        <f>1+COUNTIF(bounds,"&lt;"&amp;ROUND(AM167,12))</f>
        <v/>
      </c>
      <c r="AO167">
        <f>IF(AK167=1,AD167,NA())</f>
        <v/>
      </c>
      <c r="AP167">
        <f>IF(AK167=0,AD167,NA())</f>
        <v/>
      </c>
    </row>
    <row r="168">
      <c r="A168" t="n">
        <v>160</v>
      </c>
      <c r="B168" t="n">
        <v>5</v>
      </c>
      <c r="C168" t="n">
        <v>2</v>
      </c>
      <c r="D168" t="n">
        <v>5</v>
      </c>
      <c r="E168" t="n">
        <v>1</v>
      </c>
      <c r="F168" t="n">
        <v>2</v>
      </c>
      <c r="G168" t="n">
        <v>5</v>
      </c>
      <c r="H168" t="n">
        <v>1</v>
      </c>
      <c r="I168" t="n">
        <v>1</v>
      </c>
      <c r="J168" t="n">
        <v>3</v>
      </c>
      <c r="K168" t="n">
        <v>4</v>
      </c>
      <c r="L168" t="n">
        <v>5</v>
      </c>
      <c r="M168" t="n">
        <v>3</v>
      </c>
      <c r="N168" t="n">
        <v>1</v>
      </c>
      <c r="O168" t="n">
        <v>1</v>
      </c>
      <c r="P168" t="n">
        <v>5</v>
      </c>
      <c r="Q168" t="n">
        <v>4</v>
      </c>
      <c r="R168" t="n">
        <v>3</v>
      </c>
      <c r="S168" t="n">
        <v>3</v>
      </c>
      <c r="T168" t="n">
        <v>3</v>
      </c>
      <c r="U168" t="n">
        <v>4</v>
      </c>
      <c r="V168" t="n">
        <v>3</v>
      </c>
      <c r="W168">
        <f>(AVERAGE(B168:D168)-1)/4</f>
        <v/>
      </c>
      <c r="X168">
        <f>(AVERAGE(E168:G168)-1)/4</f>
        <v/>
      </c>
      <c r="Y168">
        <f>(AVERAGE(H168:J168)-1)/4</f>
        <v/>
      </c>
      <c r="Z168">
        <f>(AVERAGE(K168:M168)-1)/4</f>
        <v/>
      </c>
      <c r="AA168">
        <f>(AVERAGE(N168:P168)-1)/4</f>
        <v/>
      </c>
      <c r="AB168">
        <f>(AVERAGE(Q168:S168)-1)/4</f>
        <v/>
      </c>
      <c r="AC168">
        <f>(AVERAGE(T168:V168)-1)/4</f>
        <v/>
      </c>
      <c r="AD168">
        <f>AVERAGE(W168:AA168)</f>
        <v/>
      </c>
      <c r="AE168">
        <f>MIN(W168:AA168)</f>
        <v/>
      </c>
      <c r="AF168">
        <f>1-alpha*MAX(0,delta-AE168)</f>
        <v/>
      </c>
      <c r="AG168">
        <f>AD168*AF168</f>
        <v/>
      </c>
      <c r="AH168">
        <f>1+COUNTIF(bounds,"&lt;"&amp;ROUND(AD168,12))</f>
        <v/>
      </c>
      <c r="AI168">
        <f>1+COUNTIF(bounds,"&lt;"&amp;ROUND(AG168,12))</f>
        <v/>
      </c>
      <c r="AJ168">
        <f>IF(AF168&lt;1,1,0)</f>
        <v/>
      </c>
      <c r="AK168">
        <f>IF(AH168&lt;&gt;AI168,1,0)</f>
        <v/>
      </c>
      <c r="AL168">
        <f>IF(AND(AI168&gt;=3,AB168&lt;=0.2),1,0)</f>
        <v/>
      </c>
      <c r="AM168">
        <f>AVERAGE(W168:AB168)</f>
        <v/>
      </c>
      <c r="AN168">
        <f>1+COUNTIF(bounds,"&lt;"&amp;ROUND(AM168,12))</f>
        <v/>
      </c>
      <c r="AO168">
        <f>IF(AK168=1,AD168,NA())</f>
        <v/>
      </c>
      <c r="AP168">
        <f>IF(AK168=0,AD168,NA())</f>
        <v/>
      </c>
    </row>
    <row r="169">
      <c r="A169" t="n">
        <v>161</v>
      </c>
      <c r="B169" t="n">
        <v>2</v>
      </c>
      <c r="C169" t="n">
        <v>2</v>
      </c>
      <c r="D169" t="n">
        <v>1</v>
      </c>
      <c r="E169" t="n">
        <v>3</v>
      </c>
      <c r="F169" t="n">
        <v>1</v>
      </c>
      <c r="G169" t="n">
        <v>3</v>
      </c>
      <c r="H169" t="n">
        <v>3</v>
      </c>
      <c r="I169" t="n">
        <v>4</v>
      </c>
      <c r="J169" t="n">
        <v>2</v>
      </c>
      <c r="K169" t="n">
        <v>3</v>
      </c>
      <c r="L169" t="n">
        <v>5</v>
      </c>
      <c r="M169" t="n">
        <v>3</v>
      </c>
      <c r="N169" t="n">
        <v>1</v>
      </c>
      <c r="O169" t="n">
        <v>5</v>
      </c>
      <c r="P169" t="n">
        <v>2</v>
      </c>
      <c r="Q169" t="n">
        <v>3</v>
      </c>
      <c r="R169" t="n">
        <v>3</v>
      </c>
      <c r="S169" t="n">
        <v>5</v>
      </c>
      <c r="T169" t="n">
        <v>4</v>
      </c>
      <c r="U169" t="n">
        <v>4</v>
      </c>
      <c r="V169" t="n">
        <v>3</v>
      </c>
      <c r="W169">
        <f>(AVERAGE(B169:D169)-1)/4</f>
        <v/>
      </c>
      <c r="X169">
        <f>(AVERAGE(E169:G169)-1)/4</f>
        <v/>
      </c>
      <c r="Y169">
        <f>(AVERAGE(H169:J169)-1)/4</f>
        <v/>
      </c>
      <c r="Z169">
        <f>(AVERAGE(K169:M169)-1)/4</f>
        <v/>
      </c>
      <c r="AA169">
        <f>(AVERAGE(N169:P169)-1)/4</f>
        <v/>
      </c>
      <c r="AB169">
        <f>(AVERAGE(Q169:S169)-1)/4</f>
        <v/>
      </c>
      <c r="AC169">
        <f>(AVERAGE(T169:V169)-1)/4</f>
        <v/>
      </c>
      <c r="AD169">
        <f>AVERAGE(W169:AA169)</f>
        <v/>
      </c>
      <c r="AE169">
        <f>MIN(W169:AA169)</f>
        <v/>
      </c>
      <c r="AF169">
        <f>1-alpha*MAX(0,delta-AE169)</f>
        <v/>
      </c>
      <c r="AG169">
        <f>AD169*AF169</f>
        <v/>
      </c>
      <c r="AH169">
        <f>1+COUNTIF(bounds,"&lt;"&amp;ROUND(AD169,12))</f>
        <v/>
      </c>
      <c r="AI169">
        <f>1+COUNTIF(bounds,"&lt;"&amp;ROUND(AG169,12))</f>
        <v/>
      </c>
      <c r="AJ169">
        <f>IF(AF169&lt;1,1,0)</f>
        <v/>
      </c>
      <c r="AK169">
        <f>IF(AH169&lt;&gt;AI169,1,0)</f>
        <v/>
      </c>
      <c r="AL169">
        <f>IF(AND(AI169&gt;=3,AB169&lt;=0.2),1,0)</f>
        <v/>
      </c>
      <c r="AM169">
        <f>AVERAGE(W169:AB169)</f>
        <v/>
      </c>
      <c r="AN169">
        <f>1+COUNTIF(bounds,"&lt;"&amp;ROUND(AM169,12))</f>
        <v/>
      </c>
      <c r="AO169">
        <f>IF(AK169=1,AD169,NA())</f>
        <v/>
      </c>
      <c r="AP169">
        <f>IF(AK169=0,AD169,NA())</f>
        <v/>
      </c>
    </row>
    <row r="170">
      <c r="A170" t="n">
        <v>162</v>
      </c>
      <c r="B170" t="n">
        <v>3</v>
      </c>
      <c r="C170" t="n">
        <v>1</v>
      </c>
      <c r="D170" t="n">
        <v>5</v>
      </c>
      <c r="E170" t="n">
        <v>2</v>
      </c>
      <c r="F170" t="n">
        <v>1</v>
      </c>
      <c r="G170" t="n">
        <v>5</v>
      </c>
      <c r="H170" t="n">
        <v>2</v>
      </c>
      <c r="I170" t="n">
        <v>5</v>
      </c>
      <c r="J170" t="n">
        <v>5</v>
      </c>
      <c r="K170" t="n">
        <v>4</v>
      </c>
      <c r="L170" t="n">
        <v>1</v>
      </c>
      <c r="M170" t="n">
        <v>4</v>
      </c>
      <c r="N170" t="n">
        <v>3</v>
      </c>
      <c r="O170" t="n">
        <v>4</v>
      </c>
      <c r="P170" t="n">
        <v>1</v>
      </c>
      <c r="Q170" t="n">
        <v>4</v>
      </c>
      <c r="R170" t="n">
        <v>2</v>
      </c>
      <c r="S170" t="n">
        <v>1</v>
      </c>
      <c r="T170" t="n">
        <v>2</v>
      </c>
      <c r="U170" t="n">
        <v>1</v>
      </c>
      <c r="V170" t="n">
        <v>3</v>
      </c>
      <c r="W170">
        <f>(AVERAGE(B170:D170)-1)/4</f>
        <v/>
      </c>
      <c r="X170">
        <f>(AVERAGE(E170:G170)-1)/4</f>
        <v/>
      </c>
      <c r="Y170">
        <f>(AVERAGE(H170:J170)-1)/4</f>
        <v/>
      </c>
      <c r="Z170">
        <f>(AVERAGE(K170:M170)-1)/4</f>
        <v/>
      </c>
      <c r="AA170">
        <f>(AVERAGE(N170:P170)-1)/4</f>
        <v/>
      </c>
      <c r="AB170">
        <f>(AVERAGE(Q170:S170)-1)/4</f>
        <v/>
      </c>
      <c r="AC170">
        <f>(AVERAGE(T170:V170)-1)/4</f>
        <v/>
      </c>
      <c r="AD170">
        <f>AVERAGE(W170:AA170)</f>
        <v/>
      </c>
      <c r="AE170">
        <f>MIN(W170:AA170)</f>
        <v/>
      </c>
      <c r="AF170">
        <f>1-alpha*MAX(0,delta-AE170)</f>
        <v/>
      </c>
      <c r="AG170">
        <f>AD170*AF170</f>
        <v/>
      </c>
      <c r="AH170">
        <f>1+COUNTIF(bounds,"&lt;"&amp;ROUND(AD170,12))</f>
        <v/>
      </c>
      <c r="AI170">
        <f>1+COUNTIF(bounds,"&lt;"&amp;ROUND(AG170,12))</f>
        <v/>
      </c>
      <c r="AJ170">
        <f>IF(AF170&lt;1,1,0)</f>
        <v/>
      </c>
      <c r="AK170">
        <f>IF(AH170&lt;&gt;AI170,1,0)</f>
        <v/>
      </c>
      <c r="AL170">
        <f>IF(AND(AI170&gt;=3,AB170&lt;=0.2),1,0)</f>
        <v/>
      </c>
      <c r="AM170">
        <f>AVERAGE(W170:AB170)</f>
        <v/>
      </c>
      <c r="AN170">
        <f>1+COUNTIF(bounds,"&lt;"&amp;ROUND(AM170,12))</f>
        <v/>
      </c>
      <c r="AO170">
        <f>IF(AK170=1,AD170,NA())</f>
        <v/>
      </c>
      <c r="AP170">
        <f>IF(AK170=0,AD170,NA())</f>
        <v/>
      </c>
    </row>
    <row r="171">
      <c r="A171" t="n">
        <v>163</v>
      </c>
      <c r="B171" t="n">
        <v>1</v>
      </c>
      <c r="C171" t="n">
        <v>3</v>
      </c>
      <c r="D171" t="n">
        <v>5</v>
      </c>
      <c r="E171" t="n">
        <v>2</v>
      </c>
      <c r="F171" t="n">
        <v>3</v>
      </c>
      <c r="G171" t="n">
        <v>1</v>
      </c>
      <c r="H171" t="n">
        <v>5</v>
      </c>
      <c r="I171" t="n">
        <v>5</v>
      </c>
      <c r="J171" t="n">
        <v>5</v>
      </c>
      <c r="K171" t="n">
        <v>4</v>
      </c>
      <c r="L171" t="n">
        <v>4</v>
      </c>
      <c r="M171" t="n">
        <v>1</v>
      </c>
      <c r="N171" t="n">
        <v>2</v>
      </c>
      <c r="O171" t="n">
        <v>5</v>
      </c>
      <c r="P171" t="n">
        <v>2</v>
      </c>
      <c r="Q171" t="n">
        <v>2</v>
      </c>
      <c r="R171" t="n">
        <v>3</v>
      </c>
      <c r="S171" t="n">
        <v>5</v>
      </c>
      <c r="T171" t="n">
        <v>4</v>
      </c>
      <c r="U171" t="n">
        <v>2</v>
      </c>
      <c r="V171" t="n">
        <v>3</v>
      </c>
      <c r="W171">
        <f>(AVERAGE(B171:D171)-1)/4</f>
        <v/>
      </c>
      <c r="X171">
        <f>(AVERAGE(E171:G171)-1)/4</f>
        <v/>
      </c>
      <c r="Y171">
        <f>(AVERAGE(H171:J171)-1)/4</f>
        <v/>
      </c>
      <c r="Z171">
        <f>(AVERAGE(K171:M171)-1)/4</f>
        <v/>
      </c>
      <c r="AA171">
        <f>(AVERAGE(N171:P171)-1)/4</f>
        <v/>
      </c>
      <c r="AB171">
        <f>(AVERAGE(Q171:S171)-1)/4</f>
        <v/>
      </c>
      <c r="AC171">
        <f>(AVERAGE(T171:V171)-1)/4</f>
        <v/>
      </c>
      <c r="AD171">
        <f>AVERAGE(W171:AA171)</f>
        <v/>
      </c>
      <c r="AE171">
        <f>MIN(W171:AA171)</f>
        <v/>
      </c>
      <c r="AF171">
        <f>1-alpha*MAX(0,delta-AE171)</f>
        <v/>
      </c>
      <c r="AG171">
        <f>AD171*AF171</f>
        <v/>
      </c>
      <c r="AH171">
        <f>1+COUNTIF(bounds,"&lt;"&amp;ROUND(AD171,12))</f>
        <v/>
      </c>
      <c r="AI171">
        <f>1+COUNTIF(bounds,"&lt;"&amp;ROUND(AG171,12))</f>
        <v/>
      </c>
      <c r="AJ171">
        <f>IF(AF171&lt;1,1,0)</f>
        <v/>
      </c>
      <c r="AK171">
        <f>IF(AH171&lt;&gt;AI171,1,0)</f>
        <v/>
      </c>
      <c r="AL171">
        <f>IF(AND(AI171&gt;=3,AB171&lt;=0.2),1,0)</f>
        <v/>
      </c>
      <c r="AM171">
        <f>AVERAGE(W171:AB171)</f>
        <v/>
      </c>
      <c r="AN171">
        <f>1+COUNTIF(bounds,"&lt;"&amp;ROUND(AM171,12))</f>
        <v/>
      </c>
      <c r="AO171">
        <f>IF(AK171=1,AD171,NA())</f>
        <v/>
      </c>
      <c r="AP171">
        <f>IF(AK171=0,AD171,NA())</f>
        <v/>
      </c>
    </row>
    <row r="172">
      <c r="A172" t="n">
        <v>164</v>
      </c>
      <c r="B172" t="n">
        <v>1</v>
      </c>
      <c r="C172" t="n">
        <v>3</v>
      </c>
      <c r="D172" t="n">
        <v>3</v>
      </c>
      <c r="E172" t="n">
        <v>5</v>
      </c>
      <c r="F172" t="n">
        <v>5</v>
      </c>
      <c r="G172" t="n">
        <v>3</v>
      </c>
      <c r="H172" t="n">
        <v>5</v>
      </c>
      <c r="I172" t="n">
        <v>4</v>
      </c>
      <c r="J172" t="n">
        <v>3</v>
      </c>
      <c r="K172" t="n">
        <v>5</v>
      </c>
      <c r="L172" t="n">
        <v>3</v>
      </c>
      <c r="M172" t="n">
        <v>2</v>
      </c>
      <c r="N172" t="n">
        <v>5</v>
      </c>
      <c r="O172" t="n">
        <v>4</v>
      </c>
      <c r="P172" t="n">
        <v>1</v>
      </c>
      <c r="Q172" t="n">
        <v>2</v>
      </c>
      <c r="R172" t="n">
        <v>2</v>
      </c>
      <c r="S172" t="n">
        <v>2</v>
      </c>
      <c r="T172" t="n">
        <v>2</v>
      </c>
      <c r="U172" t="n">
        <v>5</v>
      </c>
      <c r="V172" t="n">
        <v>4</v>
      </c>
      <c r="W172">
        <f>(AVERAGE(B172:D172)-1)/4</f>
        <v/>
      </c>
      <c r="X172">
        <f>(AVERAGE(E172:G172)-1)/4</f>
        <v/>
      </c>
      <c r="Y172">
        <f>(AVERAGE(H172:J172)-1)/4</f>
        <v/>
      </c>
      <c r="Z172">
        <f>(AVERAGE(K172:M172)-1)/4</f>
        <v/>
      </c>
      <c r="AA172">
        <f>(AVERAGE(N172:P172)-1)/4</f>
        <v/>
      </c>
      <c r="AB172">
        <f>(AVERAGE(Q172:S172)-1)/4</f>
        <v/>
      </c>
      <c r="AC172">
        <f>(AVERAGE(T172:V172)-1)/4</f>
        <v/>
      </c>
      <c r="AD172">
        <f>AVERAGE(W172:AA172)</f>
        <v/>
      </c>
      <c r="AE172">
        <f>MIN(W172:AA172)</f>
        <v/>
      </c>
      <c r="AF172">
        <f>1-alpha*MAX(0,delta-AE172)</f>
        <v/>
      </c>
      <c r="AG172">
        <f>AD172*AF172</f>
        <v/>
      </c>
      <c r="AH172">
        <f>1+COUNTIF(bounds,"&lt;"&amp;ROUND(AD172,12))</f>
        <v/>
      </c>
      <c r="AI172">
        <f>1+COUNTIF(bounds,"&lt;"&amp;ROUND(AG172,12))</f>
        <v/>
      </c>
      <c r="AJ172">
        <f>IF(AF172&lt;1,1,0)</f>
        <v/>
      </c>
      <c r="AK172">
        <f>IF(AH172&lt;&gt;AI172,1,0)</f>
        <v/>
      </c>
      <c r="AL172">
        <f>IF(AND(AI172&gt;=3,AB172&lt;=0.2),1,0)</f>
        <v/>
      </c>
      <c r="AM172">
        <f>AVERAGE(W172:AB172)</f>
        <v/>
      </c>
      <c r="AN172">
        <f>1+COUNTIF(bounds,"&lt;"&amp;ROUND(AM172,12))</f>
        <v/>
      </c>
      <c r="AO172">
        <f>IF(AK172=1,AD172,NA())</f>
        <v/>
      </c>
      <c r="AP172">
        <f>IF(AK172=0,AD172,NA())</f>
        <v/>
      </c>
    </row>
    <row r="173">
      <c r="A173" t="n">
        <v>165</v>
      </c>
      <c r="B173" t="n">
        <v>4</v>
      </c>
      <c r="C173" t="n">
        <v>4</v>
      </c>
      <c r="D173" t="n">
        <v>5</v>
      </c>
      <c r="E173" t="n">
        <v>2</v>
      </c>
      <c r="F173" t="n">
        <v>2</v>
      </c>
      <c r="G173" t="n">
        <v>4</v>
      </c>
      <c r="H173" t="n">
        <v>1</v>
      </c>
      <c r="I173" t="n">
        <v>2</v>
      </c>
      <c r="J173" t="n">
        <v>5</v>
      </c>
      <c r="K173" t="n">
        <v>2</v>
      </c>
      <c r="L173" t="n">
        <v>1</v>
      </c>
      <c r="M173" t="n">
        <v>2</v>
      </c>
      <c r="N173" t="n">
        <v>5</v>
      </c>
      <c r="O173" t="n">
        <v>2</v>
      </c>
      <c r="P173" t="n">
        <v>5</v>
      </c>
      <c r="Q173" t="n">
        <v>4</v>
      </c>
      <c r="R173" t="n">
        <v>2</v>
      </c>
      <c r="S173" t="n">
        <v>4</v>
      </c>
      <c r="T173" t="n">
        <v>5</v>
      </c>
      <c r="U173" t="n">
        <v>5</v>
      </c>
      <c r="V173" t="n">
        <v>5</v>
      </c>
      <c r="W173">
        <f>(AVERAGE(B173:D173)-1)/4</f>
        <v/>
      </c>
      <c r="X173">
        <f>(AVERAGE(E173:G173)-1)/4</f>
        <v/>
      </c>
      <c r="Y173">
        <f>(AVERAGE(H173:J173)-1)/4</f>
        <v/>
      </c>
      <c r="Z173">
        <f>(AVERAGE(K173:M173)-1)/4</f>
        <v/>
      </c>
      <c r="AA173">
        <f>(AVERAGE(N173:P173)-1)/4</f>
        <v/>
      </c>
      <c r="AB173">
        <f>(AVERAGE(Q173:S173)-1)/4</f>
        <v/>
      </c>
      <c r="AC173">
        <f>(AVERAGE(T173:V173)-1)/4</f>
        <v/>
      </c>
      <c r="AD173">
        <f>AVERAGE(W173:AA173)</f>
        <v/>
      </c>
      <c r="AE173">
        <f>MIN(W173:AA173)</f>
        <v/>
      </c>
      <c r="AF173">
        <f>1-alpha*MAX(0,delta-AE173)</f>
        <v/>
      </c>
      <c r="AG173">
        <f>AD173*AF173</f>
        <v/>
      </c>
      <c r="AH173">
        <f>1+COUNTIF(bounds,"&lt;"&amp;ROUND(AD173,12))</f>
        <v/>
      </c>
      <c r="AI173">
        <f>1+COUNTIF(bounds,"&lt;"&amp;ROUND(AG173,12))</f>
        <v/>
      </c>
      <c r="AJ173">
        <f>IF(AF173&lt;1,1,0)</f>
        <v/>
      </c>
      <c r="AK173">
        <f>IF(AH173&lt;&gt;AI173,1,0)</f>
        <v/>
      </c>
      <c r="AL173">
        <f>IF(AND(AI173&gt;=3,AB173&lt;=0.2),1,0)</f>
        <v/>
      </c>
      <c r="AM173">
        <f>AVERAGE(W173:AB173)</f>
        <v/>
      </c>
      <c r="AN173">
        <f>1+COUNTIF(bounds,"&lt;"&amp;ROUND(AM173,12))</f>
        <v/>
      </c>
      <c r="AO173">
        <f>IF(AK173=1,AD173,NA())</f>
        <v/>
      </c>
      <c r="AP173">
        <f>IF(AK173=0,AD173,NA())</f>
        <v/>
      </c>
    </row>
    <row r="174">
      <c r="A174" t="n">
        <v>166</v>
      </c>
      <c r="B174" t="n">
        <v>4</v>
      </c>
      <c r="C174" t="n">
        <v>3</v>
      </c>
      <c r="D174" t="n">
        <v>2</v>
      </c>
      <c r="E174" t="n">
        <v>1</v>
      </c>
      <c r="F174" t="n">
        <v>1</v>
      </c>
      <c r="G174" t="n">
        <v>2</v>
      </c>
      <c r="H174" t="n">
        <v>4</v>
      </c>
      <c r="I174" t="n">
        <v>1</v>
      </c>
      <c r="J174" t="n">
        <v>2</v>
      </c>
      <c r="K174" t="n">
        <v>5</v>
      </c>
      <c r="L174" t="n">
        <v>2</v>
      </c>
      <c r="M174" t="n">
        <v>4</v>
      </c>
      <c r="N174" t="n">
        <v>2</v>
      </c>
      <c r="O174" t="n">
        <v>1</v>
      </c>
      <c r="P174" t="n">
        <v>1</v>
      </c>
      <c r="Q174" t="n">
        <v>3</v>
      </c>
      <c r="R174" t="n">
        <v>4</v>
      </c>
      <c r="S174" t="n">
        <v>4</v>
      </c>
      <c r="T174" t="n">
        <v>5</v>
      </c>
      <c r="U174" t="n">
        <v>3</v>
      </c>
      <c r="V174" t="n">
        <v>1</v>
      </c>
      <c r="W174">
        <f>(AVERAGE(B174:D174)-1)/4</f>
        <v/>
      </c>
      <c r="X174">
        <f>(AVERAGE(E174:G174)-1)/4</f>
        <v/>
      </c>
      <c r="Y174">
        <f>(AVERAGE(H174:J174)-1)/4</f>
        <v/>
      </c>
      <c r="Z174">
        <f>(AVERAGE(K174:M174)-1)/4</f>
        <v/>
      </c>
      <c r="AA174">
        <f>(AVERAGE(N174:P174)-1)/4</f>
        <v/>
      </c>
      <c r="AB174">
        <f>(AVERAGE(Q174:S174)-1)/4</f>
        <v/>
      </c>
      <c r="AC174">
        <f>(AVERAGE(T174:V174)-1)/4</f>
        <v/>
      </c>
      <c r="AD174">
        <f>AVERAGE(W174:AA174)</f>
        <v/>
      </c>
      <c r="AE174">
        <f>MIN(W174:AA174)</f>
        <v/>
      </c>
      <c r="AF174">
        <f>1-alpha*MAX(0,delta-AE174)</f>
        <v/>
      </c>
      <c r="AG174">
        <f>AD174*AF174</f>
        <v/>
      </c>
      <c r="AH174">
        <f>1+COUNTIF(bounds,"&lt;"&amp;ROUND(AD174,12))</f>
        <v/>
      </c>
      <c r="AI174">
        <f>1+COUNTIF(bounds,"&lt;"&amp;ROUND(AG174,12))</f>
        <v/>
      </c>
      <c r="AJ174">
        <f>IF(AF174&lt;1,1,0)</f>
        <v/>
      </c>
      <c r="AK174">
        <f>IF(AH174&lt;&gt;AI174,1,0)</f>
        <v/>
      </c>
      <c r="AL174">
        <f>IF(AND(AI174&gt;=3,AB174&lt;=0.2),1,0)</f>
        <v/>
      </c>
      <c r="AM174">
        <f>AVERAGE(W174:AB174)</f>
        <v/>
      </c>
      <c r="AN174">
        <f>1+COUNTIF(bounds,"&lt;"&amp;ROUND(AM174,12))</f>
        <v/>
      </c>
      <c r="AO174">
        <f>IF(AK174=1,AD174,NA())</f>
        <v/>
      </c>
      <c r="AP174">
        <f>IF(AK174=0,AD174,NA())</f>
        <v/>
      </c>
    </row>
    <row r="175">
      <c r="A175" t="n">
        <v>167</v>
      </c>
      <c r="B175" t="n">
        <v>1</v>
      </c>
      <c r="C175" t="n">
        <v>1</v>
      </c>
      <c r="D175" t="n">
        <v>5</v>
      </c>
      <c r="E175" t="n">
        <v>4</v>
      </c>
      <c r="F175" t="n">
        <v>5</v>
      </c>
      <c r="G175" t="n">
        <v>4</v>
      </c>
      <c r="H175" t="n">
        <v>3</v>
      </c>
      <c r="I175" t="n">
        <v>2</v>
      </c>
      <c r="J175" t="n">
        <v>4</v>
      </c>
      <c r="K175" t="n">
        <v>2</v>
      </c>
      <c r="L175" t="n">
        <v>1</v>
      </c>
      <c r="M175" t="n">
        <v>1</v>
      </c>
      <c r="N175" t="n">
        <v>4</v>
      </c>
      <c r="O175" t="n">
        <v>4</v>
      </c>
      <c r="P175" t="n">
        <v>2</v>
      </c>
      <c r="Q175" t="n">
        <v>4</v>
      </c>
      <c r="R175" t="n">
        <v>4</v>
      </c>
      <c r="S175" t="n">
        <v>4</v>
      </c>
      <c r="T175" t="n">
        <v>4</v>
      </c>
      <c r="U175" t="n">
        <v>4</v>
      </c>
      <c r="V175" t="n">
        <v>3</v>
      </c>
      <c r="W175">
        <f>(AVERAGE(B175:D175)-1)/4</f>
        <v/>
      </c>
      <c r="X175">
        <f>(AVERAGE(E175:G175)-1)/4</f>
        <v/>
      </c>
      <c r="Y175">
        <f>(AVERAGE(H175:J175)-1)/4</f>
        <v/>
      </c>
      <c r="Z175">
        <f>(AVERAGE(K175:M175)-1)/4</f>
        <v/>
      </c>
      <c r="AA175">
        <f>(AVERAGE(N175:P175)-1)/4</f>
        <v/>
      </c>
      <c r="AB175">
        <f>(AVERAGE(Q175:S175)-1)/4</f>
        <v/>
      </c>
      <c r="AC175">
        <f>(AVERAGE(T175:V175)-1)/4</f>
        <v/>
      </c>
      <c r="AD175">
        <f>AVERAGE(W175:AA175)</f>
        <v/>
      </c>
      <c r="AE175">
        <f>MIN(W175:AA175)</f>
        <v/>
      </c>
      <c r="AF175">
        <f>1-alpha*MAX(0,delta-AE175)</f>
        <v/>
      </c>
      <c r="AG175">
        <f>AD175*AF175</f>
        <v/>
      </c>
      <c r="AH175">
        <f>1+COUNTIF(bounds,"&lt;"&amp;ROUND(AD175,12))</f>
        <v/>
      </c>
      <c r="AI175">
        <f>1+COUNTIF(bounds,"&lt;"&amp;ROUND(AG175,12))</f>
        <v/>
      </c>
      <c r="AJ175">
        <f>IF(AF175&lt;1,1,0)</f>
        <v/>
      </c>
      <c r="AK175">
        <f>IF(AH175&lt;&gt;AI175,1,0)</f>
        <v/>
      </c>
      <c r="AL175">
        <f>IF(AND(AI175&gt;=3,AB175&lt;=0.2),1,0)</f>
        <v/>
      </c>
      <c r="AM175">
        <f>AVERAGE(W175:AB175)</f>
        <v/>
      </c>
      <c r="AN175">
        <f>1+COUNTIF(bounds,"&lt;"&amp;ROUND(AM175,12))</f>
        <v/>
      </c>
      <c r="AO175">
        <f>IF(AK175=1,AD175,NA())</f>
        <v/>
      </c>
      <c r="AP175">
        <f>IF(AK175=0,AD175,NA())</f>
        <v/>
      </c>
    </row>
    <row r="176">
      <c r="A176" t="n">
        <v>168</v>
      </c>
      <c r="B176" t="n">
        <v>2</v>
      </c>
      <c r="C176" t="n">
        <v>5</v>
      </c>
      <c r="D176" t="n">
        <v>2</v>
      </c>
      <c r="E176" t="n">
        <v>4</v>
      </c>
      <c r="F176" t="n">
        <v>5</v>
      </c>
      <c r="G176" t="n">
        <v>4</v>
      </c>
      <c r="H176" t="n">
        <v>1</v>
      </c>
      <c r="I176" t="n">
        <v>4</v>
      </c>
      <c r="J176" t="n">
        <v>1</v>
      </c>
      <c r="K176" t="n">
        <v>1</v>
      </c>
      <c r="L176" t="n">
        <v>1</v>
      </c>
      <c r="M176" t="n">
        <v>4</v>
      </c>
      <c r="N176" t="n">
        <v>4</v>
      </c>
      <c r="O176" t="n">
        <v>4</v>
      </c>
      <c r="P176" t="n">
        <v>1</v>
      </c>
      <c r="Q176" t="n">
        <v>5</v>
      </c>
      <c r="R176" t="n">
        <v>1</v>
      </c>
      <c r="S176" t="n">
        <v>5</v>
      </c>
      <c r="T176" t="n">
        <v>2</v>
      </c>
      <c r="U176" t="n">
        <v>2</v>
      </c>
      <c r="V176" t="n">
        <v>3</v>
      </c>
      <c r="W176">
        <f>(AVERAGE(B176:D176)-1)/4</f>
        <v/>
      </c>
      <c r="X176">
        <f>(AVERAGE(E176:G176)-1)/4</f>
        <v/>
      </c>
      <c r="Y176">
        <f>(AVERAGE(H176:J176)-1)/4</f>
        <v/>
      </c>
      <c r="Z176">
        <f>(AVERAGE(K176:M176)-1)/4</f>
        <v/>
      </c>
      <c r="AA176">
        <f>(AVERAGE(N176:P176)-1)/4</f>
        <v/>
      </c>
      <c r="AB176">
        <f>(AVERAGE(Q176:S176)-1)/4</f>
        <v/>
      </c>
      <c r="AC176">
        <f>(AVERAGE(T176:V176)-1)/4</f>
        <v/>
      </c>
      <c r="AD176">
        <f>AVERAGE(W176:AA176)</f>
        <v/>
      </c>
      <c r="AE176">
        <f>MIN(W176:AA176)</f>
        <v/>
      </c>
      <c r="AF176">
        <f>1-alpha*MAX(0,delta-AE176)</f>
        <v/>
      </c>
      <c r="AG176">
        <f>AD176*AF176</f>
        <v/>
      </c>
      <c r="AH176">
        <f>1+COUNTIF(bounds,"&lt;"&amp;ROUND(AD176,12))</f>
        <v/>
      </c>
      <c r="AI176">
        <f>1+COUNTIF(bounds,"&lt;"&amp;ROUND(AG176,12))</f>
        <v/>
      </c>
      <c r="AJ176">
        <f>IF(AF176&lt;1,1,0)</f>
        <v/>
      </c>
      <c r="AK176">
        <f>IF(AH176&lt;&gt;AI176,1,0)</f>
        <v/>
      </c>
      <c r="AL176">
        <f>IF(AND(AI176&gt;=3,AB176&lt;=0.2),1,0)</f>
        <v/>
      </c>
      <c r="AM176">
        <f>AVERAGE(W176:AB176)</f>
        <v/>
      </c>
      <c r="AN176">
        <f>1+COUNTIF(bounds,"&lt;"&amp;ROUND(AM176,12))</f>
        <v/>
      </c>
      <c r="AO176">
        <f>IF(AK176=1,AD176,NA())</f>
        <v/>
      </c>
      <c r="AP176">
        <f>IF(AK176=0,AD176,NA())</f>
        <v/>
      </c>
    </row>
    <row r="177">
      <c r="A177" t="n">
        <v>169</v>
      </c>
      <c r="B177" t="n">
        <v>1</v>
      </c>
      <c r="C177" t="n">
        <v>2</v>
      </c>
      <c r="D177" t="n">
        <v>2</v>
      </c>
      <c r="E177" t="n">
        <v>4</v>
      </c>
      <c r="F177" t="n">
        <v>2</v>
      </c>
      <c r="G177" t="n">
        <v>3</v>
      </c>
      <c r="H177" t="n">
        <v>5</v>
      </c>
      <c r="I177" t="n">
        <v>2</v>
      </c>
      <c r="J177" t="n">
        <v>5</v>
      </c>
      <c r="K177" t="n">
        <v>3</v>
      </c>
      <c r="L177" t="n">
        <v>3</v>
      </c>
      <c r="M177" t="n">
        <v>3</v>
      </c>
      <c r="N177" t="n">
        <v>4</v>
      </c>
      <c r="O177" t="n">
        <v>1</v>
      </c>
      <c r="P177" t="n">
        <v>3</v>
      </c>
      <c r="Q177" t="n">
        <v>4</v>
      </c>
      <c r="R177" t="n">
        <v>1</v>
      </c>
      <c r="S177" t="n">
        <v>3</v>
      </c>
      <c r="T177" t="n">
        <v>1</v>
      </c>
      <c r="U177" t="n">
        <v>2</v>
      </c>
      <c r="V177" t="n">
        <v>4</v>
      </c>
      <c r="W177">
        <f>(AVERAGE(B177:D177)-1)/4</f>
        <v/>
      </c>
      <c r="X177">
        <f>(AVERAGE(E177:G177)-1)/4</f>
        <v/>
      </c>
      <c r="Y177">
        <f>(AVERAGE(H177:J177)-1)/4</f>
        <v/>
      </c>
      <c r="Z177">
        <f>(AVERAGE(K177:M177)-1)/4</f>
        <v/>
      </c>
      <c r="AA177">
        <f>(AVERAGE(N177:P177)-1)/4</f>
        <v/>
      </c>
      <c r="AB177">
        <f>(AVERAGE(Q177:S177)-1)/4</f>
        <v/>
      </c>
      <c r="AC177">
        <f>(AVERAGE(T177:V177)-1)/4</f>
        <v/>
      </c>
      <c r="AD177">
        <f>AVERAGE(W177:AA177)</f>
        <v/>
      </c>
      <c r="AE177">
        <f>MIN(W177:AA177)</f>
        <v/>
      </c>
      <c r="AF177">
        <f>1-alpha*MAX(0,delta-AE177)</f>
        <v/>
      </c>
      <c r="AG177">
        <f>AD177*AF177</f>
        <v/>
      </c>
      <c r="AH177">
        <f>1+COUNTIF(bounds,"&lt;"&amp;ROUND(AD177,12))</f>
        <v/>
      </c>
      <c r="AI177">
        <f>1+COUNTIF(bounds,"&lt;"&amp;ROUND(AG177,12))</f>
        <v/>
      </c>
      <c r="AJ177">
        <f>IF(AF177&lt;1,1,0)</f>
        <v/>
      </c>
      <c r="AK177">
        <f>IF(AH177&lt;&gt;AI177,1,0)</f>
        <v/>
      </c>
      <c r="AL177">
        <f>IF(AND(AI177&gt;=3,AB177&lt;=0.2),1,0)</f>
        <v/>
      </c>
      <c r="AM177">
        <f>AVERAGE(W177:AB177)</f>
        <v/>
      </c>
      <c r="AN177">
        <f>1+COUNTIF(bounds,"&lt;"&amp;ROUND(AM177,12))</f>
        <v/>
      </c>
      <c r="AO177">
        <f>IF(AK177=1,AD177,NA())</f>
        <v/>
      </c>
      <c r="AP177">
        <f>IF(AK177=0,AD177,NA())</f>
        <v/>
      </c>
    </row>
    <row r="178">
      <c r="A178" t="n">
        <v>170</v>
      </c>
      <c r="B178" t="n">
        <v>1</v>
      </c>
      <c r="C178" t="n">
        <v>3</v>
      </c>
      <c r="D178" t="n">
        <v>4</v>
      </c>
      <c r="E178" t="n">
        <v>4</v>
      </c>
      <c r="F178" t="n">
        <v>5</v>
      </c>
      <c r="G178" t="n">
        <v>1</v>
      </c>
      <c r="H178" t="n">
        <v>4</v>
      </c>
      <c r="I178" t="n">
        <v>3</v>
      </c>
      <c r="J178" t="n">
        <v>1</v>
      </c>
      <c r="K178" t="n">
        <v>5</v>
      </c>
      <c r="L178" t="n">
        <v>4</v>
      </c>
      <c r="M178" t="n">
        <v>2</v>
      </c>
      <c r="N178" t="n">
        <v>1</v>
      </c>
      <c r="O178" t="n">
        <v>5</v>
      </c>
      <c r="P178" t="n">
        <v>2</v>
      </c>
      <c r="Q178" t="n">
        <v>3</v>
      </c>
      <c r="R178" t="n">
        <v>5</v>
      </c>
      <c r="S178" t="n">
        <v>4</v>
      </c>
      <c r="T178" t="n">
        <v>4</v>
      </c>
      <c r="U178" t="n">
        <v>2</v>
      </c>
      <c r="V178" t="n">
        <v>3</v>
      </c>
      <c r="W178">
        <f>(AVERAGE(B178:D178)-1)/4</f>
        <v/>
      </c>
      <c r="X178">
        <f>(AVERAGE(E178:G178)-1)/4</f>
        <v/>
      </c>
      <c r="Y178">
        <f>(AVERAGE(H178:J178)-1)/4</f>
        <v/>
      </c>
      <c r="Z178">
        <f>(AVERAGE(K178:M178)-1)/4</f>
        <v/>
      </c>
      <c r="AA178">
        <f>(AVERAGE(N178:P178)-1)/4</f>
        <v/>
      </c>
      <c r="AB178">
        <f>(AVERAGE(Q178:S178)-1)/4</f>
        <v/>
      </c>
      <c r="AC178">
        <f>(AVERAGE(T178:V178)-1)/4</f>
        <v/>
      </c>
      <c r="AD178">
        <f>AVERAGE(W178:AA178)</f>
        <v/>
      </c>
      <c r="AE178">
        <f>MIN(W178:AA178)</f>
        <v/>
      </c>
      <c r="AF178">
        <f>1-alpha*MAX(0,delta-AE178)</f>
        <v/>
      </c>
      <c r="AG178">
        <f>AD178*AF178</f>
        <v/>
      </c>
      <c r="AH178">
        <f>1+COUNTIF(bounds,"&lt;"&amp;ROUND(AD178,12))</f>
        <v/>
      </c>
      <c r="AI178">
        <f>1+COUNTIF(bounds,"&lt;"&amp;ROUND(AG178,12))</f>
        <v/>
      </c>
      <c r="AJ178">
        <f>IF(AF178&lt;1,1,0)</f>
        <v/>
      </c>
      <c r="AK178">
        <f>IF(AH178&lt;&gt;AI178,1,0)</f>
        <v/>
      </c>
      <c r="AL178">
        <f>IF(AND(AI178&gt;=3,AB178&lt;=0.2),1,0)</f>
        <v/>
      </c>
      <c r="AM178">
        <f>AVERAGE(W178:AB178)</f>
        <v/>
      </c>
      <c r="AN178">
        <f>1+COUNTIF(bounds,"&lt;"&amp;ROUND(AM178,12))</f>
        <v/>
      </c>
      <c r="AO178">
        <f>IF(AK178=1,AD178,NA())</f>
        <v/>
      </c>
      <c r="AP178">
        <f>IF(AK178=0,AD178,NA())</f>
        <v/>
      </c>
    </row>
    <row r="179">
      <c r="A179" t="n">
        <v>171</v>
      </c>
      <c r="B179" t="n">
        <v>3</v>
      </c>
      <c r="C179" t="n">
        <v>3</v>
      </c>
      <c r="D179" t="n">
        <v>5</v>
      </c>
      <c r="E179" t="n">
        <v>2</v>
      </c>
      <c r="F179" t="n">
        <v>5</v>
      </c>
      <c r="G179" t="n">
        <v>2</v>
      </c>
      <c r="H179" t="n">
        <v>1</v>
      </c>
      <c r="I179" t="n">
        <v>4</v>
      </c>
      <c r="J179" t="n">
        <v>4</v>
      </c>
      <c r="K179" t="n">
        <v>4</v>
      </c>
      <c r="L179" t="n">
        <v>1</v>
      </c>
      <c r="M179" t="n">
        <v>3</v>
      </c>
      <c r="N179" t="n">
        <v>5</v>
      </c>
      <c r="O179" t="n">
        <v>1</v>
      </c>
      <c r="P179" t="n">
        <v>5</v>
      </c>
      <c r="Q179" t="n">
        <v>5</v>
      </c>
      <c r="R179" t="n">
        <v>2</v>
      </c>
      <c r="S179" t="n">
        <v>3</v>
      </c>
      <c r="T179" t="n">
        <v>2</v>
      </c>
      <c r="U179" t="n">
        <v>5</v>
      </c>
      <c r="V179" t="n">
        <v>4</v>
      </c>
      <c r="W179">
        <f>(AVERAGE(B179:D179)-1)/4</f>
        <v/>
      </c>
      <c r="X179">
        <f>(AVERAGE(E179:G179)-1)/4</f>
        <v/>
      </c>
      <c r="Y179">
        <f>(AVERAGE(H179:J179)-1)/4</f>
        <v/>
      </c>
      <c r="Z179">
        <f>(AVERAGE(K179:M179)-1)/4</f>
        <v/>
      </c>
      <c r="AA179">
        <f>(AVERAGE(N179:P179)-1)/4</f>
        <v/>
      </c>
      <c r="AB179">
        <f>(AVERAGE(Q179:S179)-1)/4</f>
        <v/>
      </c>
      <c r="AC179">
        <f>(AVERAGE(T179:V179)-1)/4</f>
        <v/>
      </c>
      <c r="AD179">
        <f>AVERAGE(W179:AA179)</f>
        <v/>
      </c>
      <c r="AE179">
        <f>MIN(W179:AA179)</f>
        <v/>
      </c>
      <c r="AF179">
        <f>1-alpha*MAX(0,delta-AE179)</f>
        <v/>
      </c>
      <c r="AG179">
        <f>AD179*AF179</f>
        <v/>
      </c>
      <c r="AH179">
        <f>1+COUNTIF(bounds,"&lt;"&amp;ROUND(AD179,12))</f>
        <v/>
      </c>
      <c r="AI179">
        <f>1+COUNTIF(bounds,"&lt;"&amp;ROUND(AG179,12))</f>
        <v/>
      </c>
      <c r="AJ179">
        <f>IF(AF179&lt;1,1,0)</f>
        <v/>
      </c>
      <c r="AK179">
        <f>IF(AH179&lt;&gt;AI179,1,0)</f>
        <v/>
      </c>
      <c r="AL179">
        <f>IF(AND(AI179&gt;=3,AB179&lt;=0.2),1,0)</f>
        <v/>
      </c>
      <c r="AM179">
        <f>AVERAGE(W179:AB179)</f>
        <v/>
      </c>
      <c r="AN179">
        <f>1+COUNTIF(bounds,"&lt;"&amp;ROUND(AM179,12))</f>
        <v/>
      </c>
      <c r="AO179">
        <f>IF(AK179=1,AD179,NA())</f>
        <v/>
      </c>
      <c r="AP179">
        <f>IF(AK179=0,AD179,NA())</f>
        <v/>
      </c>
    </row>
    <row r="180">
      <c r="A180" t="n">
        <v>172</v>
      </c>
      <c r="B180" t="n">
        <v>2</v>
      </c>
      <c r="C180" t="n">
        <v>3</v>
      </c>
      <c r="D180" t="n">
        <v>5</v>
      </c>
      <c r="E180" t="n">
        <v>5</v>
      </c>
      <c r="F180" t="n">
        <v>5</v>
      </c>
      <c r="G180" t="n">
        <v>4</v>
      </c>
      <c r="H180" t="n">
        <v>3</v>
      </c>
      <c r="I180" t="n">
        <v>4</v>
      </c>
      <c r="J180" t="n">
        <v>3</v>
      </c>
      <c r="K180" t="n">
        <v>1</v>
      </c>
      <c r="L180" t="n">
        <v>5</v>
      </c>
      <c r="M180" t="n">
        <v>5</v>
      </c>
      <c r="N180" t="n">
        <v>4</v>
      </c>
      <c r="O180" t="n">
        <v>3</v>
      </c>
      <c r="P180" t="n">
        <v>5</v>
      </c>
      <c r="Q180" t="n">
        <v>4</v>
      </c>
      <c r="R180" t="n">
        <v>3</v>
      </c>
      <c r="S180" t="n">
        <v>4</v>
      </c>
      <c r="T180" t="n">
        <v>3</v>
      </c>
      <c r="U180" t="n">
        <v>3</v>
      </c>
      <c r="V180" t="n">
        <v>5</v>
      </c>
      <c r="W180">
        <f>(AVERAGE(B180:D180)-1)/4</f>
        <v/>
      </c>
      <c r="X180">
        <f>(AVERAGE(E180:G180)-1)/4</f>
        <v/>
      </c>
      <c r="Y180">
        <f>(AVERAGE(H180:J180)-1)/4</f>
        <v/>
      </c>
      <c r="Z180">
        <f>(AVERAGE(K180:M180)-1)/4</f>
        <v/>
      </c>
      <c r="AA180">
        <f>(AVERAGE(N180:P180)-1)/4</f>
        <v/>
      </c>
      <c r="AB180">
        <f>(AVERAGE(Q180:S180)-1)/4</f>
        <v/>
      </c>
      <c r="AC180">
        <f>(AVERAGE(T180:V180)-1)/4</f>
        <v/>
      </c>
      <c r="AD180">
        <f>AVERAGE(W180:AA180)</f>
        <v/>
      </c>
      <c r="AE180">
        <f>MIN(W180:AA180)</f>
        <v/>
      </c>
      <c r="AF180">
        <f>1-alpha*MAX(0,delta-AE180)</f>
        <v/>
      </c>
      <c r="AG180">
        <f>AD180*AF180</f>
        <v/>
      </c>
      <c r="AH180">
        <f>1+COUNTIF(bounds,"&lt;"&amp;ROUND(AD180,12))</f>
        <v/>
      </c>
      <c r="AI180">
        <f>1+COUNTIF(bounds,"&lt;"&amp;ROUND(AG180,12))</f>
        <v/>
      </c>
      <c r="AJ180">
        <f>IF(AF180&lt;1,1,0)</f>
        <v/>
      </c>
      <c r="AK180">
        <f>IF(AH180&lt;&gt;AI180,1,0)</f>
        <v/>
      </c>
      <c r="AL180">
        <f>IF(AND(AI180&gt;=3,AB180&lt;=0.2),1,0)</f>
        <v/>
      </c>
      <c r="AM180">
        <f>AVERAGE(W180:AB180)</f>
        <v/>
      </c>
      <c r="AN180">
        <f>1+COUNTIF(bounds,"&lt;"&amp;ROUND(AM180,12))</f>
        <v/>
      </c>
      <c r="AO180">
        <f>IF(AK180=1,AD180,NA())</f>
        <v/>
      </c>
      <c r="AP180">
        <f>IF(AK180=0,AD180,NA())</f>
        <v/>
      </c>
    </row>
    <row r="181">
      <c r="A181" t="n">
        <v>173</v>
      </c>
      <c r="B181" t="n">
        <v>3</v>
      </c>
      <c r="C181" t="n">
        <v>3</v>
      </c>
      <c r="D181" t="n">
        <v>3</v>
      </c>
      <c r="E181" t="n">
        <v>1</v>
      </c>
      <c r="F181" t="n">
        <v>1</v>
      </c>
      <c r="G181" t="n">
        <v>1</v>
      </c>
      <c r="H181" t="n">
        <v>4</v>
      </c>
      <c r="I181" t="n">
        <v>5</v>
      </c>
      <c r="J181" t="n">
        <v>2</v>
      </c>
      <c r="K181" t="n">
        <v>3</v>
      </c>
      <c r="L181" t="n">
        <v>2</v>
      </c>
      <c r="M181" t="n">
        <v>1</v>
      </c>
      <c r="N181" t="n">
        <v>3</v>
      </c>
      <c r="O181" t="n">
        <v>2</v>
      </c>
      <c r="P181" t="n">
        <v>2</v>
      </c>
      <c r="Q181" t="n">
        <v>1</v>
      </c>
      <c r="R181" t="n">
        <v>2</v>
      </c>
      <c r="S181" t="n">
        <v>3</v>
      </c>
      <c r="T181" t="n">
        <v>5</v>
      </c>
      <c r="U181" t="n">
        <v>1</v>
      </c>
      <c r="V181" t="n">
        <v>1</v>
      </c>
      <c r="W181">
        <f>(AVERAGE(B181:D181)-1)/4</f>
        <v/>
      </c>
      <c r="X181">
        <f>(AVERAGE(E181:G181)-1)/4</f>
        <v/>
      </c>
      <c r="Y181">
        <f>(AVERAGE(H181:J181)-1)/4</f>
        <v/>
      </c>
      <c r="Z181">
        <f>(AVERAGE(K181:M181)-1)/4</f>
        <v/>
      </c>
      <c r="AA181">
        <f>(AVERAGE(N181:P181)-1)/4</f>
        <v/>
      </c>
      <c r="AB181">
        <f>(AVERAGE(Q181:S181)-1)/4</f>
        <v/>
      </c>
      <c r="AC181">
        <f>(AVERAGE(T181:V181)-1)/4</f>
        <v/>
      </c>
      <c r="AD181">
        <f>AVERAGE(W181:AA181)</f>
        <v/>
      </c>
      <c r="AE181">
        <f>MIN(W181:AA181)</f>
        <v/>
      </c>
      <c r="AF181">
        <f>1-alpha*MAX(0,delta-AE181)</f>
        <v/>
      </c>
      <c r="AG181">
        <f>AD181*AF181</f>
        <v/>
      </c>
      <c r="AH181">
        <f>1+COUNTIF(bounds,"&lt;"&amp;ROUND(AD181,12))</f>
        <v/>
      </c>
      <c r="AI181">
        <f>1+COUNTIF(bounds,"&lt;"&amp;ROUND(AG181,12))</f>
        <v/>
      </c>
      <c r="AJ181">
        <f>IF(AF181&lt;1,1,0)</f>
        <v/>
      </c>
      <c r="AK181">
        <f>IF(AH181&lt;&gt;AI181,1,0)</f>
        <v/>
      </c>
      <c r="AL181">
        <f>IF(AND(AI181&gt;=3,AB181&lt;=0.2),1,0)</f>
        <v/>
      </c>
      <c r="AM181">
        <f>AVERAGE(W181:AB181)</f>
        <v/>
      </c>
      <c r="AN181">
        <f>1+COUNTIF(bounds,"&lt;"&amp;ROUND(AM181,12))</f>
        <v/>
      </c>
      <c r="AO181">
        <f>IF(AK181=1,AD181,NA())</f>
        <v/>
      </c>
      <c r="AP181">
        <f>IF(AK181=0,AD181,NA())</f>
        <v/>
      </c>
    </row>
    <row r="182">
      <c r="A182" t="n">
        <v>174</v>
      </c>
      <c r="B182" t="n">
        <v>1</v>
      </c>
      <c r="C182" t="n">
        <v>4</v>
      </c>
      <c r="D182" t="n">
        <v>5</v>
      </c>
      <c r="E182" t="n">
        <v>3</v>
      </c>
      <c r="F182" t="n">
        <v>5</v>
      </c>
      <c r="G182" t="n">
        <v>3</v>
      </c>
      <c r="H182" t="n">
        <v>5</v>
      </c>
      <c r="I182" t="n">
        <v>3</v>
      </c>
      <c r="J182" t="n">
        <v>3</v>
      </c>
      <c r="K182" t="n">
        <v>1</v>
      </c>
      <c r="L182" t="n">
        <v>1</v>
      </c>
      <c r="M182" t="n">
        <v>2</v>
      </c>
      <c r="N182" t="n">
        <v>2</v>
      </c>
      <c r="O182" t="n">
        <v>1</v>
      </c>
      <c r="P182" t="n">
        <v>2</v>
      </c>
      <c r="Q182" t="n">
        <v>2</v>
      </c>
      <c r="R182" t="n">
        <v>1</v>
      </c>
      <c r="S182" t="n">
        <v>4</v>
      </c>
      <c r="T182" t="n">
        <v>1</v>
      </c>
      <c r="U182" t="n">
        <v>5</v>
      </c>
      <c r="V182" t="n">
        <v>3</v>
      </c>
      <c r="W182">
        <f>(AVERAGE(B182:D182)-1)/4</f>
        <v/>
      </c>
      <c r="X182">
        <f>(AVERAGE(E182:G182)-1)/4</f>
        <v/>
      </c>
      <c r="Y182">
        <f>(AVERAGE(H182:J182)-1)/4</f>
        <v/>
      </c>
      <c r="Z182">
        <f>(AVERAGE(K182:M182)-1)/4</f>
        <v/>
      </c>
      <c r="AA182">
        <f>(AVERAGE(N182:P182)-1)/4</f>
        <v/>
      </c>
      <c r="AB182">
        <f>(AVERAGE(Q182:S182)-1)/4</f>
        <v/>
      </c>
      <c r="AC182">
        <f>(AVERAGE(T182:V182)-1)/4</f>
        <v/>
      </c>
      <c r="AD182">
        <f>AVERAGE(W182:AA182)</f>
        <v/>
      </c>
      <c r="AE182">
        <f>MIN(W182:AA182)</f>
        <v/>
      </c>
      <c r="AF182">
        <f>1-alpha*MAX(0,delta-AE182)</f>
        <v/>
      </c>
      <c r="AG182">
        <f>AD182*AF182</f>
        <v/>
      </c>
      <c r="AH182">
        <f>1+COUNTIF(bounds,"&lt;"&amp;ROUND(AD182,12))</f>
        <v/>
      </c>
      <c r="AI182">
        <f>1+COUNTIF(bounds,"&lt;"&amp;ROUND(AG182,12))</f>
        <v/>
      </c>
      <c r="AJ182">
        <f>IF(AF182&lt;1,1,0)</f>
        <v/>
      </c>
      <c r="AK182">
        <f>IF(AH182&lt;&gt;AI182,1,0)</f>
        <v/>
      </c>
      <c r="AL182">
        <f>IF(AND(AI182&gt;=3,AB182&lt;=0.2),1,0)</f>
        <v/>
      </c>
      <c r="AM182">
        <f>AVERAGE(W182:AB182)</f>
        <v/>
      </c>
      <c r="AN182">
        <f>1+COUNTIF(bounds,"&lt;"&amp;ROUND(AM182,12))</f>
        <v/>
      </c>
      <c r="AO182">
        <f>IF(AK182=1,AD182,NA())</f>
        <v/>
      </c>
      <c r="AP182">
        <f>IF(AK182=0,AD182,NA())</f>
        <v/>
      </c>
    </row>
    <row r="183">
      <c r="A183" t="n">
        <v>175</v>
      </c>
      <c r="B183" t="n">
        <v>5</v>
      </c>
      <c r="C183" t="n">
        <v>3</v>
      </c>
      <c r="D183" t="n">
        <v>2</v>
      </c>
      <c r="E183" t="n">
        <v>4</v>
      </c>
      <c r="F183" t="n">
        <v>1</v>
      </c>
      <c r="G183" t="n">
        <v>2</v>
      </c>
      <c r="H183" t="n">
        <v>5</v>
      </c>
      <c r="I183" t="n">
        <v>1</v>
      </c>
      <c r="J183" t="n">
        <v>3</v>
      </c>
      <c r="K183" t="n">
        <v>5</v>
      </c>
      <c r="L183" t="n">
        <v>4</v>
      </c>
      <c r="M183" t="n">
        <v>5</v>
      </c>
      <c r="N183" t="n">
        <v>4</v>
      </c>
      <c r="O183" t="n">
        <v>4</v>
      </c>
      <c r="P183" t="n">
        <v>1</v>
      </c>
      <c r="Q183" t="n">
        <v>5</v>
      </c>
      <c r="R183" t="n">
        <v>3</v>
      </c>
      <c r="S183" t="n">
        <v>2</v>
      </c>
      <c r="T183" t="n">
        <v>4</v>
      </c>
      <c r="U183" t="n">
        <v>1</v>
      </c>
      <c r="V183" t="n">
        <v>2</v>
      </c>
      <c r="W183">
        <f>(AVERAGE(B183:D183)-1)/4</f>
        <v/>
      </c>
      <c r="X183">
        <f>(AVERAGE(E183:G183)-1)/4</f>
        <v/>
      </c>
      <c r="Y183">
        <f>(AVERAGE(H183:J183)-1)/4</f>
        <v/>
      </c>
      <c r="Z183">
        <f>(AVERAGE(K183:M183)-1)/4</f>
        <v/>
      </c>
      <c r="AA183">
        <f>(AVERAGE(N183:P183)-1)/4</f>
        <v/>
      </c>
      <c r="AB183">
        <f>(AVERAGE(Q183:S183)-1)/4</f>
        <v/>
      </c>
      <c r="AC183">
        <f>(AVERAGE(T183:V183)-1)/4</f>
        <v/>
      </c>
      <c r="AD183">
        <f>AVERAGE(W183:AA183)</f>
        <v/>
      </c>
      <c r="AE183">
        <f>MIN(W183:AA183)</f>
        <v/>
      </c>
      <c r="AF183">
        <f>1-alpha*MAX(0,delta-AE183)</f>
        <v/>
      </c>
      <c r="AG183">
        <f>AD183*AF183</f>
        <v/>
      </c>
      <c r="AH183">
        <f>1+COUNTIF(bounds,"&lt;"&amp;ROUND(AD183,12))</f>
        <v/>
      </c>
      <c r="AI183">
        <f>1+COUNTIF(bounds,"&lt;"&amp;ROUND(AG183,12))</f>
        <v/>
      </c>
      <c r="AJ183">
        <f>IF(AF183&lt;1,1,0)</f>
        <v/>
      </c>
      <c r="AK183">
        <f>IF(AH183&lt;&gt;AI183,1,0)</f>
        <v/>
      </c>
      <c r="AL183">
        <f>IF(AND(AI183&gt;=3,AB183&lt;=0.2),1,0)</f>
        <v/>
      </c>
      <c r="AM183">
        <f>AVERAGE(W183:AB183)</f>
        <v/>
      </c>
      <c r="AN183">
        <f>1+COUNTIF(bounds,"&lt;"&amp;ROUND(AM183,12))</f>
        <v/>
      </c>
      <c r="AO183">
        <f>IF(AK183=1,AD183,NA())</f>
        <v/>
      </c>
      <c r="AP183">
        <f>IF(AK183=0,AD183,NA())</f>
        <v/>
      </c>
    </row>
    <row r="184">
      <c r="A184" t="n">
        <v>176</v>
      </c>
      <c r="B184" t="n">
        <v>4</v>
      </c>
      <c r="C184" t="n">
        <v>5</v>
      </c>
      <c r="D184" t="n">
        <v>5</v>
      </c>
      <c r="E184" t="n">
        <v>3</v>
      </c>
      <c r="F184" t="n">
        <v>1</v>
      </c>
      <c r="G184" t="n">
        <v>1</v>
      </c>
      <c r="H184" t="n">
        <v>2</v>
      </c>
      <c r="I184" t="n">
        <v>2</v>
      </c>
      <c r="J184" t="n">
        <v>3</v>
      </c>
      <c r="K184" t="n">
        <v>2</v>
      </c>
      <c r="L184" t="n">
        <v>2</v>
      </c>
      <c r="M184" t="n">
        <v>2</v>
      </c>
      <c r="N184" t="n">
        <v>4</v>
      </c>
      <c r="O184" t="n">
        <v>1</v>
      </c>
      <c r="P184" t="n">
        <v>4</v>
      </c>
      <c r="Q184" t="n">
        <v>2</v>
      </c>
      <c r="R184" t="n">
        <v>1</v>
      </c>
      <c r="S184" t="n">
        <v>3</v>
      </c>
      <c r="T184" t="n">
        <v>3</v>
      </c>
      <c r="U184" t="n">
        <v>5</v>
      </c>
      <c r="V184" t="n">
        <v>1</v>
      </c>
      <c r="W184">
        <f>(AVERAGE(B184:D184)-1)/4</f>
        <v/>
      </c>
      <c r="X184">
        <f>(AVERAGE(E184:G184)-1)/4</f>
        <v/>
      </c>
      <c r="Y184">
        <f>(AVERAGE(H184:J184)-1)/4</f>
        <v/>
      </c>
      <c r="Z184">
        <f>(AVERAGE(K184:M184)-1)/4</f>
        <v/>
      </c>
      <c r="AA184">
        <f>(AVERAGE(N184:P184)-1)/4</f>
        <v/>
      </c>
      <c r="AB184">
        <f>(AVERAGE(Q184:S184)-1)/4</f>
        <v/>
      </c>
      <c r="AC184">
        <f>(AVERAGE(T184:V184)-1)/4</f>
        <v/>
      </c>
      <c r="AD184">
        <f>AVERAGE(W184:AA184)</f>
        <v/>
      </c>
      <c r="AE184">
        <f>MIN(W184:AA184)</f>
        <v/>
      </c>
      <c r="AF184">
        <f>1-alpha*MAX(0,delta-AE184)</f>
        <v/>
      </c>
      <c r="AG184">
        <f>AD184*AF184</f>
        <v/>
      </c>
      <c r="AH184">
        <f>1+COUNTIF(bounds,"&lt;"&amp;ROUND(AD184,12))</f>
        <v/>
      </c>
      <c r="AI184">
        <f>1+COUNTIF(bounds,"&lt;"&amp;ROUND(AG184,12))</f>
        <v/>
      </c>
      <c r="AJ184">
        <f>IF(AF184&lt;1,1,0)</f>
        <v/>
      </c>
      <c r="AK184">
        <f>IF(AH184&lt;&gt;AI184,1,0)</f>
        <v/>
      </c>
      <c r="AL184">
        <f>IF(AND(AI184&gt;=3,AB184&lt;=0.2),1,0)</f>
        <v/>
      </c>
      <c r="AM184">
        <f>AVERAGE(W184:AB184)</f>
        <v/>
      </c>
      <c r="AN184">
        <f>1+COUNTIF(bounds,"&lt;"&amp;ROUND(AM184,12))</f>
        <v/>
      </c>
      <c r="AO184">
        <f>IF(AK184=1,AD184,NA())</f>
        <v/>
      </c>
      <c r="AP184">
        <f>IF(AK184=0,AD184,NA())</f>
        <v/>
      </c>
    </row>
    <row r="185">
      <c r="A185" t="n">
        <v>177</v>
      </c>
      <c r="B185" t="n">
        <v>2</v>
      </c>
      <c r="C185" t="n">
        <v>5</v>
      </c>
      <c r="D185" t="n">
        <v>4</v>
      </c>
      <c r="E185" t="n">
        <v>4</v>
      </c>
      <c r="F185" t="n">
        <v>3</v>
      </c>
      <c r="G185" t="n">
        <v>2</v>
      </c>
      <c r="H185" t="n">
        <v>4</v>
      </c>
      <c r="I185" t="n">
        <v>3</v>
      </c>
      <c r="J185" t="n">
        <v>1</v>
      </c>
      <c r="K185" t="n">
        <v>5</v>
      </c>
      <c r="L185" t="n">
        <v>3</v>
      </c>
      <c r="M185" t="n">
        <v>5</v>
      </c>
      <c r="N185" t="n">
        <v>5</v>
      </c>
      <c r="O185" t="n">
        <v>5</v>
      </c>
      <c r="P185" t="n">
        <v>4</v>
      </c>
      <c r="Q185" t="n">
        <v>4</v>
      </c>
      <c r="R185" t="n">
        <v>2</v>
      </c>
      <c r="S185" t="n">
        <v>3</v>
      </c>
      <c r="T185" t="n">
        <v>3</v>
      </c>
      <c r="U185" t="n">
        <v>2</v>
      </c>
      <c r="V185" t="n">
        <v>3</v>
      </c>
      <c r="W185">
        <f>(AVERAGE(B185:D185)-1)/4</f>
        <v/>
      </c>
      <c r="X185">
        <f>(AVERAGE(E185:G185)-1)/4</f>
        <v/>
      </c>
      <c r="Y185">
        <f>(AVERAGE(H185:J185)-1)/4</f>
        <v/>
      </c>
      <c r="Z185">
        <f>(AVERAGE(K185:M185)-1)/4</f>
        <v/>
      </c>
      <c r="AA185">
        <f>(AVERAGE(N185:P185)-1)/4</f>
        <v/>
      </c>
      <c r="AB185">
        <f>(AVERAGE(Q185:S185)-1)/4</f>
        <v/>
      </c>
      <c r="AC185">
        <f>(AVERAGE(T185:V185)-1)/4</f>
        <v/>
      </c>
      <c r="AD185">
        <f>AVERAGE(W185:AA185)</f>
        <v/>
      </c>
      <c r="AE185">
        <f>MIN(W185:AA185)</f>
        <v/>
      </c>
      <c r="AF185">
        <f>1-alpha*MAX(0,delta-AE185)</f>
        <v/>
      </c>
      <c r="AG185">
        <f>AD185*AF185</f>
        <v/>
      </c>
      <c r="AH185">
        <f>1+COUNTIF(bounds,"&lt;"&amp;ROUND(AD185,12))</f>
        <v/>
      </c>
      <c r="AI185">
        <f>1+COUNTIF(bounds,"&lt;"&amp;ROUND(AG185,12))</f>
        <v/>
      </c>
      <c r="AJ185">
        <f>IF(AF185&lt;1,1,0)</f>
        <v/>
      </c>
      <c r="AK185">
        <f>IF(AH185&lt;&gt;AI185,1,0)</f>
        <v/>
      </c>
      <c r="AL185">
        <f>IF(AND(AI185&gt;=3,AB185&lt;=0.2),1,0)</f>
        <v/>
      </c>
      <c r="AM185">
        <f>AVERAGE(W185:AB185)</f>
        <v/>
      </c>
      <c r="AN185">
        <f>1+COUNTIF(bounds,"&lt;"&amp;ROUND(AM185,12))</f>
        <v/>
      </c>
      <c r="AO185">
        <f>IF(AK185=1,AD185,NA())</f>
        <v/>
      </c>
      <c r="AP185">
        <f>IF(AK185=0,AD185,NA())</f>
        <v/>
      </c>
    </row>
    <row r="186">
      <c r="A186" t="n">
        <v>178</v>
      </c>
      <c r="B186" t="n">
        <v>5</v>
      </c>
      <c r="C186" t="n">
        <v>1</v>
      </c>
      <c r="D186" t="n">
        <v>5</v>
      </c>
      <c r="E186" t="n">
        <v>2</v>
      </c>
      <c r="F186" t="n">
        <v>1</v>
      </c>
      <c r="G186" t="n">
        <v>3</v>
      </c>
      <c r="H186" t="n">
        <v>1</v>
      </c>
      <c r="I186" t="n">
        <v>1</v>
      </c>
      <c r="J186" t="n">
        <v>2</v>
      </c>
      <c r="K186" t="n">
        <v>4</v>
      </c>
      <c r="L186" t="n">
        <v>4</v>
      </c>
      <c r="M186" t="n">
        <v>1</v>
      </c>
      <c r="N186" t="n">
        <v>2</v>
      </c>
      <c r="O186" t="n">
        <v>2</v>
      </c>
      <c r="P186" t="n">
        <v>4</v>
      </c>
      <c r="Q186" t="n">
        <v>4</v>
      </c>
      <c r="R186" t="n">
        <v>4</v>
      </c>
      <c r="S186" t="n">
        <v>2</v>
      </c>
      <c r="T186" t="n">
        <v>4</v>
      </c>
      <c r="U186" t="n">
        <v>2</v>
      </c>
      <c r="V186" t="n">
        <v>4</v>
      </c>
      <c r="W186">
        <f>(AVERAGE(B186:D186)-1)/4</f>
        <v/>
      </c>
      <c r="X186">
        <f>(AVERAGE(E186:G186)-1)/4</f>
        <v/>
      </c>
      <c r="Y186">
        <f>(AVERAGE(H186:J186)-1)/4</f>
        <v/>
      </c>
      <c r="Z186">
        <f>(AVERAGE(K186:M186)-1)/4</f>
        <v/>
      </c>
      <c r="AA186">
        <f>(AVERAGE(N186:P186)-1)/4</f>
        <v/>
      </c>
      <c r="AB186">
        <f>(AVERAGE(Q186:S186)-1)/4</f>
        <v/>
      </c>
      <c r="AC186">
        <f>(AVERAGE(T186:V186)-1)/4</f>
        <v/>
      </c>
      <c r="AD186">
        <f>AVERAGE(W186:AA186)</f>
        <v/>
      </c>
      <c r="AE186">
        <f>MIN(W186:AA186)</f>
        <v/>
      </c>
      <c r="AF186">
        <f>1-alpha*MAX(0,delta-AE186)</f>
        <v/>
      </c>
      <c r="AG186">
        <f>AD186*AF186</f>
        <v/>
      </c>
      <c r="AH186">
        <f>1+COUNTIF(bounds,"&lt;"&amp;ROUND(AD186,12))</f>
        <v/>
      </c>
      <c r="AI186">
        <f>1+COUNTIF(bounds,"&lt;"&amp;ROUND(AG186,12))</f>
        <v/>
      </c>
      <c r="AJ186">
        <f>IF(AF186&lt;1,1,0)</f>
        <v/>
      </c>
      <c r="AK186">
        <f>IF(AH186&lt;&gt;AI186,1,0)</f>
        <v/>
      </c>
      <c r="AL186">
        <f>IF(AND(AI186&gt;=3,AB186&lt;=0.2),1,0)</f>
        <v/>
      </c>
      <c r="AM186">
        <f>AVERAGE(W186:AB186)</f>
        <v/>
      </c>
      <c r="AN186">
        <f>1+COUNTIF(bounds,"&lt;"&amp;ROUND(AM186,12))</f>
        <v/>
      </c>
      <c r="AO186">
        <f>IF(AK186=1,AD186,NA())</f>
        <v/>
      </c>
      <c r="AP186">
        <f>IF(AK186=0,AD186,NA())</f>
        <v/>
      </c>
    </row>
    <row r="187">
      <c r="A187" t="n">
        <v>179</v>
      </c>
      <c r="B187" t="n">
        <v>4</v>
      </c>
      <c r="C187" t="n">
        <v>1</v>
      </c>
      <c r="D187" t="n">
        <v>3</v>
      </c>
      <c r="E187" t="n">
        <v>5</v>
      </c>
      <c r="F187" t="n">
        <v>1</v>
      </c>
      <c r="G187" t="n">
        <v>5</v>
      </c>
      <c r="H187" t="n">
        <v>1</v>
      </c>
      <c r="I187" t="n">
        <v>5</v>
      </c>
      <c r="J187" t="n">
        <v>5</v>
      </c>
      <c r="K187" t="n">
        <v>5</v>
      </c>
      <c r="L187" t="n">
        <v>4</v>
      </c>
      <c r="M187" t="n">
        <v>2</v>
      </c>
      <c r="N187" t="n">
        <v>2</v>
      </c>
      <c r="O187" t="n">
        <v>3</v>
      </c>
      <c r="P187" t="n">
        <v>5</v>
      </c>
      <c r="Q187" t="n">
        <v>2</v>
      </c>
      <c r="R187" t="n">
        <v>5</v>
      </c>
      <c r="S187" t="n">
        <v>3</v>
      </c>
      <c r="T187" t="n">
        <v>5</v>
      </c>
      <c r="U187" t="n">
        <v>3</v>
      </c>
      <c r="V187" t="n">
        <v>5</v>
      </c>
      <c r="W187">
        <f>(AVERAGE(B187:D187)-1)/4</f>
        <v/>
      </c>
      <c r="X187">
        <f>(AVERAGE(E187:G187)-1)/4</f>
        <v/>
      </c>
      <c r="Y187">
        <f>(AVERAGE(H187:J187)-1)/4</f>
        <v/>
      </c>
      <c r="Z187">
        <f>(AVERAGE(K187:M187)-1)/4</f>
        <v/>
      </c>
      <c r="AA187">
        <f>(AVERAGE(N187:P187)-1)/4</f>
        <v/>
      </c>
      <c r="AB187">
        <f>(AVERAGE(Q187:S187)-1)/4</f>
        <v/>
      </c>
      <c r="AC187">
        <f>(AVERAGE(T187:V187)-1)/4</f>
        <v/>
      </c>
      <c r="AD187">
        <f>AVERAGE(W187:AA187)</f>
        <v/>
      </c>
      <c r="AE187">
        <f>MIN(W187:AA187)</f>
        <v/>
      </c>
      <c r="AF187">
        <f>1-alpha*MAX(0,delta-AE187)</f>
        <v/>
      </c>
      <c r="AG187">
        <f>AD187*AF187</f>
        <v/>
      </c>
      <c r="AH187">
        <f>1+COUNTIF(bounds,"&lt;"&amp;ROUND(AD187,12))</f>
        <v/>
      </c>
      <c r="AI187">
        <f>1+COUNTIF(bounds,"&lt;"&amp;ROUND(AG187,12))</f>
        <v/>
      </c>
      <c r="AJ187">
        <f>IF(AF187&lt;1,1,0)</f>
        <v/>
      </c>
      <c r="AK187">
        <f>IF(AH187&lt;&gt;AI187,1,0)</f>
        <v/>
      </c>
      <c r="AL187">
        <f>IF(AND(AI187&gt;=3,AB187&lt;=0.2),1,0)</f>
        <v/>
      </c>
      <c r="AM187">
        <f>AVERAGE(W187:AB187)</f>
        <v/>
      </c>
      <c r="AN187">
        <f>1+COUNTIF(bounds,"&lt;"&amp;ROUND(AM187,12))</f>
        <v/>
      </c>
      <c r="AO187">
        <f>IF(AK187=1,AD187,NA())</f>
        <v/>
      </c>
      <c r="AP187">
        <f>IF(AK187=0,AD187,NA())</f>
        <v/>
      </c>
    </row>
    <row r="188">
      <c r="A188" t="n">
        <v>180</v>
      </c>
      <c r="B188" t="n">
        <v>1</v>
      </c>
      <c r="C188" t="n">
        <v>4</v>
      </c>
      <c r="D188" t="n">
        <v>3</v>
      </c>
      <c r="E188" t="n">
        <v>3</v>
      </c>
      <c r="F188" t="n">
        <v>4</v>
      </c>
      <c r="G188" t="n">
        <v>1</v>
      </c>
      <c r="H188" t="n">
        <v>3</v>
      </c>
      <c r="I188" t="n">
        <v>4</v>
      </c>
      <c r="J188" t="n">
        <v>4</v>
      </c>
      <c r="K188" t="n">
        <v>5</v>
      </c>
      <c r="L188" t="n">
        <v>1</v>
      </c>
      <c r="M188" t="n">
        <v>3</v>
      </c>
      <c r="N188" t="n">
        <v>1</v>
      </c>
      <c r="O188" t="n">
        <v>3</v>
      </c>
      <c r="P188" t="n">
        <v>1</v>
      </c>
      <c r="Q188" t="n">
        <v>5</v>
      </c>
      <c r="R188" t="n">
        <v>3</v>
      </c>
      <c r="S188" t="n">
        <v>1</v>
      </c>
      <c r="T188" t="n">
        <v>4</v>
      </c>
      <c r="U188" t="n">
        <v>3</v>
      </c>
      <c r="V188" t="n">
        <v>3</v>
      </c>
      <c r="W188">
        <f>(AVERAGE(B188:D188)-1)/4</f>
        <v/>
      </c>
      <c r="X188">
        <f>(AVERAGE(E188:G188)-1)/4</f>
        <v/>
      </c>
      <c r="Y188">
        <f>(AVERAGE(H188:J188)-1)/4</f>
        <v/>
      </c>
      <c r="Z188">
        <f>(AVERAGE(K188:M188)-1)/4</f>
        <v/>
      </c>
      <c r="AA188">
        <f>(AVERAGE(N188:P188)-1)/4</f>
        <v/>
      </c>
      <c r="AB188">
        <f>(AVERAGE(Q188:S188)-1)/4</f>
        <v/>
      </c>
      <c r="AC188">
        <f>(AVERAGE(T188:V188)-1)/4</f>
        <v/>
      </c>
      <c r="AD188">
        <f>AVERAGE(W188:AA188)</f>
        <v/>
      </c>
      <c r="AE188">
        <f>MIN(W188:AA188)</f>
        <v/>
      </c>
      <c r="AF188">
        <f>1-alpha*MAX(0,delta-AE188)</f>
        <v/>
      </c>
      <c r="AG188">
        <f>AD188*AF188</f>
        <v/>
      </c>
      <c r="AH188">
        <f>1+COUNTIF(bounds,"&lt;"&amp;ROUND(AD188,12))</f>
        <v/>
      </c>
      <c r="AI188">
        <f>1+COUNTIF(bounds,"&lt;"&amp;ROUND(AG188,12))</f>
        <v/>
      </c>
      <c r="AJ188">
        <f>IF(AF188&lt;1,1,0)</f>
        <v/>
      </c>
      <c r="AK188">
        <f>IF(AH188&lt;&gt;AI188,1,0)</f>
        <v/>
      </c>
      <c r="AL188">
        <f>IF(AND(AI188&gt;=3,AB188&lt;=0.2),1,0)</f>
        <v/>
      </c>
      <c r="AM188">
        <f>AVERAGE(W188:AB188)</f>
        <v/>
      </c>
      <c r="AN188">
        <f>1+COUNTIF(bounds,"&lt;"&amp;ROUND(AM188,12))</f>
        <v/>
      </c>
      <c r="AO188">
        <f>IF(AK188=1,AD188,NA())</f>
        <v/>
      </c>
      <c r="AP188">
        <f>IF(AK188=0,AD188,NA())</f>
        <v/>
      </c>
    </row>
    <row r="189">
      <c r="A189" t="n">
        <v>181</v>
      </c>
      <c r="B189" t="n">
        <v>3</v>
      </c>
      <c r="C189" t="n">
        <v>5</v>
      </c>
      <c r="D189" t="n">
        <v>4</v>
      </c>
      <c r="E189" t="n">
        <v>2</v>
      </c>
      <c r="F189" t="n">
        <v>1</v>
      </c>
      <c r="G189" t="n">
        <v>1</v>
      </c>
      <c r="H189" t="n">
        <v>4</v>
      </c>
      <c r="I189" t="n">
        <v>4</v>
      </c>
      <c r="J189" t="n">
        <v>4</v>
      </c>
      <c r="K189" t="n">
        <v>2</v>
      </c>
      <c r="L189" t="n">
        <v>1</v>
      </c>
      <c r="M189" t="n">
        <v>5</v>
      </c>
      <c r="N189" t="n">
        <v>4</v>
      </c>
      <c r="O189" t="n">
        <v>3</v>
      </c>
      <c r="P189" t="n">
        <v>4</v>
      </c>
      <c r="Q189" t="n">
        <v>4</v>
      </c>
      <c r="R189" t="n">
        <v>5</v>
      </c>
      <c r="S189" t="n">
        <v>5</v>
      </c>
      <c r="T189" t="n">
        <v>1</v>
      </c>
      <c r="U189" t="n">
        <v>2</v>
      </c>
      <c r="V189" t="n">
        <v>1</v>
      </c>
      <c r="W189">
        <f>(AVERAGE(B189:D189)-1)/4</f>
        <v/>
      </c>
      <c r="X189">
        <f>(AVERAGE(E189:G189)-1)/4</f>
        <v/>
      </c>
      <c r="Y189">
        <f>(AVERAGE(H189:J189)-1)/4</f>
        <v/>
      </c>
      <c r="Z189">
        <f>(AVERAGE(K189:M189)-1)/4</f>
        <v/>
      </c>
      <c r="AA189">
        <f>(AVERAGE(N189:P189)-1)/4</f>
        <v/>
      </c>
      <c r="AB189">
        <f>(AVERAGE(Q189:S189)-1)/4</f>
        <v/>
      </c>
      <c r="AC189">
        <f>(AVERAGE(T189:V189)-1)/4</f>
        <v/>
      </c>
      <c r="AD189">
        <f>AVERAGE(W189:AA189)</f>
        <v/>
      </c>
      <c r="AE189">
        <f>MIN(W189:AA189)</f>
        <v/>
      </c>
      <c r="AF189">
        <f>1-alpha*MAX(0,delta-AE189)</f>
        <v/>
      </c>
      <c r="AG189">
        <f>AD189*AF189</f>
        <v/>
      </c>
      <c r="AH189">
        <f>1+COUNTIF(bounds,"&lt;"&amp;ROUND(AD189,12))</f>
        <v/>
      </c>
      <c r="AI189">
        <f>1+COUNTIF(bounds,"&lt;"&amp;ROUND(AG189,12))</f>
        <v/>
      </c>
      <c r="AJ189">
        <f>IF(AF189&lt;1,1,0)</f>
        <v/>
      </c>
      <c r="AK189">
        <f>IF(AH189&lt;&gt;AI189,1,0)</f>
        <v/>
      </c>
      <c r="AL189">
        <f>IF(AND(AI189&gt;=3,AB189&lt;=0.2),1,0)</f>
        <v/>
      </c>
      <c r="AM189">
        <f>AVERAGE(W189:AB189)</f>
        <v/>
      </c>
      <c r="AN189">
        <f>1+COUNTIF(bounds,"&lt;"&amp;ROUND(AM189,12))</f>
        <v/>
      </c>
      <c r="AO189">
        <f>IF(AK189=1,AD189,NA())</f>
        <v/>
      </c>
      <c r="AP189">
        <f>IF(AK189=0,AD189,NA())</f>
        <v/>
      </c>
    </row>
    <row r="190">
      <c r="A190" t="n">
        <v>182</v>
      </c>
      <c r="B190" t="n">
        <v>1</v>
      </c>
      <c r="C190" t="n">
        <v>4</v>
      </c>
      <c r="D190" t="n">
        <v>3</v>
      </c>
      <c r="E190" t="n">
        <v>3</v>
      </c>
      <c r="F190" t="n">
        <v>2</v>
      </c>
      <c r="G190" t="n">
        <v>4</v>
      </c>
      <c r="H190" t="n">
        <v>3</v>
      </c>
      <c r="I190" t="n">
        <v>5</v>
      </c>
      <c r="J190" t="n">
        <v>3</v>
      </c>
      <c r="K190" t="n">
        <v>3</v>
      </c>
      <c r="L190" t="n">
        <v>4</v>
      </c>
      <c r="M190" t="n">
        <v>1</v>
      </c>
      <c r="N190" t="n">
        <v>1</v>
      </c>
      <c r="O190" t="n">
        <v>5</v>
      </c>
      <c r="P190" t="n">
        <v>4</v>
      </c>
      <c r="Q190" t="n">
        <v>3</v>
      </c>
      <c r="R190" t="n">
        <v>5</v>
      </c>
      <c r="S190" t="n">
        <v>1</v>
      </c>
      <c r="T190" t="n">
        <v>4</v>
      </c>
      <c r="U190" t="n">
        <v>3</v>
      </c>
      <c r="V190" t="n">
        <v>4</v>
      </c>
      <c r="W190">
        <f>(AVERAGE(B190:D190)-1)/4</f>
        <v/>
      </c>
      <c r="X190">
        <f>(AVERAGE(E190:G190)-1)/4</f>
        <v/>
      </c>
      <c r="Y190">
        <f>(AVERAGE(H190:J190)-1)/4</f>
        <v/>
      </c>
      <c r="Z190">
        <f>(AVERAGE(K190:M190)-1)/4</f>
        <v/>
      </c>
      <c r="AA190">
        <f>(AVERAGE(N190:P190)-1)/4</f>
        <v/>
      </c>
      <c r="AB190">
        <f>(AVERAGE(Q190:S190)-1)/4</f>
        <v/>
      </c>
      <c r="AC190">
        <f>(AVERAGE(T190:V190)-1)/4</f>
        <v/>
      </c>
      <c r="AD190">
        <f>AVERAGE(W190:AA190)</f>
        <v/>
      </c>
      <c r="AE190">
        <f>MIN(W190:AA190)</f>
        <v/>
      </c>
      <c r="AF190">
        <f>1-alpha*MAX(0,delta-AE190)</f>
        <v/>
      </c>
      <c r="AG190">
        <f>AD190*AF190</f>
        <v/>
      </c>
      <c r="AH190">
        <f>1+COUNTIF(bounds,"&lt;"&amp;ROUND(AD190,12))</f>
        <v/>
      </c>
      <c r="AI190">
        <f>1+COUNTIF(bounds,"&lt;"&amp;ROUND(AG190,12))</f>
        <v/>
      </c>
      <c r="AJ190">
        <f>IF(AF190&lt;1,1,0)</f>
        <v/>
      </c>
      <c r="AK190">
        <f>IF(AH190&lt;&gt;AI190,1,0)</f>
        <v/>
      </c>
      <c r="AL190">
        <f>IF(AND(AI190&gt;=3,AB190&lt;=0.2),1,0)</f>
        <v/>
      </c>
      <c r="AM190">
        <f>AVERAGE(W190:AB190)</f>
        <v/>
      </c>
      <c r="AN190">
        <f>1+COUNTIF(bounds,"&lt;"&amp;ROUND(AM190,12))</f>
        <v/>
      </c>
      <c r="AO190">
        <f>IF(AK190=1,AD190,NA())</f>
        <v/>
      </c>
      <c r="AP190">
        <f>IF(AK190=0,AD190,NA())</f>
        <v/>
      </c>
    </row>
    <row r="191">
      <c r="A191" t="n">
        <v>183</v>
      </c>
      <c r="B191" t="n">
        <v>1</v>
      </c>
      <c r="C191" t="n">
        <v>2</v>
      </c>
      <c r="D191" t="n">
        <v>3</v>
      </c>
      <c r="E191" t="n">
        <v>2</v>
      </c>
      <c r="F191" t="n">
        <v>4</v>
      </c>
      <c r="G191" t="n">
        <v>4</v>
      </c>
      <c r="H191" t="n">
        <v>4</v>
      </c>
      <c r="I191" t="n">
        <v>4</v>
      </c>
      <c r="J191" t="n">
        <v>3</v>
      </c>
      <c r="K191" t="n">
        <v>3</v>
      </c>
      <c r="L191" t="n">
        <v>1</v>
      </c>
      <c r="M191" t="n">
        <v>4</v>
      </c>
      <c r="N191" t="n">
        <v>2</v>
      </c>
      <c r="O191" t="n">
        <v>2</v>
      </c>
      <c r="P191" t="n">
        <v>1</v>
      </c>
      <c r="Q191" t="n">
        <v>3</v>
      </c>
      <c r="R191" t="n">
        <v>4</v>
      </c>
      <c r="S191" t="n">
        <v>3</v>
      </c>
      <c r="T191" t="n">
        <v>4</v>
      </c>
      <c r="U191" t="n">
        <v>3</v>
      </c>
      <c r="V191" t="n">
        <v>4</v>
      </c>
      <c r="W191">
        <f>(AVERAGE(B191:D191)-1)/4</f>
        <v/>
      </c>
      <c r="X191">
        <f>(AVERAGE(E191:G191)-1)/4</f>
        <v/>
      </c>
      <c r="Y191">
        <f>(AVERAGE(H191:J191)-1)/4</f>
        <v/>
      </c>
      <c r="Z191">
        <f>(AVERAGE(K191:M191)-1)/4</f>
        <v/>
      </c>
      <c r="AA191">
        <f>(AVERAGE(N191:P191)-1)/4</f>
        <v/>
      </c>
      <c r="AB191">
        <f>(AVERAGE(Q191:S191)-1)/4</f>
        <v/>
      </c>
      <c r="AC191">
        <f>(AVERAGE(T191:V191)-1)/4</f>
        <v/>
      </c>
      <c r="AD191">
        <f>AVERAGE(W191:AA191)</f>
        <v/>
      </c>
      <c r="AE191">
        <f>MIN(W191:AA191)</f>
        <v/>
      </c>
      <c r="AF191">
        <f>1-alpha*MAX(0,delta-AE191)</f>
        <v/>
      </c>
      <c r="AG191">
        <f>AD191*AF191</f>
        <v/>
      </c>
      <c r="AH191">
        <f>1+COUNTIF(bounds,"&lt;"&amp;ROUND(AD191,12))</f>
        <v/>
      </c>
      <c r="AI191">
        <f>1+COUNTIF(bounds,"&lt;"&amp;ROUND(AG191,12))</f>
        <v/>
      </c>
      <c r="AJ191">
        <f>IF(AF191&lt;1,1,0)</f>
        <v/>
      </c>
      <c r="AK191">
        <f>IF(AH191&lt;&gt;AI191,1,0)</f>
        <v/>
      </c>
      <c r="AL191">
        <f>IF(AND(AI191&gt;=3,AB191&lt;=0.2),1,0)</f>
        <v/>
      </c>
      <c r="AM191">
        <f>AVERAGE(W191:AB191)</f>
        <v/>
      </c>
      <c r="AN191">
        <f>1+COUNTIF(bounds,"&lt;"&amp;ROUND(AM191,12))</f>
        <v/>
      </c>
      <c r="AO191">
        <f>IF(AK191=1,AD191,NA())</f>
        <v/>
      </c>
      <c r="AP191">
        <f>IF(AK191=0,AD191,NA())</f>
        <v/>
      </c>
    </row>
    <row r="192">
      <c r="A192" t="n">
        <v>184</v>
      </c>
      <c r="B192" t="n">
        <v>5</v>
      </c>
      <c r="C192" t="n">
        <v>5</v>
      </c>
      <c r="D192" t="n">
        <v>1</v>
      </c>
      <c r="E192" t="n">
        <v>2</v>
      </c>
      <c r="F192" t="n">
        <v>1</v>
      </c>
      <c r="G192" t="n">
        <v>5</v>
      </c>
      <c r="H192" t="n">
        <v>4</v>
      </c>
      <c r="I192" t="n">
        <v>3</v>
      </c>
      <c r="J192" t="n">
        <v>3</v>
      </c>
      <c r="K192" t="n">
        <v>4</v>
      </c>
      <c r="L192" t="n">
        <v>2</v>
      </c>
      <c r="M192" t="n">
        <v>1</v>
      </c>
      <c r="N192" t="n">
        <v>2</v>
      </c>
      <c r="O192" t="n">
        <v>1</v>
      </c>
      <c r="P192" t="n">
        <v>2</v>
      </c>
      <c r="Q192" t="n">
        <v>4</v>
      </c>
      <c r="R192" t="n">
        <v>3</v>
      </c>
      <c r="S192" t="n">
        <v>4</v>
      </c>
      <c r="T192" t="n">
        <v>3</v>
      </c>
      <c r="U192" t="n">
        <v>2</v>
      </c>
      <c r="V192" t="n">
        <v>2</v>
      </c>
      <c r="W192">
        <f>(AVERAGE(B192:D192)-1)/4</f>
        <v/>
      </c>
      <c r="X192">
        <f>(AVERAGE(E192:G192)-1)/4</f>
        <v/>
      </c>
      <c r="Y192">
        <f>(AVERAGE(H192:J192)-1)/4</f>
        <v/>
      </c>
      <c r="Z192">
        <f>(AVERAGE(K192:M192)-1)/4</f>
        <v/>
      </c>
      <c r="AA192">
        <f>(AVERAGE(N192:P192)-1)/4</f>
        <v/>
      </c>
      <c r="AB192">
        <f>(AVERAGE(Q192:S192)-1)/4</f>
        <v/>
      </c>
      <c r="AC192">
        <f>(AVERAGE(T192:V192)-1)/4</f>
        <v/>
      </c>
      <c r="AD192">
        <f>AVERAGE(W192:AA192)</f>
        <v/>
      </c>
      <c r="AE192">
        <f>MIN(W192:AA192)</f>
        <v/>
      </c>
      <c r="AF192">
        <f>1-alpha*MAX(0,delta-AE192)</f>
        <v/>
      </c>
      <c r="AG192">
        <f>AD192*AF192</f>
        <v/>
      </c>
      <c r="AH192">
        <f>1+COUNTIF(bounds,"&lt;"&amp;ROUND(AD192,12))</f>
        <v/>
      </c>
      <c r="AI192">
        <f>1+COUNTIF(bounds,"&lt;"&amp;ROUND(AG192,12))</f>
        <v/>
      </c>
      <c r="AJ192">
        <f>IF(AF192&lt;1,1,0)</f>
        <v/>
      </c>
      <c r="AK192">
        <f>IF(AH192&lt;&gt;AI192,1,0)</f>
        <v/>
      </c>
      <c r="AL192">
        <f>IF(AND(AI192&gt;=3,AB192&lt;=0.2),1,0)</f>
        <v/>
      </c>
      <c r="AM192">
        <f>AVERAGE(W192:AB192)</f>
        <v/>
      </c>
      <c r="AN192">
        <f>1+COUNTIF(bounds,"&lt;"&amp;ROUND(AM192,12))</f>
        <v/>
      </c>
      <c r="AO192">
        <f>IF(AK192=1,AD192,NA())</f>
        <v/>
      </c>
      <c r="AP192">
        <f>IF(AK192=0,AD192,NA())</f>
        <v/>
      </c>
    </row>
    <row r="193">
      <c r="A193" t="n">
        <v>185</v>
      </c>
      <c r="B193" t="n">
        <v>3</v>
      </c>
      <c r="C193" t="n">
        <v>5</v>
      </c>
      <c r="D193" t="n">
        <v>4</v>
      </c>
      <c r="E193" t="n">
        <v>1</v>
      </c>
      <c r="F193" t="n">
        <v>2</v>
      </c>
      <c r="G193" t="n">
        <v>5</v>
      </c>
      <c r="H193" t="n">
        <v>5</v>
      </c>
      <c r="I193" t="n">
        <v>3</v>
      </c>
      <c r="J193" t="n">
        <v>2</v>
      </c>
      <c r="K193" t="n">
        <v>4</v>
      </c>
      <c r="L193" t="n">
        <v>1</v>
      </c>
      <c r="M193" t="n">
        <v>1</v>
      </c>
      <c r="N193" t="n">
        <v>1</v>
      </c>
      <c r="O193" t="n">
        <v>4</v>
      </c>
      <c r="P193" t="n">
        <v>3</v>
      </c>
      <c r="Q193" t="n">
        <v>1</v>
      </c>
      <c r="R193" t="n">
        <v>2</v>
      </c>
      <c r="S193" t="n">
        <v>4</v>
      </c>
      <c r="T193" t="n">
        <v>5</v>
      </c>
      <c r="U193" t="n">
        <v>4</v>
      </c>
      <c r="V193" t="n">
        <v>2</v>
      </c>
      <c r="W193">
        <f>(AVERAGE(B193:D193)-1)/4</f>
        <v/>
      </c>
      <c r="X193">
        <f>(AVERAGE(E193:G193)-1)/4</f>
        <v/>
      </c>
      <c r="Y193">
        <f>(AVERAGE(H193:J193)-1)/4</f>
        <v/>
      </c>
      <c r="Z193">
        <f>(AVERAGE(K193:M193)-1)/4</f>
        <v/>
      </c>
      <c r="AA193">
        <f>(AVERAGE(N193:P193)-1)/4</f>
        <v/>
      </c>
      <c r="AB193">
        <f>(AVERAGE(Q193:S193)-1)/4</f>
        <v/>
      </c>
      <c r="AC193">
        <f>(AVERAGE(T193:V193)-1)/4</f>
        <v/>
      </c>
      <c r="AD193">
        <f>AVERAGE(W193:AA193)</f>
        <v/>
      </c>
      <c r="AE193">
        <f>MIN(W193:AA193)</f>
        <v/>
      </c>
      <c r="AF193">
        <f>1-alpha*MAX(0,delta-AE193)</f>
        <v/>
      </c>
      <c r="AG193">
        <f>AD193*AF193</f>
        <v/>
      </c>
      <c r="AH193">
        <f>1+COUNTIF(bounds,"&lt;"&amp;ROUND(AD193,12))</f>
        <v/>
      </c>
      <c r="AI193">
        <f>1+COUNTIF(bounds,"&lt;"&amp;ROUND(AG193,12))</f>
        <v/>
      </c>
      <c r="AJ193">
        <f>IF(AF193&lt;1,1,0)</f>
        <v/>
      </c>
      <c r="AK193">
        <f>IF(AH193&lt;&gt;AI193,1,0)</f>
        <v/>
      </c>
      <c r="AL193">
        <f>IF(AND(AI193&gt;=3,AB193&lt;=0.2),1,0)</f>
        <v/>
      </c>
      <c r="AM193">
        <f>AVERAGE(W193:AB193)</f>
        <v/>
      </c>
      <c r="AN193">
        <f>1+COUNTIF(bounds,"&lt;"&amp;ROUND(AM193,12))</f>
        <v/>
      </c>
      <c r="AO193">
        <f>IF(AK193=1,AD193,NA())</f>
        <v/>
      </c>
      <c r="AP193">
        <f>IF(AK193=0,AD193,NA())</f>
        <v/>
      </c>
    </row>
    <row r="194">
      <c r="A194" t="n">
        <v>186</v>
      </c>
      <c r="B194" t="n">
        <v>5</v>
      </c>
      <c r="C194" t="n">
        <v>3</v>
      </c>
      <c r="D194" t="n">
        <v>2</v>
      </c>
      <c r="E194" t="n">
        <v>3</v>
      </c>
      <c r="F194" t="n">
        <v>1</v>
      </c>
      <c r="G194" t="n">
        <v>2</v>
      </c>
      <c r="H194" t="n">
        <v>3</v>
      </c>
      <c r="I194" t="n">
        <v>5</v>
      </c>
      <c r="J194" t="n">
        <v>4</v>
      </c>
      <c r="K194" t="n">
        <v>5</v>
      </c>
      <c r="L194" t="n">
        <v>3</v>
      </c>
      <c r="M194" t="n">
        <v>1</v>
      </c>
      <c r="N194" t="n">
        <v>1</v>
      </c>
      <c r="O194" t="n">
        <v>4</v>
      </c>
      <c r="P194" t="n">
        <v>3</v>
      </c>
      <c r="Q194" t="n">
        <v>2</v>
      </c>
      <c r="R194" t="n">
        <v>4</v>
      </c>
      <c r="S194" t="n">
        <v>1</v>
      </c>
      <c r="T194" t="n">
        <v>5</v>
      </c>
      <c r="U194" t="n">
        <v>4</v>
      </c>
      <c r="V194" t="n">
        <v>3</v>
      </c>
      <c r="W194">
        <f>(AVERAGE(B194:D194)-1)/4</f>
        <v/>
      </c>
      <c r="X194">
        <f>(AVERAGE(E194:G194)-1)/4</f>
        <v/>
      </c>
      <c r="Y194">
        <f>(AVERAGE(H194:J194)-1)/4</f>
        <v/>
      </c>
      <c r="Z194">
        <f>(AVERAGE(K194:M194)-1)/4</f>
        <v/>
      </c>
      <c r="AA194">
        <f>(AVERAGE(N194:P194)-1)/4</f>
        <v/>
      </c>
      <c r="AB194">
        <f>(AVERAGE(Q194:S194)-1)/4</f>
        <v/>
      </c>
      <c r="AC194">
        <f>(AVERAGE(T194:V194)-1)/4</f>
        <v/>
      </c>
      <c r="AD194">
        <f>AVERAGE(W194:AA194)</f>
        <v/>
      </c>
      <c r="AE194">
        <f>MIN(W194:AA194)</f>
        <v/>
      </c>
      <c r="AF194">
        <f>1-alpha*MAX(0,delta-AE194)</f>
        <v/>
      </c>
      <c r="AG194">
        <f>AD194*AF194</f>
        <v/>
      </c>
      <c r="AH194">
        <f>1+COUNTIF(bounds,"&lt;"&amp;ROUND(AD194,12))</f>
        <v/>
      </c>
      <c r="AI194">
        <f>1+COUNTIF(bounds,"&lt;"&amp;ROUND(AG194,12))</f>
        <v/>
      </c>
      <c r="AJ194">
        <f>IF(AF194&lt;1,1,0)</f>
        <v/>
      </c>
      <c r="AK194">
        <f>IF(AH194&lt;&gt;AI194,1,0)</f>
        <v/>
      </c>
      <c r="AL194">
        <f>IF(AND(AI194&gt;=3,AB194&lt;=0.2),1,0)</f>
        <v/>
      </c>
      <c r="AM194">
        <f>AVERAGE(W194:AB194)</f>
        <v/>
      </c>
      <c r="AN194">
        <f>1+COUNTIF(bounds,"&lt;"&amp;ROUND(AM194,12))</f>
        <v/>
      </c>
      <c r="AO194">
        <f>IF(AK194=1,AD194,NA())</f>
        <v/>
      </c>
      <c r="AP194">
        <f>IF(AK194=0,AD194,NA())</f>
        <v/>
      </c>
    </row>
    <row r="195">
      <c r="A195" t="n">
        <v>187</v>
      </c>
      <c r="B195" t="n">
        <v>3</v>
      </c>
      <c r="C195" t="n">
        <v>3</v>
      </c>
      <c r="D195" t="n">
        <v>5</v>
      </c>
      <c r="E195" t="n">
        <v>1</v>
      </c>
      <c r="F195" t="n">
        <v>1</v>
      </c>
      <c r="G195" t="n">
        <v>1</v>
      </c>
      <c r="H195" t="n">
        <v>5</v>
      </c>
      <c r="I195" t="n">
        <v>2</v>
      </c>
      <c r="J195" t="n">
        <v>2</v>
      </c>
      <c r="K195" t="n">
        <v>4</v>
      </c>
      <c r="L195" t="n">
        <v>2</v>
      </c>
      <c r="M195" t="n">
        <v>1</v>
      </c>
      <c r="N195" t="n">
        <v>5</v>
      </c>
      <c r="O195" t="n">
        <v>4</v>
      </c>
      <c r="P195" t="n">
        <v>2</v>
      </c>
      <c r="Q195" t="n">
        <v>3</v>
      </c>
      <c r="R195" t="n">
        <v>1</v>
      </c>
      <c r="S195" t="n">
        <v>1</v>
      </c>
      <c r="T195" t="n">
        <v>3</v>
      </c>
      <c r="U195" t="n">
        <v>3</v>
      </c>
      <c r="V195" t="n">
        <v>4</v>
      </c>
      <c r="W195">
        <f>(AVERAGE(B195:D195)-1)/4</f>
        <v/>
      </c>
      <c r="X195">
        <f>(AVERAGE(E195:G195)-1)/4</f>
        <v/>
      </c>
      <c r="Y195">
        <f>(AVERAGE(H195:J195)-1)/4</f>
        <v/>
      </c>
      <c r="Z195">
        <f>(AVERAGE(K195:M195)-1)/4</f>
        <v/>
      </c>
      <c r="AA195">
        <f>(AVERAGE(N195:P195)-1)/4</f>
        <v/>
      </c>
      <c r="AB195">
        <f>(AVERAGE(Q195:S195)-1)/4</f>
        <v/>
      </c>
      <c r="AC195">
        <f>(AVERAGE(T195:V195)-1)/4</f>
        <v/>
      </c>
      <c r="AD195">
        <f>AVERAGE(W195:AA195)</f>
        <v/>
      </c>
      <c r="AE195">
        <f>MIN(W195:AA195)</f>
        <v/>
      </c>
      <c r="AF195">
        <f>1-alpha*MAX(0,delta-AE195)</f>
        <v/>
      </c>
      <c r="AG195">
        <f>AD195*AF195</f>
        <v/>
      </c>
      <c r="AH195">
        <f>1+COUNTIF(bounds,"&lt;"&amp;ROUND(AD195,12))</f>
        <v/>
      </c>
      <c r="AI195">
        <f>1+COUNTIF(bounds,"&lt;"&amp;ROUND(AG195,12))</f>
        <v/>
      </c>
      <c r="AJ195">
        <f>IF(AF195&lt;1,1,0)</f>
        <v/>
      </c>
      <c r="AK195">
        <f>IF(AH195&lt;&gt;AI195,1,0)</f>
        <v/>
      </c>
      <c r="AL195">
        <f>IF(AND(AI195&gt;=3,AB195&lt;=0.2),1,0)</f>
        <v/>
      </c>
      <c r="AM195">
        <f>AVERAGE(W195:AB195)</f>
        <v/>
      </c>
      <c r="AN195">
        <f>1+COUNTIF(bounds,"&lt;"&amp;ROUND(AM195,12))</f>
        <v/>
      </c>
      <c r="AO195">
        <f>IF(AK195=1,AD195,NA())</f>
        <v/>
      </c>
      <c r="AP195">
        <f>IF(AK195=0,AD195,NA())</f>
        <v/>
      </c>
    </row>
    <row r="196">
      <c r="A196" t="n">
        <v>188</v>
      </c>
      <c r="B196" t="n">
        <v>2</v>
      </c>
      <c r="C196" t="n">
        <v>2</v>
      </c>
      <c r="D196" t="n">
        <v>4</v>
      </c>
      <c r="E196" t="n">
        <v>3</v>
      </c>
      <c r="F196" t="n">
        <v>2</v>
      </c>
      <c r="G196" t="n">
        <v>5</v>
      </c>
      <c r="H196" t="n">
        <v>3</v>
      </c>
      <c r="I196" t="n">
        <v>5</v>
      </c>
      <c r="J196" t="n">
        <v>4</v>
      </c>
      <c r="K196" t="n">
        <v>3</v>
      </c>
      <c r="L196" t="n">
        <v>1</v>
      </c>
      <c r="M196" t="n">
        <v>2</v>
      </c>
      <c r="N196" t="n">
        <v>1</v>
      </c>
      <c r="O196" t="n">
        <v>5</v>
      </c>
      <c r="P196" t="n">
        <v>4</v>
      </c>
      <c r="Q196" t="n">
        <v>3</v>
      </c>
      <c r="R196" t="n">
        <v>5</v>
      </c>
      <c r="S196" t="n">
        <v>3</v>
      </c>
      <c r="T196" t="n">
        <v>3</v>
      </c>
      <c r="U196" t="n">
        <v>4</v>
      </c>
      <c r="V196" t="n">
        <v>2</v>
      </c>
      <c r="W196">
        <f>(AVERAGE(B196:D196)-1)/4</f>
        <v/>
      </c>
      <c r="X196">
        <f>(AVERAGE(E196:G196)-1)/4</f>
        <v/>
      </c>
      <c r="Y196">
        <f>(AVERAGE(H196:J196)-1)/4</f>
        <v/>
      </c>
      <c r="Z196">
        <f>(AVERAGE(K196:M196)-1)/4</f>
        <v/>
      </c>
      <c r="AA196">
        <f>(AVERAGE(N196:P196)-1)/4</f>
        <v/>
      </c>
      <c r="AB196">
        <f>(AVERAGE(Q196:S196)-1)/4</f>
        <v/>
      </c>
      <c r="AC196">
        <f>(AVERAGE(T196:V196)-1)/4</f>
        <v/>
      </c>
      <c r="AD196">
        <f>AVERAGE(W196:AA196)</f>
        <v/>
      </c>
      <c r="AE196">
        <f>MIN(W196:AA196)</f>
        <v/>
      </c>
      <c r="AF196">
        <f>1-alpha*MAX(0,delta-AE196)</f>
        <v/>
      </c>
      <c r="AG196">
        <f>AD196*AF196</f>
        <v/>
      </c>
      <c r="AH196">
        <f>1+COUNTIF(bounds,"&lt;"&amp;ROUND(AD196,12))</f>
        <v/>
      </c>
      <c r="AI196">
        <f>1+COUNTIF(bounds,"&lt;"&amp;ROUND(AG196,12))</f>
        <v/>
      </c>
      <c r="AJ196">
        <f>IF(AF196&lt;1,1,0)</f>
        <v/>
      </c>
      <c r="AK196">
        <f>IF(AH196&lt;&gt;AI196,1,0)</f>
        <v/>
      </c>
      <c r="AL196">
        <f>IF(AND(AI196&gt;=3,AB196&lt;=0.2),1,0)</f>
        <v/>
      </c>
      <c r="AM196">
        <f>AVERAGE(W196:AB196)</f>
        <v/>
      </c>
      <c r="AN196">
        <f>1+COUNTIF(bounds,"&lt;"&amp;ROUND(AM196,12))</f>
        <v/>
      </c>
      <c r="AO196">
        <f>IF(AK196=1,AD196,NA())</f>
        <v/>
      </c>
      <c r="AP196">
        <f>IF(AK196=0,AD196,NA())</f>
        <v/>
      </c>
    </row>
    <row r="197">
      <c r="A197" t="n">
        <v>189</v>
      </c>
      <c r="B197" t="n">
        <v>3</v>
      </c>
      <c r="C197" t="n">
        <v>3</v>
      </c>
      <c r="D197" t="n">
        <v>5</v>
      </c>
      <c r="E197" t="n">
        <v>1</v>
      </c>
      <c r="F197" t="n">
        <v>1</v>
      </c>
      <c r="G197" t="n">
        <v>4</v>
      </c>
      <c r="H197" t="n">
        <v>5</v>
      </c>
      <c r="I197" t="n">
        <v>1</v>
      </c>
      <c r="J197" t="n">
        <v>5</v>
      </c>
      <c r="K197" t="n">
        <v>1</v>
      </c>
      <c r="L197" t="n">
        <v>3</v>
      </c>
      <c r="M197" t="n">
        <v>3</v>
      </c>
      <c r="N197" t="n">
        <v>1</v>
      </c>
      <c r="O197" t="n">
        <v>1</v>
      </c>
      <c r="P197" t="n">
        <v>1</v>
      </c>
      <c r="Q197" t="n">
        <v>2</v>
      </c>
      <c r="R197" t="n">
        <v>3</v>
      </c>
      <c r="S197" t="n">
        <v>5</v>
      </c>
      <c r="T197" t="n">
        <v>5</v>
      </c>
      <c r="U197" t="n">
        <v>2</v>
      </c>
      <c r="V197" t="n">
        <v>3</v>
      </c>
      <c r="W197">
        <f>(AVERAGE(B197:D197)-1)/4</f>
        <v/>
      </c>
      <c r="X197">
        <f>(AVERAGE(E197:G197)-1)/4</f>
        <v/>
      </c>
      <c r="Y197">
        <f>(AVERAGE(H197:J197)-1)/4</f>
        <v/>
      </c>
      <c r="Z197">
        <f>(AVERAGE(K197:M197)-1)/4</f>
        <v/>
      </c>
      <c r="AA197">
        <f>(AVERAGE(N197:P197)-1)/4</f>
        <v/>
      </c>
      <c r="AB197">
        <f>(AVERAGE(Q197:S197)-1)/4</f>
        <v/>
      </c>
      <c r="AC197">
        <f>(AVERAGE(T197:V197)-1)/4</f>
        <v/>
      </c>
      <c r="AD197">
        <f>AVERAGE(W197:AA197)</f>
        <v/>
      </c>
      <c r="AE197">
        <f>MIN(W197:AA197)</f>
        <v/>
      </c>
      <c r="AF197">
        <f>1-alpha*MAX(0,delta-AE197)</f>
        <v/>
      </c>
      <c r="AG197">
        <f>AD197*AF197</f>
        <v/>
      </c>
      <c r="AH197">
        <f>1+COUNTIF(bounds,"&lt;"&amp;ROUND(AD197,12))</f>
        <v/>
      </c>
      <c r="AI197">
        <f>1+COUNTIF(bounds,"&lt;"&amp;ROUND(AG197,12))</f>
        <v/>
      </c>
      <c r="AJ197">
        <f>IF(AF197&lt;1,1,0)</f>
        <v/>
      </c>
      <c r="AK197">
        <f>IF(AH197&lt;&gt;AI197,1,0)</f>
        <v/>
      </c>
      <c r="AL197">
        <f>IF(AND(AI197&gt;=3,AB197&lt;=0.2),1,0)</f>
        <v/>
      </c>
      <c r="AM197">
        <f>AVERAGE(W197:AB197)</f>
        <v/>
      </c>
      <c r="AN197">
        <f>1+COUNTIF(bounds,"&lt;"&amp;ROUND(AM197,12))</f>
        <v/>
      </c>
      <c r="AO197">
        <f>IF(AK197=1,AD197,NA())</f>
        <v/>
      </c>
      <c r="AP197">
        <f>IF(AK197=0,AD197,NA())</f>
        <v/>
      </c>
    </row>
    <row r="198">
      <c r="A198" t="n">
        <v>190</v>
      </c>
      <c r="B198" t="n">
        <v>4</v>
      </c>
      <c r="C198" t="n">
        <v>4</v>
      </c>
      <c r="D198" t="n">
        <v>5</v>
      </c>
      <c r="E198" t="n">
        <v>4</v>
      </c>
      <c r="F198" t="n">
        <v>5</v>
      </c>
      <c r="G198" t="n">
        <v>3</v>
      </c>
      <c r="H198" t="n">
        <v>3</v>
      </c>
      <c r="I198" t="n">
        <v>2</v>
      </c>
      <c r="J198" t="n">
        <v>1</v>
      </c>
      <c r="K198" t="n">
        <v>2</v>
      </c>
      <c r="L198" t="n">
        <v>4</v>
      </c>
      <c r="M198" t="n">
        <v>1</v>
      </c>
      <c r="N198" t="n">
        <v>3</v>
      </c>
      <c r="O198" t="n">
        <v>1</v>
      </c>
      <c r="P198" t="n">
        <v>3</v>
      </c>
      <c r="Q198" t="n">
        <v>2</v>
      </c>
      <c r="R198" t="n">
        <v>3</v>
      </c>
      <c r="S198" t="n">
        <v>5</v>
      </c>
      <c r="T198" t="n">
        <v>2</v>
      </c>
      <c r="U198" t="n">
        <v>1</v>
      </c>
      <c r="V198" t="n">
        <v>4</v>
      </c>
      <c r="W198">
        <f>(AVERAGE(B198:D198)-1)/4</f>
        <v/>
      </c>
      <c r="X198">
        <f>(AVERAGE(E198:G198)-1)/4</f>
        <v/>
      </c>
      <c r="Y198">
        <f>(AVERAGE(H198:J198)-1)/4</f>
        <v/>
      </c>
      <c r="Z198">
        <f>(AVERAGE(K198:M198)-1)/4</f>
        <v/>
      </c>
      <c r="AA198">
        <f>(AVERAGE(N198:P198)-1)/4</f>
        <v/>
      </c>
      <c r="AB198">
        <f>(AVERAGE(Q198:S198)-1)/4</f>
        <v/>
      </c>
      <c r="AC198">
        <f>(AVERAGE(T198:V198)-1)/4</f>
        <v/>
      </c>
      <c r="AD198">
        <f>AVERAGE(W198:AA198)</f>
        <v/>
      </c>
      <c r="AE198">
        <f>MIN(W198:AA198)</f>
        <v/>
      </c>
      <c r="AF198">
        <f>1-alpha*MAX(0,delta-AE198)</f>
        <v/>
      </c>
      <c r="AG198">
        <f>AD198*AF198</f>
        <v/>
      </c>
      <c r="AH198">
        <f>1+COUNTIF(bounds,"&lt;"&amp;ROUND(AD198,12))</f>
        <v/>
      </c>
      <c r="AI198">
        <f>1+COUNTIF(bounds,"&lt;"&amp;ROUND(AG198,12))</f>
        <v/>
      </c>
      <c r="AJ198">
        <f>IF(AF198&lt;1,1,0)</f>
        <v/>
      </c>
      <c r="AK198">
        <f>IF(AH198&lt;&gt;AI198,1,0)</f>
        <v/>
      </c>
      <c r="AL198">
        <f>IF(AND(AI198&gt;=3,AB198&lt;=0.2),1,0)</f>
        <v/>
      </c>
      <c r="AM198">
        <f>AVERAGE(W198:AB198)</f>
        <v/>
      </c>
      <c r="AN198">
        <f>1+COUNTIF(bounds,"&lt;"&amp;ROUND(AM198,12))</f>
        <v/>
      </c>
      <c r="AO198">
        <f>IF(AK198=1,AD198,NA())</f>
        <v/>
      </c>
      <c r="AP198">
        <f>IF(AK198=0,AD198,NA())</f>
        <v/>
      </c>
    </row>
    <row r="199">
      <c r="A199" t="n">
        <v>191</v>
      </c>
      <c r="B199" t="n">
        <v>4</v>
      </c>
      <c r="C199" t="n">
        <v>5</v>
      </c>
      <c r="D199" t="n">
        <v>4</v>
      </c>
      <c r="E199" t="n">
        <v>2</v>
      </c>
      <c r="F199" t="n">
        <v>2</v>
      </c>
      <c r="G199" t="n">
        <v>4</v>
      </c>
      <c r="H199" t="n">
        <v>2</v>
      </c>
      <c r="I199" t="n">
        <v>4</v>
      </c>
      <c r="J199" t="n">
        <v>4</v>
      </c>
      <c r="K199" t="n">
        <v>5</v>
      </c>
      <c r="L199" t="n">
        <v>4</v>
      </c>
      <c r="M199" t="n">
        <v>2</v>
      </c>
      <c r="N199" t="n">
        <v>2</v>
      </c>
      <c r="O199" t="n">
        <v>4</v>
      </c>
      <c r="P199" t="n">
        <v>2</v>
      </c>
      <c r="Q199" t="n">
        <v>4</v>
      </c>
      <c r="R199" t="n">
        <v>3</v>
      </c>
      <c r="S199" t="n">
        <v>2</v>
      </c>
      <c r="T199" t="n">
        <v>1</v>
      </c>
      <c r="U199" t="n">
        <v>5</v>
      </c>
      <c r="V199" t="n">
        <v>2</v>
      </c>
      <c r="W199">
        <f>(AVERAGE(B199:D199)-1)/4</f>
        <v/>
      </c>
      <c r="X199">
        <f>(AVERAGE(E199:G199)-1)/4</f>
        <v/>
      </c>
      <c r="Y199">
        <f>(AVERAGE(H199:J199)-1)/4</f>
        <v/>
      </c>
      <c r="Z199">
        <f>(AVERAGE(K199:M199)-1)/4</f>
        <v/>
      </c>
      <c r="AA199">
        <f>(AVERAGE(N199:P199)-1)/4</f>
        <v/>
      </c>
      <c r="AB199">
        <f>(AVERAGE(Q199:S199)-1)/4</f>
        <v/>
      </c>
      <c r="AC199">
        <f>(AVERAGE(T199:V199)-1)/4</f>
        <v/>
      </c>
      <c r="AD199">
        <f>AVERAGE(W199:AA199)</f>
        <v/>
      </c>
      <c r="AE199">
        <f>MIN(W199:AA199)</f>
        <v/>
      </c>
      <c r="AF199">
        <f>1-alpha*MAX(0,delta-AE199)</f>
        <v/>
      </c>
      <c r="AG199">
        <f>AD199*AF199</f>
        <v/>
      </c>
      <c r="AH199">
        <f>1+COUNTIF(bounds,"&lt;"&amp;ROUND(AD199,12))</f>
        <v/>
      </c>
      <c r="AI199">
        <f>1+COUNTIF(bounds,"&lt;"&amp;ROUND(AG199,12))</f>
        <v/>
      </c>
      <c r="AJ199">
        <f>IF(AF199&lt;1,1,0)</f>
        <v/>
      </c>
      <c r="AK199">
        <f>IF(AH199&lt;&gt;AI199,1,0)</f>
        <v/>
      </c>
      <c r="AL199">
        <f>IF(AND(AI199&gt;=3,AB199&lt;=0.2),1,0)</f>
        <v/>
      </c>
      <c r="AM199">
        <f>AVERAGE(W199:AB199)</f>
        <v/>
      </c>
      <c r="AN199">
        <f>1+COUNTIF(bounds,"&lt;"&amp;ROUND(AM199,12))</f>
        <v/>
      </c>
      <c r="AO199">
        <f>IF(AK199=1,AD199,NA())</f>
        <v/>
      </c>
      <c r="AP199">
        <f>IF(AK199=0,AD199,NA())</f>
        <v/>
      </c>
    </row>
    <row r="200">
      <c r="A200" t="n">
        <v>192</v>
      </c>
      <c r="B200" t="n">
        <v>3</v>
      </c>
      <c r="C200" t="n">
        <v>2</v>
      </c>
      <c r="D200" t="n">
        <v>2</v>
      </c>
      <c r="E200" t="n">
        <v>1</v>
      </c>
      <c r="F200" t="n">
        <v>5</v>
      </c>
      <c r="G200" t="n">
        <v>3</v>
      </c>
      <c r="H200" t="n">
        <v>5</v>
      </c>
      <c r="I200" t="n">
        <v>5</v>
      </c>
      <c r="J200" t="n">
        <v>5</v>
      </c>
      <c r="K200" t="n">
        <v>4</v>
      </c>
      <c r="L200" t="n">
        <v>4</v>
      </c>
      <c r="M200" t="n">
        <v>2</v>
      </c>
      <c r="N200" t="n">
        <v>1</v>
      </c>
      <c r="O200" t="n">
        <v>4</v>
      </c>
      <c r="P200" t="n">
        <v>5</v>
      </c>
      <c r="Q200" t="n">
        <v>2</v>
      </c>
      <c r="R200" t="n">
        <v>2</v>
      </c>
      <c r="S200" t="n">
        <v>4</v>
      </c>
      <c r="T200" t="n">
        <v>2</v>
      </c>
      <c r="U200" t="n">
        <v>1</v>
      </c>
      <c r="V200" t="n">
        <v>3</v>
      </c>
      <c r="W200">
        <f>(AVERAGE(B200:D200)-1)/4</f>
        <v/>
      </c>
      <c r="X200">
        <f>(AVERAGE(E200:G200)-1)/4</f>
        <v/>
      </c>
      <c r="Y200">
        <f>(AVERAGE(H200:J200)-1)/4</f>
        <v/>
      </c>
      <c r="Z200">
        <f>(AVERAGE(K200:M200)-1)/4</f>
        <v/>
      </c>
      <c r="AA200">
        <f>(AVERAGE(N200:P200)-1)/4</f>
        <v/>
      </c>
      <c r="AB200">
        <f>(AVERAGE(Q200:S200)-1)/4</f>
        <v/>
      </c>
      <c r="AC200">
        <f>(AVERAGE(T200:V200)-1)/4</f>
        <v/>
      </c>
      <c r="AD200">
        <f>AVERAGE(W200:AA200)</f>
        <v/>
      </c>
      <c r="AE200">
        <f>MIN(W200:AA200)</f>
        <v/>
      </c>
      <c r="AF200">
        <f>1-alpha*MAX(0,delta-AE200)</f>
        <v/>
      </c>
      <c r="AG200">
        <f>AD200*AF200</f>
        <v/>
      </c>
      <c r="AH200">
        <f>1+COUNTIF(bounds,"&lt;"&amp;ROUND(AD200,12))</f>
        <v/>
      </c>
      <c r="AI200">
        <f>1+COUNTIF(bounds,"&lt;"&amp;ROUND(AG200,12))</f>
        <v/>
      </c>
      <c r="AJ200">
        <f>IF(AF200&lt;1,1,0)</f>
        <v/>
      </c>
      <c r="AK200">
        <f>IF(AH200&lt;&gt;AI200,1,0)</f>
        <v/>
      </c>
      <c r="AL200">
        <f>IF(AND(AI200&gt;=3,AB200&lt;=0.2),1,0)</f>
        <v/>
      </c>
      <c r="AM200">
        <f>AVERAGE(W200:AB200)</f>
        <v/>
      </c>
      <c r="AN200">
        <f>1+COUNTIF(bounds,"&lt;"&amp;ROUND(AM200,12))</f>
        <v/>
      </c>
      <c r="AO200">
        <f>IF(AK200=1,AD200,NA())</f>
        <v/>
      </c>
      <c r="AP200">
        <f>IF(AK200=0,AD200,NA())</f>
        <v/>
      </c>
    </row>
    <row r="201">
      <c r="A201" t="n">
        <v>193</v>
      </c>
      <c r="B201" t="n">
        <v>3</v>
      </c>
      <c r="C201" t="n">
        <v>1</v>
      </c>
      <c r="D201" t="n">
        <v>1</v>
      </c>
      <c r="E201" t="n">
        <v>4</v>
      </c>
      <c r="F201" t="n">
        <v>1</v>
      </c>
      <c r="G201" t="n">
        <v>1</v>
      </c>
      <c r="H201" t="n">
        <v>4</v>
      </c>
      <c r="I201" t="n">
        <v>1</v>
      </c>
      <c r="J201" t="n">
        <v>2</v>
      </c>
      <c r="K201" t="n">
        <v>1</v>
      </c>
      <c r="L201" t="n">
        <v>2</v>
      </c>
      <c r="M201" t="n">
        <v>1</v>
      </c>
      <c r="N201" t="n">
        <v>1</v>
      </c>
      <c r="O201" t="n">
        <v>2</v>
      </c>
      <c r="P201" t="n">
        <v>1</v>
      </c>
      <c r="Q201" t="n">
        <v>2</v>
      </c>
      <c r="R201" t="n">
        <v>3</v>
      </c>
      <c r="S201" t="n">
        <v>5</v>
      </c>
      <c r="T201" t="n">
        <v>5</v>
      </c>
      <c r="U201" t="n">
        <v>3</v>
      </c>
      <c r="V201" t="n">
        <v>4</v>
      </c>
      <c r="W201">
        <f>(AVERAGE(B201:D201)-1)/4</f>
        <v/>
      </c>
      <c r="X201">
        <f>(AVERAGE(E201:G201)-1)/4</f>
        <v/>
      </c>
      <c r="Y201">
        <f>(AVERAGE(H201:J201)-1)/4</f>
        <v/>
      </c>
      <c r="Z201">
        <f>(AVERAGE(K201:M201)-1)/4</f>
        <v/>
      </c>
      <c r="AA201">
        <f>(AVERAGE(N201:P201)-1)/4</f>
        <v/>
      </c>
      <c r="AB201">
        <f>(AVERAGE(Q201:S201)-1)/4</f>
        <v/>
      </c>
      <c r="AC201">
        <f>(AVERAGE(T201:V201)-1)/4</f>
        <v/>
      </c>
      <c r="AD201">
        <f>AVERAGE(W201:AA201)</f>
        <v/>
      </c>
      <c r="AE201">
        <f>MIN(W201:AA201)</f>
        <v/>
      </c>
      <c r="AF201">
        <f>1-alpha*MAX(0,delta-AE201)</f>
        <v/>
      </c>
      <c r="AG201">
        <f>AD201*AF201</f>
        <v/>
      </c>
      <c r="AH201">
        <f>1+COUNTIF(bounds,"&lt;"&amp;ROUND(AD201,12))</f>
        <v/>
      </c>
      <c r="AI201">
        <f>1+COUNTIF(bounds,"&lt;"&amp;ROUND(AG201,12))</f>
        <v/>
      </c>
      <c r="AJ201">
        <f>IF(AF201&lt;1,1,0)</f>
        <v/>
      </c>
      <c r="AK201">
        <f>IF(AH201&lt;&gt;AI201,1,0)</f>
        <v/>
      </c>
      <c r="AL201">
        <f>IF(AND(AI201&gt;=3,AB201&lt;=0.2),1,0)</f>
        <v/>
      </c>
      <c r="AM201">
        <f>AVERAGE(W201:AB201)</f>
        <v/>
      </c>
      <c r="AN201">
        <f>1+COUNTIF(bounds,"&lt;"&amp;ROUND(AM201,12))</f>
        <v/>
      </c>
      <c r="AO201">
        <f>IF(AK201=1,AD201,NA())</f>
        <v/>
      </c>
      <c r="AP201">
        <f>IF(AK201=0,AD201,NA())</f>
        <v/>
      </c>
    </row>
    <row r="202">
      <c r="A202" t="n">
        <v>194</v>
      </c>
      <c r="B202" t="n">
        <v>4</v>
      </c>
      <c r="C202" t="n">
        <v>4</v>
      </c>
      <c r="D202" t="n">
        <v>1</v>
      </c>
      <c r="E202" t="n">
        <v>3</v>
      </c>
      <c r="F202" t="n">
        <v>2</v>
      </c>
      <c r="G202" t="n">
        <v>3</v>
      </c>
      <c r="H202" t="n">
        <v>3</v>
      </c>
      <c r="I202" t="n">
        <v>4</v>
      </c>
      <c r="J202" t="n">
        <v>3</v>
      </c>
      <c r="K202" t="n">
        <v>4</v>
      </c>
      <c r="L202" t="n">
        <v>1</v>
      </c>
      <c r="M202" t="n">
        <v>5</v>
      </c>
      <c r="N202" t="n">
        <v>1</v>
      </c>
      <c r="O202" t="n">
        <v>2</v>
      </c>
      <c r="P202" t="n">
        <v>1</v>
      </c>
      <c r="Q202" t="n">
        <v>3</v>
      </c>
      <c r="R202" t="n">
        <v>1</v>
      </c>
      <c r="S202" t="n">
        <v>1</v>
      </c>
      <c r="T202" t="n">
        <v>5</v>
      </c>
      <c r="U202" t="n">
        <v>5</v>
      </c>
      <c r="V202" t="n">
        <v>5</v>
      </c>
      <c r="W202">
        <f>(AVERAGE(B202:D202)-1)/4</f>
        <v/>
      </c>
      <c r="X202">
        <f>(AVERAGE(E202:G202)-1)/4</f>
        <v/>
      </c>
      <c r="Y202">
        <f>(AVERAGE(H202:J202)-1)/4</f>
        <v/>
      </c>
      <c r="Z202">
        <f>(AVERAGE(K202:M202)-1)/4</f>
        <v/>
      </c>
      <c r="AA202">
        <f>(AVERAGE(N202:P202)-1)/4</f>
        <v/>
      </c>
      <c r="AB202">
        <f>(AVERAGE(Q202:S202)-1)/4</f>
        <v/>
      </c>
      <c r="AC202">
        <f>(AVERAGE(T202:V202)-1)/4</f>
        <v/>
      </c>
      <c r="AD202">
        <f>AVERAGE(W202:AA202)</f>
        <v/>
      </c>
      <c r="AE202">
        <f>MIN(W202:AA202)</f>
        <v/>
      </c>
      <c r="AF202">
        <f>1-alpha*MAX(0,delta-AE202)</f>
        <v/>
      </c>
      <c r="AG202">
        <f>AD202*AF202</f>
        <v/>
      </c>
      <c r="AH202">
        <f>1+COUNTIF(bounds,"&lt;"&amp;ROUND(AD202,12))</f>
        <v/>
      </c>
      <c r="AI202">
        <f>1+COUNTIF(bounds,"&lt;"&amp;ROUND(AG202,12))</f>
        <v/>
      </c>
      <c r="AJ202">
        <f>IF(AF202&lt;1,1,0)</f>
        <v/>
      </c>
      <c r="AK202">
        <f>IF(AH202&lt;&gt;AI202,1,0)</f>
        <v/>
      </c>
      <c r="AL202">
        <f>IF(AND(AI202&gt;=3,AB202&lt;=0.2),1,0)</f>
        <v/>
      </c>
      <c r="AM202">
        <f>AVERAGE(W202:AB202)</f>
        <v/>
      </c>
      <c r="AN202">
        <f>1+COUNTIF(bounds,"&lt;"&amp;ROUND(AM202,12))</f>
        <v/>
      </c>
      <c r="AO202">
        <f>IF(AK202=1,AD202,NA())</f>
        <v/>
      </c>
      <c r="AP202">
        <f>IF(AK202=0,AD202,NA())</f>
        <v/>
      </c>
    </row>
    <row r="203">
      <c r="A203" t="n">
        <v>195</v>
      </c>
      <c r="B203" t="n">
        <v>1</v>
      </c>
      <c r="C203" t="n">
        <v>4</v>
      </c>
      <c r="D203" t="n">
        <v>3</v>
      </c>
      <c r="E203" t="n">
        <v>5</v>
      </c>
      <c r="F203" t="n">
        <v>5</v>
      </c>
      <c r="G203" t="n">
        <v>2</v>
      </c>
      <c r="H203" t="n">
        <v>4</v>
      </c>
      <c r="I203" t="n">
        <v>1</v>
      </c>
      <c r="J203" t="n">
        <v>1</v>
      </c>
      <c r="K203" t="n">
        <v>2</v>
      </c>
      <c r="L203" t="n">
        <v>5</v>
      </c>
      <c r="M203" t="n">
        <v>5</v>
      </c>
      <c r="N203" t="n">
        <v>5</v>
      </c>
      <c r="O203" t="n">
        <v>2</v>
      </c>
      <c r="P203" t="n">
        <v>3</v>
      </c>
      <c r="Q203" t="n">
        <v>5</v>
      </c>
      <c r="R203" t="n">
        <v>3</v>
      </c>
      <c r="S203" t="n">
        <v>4</v>
      </c>
      <c r="T203" t="n">
        <v>4</v>
      </c>
      <c r="U203" t="n">
        <v>5</v>
      </c>
      <c r="V203" t="n">
        <v>3</v>
      </c>
      <c r="W203">
        <f>(AVERAGE(B203:D203)-1)/4</f>
        <v/>
      </c>
      <c r="X203">
        <f>(AVERAGE(E203:G203)-1)/4</f>
        <v/>
      </c>
      <c r="Y203">
        <f>(AVERAGE(H203:J203)-1)/4</f>
        <v/>
      </c>
      <c r="Z203">
        <f>(AVERAGE(K203:M203)-1)/4</f>
        <v/>
      </c>
      <c r="AA203">
        <f>(AVERAGE(N203:P203)-1)/4</f>
        <v/>
      </c>
      <c r="AB203">
        <f>(AVERAGE(Q203:S203)-1)/4</f>
        <v/>
      </c>
      <c r="AC203">
        <f>(AVERAGE(T203:V203)-1)/4</f>
        <v/>
      </c>
      <c r="AD203">
        <f>AVERAGE(W203:AA203)</f>
        <v/>
      </c>
      <c r="AE203">
        <f>MIN(W203:AA203)</f>
        <v/>
      </c>
      <c r="AF203">
        <f>1-alpha*MAX(0,delta-AE203)</f>
        <v/>
      </c>
      <c r="AG203">
        <f>AD203*AF203</f>
        <v/>
      </c>
      <c r="AH203">
        <f>1+COUNTIF(bounds,"&lt;"&amp;ROUND(AD203,12))</f>
        <v/>
      </c>
      <c r="AI203">
        <f>1+COUNTIF(bounds,"&lt;"&amp;ROUND(AG203,12))</f>
        <v/>
      </c>
      <c r="AJ203">
        <f>IF(AF203&lt;1,1,0)</f>
        <v/>
      </c>
      <c r="AK203">
        <f>IF(AH203&lt;&gt;AI203,1,0)</f>
        <v/>
      </c>
      <c r="AL203">
        <f>IF(AND(AI203&gt;=3,AB203&lt;=0.2),1,0)</f>
        <v/>
      </c>
      <c r="AM203">
        <f>AVERAGE(W203:AB203)</f>
        <v/>
      </c>
      <c r="AN203">
        <f>1+COUNTIF(bounds,"&lt;"&amp;ROUND(AM203,12))</f>
        <v/>
      </c>
      <c r="AO203">
        <f>IF(AK203=1,AD203,NA())</f>
        <v/>
      </c>
      <c r="AP203">
        <f>IF(AK203=0,AD203,NA())</f>
        <v/>
      </c>
    </row>
    <row r="204">
      <c r="A204" t="n">
        <v>196</v>
      </c>
      <c r="B204" t="n">
        <v>3</v>
      </c>
      <c r="C204" t="n">
        <v>1</v>
      </c>
      <c r="D204" t="n">
        <v>5</v>
      </c>
      <c r="E204" t="n">
        <v>1</v>
      </c>
      <c r="F204" t="n">
        <v>4</v>
      </c>
      <c r="G204" t="n">
        <v>5</v>
      </c>
      <c r="H204" t="n">
        <v>3</v>
      </c>
      <c r="I204" t="n">
        <v>2</v>
      </c>
      <c r="J204" t="n">
        <v>2</v>
      </c>
      <c r="K204" t="n">
        <v>1</v>
      </c>
      <c r="L204" t="n">
        <v>5</v>
      </c>
      <c r="M204" t="n">
        <v>2</v>
      </c>
      <c r="N204" t="n">
        <v>3</v>
      </c>
      <c r="O204" t="n">
        <v>2</v>
      </c>
      <c r="P204" t="n">
        <v>2</v>
      </c>
      <c r="Q204" t="n">
        <v>3</v>
      </c>
      <c r="R204" t="n">
        <v>5</v>
      </c>
      <c r="S204" t="n">
        <v>1</v>
      </c>
      <c r="T204" t="n">
        <v>4</v>
      </c>
      <c r="U204" t="n">
        <v>5</v>
      </c>
      <c r="V204" t="n">
        <v>3</v>
      </c>
      <c r="W204">
        <f>(AVERAGE(B204:D204)-1)/4</f>
        <v/>
      </c>
      <c r="X204">
        <f>(AVERAGE(E204:G204)-1)/4</f>
        <v/>
      </c>
      <c r="Y204">
        <f>(AVERAGE(H204:J204)-1)/4</f>
        <v/>
      </c>
      <c r="Z204">
        <f>(AVERAGE(K204:M204)-1)/4</f>
        <v/>
      </c>
      <c r="AA204">
        <f>(AVERAGE(N204:P204)-1)/4</f>
        <v/>
      </c>
      <c r="AB204">
        <f>(AVERAGE(Q204:S204)-1)/4</f>
        <v/>
      </c>
      <c r="AC204">
        <f>(AVERAGE(T204:V204)-1)/4</f>
        <v/>
      </c>
      <c r="AD204">
        <f>AVERAGE(W204:AA204)</f>
        <v/>
      </c>
      <c r="AE204">
        <f>MIN(W204:AA204)</f>
        <v/>
      </c>
      <c r="AF204">
        <f>1-alpha*MAX(0,delta-AE204)</f>
        <v/>
      </c>
      <c r="AG204">
        <f>AD204*AF204</f>
        <v/>
      </c>
      <c r="AH204">
        <f>1+COUNTIF(bounds,"&lt;"&amp;ROUND(AD204,12))</f>
        <v/>
      </c>
      <c r="AI204">
        <f>1+COUNTIF(bounds,"&lt;"&amp;ROUND(AG204,12))</f>
        <v/>
      </c>
      <c r="AJ204">
        <f>IF(AF204&lt;1,1,0)</f>
        <v/>
      </c>
      <c r="AK204">
        <f>IF(AH204&lt;&gt;AI204,1,0)</f>
        <v/>
      </c>
      <c r="AL204">
        <f>IF(AND(AI204&gt;=3,AB204&lt;=0.2),1,0)</f>
        <v/>
      </c>
      <c r="AM204">
        <f>AVERAGE(W204:AB204)</f>
        <v/>
      </c>
      <c r="AN204">
        <f>1+COUNTIF(bounds,"&lt;"&amp;ROUND(AM204,12))</f>
        <v/>
      </c>
      <c r="AO204">
        <f>IF(AK204=1,AD204,NA())</f>
        <v/>
      </c>
      <c r="AP204">
        <f>IF(AK204=0,AD204,NA())</f>
        <v/>
      </c>
    </row>
    <row r="205">
      <c r="A205" t="n">
        <v>197</v>
      </c>
      <c r="B205" t="n">
        <v>2</v>
      </c>
      <c r="C205" t="n">
        <v>2</v>
      </c>
      <c r="D205" t="n">
        <v>3</v>
      </c>
      <c r="E205" t="n">
        <v>1</v>
      </c>
      <c r="F205" t="n">
        <v>3</v>
      </c>
      <c r="G205" t="n">
        <v>4</v>
      </c>
      <c r="H205" t="n">
        <v>1</v>
      </c>
      <c r="I205" t="n">
        <v>3</v>
      </c>
      <c r="J205" t="n">
        <v>1</v>
      </c>
      <c r="K205" t="n">
        <v>2</v>
      </c>
      <c r="L205" t="n">
        <v>1</v>
      </c>
      <c r="M205" t="n">
        <v>5</v>
      </c>
      <c r="N205" t="n">
        <v>1</v>
      </c>
      <c r="O205" t="n">
        <v>1</v>
      </c>
      <c r="P205" t="n">
        <v>1</v>
      </c>
      <c r="Q205" t="n">
        <v>2</v>
      </c>
      <c r="R205" t="n">
        <v>3</v>
      </c>
      <c r="S205" t="n">
        <v>2</v>
      </c>
      <c r="T205" t="n">
        <v>2</v>
      </c>
      <c r="U205" t="n">
        <v>1</v>
      </c>
      <c r="V205" t="n">
        <v>1</v>
      </c>
      <c r="W205">
        <f>(AVERAGE(B205:D205)-1)/4</f>
        <v/>
      </c>
      <c r="X205">
        <f>(AVERAGE(E205:G205)-1)/4</f>
        <v/>
      </c>
      <c r="Y205">
        <f>(AVERAGE(H205:J205)-1)/4</f>
        <v/>
      </c>
      <c r="Z205">
        <f>(AVERAGE(K205:M205)-1)/4</f>
        <v/>
      </c>
      <c r="AA205">
        <f>(AVERAGE(N205:P205)-1)/4</f>
        <v/>
      </c>
      <c r="AB205">
        <f>(AVERAGE(Q205:S205)-1)/4</f>
        <v/>
      </c>
      <c r="AC205">
        <f>(AVERAGE(T205:V205)-1)/4</f>
        <v/>
      </c>
      <c r="AD205">
        <f>AVERAGE(W205:AA205)</f>
        <v/>
      </c>
      <c r="AE205">
        <f>MIN(W205:AA205)</f>
        <v/>
      </c>
      <c r="AF205">
        <f>1-alpha*MAX(0,delta-AE205)</f>
        <v/>
      </c>
      <c r="AG205">
        <f>AD205*AF205</f>
        <v/>
      </c>
      <c r="AH205">
        <f>1+COUNTIF(bounds,"&lt;"&amp;ROUND(AD205,12))</f>
        <v/>
      </c>
      <c r="AI205">
        <f>1+COUNTIF(bounds,"&lt;"&amp;ROUND(AG205,12))</f>
        <v/>
      </c>
      <c r="AJ205">
        <f>IF(AF205&lt;1,1,0)</f>
        <v/>
      </c>
      <c r="AK205">
        <f>IF(AH205&lt;&gt;AI205,1,0)</f>
        <v/>
      </c>
      <c r="AL205">
        <f>IF(AND(AI205&gt;=3,AB205&lt;=0.2),1,0)</f>
        <v/>
      </c>
      <c r="AM205">
        <f>AVERAGE(W205:AB205)</f>
        <v/>
      </c>
      <c r="AN205">
        <f>1+COUNTIF(bounds,"&lt;"&amp;ROUND(AM205,12))</f>
        <v/>
      </c>
      <c r="AO205">
        <f>IF(AK205=1,AD205,NA())</f>
        <v/>
      </c>
      <c r="AP205">
        <f>IF(AK205=0,AD205,NA())</f>
        <v/>
      </c>
    </row>
    <row r="206">
      <c r="A206" t="n">
        <v>198</v>
      </c>
      <c r="B206" t="n">
        <v>3</v>
      </c>
      <c r="C206" t="n">
        <v>5</v>
      </c>
      <c r="D206" t="n">
        <v>2</v>
      </c>
      <c r="E206" t="n">
        <v>2</v>
      </c>
      <c r="F206" t="n">
        <v>5</v>
      </c>
      <c r="G206" t="n">
        <v>5</v>
      </c>
      <c r="H206" t="n">
        <v>3</v>
      </c>
      <c r="I206" t="n">
        <v>2</v>
      </c>
      <c r="J206" t="n">
        <v>5</v>
      </c>
      <c r="K206" t="n">
        <v>5</v>
      </c>
      <c r="L206" t="n">
        <v>2</v>
      </c>
      <c r="M206" t="n">
        <v>3</v>
      </c>
      <c r="N206" t="n">
        <v>1</v>
      </c>
      <c r="O206" t="n">
        <v>4</v>
      </c>
      <c r="P206" t="n">
        <v>5</v>
      </c>
      <c r="Q206" t="n">
        <v>3</v>
      </c>
      <c r="R206" t="n">
        <v>2</v>
      </c>
      <c r="S206" t="n">
        <v>4</v>
      </c>
      <c r="T206" t="n">
        <v>2</v>
      </c>
      <c r="U206" t="n">
        <v>2</v>
      </c>
      <c r="V206" t="n">
        <v>4</v>
      </c>
      <c r="W206">
        <f>(AVERAGE(B206:D206)-1)/4</f>
        <v/>
      </c>
      <c r="X206">
        <f>(AVERAGE(E206:G206)-1)/4</f>
        <v/>
      </c>
      <c r="Y206">
        <f>(AVERAGE(H206:J206)-1)/4</f>
        <v/>
      </c>
      <c r="Z206">
        <f>(AVERAGE(K206:M206)-1)/4</f>
        <v/>
      </c>
      <c r="AA206">
        <f>(AVERAGE(N206:P206)-1)/4</f>
        <v/>
      </c>
      <c r="AB206">
        <f>(AVERAGE(Q206:S206)-1)/4</f>
        <v/>
      </c>
      <c r="AC206">
        <f>(AVERAGE(T206:V206)-1)/4</f>
        <v/>
      </c>
      <c r="AD206">
        <f>AVERAGE(W206:AA206)</f>
        <v/>
      </c>
      <c r="AE206">
        <f>MIN(W206:AA206)</f>
        <v/>
      </c>
      <c r="AF206">
        <f>1-alpha*MAX(0,delta-AE206)</f>
        <v/>
      </c>
      <c r="AG206">
        <f>AD206*AF206</f>
        <v/>
      </c>
      <c r="AH206">
        <f>1+COUNTIF(bounds,"&lt;"&amp;ROUND(AD206,12))</f>
        <v/>
      </c>
      <c r="AI206">
        <f>1+COUNTIF(bounds,"&lt;"&amp;ROUND(AG206,12))</f>
        <v/>
      </c>
      <c r="AJ206">
        <f>IF(AF206&lt;1,1,0)</f>
        <v/>
      </c>
      <c r="AK206">
        <f>IF(AH206&lt;&gt;AI206,1,0)</f>
        <v/>
      </c>
      <c r="AL206">
        <f>IF(AND(AI206&gt;=3,AB206&lt;=0.2),1,0)</f>
        <v/>
      </c>
      <c r="AM206">
        <f>AVERAGE(W206:AB206)</f>
        <v/>
      </c>
      <c r="AN206">
        <f>1+COUNTIF(bounds,"&lt;"&amp;ROUND(AM206,12))</f>
        <v/>
      </c>
      <c r="AO206">
        <f>IF(AK206=1,AD206,NA())</f>
        <v/>
      </c>
      <c r="AP206">
        <f>IF(AK206=0,AD206,NA())</f>
        <v/>
      </c>
    </row>
    <row r="207">
      <c r="A207" t="n">
        <v>199</v>
      </c>
      <c r="B207" t="n">
        <v>1</v>
      </c>
      <c r="C207" t="n">
        <v>1</v>
      </c>
      <c r="D207" t="n">
        <v>4</v>
      </c>
      <c r="E207" t="n">
        <v>1</v>
      </c>
      <c r="F207" t="n">
        <v>4</v>
      </c>
      <c r="G207" t="n">
        <v>2</v>
      </c>
      <c r="H207" t="n">
        <v>1</v>
      </c>
      <c r="I207" t="n">
        <v>4</v>
      </c>
      <c r="J207" t="n">
        <v>3</v>
      </c>
      <c r="K207" t="n">
        <v>4</v>
      </c>
      <c r="L207" t="n">
        <v>4</v>
      </c>
      <c r="M207" t="n">
        <v>3</v>
      </c>
      <c r="N207" t="n">
        <v>1</v>
      </c>
      <c r="O207" t="n">
        <v>5</v>
      </c>
      <c r="P207" t="n">
        <v>3</v>
      </c>
      <c r="Q207" t="n">
        <v>3</v>
      </c>
      <c r="R207" t="n">
        <v>2</v>
      </c>
      <c r="S207" t="n">
        <v>2</v>
      </c>
      <c r="T207" t="n">
        <v>5</v>
      </c>
      <c r="U207" t="n">
        <v>3</v>
      </c>
      <c r="V207" t="n">
        <v>3</v>
      </c>
      <c r="W207">
        <f>(AVERAGE(B207:D207)-1)/4</f>
        <v/>
      </c>
      <c r="X207">
        <f>(AVERAGE(E207:G207)-1)/4</f>
        <v/>
      </c>
      <c r="Y207">
        <f>(AVERAGE(H207:J207)-1)/4</f>
        <v/>
      </c>
      <c r="Z207">
        <f>(AVERAGE(K207:M207)-1)/4</f>
        <v/>
      </c>
      <c r="AA207">
        <f>(AVERAGE(N207:P207)-1)/4</f>
        <v/>
      </c>
      <c r="AB207">
        <f>(AVERAGE(Q207:S207)-1)/4</f>
        <v/>
      </c>
      <c r="AC207">
        <f>(AVERAGE(T207:V207)-1)/4</f>
        <v/>
      </c>
      <c r="AD207">
        <f>AVERAGE(W207:AA207)</f>
        <v/>
      </c>
      <c r="AE207">
        <f>MIN(W207:AA207)</f>
        <v/>
      </c>
      <c r="AF207">
        <f>1-alpha*MAX(0,delta-AE207)</f>
        <v/>
      </c>
      <c r="AG207">
        <f>AD207*AF207</f>
        <v/>
      </c>
      <c r="AH207">
        <f>1+COUNTIF(bounds,"&lt;"&amp;ROUND(AD207,12))</f>
        <v/>
      </c>
      <c r="AI207">
        <f>1+COUNTIF(bounds,"&lt;"&amp;ROUND(AG207,12))</f>
        <v/>
      </c>
      <c r="AJ207">
        <f>IF(AF207&lt;1,1,0)</f>
        <v/>
      </c>
      <c r="AK207">
        <f>IF(AH207&lt;&gt;AI207,1,0)</f>
        <v/>
      </c>
      <c r="AL207">
        <f>IF(AND(AI207&gt;=3,AB207&lt;=0.2),1,0)</f>
        <v/>
      </c>
      <c r="AM207">
        <f>AVERAGE(W207:AB207)</f>
        <v/>
      </c>
      <c r="AN207">
        <f>1+COUNTIF(bounds,"&lt;"&amp;ROUND(AM207,12))</f>
        <v/>
      </c>
      <c r="AO207">
        <f>IF(AK207=1,AD207,NA())</f>
        <v/>
      </c>
      <c r="AP207">
        <f>IF(AK207=0,AD207,NA())</f>
        <v/>
      </c>
    </row>
    <row r="208">
      <c r="A208" t="n">
        <v>200</v>
      </c>
      <c r="B208" t="n">
        <v>2</v>
      </c>
      <c r="C208" t="n">
        <v>5</v>
      </c>
      <c r="D208" t="n">
        <v>1</v>
      </c>
      <c r="E208" t="n">
        <v>3</v>
      </c>
      <c r="F208" t="n">
        <v>1</v>
      </c>
      <c r="G208" t="n">
        <v>1</v>
      </c>
      <c r="H208" t="n">
        <v>4</v>
      </c>
      <c r="I208" t="n">
        <v>1</v>
      </c>
      <c r="J208" t="n">
        <v>1</v>
      </c>
      <c r="K208" t="n">
        <v>5</v>
      </c>
      <c r="L208" t="n">
        <v>3</v>
      </c>
      <c r="M208" t="n">
        <v>3</v>
      </c>
      <c r="N208" t="n">
        <v>5</v>
      </c>
      <c r="O208" t="n">
        <v>2</v>
      </c>
      <c r="P208" t="n">
        <v>5</v>
      </c>
      <c r="Q208" t="n">
        <v>1</v>
      </c>
      <c r="R208" t="n">
        <v>1</v>
      </c>
      <c r="S208" t="n">
        <v>2</v>
      </c>
      <c r="T208" t="n">
        <v>4</v>
      </c>
      <c r="U208" t="n">
        <v>4</v>
      </c>
      <c r="V208" t="n">
        <v>1</v>
      </c>
      <c r="W208">
        <f>(AVERAGE(B208:D208)-1)/4</f>
        <v/>
      </c>
      <c r="X208">
        <f>(AVERAGE(E208:G208)-1)/4</f>
        <v/>
      </c>
      <c r="Y208">
        <f>(AVERAGE(H208:J208)-1)/4</f>
        <v/>
      </c>
      <c r="Z208">
        <f>(AVERAGE(K208:M208)-1)/4</f>
        <v/>
      </c>
      <c r="AA208">
        <f>(AVERAGE(N208:P208)-1)/4</f>
        <v/>
      </c>
      <c r="AB208">
        <f>(AVERAGE(Q208:S208)-1)/4</f>
        <v/>
      </c>
      <c r="AC208">
        <f>(AVERAGE(T208:V208)-1)/4</f>
        <v/>
      </c>
      <c r="AD208">
        <f>AVERAGE(W208:AA208)</f>
        <v/>
      </c>
      <c r="AE208">
        <f>MIN(W208:AA208)</f>
        <v/>
      </c>
      <c r="AF208">
        <f>1-alpha*MAX(0,delta-AE208)</f>
        <v/>
      </c>
      <c r="AG208">
        <f>AD208*AF208</f>
        <v/>
      </c>
      <c r="AH208">
        <f>1+COUNTIF(bounds,"&lt;"&amp;ROUND(AD208,12))</f>
        <v/>
      </c>
      <c r="AI208">
        <f>1+COUNTIF(bounds,"&lt;"&amp;ROUND(AG208,12))</f>
        <v/>
      </c>
      <c r="AJ208">
        <f>IF(AF208&lt;1,1,0)</f>
        <v/>
      </c>
      <c r="AK208">
        <f>IF(AH208&lt;&gt;AI208,1,0)</f>
        <v/>
      </c>
      <c r="AL208">
        <f>IF(AND(AI208&gt;=3,AB208&lt;=0.2),1,0)</f>
        <v/>
      </c>
      <c r="AM208">
        <f>AVERAGE(W208:AB208)</f>
        <v/>
      </c>
      <c r="AN208">
        <f>1+COUNTIF(bounds,"&lt;"&amp;ROUND(AM208,12))</f>
        <v/>
      </c>
      <c r="AO208">
        <f>IF(AK208=1,AD208,NA())</f>
        <v/>
      </c>
      <c r="AP208">
        <f>IF(AK208=0,AD208,NA())</f>
        <v/>
      </c>
    </row>
    <row r="209">
      <c r="A209" t="n">
        <v>201</v>
      </c>
      <c r="B209" t="n">
        <v>3</v>
      </c>
      <c r="C209" t="n">
        <v>4</v>
      </c>
      <c r="D209" t="n">
        <v>3</v>
      </c>
      <c r="E209" t="n">
        <v>2</v>
      </c>
      <c r="F209" t="n">
        <v>4</v>
      </c>
      <c r="G209" t="n">
        <v>3</v>
      </c>
      <c r="H209" t="n">
        <v>1</v>
      </c>
      <c r="I209" t="n">
        <v>1</v>
      </c>
      <c r="J209" t="n">
        <v>4</v>
      </c>
      <c r="K209" t="n">
        <v>4</v>
      </c>
      <c r="L209" t="n">
        <v>1</v>
      </c>
      <c r="M209" t="n">
        <v>2</v>
      </c>
      <c r="N209" t="n">
        <v>3</v>
      </c>
      <c r="O209" t="n">
        <v>4</v>
      </c>
      <c r="P209" t="n">
        <v>3</v>
      </c>
      <c r="Q209" t="n">
        <v>4</v>
      </c>
      <c r="R209" t="n">
        <v>3</v>
      </c>
      <c r="S209" t="n">
        <v>4</v>
      </c>
      <c r="T209" t="n">
        <v>5</v>
      </c>
      <c r="U209" t="n">
        <v>3</v>
      </c>
      <c r="V209" t="n">
        <v>2</v>
      </c>
      <c r="W209">
        <f>(AVERAGE(B209:D209)-1)/4</f>
        <v/>
      </c>
      <c r="X209">
        <f>(AVERAGE(E209:G209)-1)/4</f>
        <v/>
      </c>
      <c r="Y209">
        <f>(AVERAGE(H209:J209)-1)/4</f>
        <v/>
      </c>
      <c r="Z209">
        <f>(AVERAGE(K209:M209)-1)/4</f>
        <v/>
      </c>
      <c r="AA209">
        <f>(AVERAGE(N209:P209)-1)/4</f>
        <v/>
      </c>
      <c r="AB209">
        <f>(AVERAGE(Q209:S209)-1)/4</f>
        <v/>
      </c>
      <c r="AC209">
        <f>(AVERAGE(T209:V209)-1)/4</f>
        <v/>
      </c>
      <c r="AD209">
        <f>AVERAGE(W209:AA209)</f>
        <v/>
      </c>
      <c r="AE209">
        <f>MIN(W209:AA209)</f>
        <v/>
      </c>
      <c r="AF209">
        <f>1-alpha*MAX(0,delta-AE209)</f>
        <v/>
      </c>
      <c r="AG209">
        <f>AD209*AF209</f>
        <v/>
      </c>
      <c r="AH209">
        <f>1+COUNTIF(bounds,"&lt;"&amp;ROUND(AD209,12))</f>
        <v/>
      </c>
      <c r="AI209">
        <f>1+COUNTIF(bounds,"&lt;"&amp;ROUND(AG209,12))</f>
        <v/>
      </c>
      <c r="AJ209">
        <f>IF(AF209&lt;1,1,0)</f>
        <v/>
      </c>
      <c r="AK209">
        <f>IF(AH209&lt;&gt;AI209,1,0)</f>
        <v/>
      </c>
      <c r="AL209">
        <f>IF(AND(AI209&gt;=3,AB209&lt;=0.2),1,0)</f>
        <v/>
      </c>
      <c r="AM209">
        <f>AVERAGE(W209:AB209)</f>
        <v/>
      </c>
      <c r="AN209">
        <f>1+COUNTIF(bounds,"&lt;"&amp;ROUND(AM209,12))</f>
        <v/>
      </c>
      <c r="AO209">
        <f>IF(AK209=1,AD209,NA())</f>
        <v/>
      </c>
      <c r="AP209">
        <f>IF(AK209=0,AD209,NA())</f>
        <v/>
      </c>
    </row>
    <row r="210">
      <c r="A210" t="n">
        <v>202</v>
      </c>
      <c r="B210" t="n">
        <v>3</v>
      </c>
      <c r="C210" t="n">
        <v>5</v>
      </c>
      <c r="D210" t="n">
        <v>3</v>
      </c>
      <c r="E210" t="n">
        <v>2</v>
      </c>
      <c r="F210" t="n">
        <v>3</v>
      </c>
      <c r="G210" t="n">
        <v>5</v>
      </c>
      <c r="H210" t="n">
        <v>2</v>
      </c>
      <c r="I210" t="n">
        <v>4</v>
      </c>
      <c r="J210" t="n">
        <v>4</v>
      </c>
      <c r="K210" t="n">
        <v>3</v>
      </c>
      <c r="L210" t="n">
        <v>4</v>
      </c>
      <c r="M210" t="n">
        <v>2</v>
      </c>
      <c r="N210" t="n">
        <v>1</v>
      </c>
      <c r="O210" t="n">
        <v>3</v>
      </c>
      <c r="P210" t="n">
        <v>4</v>
      </c>
      <c r="Q210" t="n">
        <v>1</v>
      </c>
      <c r="R210" t="n">
        <v>1</v>
      </c>
      <c r="S210" t="n">
        <v>1</v>
      </c>
      <c r="T210" t="n">
        <v>1</v>
      </c>
      <c r="U210" t="n">
        <v>5</v>
      </c>
      <c r="V210" t="n">
        <v>1</v>
      </c>
      <c r="W210">
        <f>(AVERAGE(B210:D210)-1)/4</f>
        <v/>
      </c>
      <c r="X210">
        <f>(AVERAGE(E210:G210)-1)/4</f>
        <v/>
      </c>
      <c r="Y210">
        <f>(AVERAGE(H210:J210)-1)/4</f>
        <v/>
      </c>
      <c r="Z210">
        <f>(AVERAGE(K210:M210)-1)/4</f>
        <v/>
      </c>
      <c r="AA210">
        <f>(AVERAGE(N210:P210)-1)/4</f>
        <v/>
      </c>
      <c r="AB210">
        <f>(AVERAGE(Q210:S210)-1)/4</f>
        <v/>
      </c>
      <c r="AC210">
        <f>(AVERAGE(T210:V210)-1)/4</f>
        <v/>
      </c>
      <c r="AD210">
        <f>AVERAGE(W210:AA210)</f>
        <v/>
      </c>
      <c r="AE210">
        <f>MIN(W210:AA210)</f>
        <v/>
      </c>
      <c r="AF210">
        <f>1-alpha*MAX(0,delta-AE210)</f>
        <v/>
      </c>
      <c r="AG210">
        <f>AD210*AF210</f>
        <v/>
      </c>
      <c r="AH210">
        <f>1+COUNTIF(bounds,"&lt;"&amp;ROUND(AD210,12))</f>
        <v/>
      </c>
      <c r="AI210">
        <f>1+COUNTIF(bounds,"&lt;"&amp;ROUND(AG210,12))</f>
        <v/>
      </c>
      <c r="AJ210">
        <f>IF(AF210&lt;1,1,0)</f>
        <v/>
      </c>
      <c r="AK210">
        <f>IF(AH210&lt;&gt;AI210,1,0)</f>
        <v/>
      </c>
      <c r="AL210">
        <f>IF(AND(AI210&gt;=3,AB210&lt;=0.2),1,0)</f>
        <v/>
      </c>
      <c r="AM210">
        <f>AVERAGE(W210:AB210)</f>
        <v/>
      </c>
      <c r="AN210">
        <f>1+COUNTIF(bounds,"&lt;"&amp;ROUND(AM210,12))</f>
        <v/>
      </c>
      <c r="AO210">
        <f>IF(AK210=1,AD210,NA())</f>
        <v/>
      </c>
      <c r="AP210">
        <f>IF(AK210=0,AD210,NA())</f>
        <v/>
      </c>
    </row>
    <row r="211">
      <c r="A211" t="n">
        <v>203</v>
      </c>
      <c r="B211" t="n">
        <v>5</v>
      </c>
      <c r="C211" t="n">
        <v>2</v>
      </c>
      <c r="D211" t="n">
        <v>3</v>
      </c>
      <c r="E211" t="n">
        <v>2</v>
      </c>
      <c r="F211" t="n">
        <v>4</v>
      </c>
      <c r="G211" t="n">
        <v>2</v>
      </c>
      <c r="H211" t="n">
        <v>2</v>
      </c>
      <c r="I211" t="n">
        <v>4</v>
      </c>
      <c r="J211" t="n">
        <v>5</v>
      </c>
      <c r="K211" t="n">
        <v>3</v>
      </c>
      <c r="L211" t="n">
        <v>1</v>
      </c>
      <c r="M211" t="n">
        <v>1</v>
      </c>
      <c r="N211" t="n">
        <v>1</v>
      </c>
      <c r="O211" t="n">
        <v>1</v>
      </c>
      <c r="P211" t="n">
        <v>4</v>
      </c>
      <c r="Q211" t="n">
        <v>2</v>
      </c>
      <c r="R211" t="n">
        <v>4</v>
      </c>
      <c r="S211" t="n">
        <v>1</v>
      </c>
      <c r="T211" t="n">
        <v>4</v>
      </c>
      <c r="U211" t="n">
        <v>4</v>
      </c>
      <c r="V211" t="n">
        <v>3</v>
      </c>
      <c r="W211">
        <f>(AVERAGE(B211:D211)-1)/4</f>
        <v/>
      </c>
      <c r="X211">
        <f>(AVERAGE(E211:G211)-1)/4</f>
        <v/>
      </c>
      <c r="Y211">
        <f>(AVERAGE(H211:J211)-1)/4</f>
        <v/>
      </c>
      <c r="Z211">
        <f>(AVERAGE(K211:M211)-1)/4</f>
        <v/>
      </c>
      <c r="AA211">
        <f>(AVERAGE(N211:P211)-1)/4</f>
        <v/>
      </c>
      <c r="AB211">
        <f>(AVERAGE(Q211:S211)-1)/4</f>
        <v/>
      </c>
      <c r="AC211">
        <f>(AVERAGE(T211:V211)-1)/4</f>
        <v/>
      </c>
      <c r="AD211">
        <f>AVERAGE(W211:AA211)</f>
        <v/>
      </c>
      <c r="AE211">
        <f>MIN(W211:AA211)</f>
        <v/>
      </c>
      <c r="AF211">
        <f>1-alpha*MAX(0,delta-AE211)</f>
        <v/>
      </c>
      <c r="AG211">
        <f>AD211*AF211</f>
        <v/>
      </c>
      <c r="AH211">
        <f>1+COUNTIF(bounds,"&lt;"&amp;ROUND(AD211,12))</f>
        <v/>
      </c>
      <c r="AI211">
        <f>1+COUNTIF(bounds,"&lt;"&amp;ROUND(AG211,12))</f>
        <v/>
      </c>
      <c r="AJ211">
        <f>IF(AF211&lt;1,1,0)</f>
        <v/>
      </c>
      <c r="AK211">
        <f>IF(AH211&lt;&gt;AI211,1,0)</f>
        <v/>
      </c>
      <c r="AL211">
        <f>IF(AND(AI211&gt;=3,AB211&lt;=0.2),1,0)</f>
        <v/>
      </c>
      <c r="AM211">
        <f>AVERAGE(W211:AB211)</f>
        <v/>
      </c>
      <c r="AN211">
        <f>1+COUNTIF(bounds,"&lt;"&amp;ROUND(AM211,12))</f>
        <v/>
      </c>
      <c r="AO211">
        <f>IF(AK211=1,AD211,NA())</f>
        <v/>
      </c>
      <c r="AP211">
        <f>IF(AK211=0,AD211,NA())</f>
        <v/>
      </c>
    </row>
    <row r="212">
      <c r="A212" t="n">
        <v>204</v>
      </c>
      <c r="B212" t="n">
        <v>4</v>
      </c>
      <c r="C212" t="n">
        <v>5</v>
      </c>
      <c r="D212" t="n">
        <v>1</v>
      </c>
      <c r="E212" t="n">
        <v>5</v>
      </c>
      <c r="F212" t="n">
        <v>1</v>
      </c>
      <c r="G212" t="n">
        <v>5</v>
      </c>
      <c r="H212" t="n">
        <v>4</v>
      </c>
      <c r="I212" t="n">
        <v>5</v>
      </c>
      <c r="J212" t="n">
        <v>2</v>
      </c>
      <c r="K212" t="n">
        <v>1</v>
      </c>
      <c r="L212" t="n">
        <v>2</v>
      </c>
      <c r="M212" t="n">
        <v>4</v>
      </c>
      <c r="N212" t="n">
        <v>5</v>
      </c>
      <c r="O212" t="n">
        <v>3</v>
      </c>
      <c r="P212" t="n">
        <v>2</v>
      </c>
      <c r="Q212" t="n">
        <v>5</v>
      </c>
      <c r="R212" t="n">
        <v>1</v>
      </c>
      <c r="S212" t="n">
        <v>4</v>
      </c>
      <c r="T212" t="n">
        <v>4</v>
      </c>
      <c r="U212" t="n">
        <v>3</v>
      </c>
      <c r="V212" t="n">
        <v>2</v>
      </c>
      <c r="W212">
        <f>(AVERAGE(B212:D212)-1)/4</f>
        <v/>
      </c>
      <c r="X212">
        <f>(AVERAGE(E212:G212)-1)/4</f>
        <v/>
      </c>
      <c r="Y212">
        <f>(AVERAGE(H212:J212)-1)/4</f>
        <v/>
      </c>
      <c r="Z212">
        <f>(AVERAGE(K212:M212)-1)/4</f>
        <v/>
      </c>
      <c r="AA212">
        <f>(AVERAGE(N212:P212)-1)/4</f>
        <v/>
      </c>
      <c r="AB212">
        <f>(AVERAGE(Q212:S212)-1)/4</f>
        <v/>
      </c>
      <c r="AC212">
        <f>(AVERAGE(T212:V212)-1)/4</f>
        <v/>
      </c>
      <c r="AD212">
        <f>AVERAGE(W212:AA212)</f>
        <v/>
      </c>
      <c r="AE212">
        <f>MIN(W212:AA212)</f>
        <v/>
      </c>
      <c r="AF212">
        <f>1-alpha*MAX(0,delta-AE212)</f>
        <v/>
      </c>
      <c r="AG212">
        <f>AD212*AF212</f>
        <v/>
      </c>
      <c r="AH212">
        <f>1+COUNTIF(bounds,"&lt;"&amp;ROUND(AD212,12))</f>
        <v/>
      </c>
      <c r="AI212">
        <f>1+COUNTIF(bounds,"&lt;"&amp;ROUND(AG212,12))</f>
        <v/>
      </c>
      <c r="AJ212">
        <f>IF(AF212&lt;1,1,0)</f>
        <v/>
      </c>
      <c r="AK212">
        <f>IF(AH212&lt;&gt;AI212,1,0)</f>
        <v/>
      </c>
      <c r="AL212">
        <f>IF(AND(AI212&gt;=3,AB212&lt;=0.2),1,0)</f>
        <v/>
      </c>
      <c r="AM212">
        <f>AVERAGE(W212:AB212)</f>
        <v/>
      </c>
      <c r="AN212">
        <f>1+COUNTIF(bounds,"&lt;"&amp;ROUND(AM212,12))</f>
        <v/>
      </c>
      <c r="AO212">
        <f>IF(AK212=1,AD212,NA())</f>
        <v/>
      </c>
      <c r="AP212">
        <f>IF(AK212=0,AD212,NA())</f>
        <v/>
      </c>
    </row>
    <row r="213">
      <c r="A213" t="n">
        <v>205</v>
      </c>
      <c r="B213" t="n">
        <v>5</v>
      </c>
      <c r="C213" t="n">
        <v>4</v>
      </c>
      <c r="D213" t="n">
        <v>5</v>
      </c>
      <c r="E213" t="n">
        <v>5</v>
      </c>
      <c r="F213" t="n">
        <v>2</v>
      </c>
      <c r="G213" t="n">
        <v>2</v>
      </c>
      <c r="H213" t="n">
        <v>3</v>
      </c>
      <c r="I213" t="n">
        <v>4</v>
      </c>
      <c r="J213" t="n">
        <v>3</v>
      </c>
      <c r="K213" t="n">
        <v>3</v>
      </c>
      <c r="L213" t="n">
        <v>1</v>
      </c>
      <c r="M213" t="n">
        <v>5</v>
      </c>
      <c r="N213" t="n">
        <v>2</v>
      </c>
      <c r="O213" t="n">
        <v>2</v>
      </c>
      <c r="P213" t="n">
        <v>1</v>
      </c>
      <c r="Q213" t="n">
        <v>1</v>
      </c>
      <c r="R213" t="n">
        <v>3</v>
      </c>
      <c r="S213" t="n">
        <v>5</v>
      </c>
      <c r="T213" t="n">
        <v>4</v>
      </c>
      <c r="U213" t="n">
        <v>3</v>
      </c>
      <c r="V213" t="n">
        <v>1</v>
      </c>
      <c r="W213">
        <f>(AVERAGE(B213:D213)-1)/4</f>
        <v/>
      </c>
      <c r="X213">
        <f>(AVERAGE(E213:G213)-1)/4</f>
        <v/>
      </c>
      <c r="Y213">
        <f>(AVERAGE(H213:J213)-1)/4</f>
        <v/>
      </c>
      <c r="Z213">
        <f>(AVERAGE(K213:M213)-1)/4</f>
        <v/>
      </c>
      <c r="AA213">
        <f>(AVERAGE(N213:P213)-1)/4</f>
        <v/>
      </c>
      <c r="AB213">
        <f>(AVERAGE(Q213:S213)-1)/4</f>
        <v/>
      </c>
      <c r="AC213">
        <f>(AVERAGE(T213:V213)-1)/4</f>
        <v/>
      </c>
      <c r="AD213">
        <f>AVERAGE(W213:AA213)</f>
        <v/>
      </c>
      <c r="AE213">
        <f>MIN(W213:AA213)</f>
        <v/>
      </c>
      <c r="AF213">
        <f>1-alpha*MAX(0,delta-AE213)</f>
        <v/>
      </c>
      <c r="AG213">
        <f>AD213*AF213</f>
        <v/>
      </c>
      <c r="AH213">
        <f>1+COUNTIF(bounds,"&lt;"&amp;ROUND(AD213,12))</f>
        <v/>
      </c>
      <c r="AI213">
        <f>1+COUNTIF(bounds,"&lt;"&amp;ROUND(AG213,12))</f>
        <v/>
      </c>
      <c r="AJ213">
        <f>IF(AF213&lt;1,1,0)</f>
        <v/>
      </c>
      <c r="AK213">
        <f>IF(AH213&lt;&gt;AI213,1,0)</f>
        <v/>
      </c>
      <c r="AL213">
        <f>IF(AND(AI213&gt;=3,AB213&lt;=0.2),1,0)</f>
        <v/>
      </c>
      <c r="AM213">
        <f>AVERAGE(W213:AB213)</f>
        <v/>
      </c>
      <c r="AN213">
        <f>1+COUNTIF(bounds,"&lt;"&amp;ROUND(AM213,12))</f>
        <v/>
      </c>
      <c r="AO213">
        <f>IF(AK213=1,AD213,NA())</f>
        <v/>
      </c>
      <c r="AP213">
        <f>IF(AK213=0,AD213,NA())</f>
        <v/>
      </c>
    </row>
    <row r="214">
      <c r="A214" t="n">
        <v>206</v>
      </c>
      <c r="B214" t="n">
        <v>4</v>
      </c>
      <c r="C214" t="n">
        <v>3</v>
      </c>
      <c r="D214" t="n">
        <v>4</v>
      </c>
      <c r="E214" t="n">
        <v>4</v>
      </c>
      <c r="F214" t="n">
        <v>5</v>
      </c>
      <c r="G214" t="n">
        <v>1</v>
      </c>
      <c r="H214" t="n">
        <v>2</v>
      </c>
      <c r="I214" t="n">
        <v>2</v>
      </c>
      <c r="J214" t="n">
        <v>5</v>
      </c>
      <c r="K214" t="n">
        <v>2</v>
      </c>
      <c r="L214" t="n">
        <v>3</v>
      </c>
      <c r="M214" t="n">
        <v>4</v>
      </c>
      <c r="N214" t="n">
        <v>4</v>
      </c>
      <c r="O214" t="n">
        <v>3</v>
      </c>
      <c r="P214" t="n">
        <v>3</v>
      </c>
      <c r="Q214" t="n">
        <v>4</v>
      </c>
      <c r="R214" t="n">
        <v>4</v>
      </c>
      <c r="S214" t="n">
        <v>5</v>
      </c>
      <c r="T214" t="n">
        <v>3</v>
      </c>
      <c r="U214" t="n">
        <v>2</v>
      </c>
      <c r="V214" t="n">
        <v>4</v>
      </c>
      <c r="W214">
        <f>(AVERAGE(B214:D214)-1)/4</f>
        <v/>
      </c>
      <c r="X214">
        <f>(AVERAGE(E214:G214)-1)/4</f>
        <v/>
      </c>
      <c r="Y214">
        <f>(AVERAGE(H214:J214)-1)/4</f>
        <v/>
      </c>
      <c r="Z214">
        <f>(AVERAGE(K214:M214)-1)/4</f>
        <v/>
      </c>
      <c r="AA214">
        <f>(AVERAGE(N214:P214)-1)/4</f>
        <v/>
      </c>
      <c r="AB214">
        <f>(AVERAGE(Q214:S214)-1)/4</f>
        <v/>
      </c>
      <c r="AC214">
        <f>(AVERAGE(T214:V214)-1)/4</f>
        <v/>
      </c>
      <c r="AD214">
        <f>AVERAGE(W214:AA214)</f>
        <v/>
      </c>
      <c r="AE214">
        <f>MIN(W214:AA214)</f>
        <v/>
      </c>
      <c r="AF214">
        <f>1-alpha*MAX(0,delta-AE214)</f>
        <v/>
      </c>
      <c r="AG214">
        <f>AD214*AF214</f>
        <v/>
      </c>
      <c r="AH214">
        <f>1+COUNTIF(bounds,"&lt;"&amp;ROUND(AD214,12))</f>
        <v/>
      </c>
      <c r="AI214">
        <f>1+COUNTIF(bounds,"&lt;"&amp;ROUND(AG214,12))</f>
        <v/>
      </c>
      <c r="AJ214">
        <f>IF(AF214&lt;1,1,0)</f>
        <v/>
      </c>
      <c r="AK214">
        <f>IF(AH214&lt;&gt;AI214,1,0)</f>
        <v/>
      </c>
      <c r="AL214">
        <f>IF(AND(AI214&gt;=3,AB214&lt;=0.2),1,0)</f>
        <v/>
      </c>
      <c r="AM214">
        <f>AVERAGE(W214:AB214)</f>
        <v/>
      </c>
      <c r="AN214">
        <f>1+COUNTIF(bounds,"&lt;"&amp;ROUND(AM214,12))</f>
        <v/>
      </c>
      <c r="AO214">
        <f>IF(AK214=1,AD214,NA())</f>
        <v/>
      </c>
      <c r="AP214">
        <f>IF(AK214=0,AD214,NA())</f>
        <v/>
      </c>
    </row>
    <row r="215">
      <c r="A215" t="n">
        <v>207</v>
      </c>
      <c r="B215" t="n">
        <v>2</v>
      </c>
      <c r="C215" t="n">
        <v>1</v>
      </c>
      <c r="D215" t="n">
        <v>4</v>
      </c>
      <c r="E215" t="n">
        <v>3</v>
      </c>
      <c r="F215" t="n">
        <v>1</v>
      </c>
      <c r="G215" t="n">
        <v>4</v>
      </c>
      <c r="H215" t="n">
        <v>1</v>
      </c>
      <c r="I215" t="n">
        <v>4</v>
      </c>
      <c r="J215" t="n">
        <v>5</v>
      </c>
      <c r="K215" t="n">
        <v>5</v>
      </c>
      <c r="L215" t="n">
        <v>1</v>
      </c>
      <c r="M215" t="n">
        <v>4</v>
      </c>
      <c r="N215" t="n">
        <v>2</v>
      </c>
      <c r="O215" t="n">
        <v>2</v>
      </c>
      <c r="P215" t="n">
        <v>4</v>
      </c>
      <c r="Q215" t="n">
        <v>5</v>
      </c>
      <c r="R215" t="n">
        <v>2</v>
      </c>
      <c r="S215" t="n">
        <v>1</v>
      </c>
      <c r="T215" t="n">
        <v>5</v>
      </c>
      <c r="U215" t="n">
        <v>2</v>
      </c>
      <c r="V215" t="n">
        <v>5</v>
      </c>
      <c r="W215">
        <f>(AVERAGE(B215:D215)-1)/4</f>
        <v/>
      </c>
      <c r="X215">
        <f>(AVERAGE(E215:G215)-1)/4</f>
        <v/>
      </c>
      <c r="Y215">
        <f>(AVERAGE(H215:J215)-1)/4</f>
        <v/>
      </c>
      <c r="Z215">
        <f>(AVERAGE(K215:M215)-1)/4</f>
        <v/>
      </c>
      <c r="AA215">
        <f>(AVERAGE(N215:P215)-1)/4</f>
        <v/>
      </c>
      <c r="AB215">
        <f>(AVERAGE(Q215:S215)-1)/4</f>
        <v/>
      </c>
      <c r="AC215">
        <f>(AVERAGE(T215:V215)-1)/4</f>
        <v/>
      </c>
      <c r="AD215">
        <f>AVERAGE(W215:AA215)</f>
        <v/>
      </c>
      <c r="AE215">
        <f>MIN(W215:AA215)</f>
        <v/>
      </c>
      <c r="AF215">
        <f>1-alpha*MAX(0,delta-AE215)</f>
        <v/>
      </c>
      <c r="AG215">
        <f>AD215*AF215</f>
        <v/>
      </c>
      <c r="AH215">
        <f>1+COUNTIF(bounds,"&lt;"&amp;ROUND(AD215,12))</f>
        <v/>
      </c>
      <c r="AI215">
        <f>1+COUNTIF(bounds,"&lt;"&amp;ROUND(AG215,12))</f>
        <v/>
      </c>
      <c r="AJ215">
        <f>IF(AF215&lt;1,1,0)</f>
        <v/>
      </c>
      <c r="AK215">
        <f>IF(AH215&lt;&gt;AI215,1,0)</f>
        <v/>
      </c>
      <c r="AL215">
        <f>IF(AND(AI215&gt;=3,AB215&lt;=0.2),1,0)</f>
        <v/>
      </c>
      <c r="AM215">
        <f>AVERAGE(W215:AB215)</f>
        <v/>
      </c>
      <c r="AN215">
        <f>1+COUNTIF(bounds,"&lt;"&amp;ROUND(AM215,12))</f>
        <v/>
      </c>
      <c r="AO215">
        <f>IF(AK215=1,AD215,NA())</f>
        <v/>
      </c>
      <c r="AP215">
        <f>IF(AK215=0,AD215,NA())</f>
        <v/>
      </c>
    </row>
    <row r="216">
      <c r="A216" t="n">
        <v>208</v>
      </c>
      <c r="B216" t="n">
        <v>5</v>
      </c>
      <c r="C216" t="n">
        <v>5</v>
      </c>
      <c r="D216" t="n">
        <v>3</v>
      </c>
      <c r="E216" t="n">
        <v>4</v>
      </c>
      <c r="F216" t="n">
        <v>1</v>
      </c>
      <c r="G216" t="n">
        <v>2</v>
      </c>
      <c r="H216" t="n">
        <v>2</v>
      </c>
      <c r="I216" t="n">
        <v>2</v>
      </c>
      <c r="J216" t="n">
        <v>2</v>
      </c>
      <c r="K216" t="n">
        <v>2</v>
      </c>
      <c r="L216" t="n">
        <v>3</v>
      </c>
      <c r="M216" t="n">
        <v>1</v>
      </c>
      <c r="N216" t="n">
        <v>3</v>
      </c>
      <c r="O216" t="n">
        <v>2</v>
      </c>
      <c r="P216" t="n">
        <v>5</v>
      </c>
      <c r="Q216" t="n">
        <v>5</v>
      </c>
      <c r="R216" t="n">
        <v>3</v>
      </c>
      <c r="S216" t="n">
        <v>3</v>
      </c>
      <c r="T216" t="n">
        <v>2</v>
      </c>
      <c r="U216" t="n">
        <v>3</v>
      </c>
      <c r="V216" t="n">
        <v>3</v>
      </c>
      <c r="W216">
        <f>(AVERAGE(B216:D216)-1)/4</f>
        <v/>
      </c>
      <c r="X216">
        <f>(AVERAGE(E216:G216)-1)/4</f>
        <v/>
      </c>
      <c r="Y216">
        <f>(AVERAGE(H216:J216)-1)/4</f>
        <v/>
      </c>
      <c r="Z216">
        <f>(AVERAGE(K216:M216)-1)/4</f>
        <v/>
      </c>
      <c r="AA216">
        <f>(AVERAGE(N216:P216)-1)/4</f>
        <v/>
      </c>
      <c r="AB216">
        <f>(AVERAGE(Q216:S216)-1)/4</f>
        <v/>
      </c>
      <c r="AC216">
        <f>(AVERAGE(T216:V216)-1)/4</f>
        <v/>
      </c>
      <c r="AD216">
        <f>AVERAGE(W216:AA216)</f>
        <v/>
      </c>
      <c r="AE216">
        <f>MIN(W216:AA216)</f>
        <v/>
      </c>
      <c r="AF216">
        <f>1-alpha*MAX(0,delta-AE216)</f>
        <v/>
      </c>
      <c r="AG216">
        <f>AD216*AF216</f>
        <v/>
      </c>
      <c r="AH216">
        <f>1+COUNTIF(bounds,"&lt;"&amp;ROUND(AD216,12))</f>
        <v/>
      </c>
      <c r="AI216">
        <f>1+COUNTIF(bounds,"&lt;"&amp;ROUND(AG216,12))</f>
        <v/>
      </c>
      <c r="AJ216">
        <f>IF(AF216&lt;1,1,0)</f>
        <v/>
      </c>
      <c r="AK216">
        <f>IF(AH216&lt;&gt;AI216,1,0)</f>
        <v/>
      </c>
      <c r="AL216">
        <f>IF(AND(AI216&gt;=3,AB216&lt;=0.2),1,0)</f>
        <v/>
      </c>
      <c r="AM216">
        <f>AVERAGE(W216:AB216)</f>
        <v/>
      </c>
      <c r="AN216">
        <f>1+COUNTIF(bounds,"&lt;"&amp;ROUND(AM216,12))</f>
        <v/>
      </c>
      <c r="AO216">
        <f>IF(AK216=1,AD216,NA())</f>
        <v/>
      </c>
      <c r="AP216">
        <f>IF(AK216=0,AD216,NA())</f>
        <v/>
      </c>
    </row>
    <row r="217">
      <c r="A217" t="n">
        <v>209</v>
      </c>
      <c r="B217" t="n">
        <v>4</v>
      </c>
      <c r="C217" t="n">
        <v>4</v>
      </c>
      <c r="D217" t="n">
        <v>2</v>
      </c>
      <c r="E217" t="n">
        <v>3</v>
      </c>
      <c r="F217" t="n">
        <v>3</v>
      </c>
      <c r="G217" t="n">
        <v>3</v>
      </c>
      <c r="H217" t="n">
        <v>2</v>
      </c>
      <c r="I217" t="n">
        <v>3</v>
      </c>
      <c r="J217" t="n">
        <v>1</v>
      </c>
      <c r="K217" t="n">
        <v>1</v>
      </c>
      <c r="L217" t="n">
        <v>3</v>
      </c>
      <c r="M217" t="n">
        <v>5</v>
      </c>
      <c r="N217" t="n">
        <v>2</v>
      </c>
      <c r="O217" t="n">
        <v>5</v>
      </c>
      <c r="P217" t="n">
        <v>1</v>
      </c>
      <c r="Q217" t="n">
        <v>3</v>
      </c>
      <c r="R217" t="n">
        <v>4</v>
      </c>
      <c r="S217" t="n">
        <v>5</v>
      </c>
      <c r="T217" t="n">
        <v>2</v>
      </c>
      <c r="U217" t="n">
        <v>2</v>
      </c>
      <c r="V217" t="n">
        <v>5</v>
      </c>
      <c r="W217">
        <f>(AVERAGE(B217:D217)-1)/4</f>
        <v/>
      </c>
      <c r="X217">
        <f>(AVERAGE(E217:G217)-1)/4</f>
        <v/>
      </c>
      <c r="Y217">
        <f>(AVERAGE(H217:J217)-1)/4</f>
        <v/>
      </c>
      <c r="Z217">
        <f>(AVERAGE(K217:M217)-1)/4</f>
        <v/>
      </c>
      <c r="AA217">
        <f>(AVERAGE(N217:P217)-1)/4</f>
        <v/>
      </c>
      <c r="AB217">
        <f>(AVERAGE(Q217:S217)-1)/4</f>
        <v/>
      </c>
      <c r="AC217">
        <f>(AVERAGE(T217:V217)-1)/4</f>
        <v/>
      </c>
      <c r="AD217">
        <f>AVERAGE(W217:AA217)</f>
        <v/>
      </c>
      <c r="AE217">
        <f>MIN(W217:AA217)</f>
        <v/>
      </c>
      <c r="AF217">
        <f>1-alpha*MAX(0,delta-AE217)</f>
        <v/>
      </c>
      <c r="AG217">
        <f>AD217*AF217</f>
        <v/>
      </c>
      <c r="AH217">
        <f>1+COUNTIF(bounds,"&lt;"&amp;ROUND(AD217,12))</f>
        <v/>
      </c>
      <c r="AI217">
        <f>1+COUNTIF(bounds,"&lt;"&amp;ROUND(AG217,12))</f>
        <v/>
      </c>
      <c r="AJ217">
        <f>IF(AF217&lt;1,1,0)</f>
        <v/>
      </c>
      <c r="AK217">
        <f>IF(AH217&lt;&gt;AI217,1,0)</f>
        <v/>
      </c>
      <c r="AL217">
        <f>IF(AND(AI217&gt;=3,AB217&lt;=0.2),1,0)</f>
        <v/>
      </c>
      <c r="AM217">
        <f>AVERAGE(W217:AB217)</f>
        <v/>
      </c>
      <c r="AN217">
        <f>1+COUNTIF(bounds,"&lt;"&amp;ROUND(AM217,12))</f>
        <v/>
      </c>
      <c r="AO217">
        <f>IF(AK217=1,AD217,NA())</f>
        <v/>
      </c>
      <c r="AP217">
        <f>IF(AK217=0,AD217,NA())</f>
        <v/>
      </c>
    </row>
    <row r="218">
      <c r="A218" t="n">
        <v>210</v>
      </c>
      <c r="B218" t="n">
        <v>4</v>
      </c>
      <c r="C218" t="n">
        <v>5</v>
      </c>
      <c r="D218" t="n">
        <v>2</v>
      </c>
      <c r="E218" t="n">
        <v>2</v>
      </c>
      <c r="F218" t="n">
        <v>2</v>
      </c>
      <c r="G218" t="n">
        <v>2</v>
      </c>
      <c r="H218" t="n">
        <v>5</v>
      </c>
      <c r="I218" t="n">
        <v>2</v>
      </c>
      <c r="J218" t="n">
        <v>5</v>
      </c>
      <c r="K218" t="n">
        <v>2</v>
      </c>
      <c r="L218" t="n">
        <v>5</v>
      </c>
      <c r="M218" t="n">
        <v>1</v>
      </c>
      <c r="N218" t="n">
        <v>2</v>
      </c>
      <c r="O218" t="n">
        <v>2</v>
      </c>
      <c r="P218" t="n">
        <v>5</v>
      </c>
      <c r="Q218" t="n">
        <v>4</v>
      </c>
      <c r="R218" t="n">
        <v>1</v>
      </c>
      <c r="S218" t="n">
        <v>5</v>
      </c>
      <c r="T218" t="n">
        <v>3</v>
      </c>
      <c r="U218" t="n">
        <v>1</v>
      </c>
      <c r="V218" t="n">
        <v>3</v>
      </c>
      <c r="W218">
        <f>(AVERAGE(B218:D218)-1)/4</f>
        <v/>
      </c>
      <c r="X218">
        <f>(AVERAGE(E218:G218)-1)/4</f>
        <v/>
      </c>
      <c r="Y218">
        <f>(AVERAGE(H218:J218)-1)/4</f>
        <v/>
      </c>
      <c r="Z218">
        <f>(AVERAGE(K218:M218)-1)/4</f>
        <v/>
      </c>
      <c r="AA218">
        <f>(AVERAGE(N218:P218)-1)/4</f>
        <v/>
      </c>
      <c r="AB218">
        <f>(AVERAGE(Q218:S218)-1)/4</f>
        <v/>
      </c>
      <c r="AC218">
        <f>(AVERAGE(T218:V218)-1)/4</f>
        <v/>
      </c>
      <c r="AD218">
        <f>AVERAGE(W218:AA218)</f>
        <v/>
      </c>
      <c r="AE218">
        <f>MIN(W218:AA218)</f>
        <v/>
      </c>
      <c r="AF218">
        <f>1-alpha*MAX(0,delta-AE218)</f>
        <v/>
      </c>
      <c r="AG218">
        <f>AD218*AF218</f>
        <v/>
      </c>
      <c r="AH218">
        <f>1+COUNTIF(bounds,"&lt;"&amp;ROUND(AD218,12))</f>
        <v/>
      </c>
      <c r="AI218">
        <f>1+COUNTIF(bounds,"&lt;"&amp;ROUND(AG218,12))</f>
        <v/>
      </c>
      <c r="AJ218">
        <f>IF(AF218&lt;1,1,0)</f>
        <v/>
      </c>
      <c r="AK218">
        <f>IF(AH218&lt;&gt;AI218,1,0)</f>
        <v/>
      </c>
      <c r="AL218">
        <f>IF(AND(AI218&gt;=3,AB218&lt;=0.2),1,0)</f>
        <v/>
      </c>
      <c r="AM218">
        <f>AVERAGE(W218:AB218)</f>
        <v/>
      </c>
      <c r="AN218">
        <f>1+COUNTIF(bounds,"&lt;"&amp;ROUND(AM218,12))</f>
        <v/>
      </c>
      <c r="AO218">
        <f>IF(AK218=1,AD218,NA())</f>
        <v/>
      </c>
      <c r="AP218">
        <f>IF(AK218=0,AD218,NA())</f>
        <v/>
      </c>
    </row>
    <row r="219">
      <c r="A219" t="n">
        <v>211</v>
      </c>
      <c r="B219" t="n">
        <v>2</v>
      </c>
      <c r="C219" t="n">
        <v>3</v>
      </c>
      <c r="D219" t="n">
        <v>5</v>
      </c>
      <c r="E219" t="n">
        <v>3</v>
      </c>
      <c r="F219" t="n">
        <v>1</v>
      </c>
      <c r="G219" t="n">
        <v>4</v>
      </c>
      <c r="H219" t="n">
        <v>3</v>
      </c>
      <c r="I219" t="n">
        <v>1</v>
      </c>
      <c r="J219" t="n">
        <v>4</v>
      </c>
      <c r="K219" t="n">
        <v>4</v>
      </c>
      <c r="L219" t="n">
        <v>2</v>
      </c>
      <c r="M219" t="n">
        <v>3</v>
      </c>
      <c r="N219" t="n">
        <v>3</v>
      </c>
      <c r="O219" t="n">
        <v>2</v>
      </c>
      <c r="P219" t="n">
        <v>3</v>
      </c>
      <c r="Q219" t="n">
        <v>2</v>
      </c>
      <c r="R219" t="n">
        <v>5</v>
      </c>
      <c r="S219" t="n">
        <v>5</v>
      </c>
      <c r="T219" t="n">
        <v>5</v>
      </c>
      <c r="U219" t="n">
        <v>3</v>
      </c>
      <c r="V219" t="n">
        <v>1</v>
      </c>
      <c r="W219">
        <f>(AVERAGE(B219:D219)-1)/4</f>
        <v/>
      </c>
      <c r="X219">
        <f>(AVERAGE(E219:G219)-1)/4</f>
        <v/>
      </c>
      <c r="Y219">
        <f>(AVERAGE(H219:J219)-1)/4</f>
        <v/>
      </c>
      <c r="Z219">
        <f>(AVERAGE(K219:M219)-1)/4</f>
        <v/>
      </c>
      <c r="AA219">
        <f>(AVERAGE(N219:P219)-1)/4</f>
        <v/>
      </c>
      <c r="AB219">
        <f>(AVERAGE(Q219:S219)-1)/4</f>
        <v/>
      </c>
      <c r="AC219">
        <f>(AVERAGE(T219:V219)-1)/4</f>
        <v/>
      </c>
      <c r="AD219">
        <f>AVERAGE(W219:AA219)</f>
        <v/>
      </c>
      <c r="AE219">
        <f>MIN(W219:AA219)</f>
        <v/>
      </c>
      <c r="AF219">
        <f>1-alpha*MAX(0,delta-AE219)</f>
        <v/>
      </c>
      <c r="AG219">
        <f>AD219*AF219</f>
        <v/>
      </c>
      <c r="AH219">
        <f>1+COUNTIF(bounds,"&lt;"&amp;ROUND(AD219,12))</f>
        <v/>
      </c>
      <c r="AI219">
        <f>1+COUNTIF(bounds,"&lt;"&amp;ROUND(AG219,12))</f>
        <v/>
      </c>
      <c r="AJ219">
        <f>IF(AF219&lt;1,1,0)</f>
        <v/>
      </c>
      <c r="AK219">
        <f>IF(AH219&lt;&gt;AI219,1,0)</f>
        <v/>
      </c>
      <c r="AL219">
        <f>IF(AND(AI219&gt;=3,AB219&lt;=0.2),1,0)</f>
        <v/>
      </c>
      <c r="AM219">
        <f>AVERAGE(W219:AB219)</f>
        <v/>
      </c>
      <c r="AN219">
        <f>1+COUNTIF(bounds,"&lt;"&amp;ROUND(AM219,12))</f>
        <v/>
      </c>
      <c r="AO219">
        <f>IF(AK219=1,AD219,NA())</f>
        <v/>
      </c>
      <c r="AP219">
        <f>IF(AK219=0,AD219,NA())</f>
        <v/>
      </c>
    </row>
    <row r="220">
      <c r="A220" t="n">
        <v>212</v>
      </c>
      <c r="B220" t="n">
        <v>4</v>
      </c>
      <c r="C220" t="n">
        <v>5</v>
      </c>
      <c r="D220" t="n">
        <v>5</v>
      </c>
      <c r="E220" t="n">
        <v>5</v>
      </c>
      <c r="F220" t="n">
        <v>2</v>
      </c>
      <c r="G220" t="n">
        <v>1</v>
      </c>
      <c r="H220" t="n">
        <v>2</v>
      </c>
      <c r="I220" t="n">
        <v>2</v>
      </c>
      <c r="J220" t="n">
        <v>3</v>
      </c>
      <c r="K220" t="n">
        <v>4</v>
      </c>
      <c r="L220" t="n">
        <v>2</v>
      </c>
      <c r="M220" t="n">
        <v>5</v>
      </c>
      <c r="N220" t="n">
        <v>1</v>
      </c>
      <c r="O220" t="n">
        <v>3</v>
      </c>
      <c r="P220" t="n">
        <v>2</v>
      </c>
      <c r="Q220" t="n">
        <v>2</v>
      </c>
      <c r="R220" t="n">
        <v>4</v>
      </c>
      <c r="S220" t="n">
        <v>4</v>
      </c>
      <c r="T220" t="n">
        <v>3</v>
      </c>
      <c r="U220" t="n">
        <v>1</v>
      </c>
      <c r="V220" t="n">
        <v>2</v>
      </c>
      <c r="W220">
        <f>(AVERAGE(B220:D220)-1)/4</f>
        <v/>
      </c>
      <c r="X220">
        <f>(AVERAGE(E220:G220)-1)/4</f>
        <v/>
      </c>
      <c r="Y220">
        <f>(AVERAGE(H220:J220)-1)/4</f>
        <v/>
      </c>
      <c r="Z220">
        <f>(AVERAGE(K220:M220)-1)/4</f>
        <v/>
      </c>
      <c r="AA220">
        <f>(AVERAGE(N220:P220)-1)/4</f>
        <v/>
      </c>
      <c r="AB220">
        <f>(AVERAGE(Q220:S220)-1)/4</f>
        <v/>
      </c>
      <c r="AC220">
        <f>(AVERAGE(T220:V220)-1)/4</f>
        <v/>
      </c>
      <c r="AD220">
        <f>AVERAGE(W220:AA220)</f>
        <v/>
      </c>
      <c r="AE220">
        <f>MIN(W220:AA220)</f>
        <v/>
      </c>
      <c r="AF220">
        <f>1-alpha*MAX(0,delta-AE220)</f>
        <v/>
      </c>
      <c r="AG220">
        <f>AD220*AF220</f>
        <v/>
      </c>
      <c r="AH220">
        <f>1+COUNTIF(bounds,"&lt;"&amp;ROUND(AD220,12))</f>
        <v/>
      </c>
      <c r="AI220">
        <f>1+COUNTIF(bounds,"&lt;"&amp;ROUND(AG220,12))</f>
        <v/>
      </c>
      <c r="AJ220">
        <f>IF(AF220&lt;1,1,0)</f>
        <v/>
      </c>
      <c r="AK220">
        <f>IF(AH220&lt;&gt;AI220,1,0)</f>
        <v/>
      </c>
      <c r="AL220">
        <f>IF(AND(AI220&gt;=3,AB220&lt;=0.2),1,0)</f>
        <v/>
      </c>
      <c r="AM220">
        <f>AVERAGE(W220:AB220)</f>
        <v/>
      </c>
      <c r="AN220">
        <f>1+COUNTIF(bounds,"&lt;"&amp;ROUND(AM220,12))</f>
        <v/>
      </c>
      <c r="AO220">
        <f>IF(AK220=1,AD220,NA())</f>
        <v/>
      </c>
      <c r="AP220">
        <f>IF(AK220=0,AD220,NA())</f>
        <v/>
      </c>
    </row>
    <row r="221">
      <c r="A221" t="n">
        <v>213</v>
      </c>
      <c r="B221" t="n">
        <v>4</v>
      </c>
      <c r="C221" t="n">
        <v>4</v>
      </c>
      <c r="D221" t="n">
        <v>1</v>
      </c>
      <c r="E221" t="n">
        <v>4</v>
      </c>
      <c r="F221" t="n">
        <v>5</v>
      </c>
      <c r="G221" t="n">
        <v>1</v>
      </c>
      <c r="H221" t="n">
        <v>1</v>
      </c>
      <c r="I221" t="n">
        <v>2</v>
      </c>
      <c r="J221" t="n">
        <v>3</v>
      </c>
      <c r="K221" t="n">
        <v>5</v>
      </c>
      <c r="L221" t="n">
        <v>5</v>
      </c>
      <c r="M221" t="n">
        <v>4</v>
      </c>
      <c r="N221" t="n">
        <v>5</v>
      </c>
      <c r="O221" t="n">
        <v>3</v>
      </c>
      <c r="P221" t="n">
        <v>4</v>
      </c>
      <c r="Q221" t="n">
        <v>4</v>
      </c>
      <c r="R221" t="n">
        <v>2</v>
      </c>
      <c r="S221" t="n">
        <v>2</v>
      </c>
      <c r="T221" t="n">
        <v>3</v>
      </c>
      <c r="U221" t="n">
        <v>5</v>
      </c>
      <c r="V221" t="n">
        <v>1</v>
      </c>
      <c r="W221">
        <f>(AVERAGE(B221:D221)-1)/4</f>
        <v/>
      </c>
      <c r="X221">
        <f>(AVERAGE(E221:G221)-1)/4</f>
        <v/>
      </c>
      <c r="Y221">
        <f>(AVERAGE(H221:J221)-1)/4</f>
        <v/>
      </c>
      <c r="Z221">
        <f>(AVERAGE(K221:M221)-1)/4</f>
        <v/>
      </c>
      <c r="AA221">
        <f>(AVERAGE(N221:P221)-1)/4</f>
        <v/>
      </c>
      <c r="AB221">
        <f>(AVERAGE(Q221:S221)-1)/4</f>
        <v/>
      </c>
      <c r="AC221">
        <f>(AVERAGE(T221:V221)-1)/4</f>
        <v/>
      </c>
      <c r="AD221">
        <f>AVERAGE(W221:AA221)</f>
        <v/>
      </c>
      <c r="AE221">
        <f>MIN(W221:AA221)</f>
        <v/>
      </c>
      <c r="AF221">
        <f>1-alpha*MAX(0,delta-AE221)</f>
        <v/>
      </c>
      <c r="AG221">
        <f>AD221*AF221</f>
        <v/>
      </c>
      <c r="AH221">
        <f>1+COUNTIF(bounds,"&lt;"&amp;ROUND(AD221,12))</f>
        <v/>
      </c>
      <c r="AI221">
        <f>1+COUNTIF(bounds,"&lt;"&amp;ROUND(AG221,12))</f>
        <v/>
      </c>
      <c r="AJ221">
        <f>IF(AF221&lt;1,1,0)</f>
        <v/>
      </c>
      <c r="AK221">
        <f>IF(AH221&lt;&gt;AI221,1,0)</f>
        <v/>
      </c>
      <c r="AL221">
        <f>IF(AND(AI221&gt;=3,AB221&lt;=0.2),1,0)</f>
        <v/>
      </c>
      <c r="AM221">
        <f>AVERAGE(W221:AB221)</f>
        <v/>
      </c>
      <c r="AN221">
        <f>1+COUNTIF(bounds,"&lt;"&amp;ROUND(AM221,12))</f>
        <v/>
      </c>
      <c r="AO221">
        <f>IF(AK221=1,AD221,NA())</f>
        <v/>
      </c>
      <c r="AP221">
        <f>IF(AK221=0,AD221,NA())</f>
        <v/>
      </c>
    </row>
    <row r="222">
      <c r="A222" t="n">
        <v>214</v>
      </c>
      <c r="B222" t="n">
        <v>2</v>
      </c>
      <c r="C222" t="n">
        <v>5</v>
      </c>
      <c r="D222" t="n">
        <v>3</v>
      </c>
      <c r="E222" t="n">
        <v>5</v>
      </c>
      <c r="F222" t="n">
        <v>1</v>
      </c>
      <c r="G222" t="n">
        <v>3</v>
      </c>
      <c r="H222" t="n">
        <v>5</v>
      </c>
      <c r="I222" t="n">
        <v>5</v>
      </c>
      <c r="J222" t="n">
        <v>5</v>
      </c>
      <c r="K222" t="n">
        <v>2</v>
      </c>
      <c r="L222" t="n">
        <v>4</v>
      </c>
      <c r="M222" t="n">
        <v>5</v>
      </c>
      <c r="N222" t="n">
        <v>4</v>
      </c>
      <c r="O222" t="n">
        <v>2</v>
      </c>
      <c r="P222" t="n">
        <v>2</v>
      </c>
      <c r="Q222" t="n">
        <v>1</v>
      </c>
      <c r="R222" t="n">
        <v>5</v>
      </c>
      <c r="S222" t="n">
        <v>3</v>
      </c>
      <c r="T222" t="n">
        <v>1</v>
      </c>
      <c r="U222" t="n">
        <v>2</v>
      </c>
      <c r="V222" t="n">
        <v>5</v>
      </c>
      <c r="W222">
        <f>(AVERAGE(B222:D222)-1)/4</f>
        <v/>
      </c>
      <c r="X222">
        <f>(AVERAGE(E222:G222)-1)/4</f>
        <v/>
      </c>
      <c r="Y222">
        <f>(AVERAGE(H222:J222)-1)/4</f>
        <v/>
      </c>
      <c r="Z222">
        <f>(AVERAGE(K222:M222)-1)/4</f>
        <v/>
      </c>
      <c r="AA222">
        <f>(AVERAGE(N222:P222)-1)/4</f>
        <v/>
      </c>
      <c r="AB222">
        <f>(AVERAGE(Q222:S222)-1)/4</f>
        <v/>
      </c>
      <c r="AC222">
        <f>(AVERAGE(T222:V222)-1)/4</f>
        <v/>
      </c>
      <c r="AD222">
        <f>AVERAGE(W222:AA222)</f>
        <v/>
      </c>
      <c r="AE222">
        <f>MIN(W222:AA222)</f>
        <v/>
      </c>
      <c r="AF222">
        <f>1-alpha*MAX(0,delta-AE222)</f>
        <v/>
      </c>
      <c r="AG222">
        <f>AD222*AF222</f>
        <v/>
      </c>
      <c r="AH222">
        <f>1+COUNTIF(bounds,"&lt;"&amp;ROUND(AD222,12))</f>
        <v/>
      </c>
      <c r="AI222">
        <f>1+COUNTIF(bounds,"&lt;"&amp;ROUND(AG222,12))</f>
        <v/>
      </c>
      <c r="AJ222">
        <f>IF(AF222&lt;1,1,0)</f>
        <v/>
      </c>
      <c r="AK222">
        <f>IF(AH222&lt;&gt;AI222,1,0)</f>
        <v/>
      </c>
      <c r="AL222">
        <f>IF(AND(AI222&gt;=3,AB222&lt;=0.2),1,0)</f>
        <v/>
      </c>
      <c r="AM222">
        <f>AVERAGE(W222:AB222)</f>
        <v/>
      </c>
      <c r="AN222">
        <f>1+COUNTIF(bounds,"&lt;"&amp;ROUND(AM222,12))</f>
        <v/>
      </c>
      <c r="AO222">
        <f>IF(AK222=1,AD222,NA())</f>
        <v/>
      </c>
      <c r="AP222">
        <f>IF(AK222=0,AD222,NA())</f>
        <v/>
      </c>
    </row>
    <row r="223">
      <c r="A223" t="n">
        <v>215</v>
      </c>
      <c r="B223" t="n">
        <v>2</v>
      </c>
      <c r="C223" t="n">
        <v>1</v>
      </c>
      <c r="D223" t="n">
        <v>2</v>
      </c>
      <c r="E223" t="n">
        <v>1</v>
      </c>
      <c r="F223" t="n">
        <v>2</v>
      </c>
      <c r="G223" t="n">
        <v>2</v>
      </c>
      <c r="H223" t="n">
        <v>2</v>
      </c>
      <c r="I223" t="n">
        <v>2</v>
      </c>
      <c r="J223" t="n">
        <v>2</v>
      </c>
      <c r="K223" t="n">
        <v>2</v>
      </c>
      <c r="L223" t="n">
        <v>5</v>
      </c>
      <c r="M223" t="n">
        <v>3</v>
      </c>
      <c r="N223" t="n">
        <v>2</v>
      </c>
      <c r="O223" t="n">
        <v>1</v>
      </c>
      <c r="P223" t="n">
        <v>3</v>
      </c>
      <c r="Q223" t="n">
        <v>1</v>
      </c>
      <c r="R223" t="n">
        <v>2</v>
      </c>
      <c r="S223" t="n">
        <v>1</v>
      </c>
      <c r="T223" t="n">
        <v>1</v>
      </c>
      <c r="U223" t="n">
        <v>3</v>
      </c>
      <c r="V223" t="n">
        <v>3</v>
      </c>
      <c r="W223">
        <f>(AVERAGE(B223:D223)-1)/4</f>
        <v/>
      </c>
      <c r="X223">
        <f>(AVERAGE(E223:G223)-1)/4</f>
        <v/>
      </c>
      <c r="Y223">
        <f>(AVERAGE(H223:J223)-1)/4</f>
        <v/>
      </c>
      <c r="Z223">
        <f>(AVERAGE(K223:M223)-1)/4</f>
        <v/>
      </c>
      <c r="AA223">
        <f>(AVERAGE(N223:P223)-1)/4</f>
        <v/>
      </c>
      <c r="AB223">
        <f>(AVERAGE(Q223:S223)-1)/4</f>
        <v/>
      </c>
      <c r="AC223">
        <f>(AVERAGE(T223:V223)-1)/4</f>
        <v/>
      </c>
      <c r="AD223">
        <f>AVERAGE(W223:AA223)</f>
        <v/>
      </c>
      <c r="AE223">
        <f>MIN(W223:AA223)</f>
        <v/>
      </c>
      <c r="AF223">
        <f>1-alpha*MAX(0,delta-AE223)</f>
        <v/>
      </c>
      <c r="AG223">
        <f>AD223*AF223</f>
        <v/>
      </c>
      <c r="AH223">
        <f>1+COUNTIF(bounds,"&lt;"&amp;ROUND(AD223,12))</f>
        <v/>
      </c>
      <c r="AI223">
        <f>1+COUNTIF(bounds,"&lt;"&amp;ROUND(AG223,12))</f>
        <v/>
      </c>
      <c r="AJ223">
        <f>IF(AF223&lt;1,1,0)</f>
        <v/>
      </c>
      <c r="AK223">
        <f>IF(AH223&lt;&gt;AI223,1,0)</f>
        <v/>
      </c>
      <c r="AL223">
        <f>IF(AND(AI223&gt;=3,AB223&lt;=0.2),1,0)</f>
        <v/>
      </c>
      <c r="AM223">
        <f>AVERAGE(W223:AB223)</f>
        <v/>
      </c>
      <c r="AN223">
        <f>1+COUNTIF(bounds,"&lt;"&amp;ROUND(AM223,12))</f>
        <v/>
      </c>
      <c r="AO223">
        <f>IF(AK223=1,AD223,NA())</f>
        <v/>
      </c>
      <c r="AP223">
        <f>IF(AK223=0,AD223,NA())</f>
        <v/>
      </c>
    </row>
    <row r="224">
      <c r="A224" t="n">
        <v>216</v>
      </c>
      <c r="B224" t="n">
        <v>3</v>
      </c>
      <c r="C224" t="n">
        <v>5</v>
      </c>
      <c r="D224" t="n">
        <v>2</v>
      </c>
      <c r="E224" t="n">
        <v>4</v>
      </c>
      <c r="F224" t="n">
        <v>1</v>
      </c>
      <c r="G224" t="n">
        <v>5</v>
      </c>
      <c r="H224" t="n">
        <v>3</v>
      </c>
      <c r="I224" t="n">
        <v>2</v>
      </c>
      <c r="J224" t="n">
        <v>3</v>
      </c>
      <c r="K224" t="n">
        <v>2</v>
      </c>
      <c r="L224" t="n">
        <v>4</v>
      </c>
      <c r="M224" t="n">
        <v>4</v>
      </c>
      <c r="N224" t="n">
        <v>1</v>
      </c>
      <c r="O224" t="n">
        <v>1</v>
      </c>
      <c r="P224" t="n">
        <v>5</v>
      </c>
      <c r="Q224" t="n">
        <v>5</v>
      </c>
      <c r="R224" t="n">
        <v>1</v>
      </c>
      <c r="S224" t="n">
        <v>2</v>
      </c>
      <c r="T224" t="n">
        <v>3</v>
      </c>
      <c r="U224" t="n">
        <v>2</v>
      </c>
      <c r="V224" t="n">
        <v>2</v>
      </c>
      <c r="W224">
        <f>(AVERAGE(B224:D224)-1)/4</f>
        <v/>
      </c>
      <c r="X224">
        <f>(AVERAGE(E224:G224)-1)/4</f>
        <v/>
      </c>
      <c r="Y224">
        <f>(AVERAGE(H224:J224)-1)/4</f>
        <v/>
      </c>
      <c r="Z224">
        <f>(AVERAGE(K224:M224)-1)/4</f>
        <v/>
      </c>
      <c r="AA224">
        <f>(AVERAGE(N224:P224)-1)/4</f>
        <v/>
      </c>
      <c r="AB224">
        <f>(AVERAGE(Q224:S224)-1)/4</f>
        <v/>
      </c>
      <c r="AC224">
        <f>(AVERAGE(T224:V224)-1)/4</f>
        <v/>
      </c>
      <c r="AD224">
        <f>AVERAGE(W224:AA224)</f>
        <v/>
      </c>
      <c r="AE224">
        <f>MIN(W224:AA224)</f>
        <v/>
      </c>
      <c r="AF224">
        <f>1-alpha*MAX(0,delta-AE224)</f>
        <v/>
      </c>
      <c r="AG224">
        <f>AD224*AF224</f>
        <v/>
      </c>
      <c r="AH224">
        <f>1+COUNTIF(bounds,"&lt;"&amp;ROUND(AD224,12))</f>
        <v/>
      </c>
      <c r="AI224">
        <f>1+COUNTIF(bounds,"&lt;"&amp;ROUND(AG224,12))</f>
        <v/>
      </c>
      <c r="AJ224">
        <f>IF(AF224&lt;1,1,0)</f>
        <v/>
      </c>
      <c r="AK224">
        <f>IF(AH224&lt;&gt;AI224,1,0)</f>
        <v/>
      </c>
      <c r="AL224">
        <f>IF(AND(AI224&gt;=3,AB224&lt;=0.2),1,0)</f>
        <v/>
      </c>
      <c r="AM224">
        <f>AVERAGE(W224:AB224)</f>
        <v/>
      </c>
      <c r="AN224">
        <f>1+COUNTIF(bounds,"&lt;"&amp;ROUND(AM224,12))</f>
        <v/>
      </c>
      <c r="AO224">
        <f>IF(AK224=1,AD224,NA())</f>
        <v/>
      </c>
      <c r="AP224">
        <f>IF(AK224=0,AD224,NA())</f>
        <v/>
      </c>
    </row>
    <row r="225">
      <c r="A225" t="n">
        <v>217</v>
      </c>
      <c r="B225" t="n">
        <v>4</v>
      </c>
      <c r="C225" t="n">
        <v>1</v>
      </c>
      <c r="D225" t="n">
        <v>5</v>
      </c>
      <c r="E225" t="n">
        <v>2</v>
      </c>
      <c r="F225" t="n">
        <v>3</v>
      </c>
      <c r="G225" t="n">
        <v>4</v>
      </c>
      <c r="H225" t="n">
        <v>4</v>
      </c>
      <c r="I225" t="n">
        <v>5</v>
      </c>
      <c r="J225" t="n">
        <v>1</v>
      </c>
      <c r="K225" t="n">
        <v>5</v>
      </c>
      <c r="L225" t="n">
        <v>3</v>
      </c>
      <c r="M225" t="n">
        <v>4</v>
      </c>
      <c r="N225" t="n">
        <v>3</v>
      </c>
      <c r="O225" t="n">
        <v>5</v>
      </c>
      <c r="P225" t="n">
        <v>2</v>
      </c>
      <c r="Q225" t="n">
        <v>1</v>
      </c>
      <c r="R225" t="n">
        <v>1</v>
      </c>
      <c r="S225" t="n">
        <v>4</v>
      </c>
      <c r="T225" t="n">
        <v>3</v>
      </c>
      <c r="U225" t="n">
        <v>5</v>
      </c>
      <c r="V225" t="n">
        <v>5</v>
      </c>
      <c r="W225">
        <f>(AVERAGE(B225:D225)-1)/4</f>
        <v/>
      </c>
      <c r="X225">
        <f>(AVERAGE(E225:G225)-1)/4</f>
        <v/>
      </c>
      <c r="Y225">
        <f>(AVERAGE(H225:J225)-1)/4</f>
        <v/>
      </c>
      <c r="Z225">
        <f>(AVERAGE(K225:M225)-1)/4</f>
        <v/>
      </c>
      <c r="AA225">
        <f>(AVERAGE(N225:P225)-1)/4</f>
        <v/>
      </c>
      <c r="AB225">
        <f>(AVERAGE(Q225:S225)-1)/4</f>
        <v/>
      </c>
      <c r="AC225">
        <f>(AVERAGE(T225:V225)-1)/4</f>
        <v/>
      </c>
      <c r="AD225">
        <f>AVERAGE(W225:AA225)</f>
        <v/>
      </c>
      <c r="AE225">
        <f>MIN(W225:AA225)</f>
        <v/>
      </c>
      <c r="AF225">
        <f>1-alpha*MAX(0,delta-AE225)</f>
        <v/>
      </c>
      <c r="AG225">
        <f>AD225*AF225</f>
        <v/>
      </c>
      <c r="AH225">
        <f>1+COUNTIF(bounds,"&lt;"&amp;ROUND(AD225,12))</f>
        <v/>
      </c>
      <c r="AI225">
        <f>1+COUNTIF(bounds,"&lt;"&amp;ROUND(AG225,12))</f>
        <v/>
      </c>
      <c r="AJ225">
        <f>IF(AF225&lt;1,1,0)</f>
        <v/>
      </c>
      <c r="AK225">
        <f>IF(AH225&lt;&gt;AI225,1,0)</f>
        <v/>
      </c>
      <c r="AL225">
        <f>IF(AND(AI225&gt;=3,AB225&lt;=0.2),1,0)</f>
        <v/>
      </c>
      <c r="AM225">
        <f>AVERAGE(W225:AB225)</f>
        <v/>
      </c>
      <c r="AN225">
        <f>1+COUNTIF(bounds,"&lt;"&amp;ROUND(AM225,12))</f>
        <v/>
      </c>
      <c r="AO225">
        <f>IF(AK225=1,AD225,NA())</f>
        <v/>
      </c>
      <c r="AP225">
        <f>IF(AK225=0,AD225,NA())</f>
        <v/>
      </c>
    </row>
    <row r="226">
      <c r="A226" t="n">
        <v>218</v>
      </c>
      <c r="B226" t="n">
        <v>5</v>
      </c>
      <c r="C226" t="n">
        <v>3</v>
      </c>
      <c r="D226" t="n">
        <v>3</v>
      </c>
      <c r="E226" t="n">
        <v>3</v>
      </c>
      <c r="F226" t="n">
        <v>4</v>
      </c>
      <c r="G226" t="n">
        <v>1</v>
      </c>
      <c r="H226" t="n">
        <v>5</v>
      </c>
      <c r="I226" t="n">
        <v>3</v>
      </c>
      <c r="J226" t="n">
        <v>5</v>
      </c>
      <c r="K226" t="n">
        <v>4</v>
      </c>
      <c r="L226" t="n">
        <v>1</v>
      </c>
      <c r="M226" t="n">
        <v>2</v>
      </c>
      <c r="N226" t="n">
        <v>5</v>
      </c>
      <c r="O226" t="n">
        <v>3</v>
      </c>
      <c r="P226" t="n">
        <v>2</v>
      </c>
      <c r="Q226" t="n">
        <v>4</v>
      </c>
      <c r="R226" t="n">
        <v>5</v>
      </c>
      <c r="S226" t="n">
        <v>1</v>
      </c>
      <c r="T226" t="n">
        <v>1</v>
      </c>
      <c r="U226" t="n">
        <v>1</v>
      </c>
      <c r="V226" t="n">
        <v>2</v>
      </c>
      <c r="W226">
        <f>(AVERAGE(B226:D226)-1)/4</f>
        <v/>
      </c>
      <c r="X226">
        <f>(AVERAGE(E226:G226)-1)/4</f>
        <v/>
      </c>
      <c r="Y226">
        <f>(AVERAGE(H226:J226)-1)/4</f>
        <v/>
      </c>
      <c r="Z226">
        <f>(AVERAGE(K226:M226)-1)/4</f>
        <v/>
      </c>
      <c r="AA226">
        <f>(AVERAGE(N226:P226)-1)/4</f>
        <v/>
      </c>
      <c r="AB226">
        <f>(AVERAGE(Q226:S226)-1)/4</f>
        <v/>
      </c>
      <c r="AC226">
        <f>(AVERAGE(T226:V226)-1)/4</f>
        <v/>
      </c>
      <c r="AD226">
        <f>AVERAGE(W226:AA226)</f>
        <v/>
      </c>
      <c r="AE226">
        <f>MIN(W226:AA226)</f>
        <v/>
      </c>
      <c r="AF226">
        <f>1-alpha*MAX(0,delta-AE226)</f>
        <v/>
      </c>
      <c r="AG226">
        <f>AD226*AF226</f>
        <v/>
      </c>
      <c r="AH226">
        <f>1+COUNTIF(bounds,"&lt;"&amp;ROUND(AD226,12))</f>
        <v/>
      </c>
      <c r="AI226">
        <f>1+COUNTIF(bounds,"&lt;"&amp;ROUND(AG226,12))</f>
        <v/>
      </c>
      <c r="AJ226">
        <f>IF(AF226&lt;1,1,0)</f>
        <v/>
      </c>
      <c r="AK226">
        <f>IF(AH226&lt;&gt;AI226,1,0)</f>
        <v/>
      </c>
      <c r="AL226">
        <f>IF(AND(AI226&gt;=3,AB226&lt;=0.2),1,0)</f>
        <v/>
      </c>
      <c r="AM226">
        <f>AVERAGE(W226:AB226)</f>
        <v/>
      </c>
      <c r="AN226">
        <f>1+COUNTIF(bounds,"&lt;"&amp;ROUND(AM226,12))</f>
        <v/>
      </c>
      <c r="AO226">
        <f>IF(AK226=1,AD226,NA())</f>
        <v/>
      </c>
      <c r="AP226">
        <f>IF(AK226=0,AD226,NA())</f>
        <v/>
      </c>
    </row>
    <row r="227">
      <c r="A227" t="n">
        <v>219</v>
      </c>
      <c r="B227" t="n">
        <v>5</v>
      </c>
      <c r="C227" t="n">
        <v>2</v>
      </c>
      <c r="D227" t="n">
        <v>5</v>
      </c>
      <c r="E227" t="n">
        <v>5</v>
      </c>
      <c r="F227" t="n">
        <v>4</v>
      </c>
      <c r="G227" t="n">
        <v>5</v>
      </c>
      <c r="H227" t="n">
        <v>5</v>
      </c>
      <c r="I227" t="n">
        <v>1</v>
      </c>
      <c r="J227" t="n">
        <v>3</v>
      </c>
      <c r="K227" t="n">
        <v>2</v>
      </c>
      <c r="L227" t="n">
        <v>1</v>
      </c>
      <c r="M227" t="n">
        <v>4</v>
      </c>
      <c r="N227" t="n">
        <v>3</v>
      </c>
      <c r="O227" t="n">
        <v>2</v>
      </c>
      <c r="P227" t="n">
        <v>3</v>
      </c>
      <c r="Q227" t="n">
        <v>4</v>
      </c>
      <c r="R227" t="n">
        <v>3</v>
      </c>
      <c r="S227" t="n">
        <v>4</v>
      </c>
      <c r="T227" t="n">
        <v>5</v>
      </c>
      <c r="U227" t="n">
        <v>4</v>
      </c>
      <c r="V227" t="n">
        <v>4</v>
      </c>
      <c r="W227">
        <f>(AVERAGE(B227:D227)-1)/4</f>
        <v/>
      </c>
      <c r="X227">
        <f>(AVERAGE(E227:G227)-1)/4</f>
        <v/>
      </c>
      <c r="Y227">
        <f>(AVERAGE(H227:J227)-1)/4</f>
        <v/>
      </c>
      <c r="Z227">
        <f>(AVERAGE(K227:M227)-1)/4</f>
        <v/>
      </c>
      <c r="AA227">
        <f>(AVERAGE(N227:P227)-1)/4</f>
        <v/>
      </c>
      <c r="AB227">
        <f>(AVERAGE(Q227:S227)-1)/4</f>
        <v/>
      </c>
      <c r="AC227">
        <f>(AVERAGE(T227:V227)-1)/4</f>
        <v/>
      </c>
      <c r="AD227">
        <f>AVERAGE(W227:AA227)</f>
        <v/>
      </c>
      <c r="AE227">
        <f>MIN(W227:AA227)</f>
        <v/>
      </c>
      <c r="AF227">
        <f>1-alpha*MAX(0,delta-AE227)</f>
        <v/>
      </c>
      <c r="AG227">
        <f>AD227*AF227</f>
        <v/>
      </c>
      <c r="AH227">
        <f>1+COUNTIF(bounds,"&lt;"&amp;ROUND(AD227,12))</f>
        <v/>
      </c>
      <c r="AI227">
        <f>1+COUNTIF(bounds,"&lt;"&amp;ROUND(AG227,12))</f>
        <v/>
      </c>
      <c r="AJ227">
        <f>IF(AF227&lt;1,1,0)</f>
        <v/>
      </c>
      <c r="AK227">
        <f>IF(AH227&lt;&gt;AI227,1,0)</f>
        <v/>
      </c>
      <c r="AL227">
        <f>IF(AND(AI227&gt;=3,AB227&lt;=0.2),1,0)</f>
        <v/>
      </c>
      <c r="AM227">
        <f>AVERAGE(W227:AB227)</f>
        <v/>
      </c>
      <c r="AN227">
        <f>1+COUNTIF(bounds,"&lt;"&amp;ROUND(AM227,12))</f>
        <v/>
      </c>
      <c r="AO227">
        <f>IF(AK227=1,AD227,NA())</f>
        <v/>
      </c>
      <c r="AP227">
        <f>IF(AK227=0,AD227,NA())</f>
        <v/>
      </c>
    </row>
    <row r="228">
      <c r="A228" t="n">
        <v>220</v>
      </c>
      <c r="B228" t="n">
        <v>5</v>
      </c>
      <c r="C228" t="n">
        <v>5</v>
      </c>
      <c r="D228" t="n">
        <v>5</v>
      </c>
      <c r="E228" t="n">
        <v>4</v>
      </c>
      <c r="F228" t="n">
        <v>3</v>
      </c>
      <c r="G228" t="n">
        <v>3</v>
      </c>
      <c r="H228" t="n">
        <v>3</v>
      </c>
      <c r="I228" t="n">
        <v>3</v>
      </c>
      <c r="J228" t="n">
        <v>3</v>
      </c>
      <c r="K228" t="n">
        <v>3</v>
      </c>
      <c r="L228" t="n">
        <v>3</v>
      </c>
      <c r="M228" t="n">
        <v>5</v>
      </c>
      <c r="N228" t="n">
        <v>3</v>
      </c>
      <c r="O228" t="n">
        <v>4</v>
      </c>
      <c r="P228" t="n">
        <v>4</v>
      </c>
      <c r="Q228" t="n">
        <v>1</v>
      </c>
      <c r="R228" t="n">
        <v>1</v>
      </c>
      <c r="S228" t="n">
        <v>1</v>
      </c>
      <c r="T228" t="n">
        <v>4</v>
      </c>
      <c r="U228" t="n">
        <v>3</v>
      </c>
      <c r="V228" t="n">
        <v>3</v>
      </c>
      <c r="W228">
        <f>(AVERAGE(B228:D228)-1)/4</f>
        <v/>
      </c>
      <c r="X228">
        <f>(AVERAGE(E228:G228)-1)/4</f>
        <v/>
      </c>
      <c r="Y228">
        <f>(AVERAGE(H228:J228)-1)/4</f>
        <v/>
      </c>
      <c r="Z228">
        <f>(AVERAGE(K228:M228)-1)/4</f>
        <v/>
      </c>
      <c r="AA228">
        <f>(AVERAGE(N228:P228)-1)/4</f>
        <v/>
      </c>
      <c r="AB228">
        <f>(AVERAGE(Q228:S228)-1)/4</f>
        <v/>
      </c>
      <c r="AC228">
        <f>(AVERAGE(T228:V228)-1)/4</f>
        <v/>
      </c>
      <c r="AD228">
        <f>AVERAGE(W228:AA228)</f>
        <v/>
      </c>
      <c r="AE228">
        <f>MIN(W228:AA228)</f>
        <v/>
      </c>
      <c r="AF228">
        <f>1-alpha*MAX(0,delta-AE228)</f>
        <v/>
      </c>
      <c r="AG228">
        <f>AD228*AF228</f>
        <v/>
      </c>
      <c r="AH228">
        <f>1+COUNTIF(bounds,"&lt;"&amp;ROUND(AD228,12))</f>
        <v/>
      </c>
      <c r="AI228">
        <f>1+COUNTIF(bounds,"&lt;"&amp;ROUND(AG228,12))</f>
        <v/>
      </c>
      <c r="AJ228">
        <f>IF(AF228&lt;1,1,0)</f>
        <v/>
      </c>
      <c r="AK228">
        <f>IF(AH228&lt;&gt;AI228,1,0)</f>
        <v/>
      </c>
      <c r="AL228">
        <f>IF(AND(AI228&gt;=3,AB228&lt;=0.2),1,0)</f>
        <v/>
      </c>
      <c r="AM228">
        <f>AVERAGE(W228:AB228)</f>
        <v/>
      </c>
      <c r="AN228">
        <f>1+COUNTIF(bounds,"&lt;"&amp;ROUND(AM228,12))</f>
        <v/>
      </c>
      <c r="AO228">
        <f>IF(AK228=1,AD228,NA())</f>
        <v/>
      </c>
      <c r="AP228">
        <f>IF(AK228=0,AD228,NA())</f>
        <v/>
      </c>
    </row>
    <row r="229">
      <c r="A229" t="n">
        <v>221</v>
      </c>
      <c r="B229" t="n">
        <v>3</v>
      </c>
      <c r="C229" t="n">
        <v>4</v>
      </c>
      <c r="D229" t="n">
        <v>3</v>
      </c>
      <c r="E229" t="n">
        <v>1</v>
      </c>
      <c r="F229" t="n">
        <v>3</v>
      </c>
      <c r="G229" t="n">
        <v>1</v>
      </c>
      <c r="H229" t="n">
        <v>5</v>
      </c>
      <c r="I229" t="n">
        <v>3</v>
      </c>
      <c r="J229" t="n">
        <v>3</v>
      </c>
      <c r="K229" t="n">
        <v>1</v>
      </c>
      <c r="L229" t="n">
        <v>5</v>
      </c>
      <c r="M229" t="n">
        <v>2</v>
      </c>
      <c r="N229" t="n">
        <v>2</v>
      </c>
      <c r="O229" t="n">
        <v>3</v>
      </c>
      <c r="P229" t="n">
        <v>3</v>
      </c>
      <c r="Q229" t="n">
        <v>4</v>
      </c>
      <c r="R229" t="n">
        <v>4</v>
      </c>
      <c r="S229" t="n">
        <v>2</v>
      </c>
      <c r="T229" t="n">
        <v>3</v>
      </c>
      <c r="U229" t="n">
        <v>2</v>
      </c>
      <c r="V229" t="n">
        <v>2</v>
      </c>
      <c r="W229">
        <f>(AVERAGE(B229:D229)-1)/4</f>
        <v/>
      </c>
      <c r="X229">
        <f>(AVERAGE(E229:G229)-1)/4</f>
        <v/>
      </c>
      <c r="Y229">
        <f>(AVERAGE(H229:J229)-1)/4</f>
        <v/>
      </c>
      <c r="Z229">
        <f>(AVERAGE(K229:M229)-1)/4</f>
        <v/>
      </c>
      <c r="AA229">
        <f>(AVERAGE(N229:P229)-1)/4</f>
        <v/>
      </c>
      <c r="AB229">
        <f>(AVERAGE(Q229:S229)-1)/4</f>
        <v/>
      </c>
      <c r="AC229">
        <f>(AVERAGE(T229:V229)-1)/4</f>
        <v/>
      </c>
      <c r="AD229">
        <f>AVERAGE(W229:AA229)</f>
        <v/>
      </c>
      <c r="AE229">
        <f>MIN(W229:AA229)</f>
        <v/>
      </c>
      <c r="AF229">
        <f>1-alpha*MAX(0,delta-AE229)</f>
        <v/>
      </c>
      <c r="AG229">
        <f>AD229*AF229</f>
        <v/>
      </c>
      <c r="AH229">
        <f>1+COUNTIF(bounds,"&lt;"&amp;ROUND(AD229,12))</f>
        <v/>
      </c>
      <c r="AI229">
        <f>1+COUNTIF(bounds,"&lt;"&amp;ROUND(AG229,12))</f>
        <v/>
      </c>
      <c r="AJ229">
        <f>IF(AF229&lt;1,1,0)</f>
        <v/>
      </c>
      <c r="AK229">
        <f>IF(AH229&lt;&gt;AI229,1,0)</f>
        <v/>
      </c>
      <c r="AL229">
        <f>IF(AND(AI229&gt;=3,AB229&lt;=0.2),1,0)</f>
        <v/>
      </c>
      <c r="AM229">
        <f>AVERAGE(W229:AB229)</f>
        <v/>
      </c>
      <c r="AN229">
        <f>1+COUNTIF(bounds,"&lt;"&amp;ROUND(AM229,12))</f>
        <v/>
      </c>
      <c r="AO229">
        <f>IF(AK229=1,AD229,NA())</f>
        <v/>
      </c>
      <c r="AP229">
        <f>IF(AK229=0,AD229,NA())</f>
        <v/>
      </c>
    </row>
    <row r="230">
      <c r="A230" t="n">
        <v>222</v>
      </c>
      <c r="B230" t="n">
        <v>2</v>
      </c>
      <c r="C230" t="n">
        <v>5</v>
      </c>
      <c r="D230" t="n">
        <v>1</v>
      </c>
      <c r="E230" t="n">
        <v>2</v>
      </c>
      <c r="F230" t="n">
        <v>2</v>
      </c>
      <c r="G230" t="n">
        <v>2</v>
      </c>
      <c r="H230" t="n">
        <v>3</v>
      </c>
      <c r="I230" t="n">
        <v>3</v>
      </c>
      <c r="J230" t="n">
        <v>1</v>
      </c>
      <c r="K230" t="n">
        <v>3</v>
      </c>
      <c r="L230" t="n">
        <v>2</v>
      </c>
      <c r="M230" t="n">
        <v>5</v>
      </c>
      <c r="N230" t="n">
        <v>3</v>
      </c>
      <c r="O230" t="n">
        <v>3</v>
      </c>
      <c r="P230" t="n">
        <v>1</v>
      </c>
      <c r="Q230" t="n">
        <v>1</v>
      </c>
      <c r="R230" t="n">
        <v>1</v>
      </c>
      <c r="S230" t="n">
        <v>4</v>
      </c>
      <c r="T230" t="n">
        <v>3</v>
      </c>
      <c r="U230" t="n">
        <v>3</v>
      </c>
      <c r="V230" t="n">
        <v>3</v>
      </c>
      <c r="W230">
        <f>(AVERAGE(B230:D230)-1)/4</f>
        <v/>
      </c>
      <c r="X230">
        <f>(AVERAGE(E230:G230)-1)/4</f>
        <v/>
      </c>
      <c r="Y230">
        <f>(AVERAGE(H230:J230)-1)/4</f>
        <v/>
      </c>
      <c r="Z230">
        <f>(AVERAGE(K230:M230)-1)/4</f>
        <v/>
      </c>
      <c r="AA230">
        <f>(AVERAGE(N230:P230)-1)/4</f>
        <v/>
      </c>
      <c r="AB230">
        <f>(AVERAGE(Q230:S230)-1)/4</f>
        <v/>
      </c>
      <c r="AC230">
        <f>(AVERAGE(T230:V230)-1)/4</f>
        <v/>
      </c>
      <c r="AD230">
        <f>AVERAGE(W230:AA230)</f>
        <v/>
      </c>
      <c r="AE230">
        <f>MIN(W230:AA230)</f>
        <v/>
      </c>
      <c r="AF230">
        <f>1-alpha*MAX(0,delta-AE230)</f>
        <v/>
      </c>
      <c r="AG230">
        <f>AD230*AF230</f>
        <v/>
      </c>
      <c r="AH230">
        <f>1+COUNTIF(bounds,"&lt;"&amp;ROUND(AD230,12))</f>
        <v/>
      </c>
      <c r="AI230">
        <f>1+COUNTIF(bounds,"&lt;"&amp;ROUND(AG230,12))</f>
        <v/>
      </c>
      <c r="AJ230">
        <f>IF(AF230&lt;1,1,0)</f>
        <v/>
      </c>
      <c r="AK230">
        <f>IF(AH230&lt;&gt;AI230,1,0)</f>
        <v/>
      </c>
      <c r="AL230">
        <f>IF(AND(AI230&gt;=3,AB230&lt;=0.2),1,0)</f>
        <v/>
      </c>
      <c r="AM230">
        <f>AVERAGE(W230:AB230)</f>
        <v/>
      </c>
      <c r="AN230">
        <f>1+COUNTIF(bounds,"&lt;"&amp;ROUND(AM230,12))</f>
        <v/>
      </c>
      <c r="AO230">
        <f>IF(AK230=1,AD230,NA())</f>
        <v/>
      </c>
      <c r="AP230">
        <f>IF(AK230=0,AD230,NA())</f>
        <v/>
      </c>
    </row>
    <row r="231">
      <c r="A231" t="n">
        <v>223</v>
      </c>
      <c r="B231" t="n">
        <v>2</v>
      </c>
      <c r="C231" t="n">
        <v>5</v>
      </c>
      <c r="D231" t="n">
        <v>5</v>
      </c>
      <c r="E231" t="n">
        <v>5</v>
      </c>
      <c r="F231" t="n">
        <v>3</v>
      </c>
      <c r="G231" t="n">
        <v>2</v>
      </c>
      <c r="H231" t="n">
        <v>5</v>
      </c>
      <c r="I231" t="n">
        <v>2</v>
      </c>
      <c r="J231" t="n">
        <v>3</v>
      </c>
      <c r="K231" t="n">
        <v>2</v>
      </c>
      <c r="L231" t="n">
        <v>2</v>
      </c>
      <c r="M231" t="n">
        <v>4</v>
      </c>
      <c r="N231" t="n">
        <v>3</v>
      </c>
      <c r="O231" t="n">
        <v>4</v>
      </c>
      <c r="P231" t="n">
        <v>4</v>
      </c>
      <c r="Q231" t="n">
        <v>1</v>
      </c>
      <c r="R231" t="n">
        <v>4</v>
      </c>
      <c r="S231" t="n">
        <v>5</v>
      </c>
      <c r="T231" t="n">
        <v>1</v>
      </c>
      <c r="U231" t="n">
        <v>5</v>
      </c>
      <c r="V231" t="n">
        <v>1</v>
      </c>
      <c r="W231">
        <f>(AVERAGE(B231:D231)-1)/4</f>
        <v/>
      </c>
      <c r="X231">
        <f>(AVERAGE(E231:G231)-1)/4</f>
        <v/>
      </c>
      <c r="Y231">
        <f>(AVERAGE(H231:J231)-1)/4</f>
        <v/>
      </c>
      <c r="Z231">
        <f>(AVERAGE(K231:M231)-1)/4</f>
        <v/>
      </c>
      <c r="AA231">
        <f>(AVERAGE(N231:P231)-1)/4</f>
        <v/>
      </c>
      <c r="AB231">
        <f>(AVERAGE(Q231:S231)-1)/4</f>
        <v/>
      </c>
      <c r="AC231">
        <f>(AVERAGE(T231:V231)-1)/4</f>
        <v/>
      </c>
      <c r="AD231">
        <f>AVERAGE(W231:AA231)</f>
        <v/>
      </c>
      <c r="AE231">
        <f>MIN(W231:AA231)</f>
        <v/>
      </c>
      <c r="AF231">
        <f>1-alpha*MAX(0,delta-AE231)</f>
        <v/>
      </c>
      <c r="AG231">
        <f>AD231*AF231</f>
        <v/>
      </c>
      <c r="AH231">
        <f>1+COUNTIF(bounds,"&lt;"&amp;ROUND(AD231,12))</f>
        <v/>
      </c>
      <c r="AI231">
        <f>1+COUNTIF(bounds,"&lt;"&amp;ROUND(AG231,12))</f>
        <v/>
      </c>
      <c r="AJ231">
        <f>IF(AF231&lt;1,1,0)</f>
        <v/>
      </c>
      <c r="AK231">
        <f>IF(AH231&lt;&gt;AI231,1,0)</f>
        <v/>
      </c>
      <c r="AL231">
        <f>IF(AND(AI231&gt;=3,AB231&lt;=0.2),1,0)</f>
        <v/>
      </c>
      <c r="AM231">
        <f>AVERAGE(W231:AB231)</f>
        <v/>
      </c>
      <c r="AN231">
        <f>1+COUNTIF(bounds,"&lt;"&amp;ROUND(AM231,12))</f>
        <v/>
      </c>
      <c r="AO231">
        <f>IF(AK231=1,AD231,NA())</f>
        <v/>
      </c>
      <c r="AP231">
        <f>IF(AK231=0,AD231,NA())</f>
        <v/>
      </c>
    </row>
    <row r="232">
      <c r="A232" t="n">
        <v>224</v>
      </c>
      <c r="B232" t="n">
        <v>2</v>
      </c>
      <c r="C232" t="n">
        <v>5</v>
      </c>
      <c r="D232" t="n">
        <v>5</v>
      </c>
      <c r="E232" t="n">
        <v>4</v>
      </c>
      <c r="F232" t="n">
        <v>1</v>
      </c>
      <c r="G232" t="n">
        <v>3</v>
      </c>
      <c r="H232" t="n">
        <v>2</v>
      </c>
      <c r="I232" t="n">
        <v>1</v>
      </c>
      <c r="J232" t="n">
        <v>1</v>
      </c>
      <c r="K232" t="n">
        <v>2</v>
      </c>
      <c r="L232" t="n">
        <v>5</v>
      </c>
      <c r="M232" t="n">
        <v>5</v>
      </c>
      <c r="N232" t="n">
        <v>1</v>
      </c>
      <c r="O232" t="n">
        <v>4</v>
      </c>
      <c r="P232" t="n">
        <v>1</v>
      </c>
      <c r="Q232" t="n">
        <v>4</v>
      </c>
      <c r="R232" t="n">
        <v>3</v>
      </c>
      <c r="S232" t="n">
        <v>2</v>
      </c>
      <c r="T232" t="n">
        <v>3</v>
      </c>
      <c r="U232" t="n">
        <v>3</v>
      </c>
      <c r="V232" t="n">
        <v>1</v>
      </c>
      <c r="W232">
        <f>(AVERAGE(B232:D232)-1)/4</f>
        <v/>
      </c>
      <c r="X232">
        <f>(AVERAGE(E232:G232)-1)/4</f>
        <v/>
      </c>
      <c r="Y232">
        <f>(AVERAGE(H232:J232)-1)/4</f>
        <v/>
      </c>
      <c r="Z232">
        <f>(AVERAGE(K232:M232)-1)/4</f>
        <v/>
      </c>
      <c r="AA232">
        <f>(AVERAGE(N232:P232)-1)/4</f>
        <v/>
      </c>
      <c r="AB232">
        <f>(AVERAGE(Q232:S232)-1)/4</f>
        <v/>
      </c>
      <c r="AC232">
        <f>(AVERAGE(T232:V232)-1)/4</f>
        <v/>
      </c>
      <c r="AD232">
        <f>AVERAGE(W232:AA232)</f>
        <v/>
      </c>
      <c r="AE232">
        <f>MIN(W232:AA232)</f>
        <v/>
      </c>
      <c r="AF232">
        <f>1-alpha*MAX(0,delta-AE232)</f>
        <v/>
      </c>
      <c r="AG232">
        <f>AD232*AF232</f>
        <v/>
      </c>
      <c r="AH232">
        <f>1+COUNTIF(bounds,"&lt;"&amp;ROUND(AD232,12))</f>
        <v/>
      </c>
      <c r="AI232">
        <f>1+COUNTIF(bounds,"&lt;"&amp;ROUND(AG232,12))</f>
        <v/>
      </c>
      <c r="AJ232">
        <f>IF(AF232&lt;1,1,0)</f>
        <v/>
      </c>
      <c r="AK232">
        <f>IF(AH232&lt;&gt;AI232,1,0)</f>
        <v/>
      </c>
      <c r="AL232">
        <f>IF(AND(AI232&gt;=3,AB232&lt;=0.2),1,0)</f>
        <v/>
      </c>
      <c r="AM232">
        <f>AVERAGE(W232:AB232)</f>
        <v/>
      </c>
      <c r="AN232">
        <f>1+COUNTIF(bounds,"&lt;"&amp;ROUND(AM232,12))</f>
        <v/>
      </c>
      <c r="AO232">
        <f>IF(AK232=1,AD232,NA())</f>
        <v/>
      </c>
      <c r="AP232">
        <f>IF(AK232=0,AD232,NA())</f>
        <v/>
      </c>
    </row>
    <row r="233">
      <c r="A233" t="n">
        <v>225</v>
      </c>
      <c r="B233" t="n">
        <v>4</v>
      </c>
      <c r="C233" t="n">
        <v>3</v>
      </c>
      <c r="D233" t="n">
        <v>2</v>
      </c>
      <c r="E233" t="n">
        <v>2</v>
      </c>
      <c r="F233" t="n">
        <v>4</v>
      </c>
      <c r="G233" t="n">
        <v>2</v>
      </c>
      <c r="H233" t="n">
        <v>2</v>
      </c>
      <c r="I233" t="n">
        <v>1</v>
      </c>
      <c r="J233" t="n">
        <v>1</v>
      </c>
      <c r="K233" t="n">
        <v>5</v>
      </c>
      <c r="L233" t="n">
        <v>3</v>
      </c>
      <c r="M233" t="n">
        <v>1</v>
      </c>
      <c r="N233" t="n">
        <v>3</v>
      </c>
      <c r="O233" t="n">
        <v>2</v>
      </c>
      <c r="P233" t="n">
        <v>2</v>
      </c>
      <c r="Q233" t="n">
        <v>1</v>
      </c>
      <c r="R233" t="n">
        <v>5</v>
      </c>
      <c r="S233" t="n">
        <v>3</v>
      </c>
      <c r="T233" t="n">
        <v>5</v>
      </c>
      <c r="U233" t="n">
        <v>3</v>
      </c>
      <c r="V233" t="n">
        <v>1</v>
      </c>
      <c r="W233">
        <f>(AVERAGE(B233:D233)-1)/4</f>
        <v/>
      </c>
      <c r="X233">
        <f>(AVERAGE(E233:G233)-1)/4</f>
        <v/>
      </c>
      <c r="Y233">
        <f>(AVERAGE(H233:J233)-1)/4</f>
        <v/>
      </c>
      <c r="Z233">
        <f>(AVERAGE(K233:M233)-1)/4</f>
        <v/>
      </c>
      <c r="AA233">
        <f>(AVERAGE(N233:P233)-1)/4</f>
        <v/>
      </c>
      <c r="AB233">
        <f>(AVERAGE(Q233:S233)-1)/4</f>
        <v/>
      </c>
      <c r="AC233">
        <f>(AVERAGE(T233:V233)-1)/4</f>
        <v/>
      </c>
      <c r="AD233">
        <f>AVERAGE(W233:AA233)</f>
        <v/>
      </c>
      <c r="AE233">
        <f>MIN(W233:AA233)</f>
        <v/>
      </c>
      <c r="AF233">
        <f>1-alpha*MAX(0,delta-AE233)</f>
        <v/>
      </c>
      <c r="AG233">
        <f>AD233*AF233</f>
        <v/>
      </c>
      <c r="AH233">
        <f>1+COUNTIF(bounds,"&lt;"&amp;ROUND(AD233,12))</f>
        <v/>
      </c>
      <c r="AI233">
        <f>1+COUNTIF(bounds,"&lt;"&amp;ROUND(AG233,12))</f>
        <v/>
      </c>
      <c r="AJ233">
        <f>IF(AF233&lt;1,1,0)</f>
        <v/>
      </c>
      <c r="AK233">
        <f>IF(AH233&lt;&gt;AI233,1,0)</f>
        <v/>
      </c>
      <c r="AL233">
        <f>IF(AND(AI233&gt;=3,AB233&lt;=0.2),1,0)</f>
        <v/>
      </c>
      <c r="AM233">
        <f>AVERAGE(W233:AB233)</f>
        <v/>
      </c>
      <c r="AN233">
        <f>1+COUNTIF(bounds,"&lt;"&amp;ROUND(AM233,12))</f>
        <v/>
      </c>
      <c r="AO233">
        <f>IF(AK233=1,AD233,NA())</f>
        <v/>
      </c>
      <c r="AP233">
        <f>IF(AK233=0,AD233,NA())</f>
        <v/>
      </c>
    </row>
    <row r="234">
      <c r="A234" t="n">
        <v>226</v>
      </c>
      <c r="B234" t="n">
        <v>1</v>
      </c>
      <c r="C234" t="n">
        <v>2</v>
      </c>
      <c r="D234" t="n">
        <v>2</v>
      </c>
      <c r="E234" t="n">
        <v>4</v>
      </c>
      <c r="F234" t="n">
        <v>4</v>
      </c>
      <c r="G234" t="n">
        <v>2</v>
      </c>
      <c r="H234" t="n">
        <v>4</v>
      </c>
      <c r="I234" t="n">
        <v>3</v>
      </c>
      <c r="J234" t="n">
        <v>3</v>
      </c>
      <c r="K234" t="n">
        <v>4</v>
      </c>
      <c r="L234" t="n">
        <v>3</v>
      </c>
      <c r="M234" t="n">
        <v>2</v>
      </c>
      <c r="N234" t="n">
        <v>1</v>
      </c>
      <c r="O234" t="n">
        <v>5</v>
      </c>
      <c r="P234" t="n">
        <v>1</v>
      </c>
      <c r="Q234" t="n">
        <v>1</v>
      </c>
      <c r="R234" t="n">
        <v>2</v>
      </c>
      <c r="S234" t="n">
        <v>1</v>
      </c>
      <c r="T234" t="n">
        <v>4</v>
      </c>
      <c r="U234" t="n">
        <v>1</v>
      </c>
      <c r="V234" t="n">
        <v>1</v>
      </c>
      <c r="W234">
        <f>(AVERAGE(B234:D234)-1)/4</f>
        <v/>
      </c>
      <c r="X234">
        <f>(AVERAGE(E234:G234)-1)/4</f>
        <v/>
      </c>
      <c r="Y234">
        <f>(AVERAGE(H234:J234)-1)/4</f>
        <v/>
      </c>
      <c r="Z234">
        <f>(AVERAGE(K234:M234)-1)/4</f>
        <v/>
      </c>
      <c r="AA234">
        <f>(AVERAGE(N234:P234)-1)/4</f>
        <v/>
      </c>
      <c r="AB234">
        <f>(AVERAGE(Q234:S234)-1)/4</f>
        <v/>
      </c>
      <c r="AC234">
        <f>(AVERAGE(T234:V234)-1)/4</f>
        <v/>
      </c>
      <c r="AD234">
        <f>AVERAGE(W234:AA234)</f>
        <v/>
      </c>
      <c r="AE234">
        <f>MIN(W234:AA234)</f>
        <v/>
      </c>
      <c r="AF234">
        <f>1-alpha*MAX(0,delta-AE234)</f>
        <v/>
      </c>
      <c r="AG234">
        <f>AD234*AF234</f>
        <v/>
      </c>
      <c r="AH234">
        <f>1+COUNTIF(bounds,"&lt;"&amp;ROUND(AD234,12))</f>
        <v/>
      </c>
      <c r="AI234">
        <f>1+COUNTIF(bounds,"&lt;"&amp;ROUND(AG234,12))</f>
        <v/>
      </c>
      <c r="AJ234">
        <f>IF(AF234&lt;1,1,0)</f>
        <v/>
      </c>
      <c r="AK234">
        <f>IF(AH234&lt;&gt;AI234,1,0)</f>
        <v/>
      </c>
      <c r="AL234">
        <f>IF(AND(AI234&gt;=3,AB234&lt;=0.2),1,0)</f>
        <v/>
      </c>
      <c r="AM234">
        <f>AVERAGE(W234:AB234)</f>
        <v/>
      </c>
      <c r="AN234">
        <f>1+COUNTIF(bounds,"&lt;"&amp;ROUND(AM234,12))</f>
        <v/>
      </c>
      <c r="AO234">
        <f>IF(AK234=1,AD234,NA())</f>
        <v/>
      </c>
      <c r="AP234">
        <f>IF(AK234=0,AD234,NA())</f>
        <v/>
      </c>
    </row>
    <row r="235">
      <c r="A235" t="n">
        <v>227</v>
      </c>
      <c r="B235" t="n">
        <v>1</v>
      </c>
      <c r="C235" t="n">
        <v>1</v>
      </c>
      <c r="D235" t="n">
        <v>2</v>
      </c>
      <c r="E235" t="n">
        <v>2</v>
      </c>
      <c r="F235" t="n">
        <v>1</v>
      </c>
      <c r="G235" t="n">
        <v>2</v>
      </c>
      <c r="H235" t="n">
        <v>5</v>
      </c>
      <c r="I235" t="n">
        <v>4</v>
      </c>
      <c r="J235" t="n">
        <v>4</v>
      </c>
      <c r="K235" t="n">
        <v>2</v>
      </c>
      <c r="L235" t="n">
        <v>3</v>
      </c>
      <c r="M235" t="n">
        <v>1</v>
      </c>
      <c r="N235" t="n">
        <v>5</v>
      </c>
      <c r="O235" t="n">
        <v>3</v>
      </c>
      <c r="P235" t="n">
        <v>4</v>
      </c>
      <c r="Q235" t="n">
        <v>5</v>
      </c>
      <c r="R235" t="n">
        <v>5</v>
      </c>
      <c r="S235" t="n">
        <v>1</v>
      </c>
      <c r="T235" t="n">
        <v>5</v>
      </c>
      <c r="U235" t="n">
        <v>5</v>
      </c>
      <c r="V235" t="n">
        <v>3</v>
      </c>
      <c r="W235">
        <f>(AVERAGE(B235:D235)-1)/4</f>
        <v/>
      </c>
      <c r="X235">
        <f>(AVERAGE(E235:G235)-1)/4</f>
        <v/>
      </c>
      <c r="Y235">
        <f>(AVERAGE(H235:J235)-1)/4</f>
        <v/>
      </c>
      <c r="Z235">
        <f>(AVERAGE(K235:M235)-1)/4</f>
        <v/>
      </c>
      <c r="AA235">
        <f>(AVERAGE(N235:P235)-1)/4</f>
        <v/>
      </c>
      <c r="AB235">
        <f>(AVERAGE(Q235:S235)-1)/4</f>
        <v/>
      </c>
      <c r="AC235">
        <f>(AVERAGE(T235:V235)-1)/4</f>
        <v/>
      </c>
      <c r="AD235">
        <f>AVERAGE(W235:AA235)</f>
        <v/>
      </c>
      <c r="AE235">
        <f>MIN(W235:AA235)</f>
        <v/>
      </c>
      <c r="AF235">
        <f>1-alpha*MAX(0,delta-AE235)</f>
        <v/>
      </c>
      <c r="AG235">
        <f>AD235*AF235</f>
        <v/>
      </c>
      <c r="AH235">
        <f>1+COUNTIF(bounds,"&lt;"&amp;ROUND(AD235,12))</f>
        <v/>
      </c>
      <c r="AI235">
        <f>1+COUNTIF(bounds,"&lt;"&amp;ROUND(AG235,12))</f>
        <v/>
      </c>
      <c r="AJ235">
        <f>IF(AF235&lt;1,1,0)</f>
        <v/>
      </c>
      <c r="AK235">
        <f>IF(AH235&lt;&gt;AI235,1,0)</f>
        <v/>
      </c>
      <c r="AL235">
        <f>IF(AND(AI235&gt;=3,AB235&lt;=0.2),1,0)</f>
        <v/>
      </c>
      <c r="AM235">
        <f>AVERAGE(W235:AB235)</f>
        <v/>
      </c>
      <c r="AN235">
        <f>1+COUNTIF(bounds,"&lt;"&amp;ROUND(AM235,12))</f>
        <v/>
      </c>
      <c r="AO235">
        <f>IF(AK235=1,AD235,NA())</f>
        <v/>
      </c>
      <c r="AP235">
        <f>IF(AK235=0,AD235,NA())</f>
        <v/>
      </c>
    </row>
    <row r="236">
      <c r="A236" t="n">
        <v>228</v>
      </c>
      <c r="B236" t="n">
        <v>3</v>
      </c>
      <c r="C236" t="n">
        <v>4</v>
      </c>
      <c r="D236" t="n">
        <v>3</v>
      </c>
      <c r="E236" t="n">
        <v>5</v>
      </c>
      <c r="F236" t="n">
        <v>3</v>
      </c>
      <c r="G236" t="n">
        <v>5</v>
      </c>
      <c r="H236" t="n">
        <v>4</v>
      </c>
      <c r="I236" t="n">
        <v>1</v>
      </c>
      <c r="J236" t="n">
        <v>2</v>
      </c>
      <c r="K236" t="n">
        <v>2</v>
      </c>
      <c r="L236" t="n">
        <v>1</v>
      </c>
      <c r="M236" t="n">
        <v>5</v>
      </c>
      <c r="N236" t="n">
        <v>5</v>
      </c>
      <c r="O236" t="n">
        <v>4</v>
      </c>
      <c r="P236" t="n">
        <v>4</v>
      </c>
      <c r="Q236" t="n">
        <v>3</v>
      </c>
      <c r="R236" t="n">
        <v>4</v>
      </c>
      <c r="S236" t="n">
        <v>3</v>
      </c>
      <c r="T236" t="n">
        <v>3</v>
      </c>
      <c r="U236" t="n">
        <v>1</v>
      </c>
      <c r="V236" t="n">
        <v>5</v>
      </c>
      <c r="W236">
        <f>(AVERAGE(B236:D236)-1)/4</f>
        <v/>
      </c>
      <c r="X236">
        <f>(AVERAGE(E236:G236)-1)/4</f>
        <v/>
      </c>
      <c r="Y236">
        <f>(AVERAGE(H236:J236)-1)/4</f>
        <v/>
      </c>
      <c r="Z236">
        <f>(AVERAGE(K236:M236)-1)/4</f>
        <v/>
      </c>
      <c r="AA236">
        <f>(AVERAGE(N236:P236)-1)/4</f>
        <v/>
      </c>
      <c r="AB236">
        <f>(AVERAGE(Q236:S236)-1)/4</f>
        <v/>
      </c>
      <c r="AC236">
        <f>(AVERAGE(T236:V236)-1)/4</f>
        <v/>
      </c>
      <c r="AD236">
        <f>AVERAGE(W236:AA236)</f>
        <v/>
      </c>
      <c r="AE236">
        <f>MIN(W236:AA236)</f>
        <v/>
      </c>
      <c r="AF236">
        <f>1-alpha*MAX(0,delta-AE236)</f>
        <v/>
      </c>
      <c r="AG236">
        <f>AD236*AF236</f>
        <v/>
      </c>
      <c r="AH236">
        <f>1+COUNTIF(bounds,"&lt;"&amp;ROUND(AD236,12))</f>
        <v/>
      </c>
      <c r="AI236">
        <f>1+COUNTIF(bounds,"&lt;"&amp;ROUND(AG236,12))</f>
        <v/>
      </c>
      <c r="AJ236">
        <f>IF(AF236&lt;1,1,0)</f>
        <v/>
      </c>
      <c r="AK236">
        <f>IF(AH236&lt;&gt;AI236,1,0)</f>
        <v/>
      </c>
      <c r="AL236">
        <f>IF(AND(AI236&gt;=3,AB236&lt;=0.2),1,0)</f>
        <v/>
      </c>
      <c r="AM236">
        <f>AVERAGE(W236:AB236)</f>
        <v/>
      </c>
      <c r="AN236">
        <f>1+COUNTIF(bounds,"&lt;"&amp;ROUND(AM236,12))</f>
        <v/>
      </c>
      <c r="AO236">
        <f>IF(AK236=1,AD236,NA())</f>
        <v/>
      </c>
      <c r="AP236">
        <f>IF(AK236=0,AD236,NA())</f>
        <v/>
      </c>
    </row>
    <row r="237">
      <c r="A237" t="n">
        <v>229</v>
      </c>
      <c r="B237" t="n">
        <v>3</v>
      </c>
      <c r="C237" t="n">
        <v>4</v>
      </c>
      <c r="D237" t="n">
        <v>5</v>
      </c>
      <c r="E237" t="n">
        <v>2</v>
      </c>
      <c r="F237" t="n">
        <v>2</v>
      </c>
      <c r="G237" t="n">
        <v>1</v>
      </c>
      <c r="H237" t="n">
        <v>4</v>
      </c>
      <c r="I237" t="n">
        <v>3</v>
      </c>
      <c r="J237" t="n">
        <v>4</v>
      </c>
      <c r="K237" t="n">
        <v>1</v>
      </c>
      <c r="L237" t="n">
        <v>5</v>
      </c>
      <c r="M237" t="n">
        <v>1</v>
      </c>
      <c r="N237" t="n">
        <v>4</v>
      </c>
      <c r="O237" t="n">
        <v>2</v>
      </c>
      <c r="P237" t="n">
        <v>4</v>
      </c>
      <c r="Q237" t="n">
        <v>1</v>
      </c>
      <c r="R237" t="n">
        <v>1</v>
      </c>
      <c r="S237" t="n">
        <v>3</v>
      </c>
      <c r="T237" t="n">
        <v>4</v>
      </c>
      <c r="U237" t="n">
        <v>5</v>
      </c>
      <c r="V237" t="n">
        <v>2</v>
      </c>
      <c r="W237">
        <f>(AVERAGE(B237:D237)-1)/4</f>
        <v/>
      </c>
      <c r="X237">
        <f>(AVERAGE(E237:G237)-1)/4</f>
        <v/>
      </c>
      <c r="Y237">
        <f>(AVERAGE(H237:J237)-1)/4</f>
        <v/>
      </c>
      <c r="Z237">
        <f>(AVERAGE(K237:M237)-1)/4</f>
        <v/>
      </c>
      <c r="AA237">
        <f>(AVERAGE(N237:P237)-1)/4</f>
        <v/>
      </c>
      <c r="AB237">
        <f>(AVERAGE(Q237:S237)-1)/4</f>
        <v/>
      </c>
      <c r="AC237">
        <f>(AVERAGE(T237:V237)-1)/4</f>
        <v/>
      </c>
      <c r="AD237">
        <f>AVERAGE(W237:AA237)</f>
        <v/>
      </c>
      <c r="AE237">
        <f>MIN(W237:AA237)</f>
        <v/>
      </c>
      <c r="AF237">
        <f>1-alpha*MAX(0,delta-AE237)</f>
        <v/>
      </c>
      <c r="AG237">
        <f>AD237*AF237</f>
        <v/>
      </c>
      <c r="AH237">
        <f>1+COUNTIF(bounds,"&lt;"&amp;ROUND(AD237,12))</f>
        <v/>
      </c>
      <c r="AI237">
        <f>1+COUNTIF(bounds,"&lt;"&amp;ROUND(AG237,12))</f>
        <v/>
      </c>
      <c r="AJ237">
        <f>IF(AF237&lt;1,1,0)</f>
        <v/>
      </c>
      <c r="AK237">
        <f>IF(AH237&lt;&gt;AI237,1,0)</f>
        <v/>
      </c>
      <c r="AL237">
        <f>IF(AND(AI237&gt;=3,AB237&lt;=0.2),1,0)</f>
        <v/>
      </c>
      <c r="AM237">
        <f>AVERAGE(W237:AB237)</f>
        <v/>
      </c>
      <c r="AN237">
        <f>1+COUNTIF(bounds,"&lt;"&amp;ROUND(AM237,12))</f>
        <v/>
      </c>
      <c r="AO237">
        <f>IF(AK237=1,AD237,NA())</f>
        <v/>
      </c>
      <c r="AP237">
        <f>IF(AK237=0,AD237,NA())</f>
        <v/>
      </c>
    </row>
    <row r="238">
      <c r="A238" t="n">
        <v>230</v>
      </c>
      <c r="B238" t="n">
        <v>3</v>
      </c>
      <c r="C238" t="n">
        <v>4</v>
      </c>
      <c r="D238" t="n">
        <v>5</v>
      </c>
      <c r="E238" t="n">
        <v>4</v>
      </c>
      <c r="F238" t="n">
        <v>5</v>
      </c>
      <c r="G238" t="n">
        <v>5</v>
      </c>
      <c r="H238" t="n">
        <v>2</v>
      </c>
      <c r="I238" t="n">
        <v>4</v>
      </c>
      <c r="J238" t="n">
        <v>1</v>
      </c>
      <c r="K238" t="n">
        <v>3</v>
      </c>
      <c r="L238" t="n">
        <v>2</v>
      </c>
      <c r="M238" t="n">
        <v>1</v>
      </c>
      <c r="N238" t="n">
        <v>2</v>
      </c>
      <c r="O238" t="n">
        <v>1</v>
      </c>
      <c r="P238" t="n">
        <v>2</v>
      </c>
      <c r="Q238" t="n">
        <v>4</v>
      </c>
      <c r="R238" t="n">
        <v>5</v>
      </c>
      <c r="S238" t="n">
        <v>4</v>
      </c>
      <c r="T238" t="n">
        <v>5</v>
      </c>
      <c r="U238" t="n">
        <v>2</v>
      </c>
      <c r="V238" t="n">
        <v>3</v>
      </c>
      <c r="W238">
        <f>(AVERAGE(B238:D238)-1)/4</f>
        <v/>
      </c>
      <c r="X238">
        <f>(AVERAGE(E238:G238)-1)/4</f>
        <v/>
      </c>
      <c r="Y238">
        <f>(AVERAGE(H238:J238)-1)/4</f>
        <v/>
      </c>
      <c r="Z238">
        <f>(AVERAGE(K238:M238)-1)/4</f>
        <v/>
      </c>
      <c r="AA238">
        <f>(AVERAGE(N238:P238)-1)/4</f>
        <v/>
      </c>
      <c r="AB238">
        <f>(AVERAGE(Q238:S238)-1)/4</f>
        <v/>
      </c>
      <c r="AC238">
        <f>(AVERAGE(T238:V238)-1)/4</f>
        <v/>
      </c>
      <c r="AD238">
        <f>AVERAGE(W238:AA238)</f>
        <v/>
      </c>
      <c r="AE238">
        <f>MIN(W238:AA238)</f>
        <v/>
      </c>
      <c r="AF238">
        <f>1-alpha*MAX(0,delta-AE238)</f>
        <v/>
      </c>
      <c r="AG238">
        <f>AD238*AF238</f>
        <v/>
      </c>
      <c r="AH238">
        <f>1+COUNTIF(bounds,"&lt;"&amp;ROUND(AD238,12))</f>
        <v/>
      </c>
      <c r="AI238">
        <f>1+COUNTIF(bounds,"&lt;"&amp;ROUND(AG238,12))</f>
        <v/>
      </c>
      <c r="AJ238">
        <f>IF(AF238&lt;1,1,0)</f>
        <v/>
      </c>
      <c r="AK238">
        <f>IF(AH238&lt;&gt;AI238,1,0)</f>
        <v/>
      </c>
      <c r="AL238">
        <f>IF(AND(AI238&gt;=3,AB238&lt;=0.2),1,0)</f>
        <v/>
      </c>
      <c r="AM238">
        <f>AVERAGE(W238:AB238)</f>
        <v/>
      </c>
      <c r="AN238">
        <f>1+COUNTIF(bounds,"&lt;"&amp;ROUND(AM238,12))</f>
        <v/>
      </c>
      <c r="AO238">
        <f>IF(AK238=1,AD238,NA())</f>
        <v/>
      </c>
      <c r="AP238">
        <f>IF(AK238=0,AD238,NA())</f>
        <v/>
      </c>
    </row>
    <row r="239">
      <c r="A239" t="n">
        <v>231</v>
      </c>
      <c r="B239" t="n">
        <v>1</v>
      </c>
      <c r="C239" t="n">
        <v>4</v>
      </c>
      <c r="D239" t="n">
        <v>4</v>
      </c>
      <c r="E239" t="n">
        <v>5</v>
      </c>
      <c r="F239" t="n">
        <v>5</v>
      </c>
      <c r="G239" t="n">
        <v>4</v>
      </c>
      <c r="H239" t="n">
        <v>3</v>
      </c>
      <c r="I239" t="n">
        <v>4</v>
      </c>
      <c r="J239" t="n">
        <v>3</v>
      </c>
      <c r="K239" t="n">
        <v>2</v>
      </c>
      <c r="L239" t="n">
        <v>5</v>
      </c>
      <c r="M239" t="n">
        <v>3</v>
      </c>
      <c r="N239" t="n">
        <v>1</v>
      </c>
      <c r="O239" t="n">
        <v>5</v>
      </c>
      <c r="P239" t="n">
        <v>2</v>
      </c>
      <c r="Q239" t="n">
        <v>5</v>
      </c>
      <c r="R239" t="n">
        <v>4</v>
      </c>
      <c r="S239" t="n">
        <v>3</v>
      </c>
      <c r="T239" t="n">
        <v>3</v>
      </c>
      <c r="U239" t="n">
        <v>5</v>
      </c>
      <c r="V239" t="n">
        <v>3</v>
      </c>
      <c r="W239">
        <f>(AVERAGE(B239:D239)-1)/4</f>
        <v/>
      </c>
      <c r="X239">
        <f>(AVERAGE(E239:G239)-1)/4</f>
        <v/>
      </c>
      <c r="Y239">
        <f>(AVERAGE(H239:J239)-1)/4</f>
        <v/>
      </c>
      <c r="Z239">
        <f>(AVERAGE(K239:M239)-1)/4</f>
        <v/>
      </c>
      <c r="AA239">
        <f>(AVERAGE(N239:P239)-1)/4</f>
        <v/>
      </c>
      <c r="AB239">
        <f>(AVERAGE(Q239:S239)-1)/4</f>
        <v/>
      </c>
      <c r="AC239">
        <f>(AVERAGE(T239:V239)-1)/4</f>
        <v/>
      </c>
      <c r="AD239">
        <f>AVERAGE(W239:AA239)</f>
        <v/>
      </c>
      <c r="AE239">
        <f>MIN(W239:AA239)</f>
        <v/>
      </c>
      <c r="AF239">
        <f>1-alpha*MAX(0,delta-AE239)</f>
        <v/>
      </c>
      <c r="AG239">
        <f>AD239*AF239</f>
        <v/>
      </c>
      <c r="AH239">
        <f>1+COUNTIF(bounds,"&lt;"&amp;ROUND(AD239,12))</f>
        <v/>
      </c>
      <c r="AI239">
        <f>1+COUNTIF(bounds,"&lt;"&amp;ROUND(AG239,12))</f>
        <v/>
      </c>
      <c r="AJ239">
        <f>IF(AF239&lt;1,1,0)</f>
        <v/>
      </c>
      <c r="AK239">
        <f>IF(AH239&lt;&gt;AI239,1,0)</f>
        <v/>
      </c>
      <c r="AL239">
        <f>IF(AND(AI239&gt;=3,AB239&lt;=0.2),1,0)</f>
        <v/>
      </c>
      <c r="AM239">
        <f>AVERAGE(W239:AB239)</f>
        <v/>
      </c>
      <c r="AN239">
        <f>1+COUNTIF(bounds,"&lt;"&amp;ROUND(AM239,12))</f>
        <v/>
      </c>
      <c r="AO239">
        <f>IF(AK239=1,AD239,NA())</f>
        <v/>
      </c>
      <c r="AP239">
        <f>IF(AK239=0,AD239,NA())</f>
        <v/>
      </c>
    </row>
    <row r="240">
      <c r="A240" t="n">
        <v>232</v>
      </c>
      <c r="B240" t="n">
        <v>3</v>
      </c>
      <c r="C240" t="n">
        <v>4</v>
      </c>
      <c r="D240" t="n">
        <v>5</v>
      </c>
      <c r="E240" t="n">
        <v>2</v>
      </c>
      <c r="F240" t="n">
        <v>4</v>
      </c>
      <c r="G240" t="n">
        <v>5</v>
      </c>
      <c r="H240" t="n">
        <v>4</v>
      </c>
      <c r="I240" t="n">
        <v>2</v>
      </c>
      <c r="J240" t="n">
        <v>3</v>
      </c>
      <c r="K240" t="n">
        <v>2</v>
      </c>
      <c r="L240" t="n">
        <v>2</v>
      </c>
      <c r="M240" t="n">
        <v>2</v>
      </c>
      <c r="N240" t="n">
        <v>2</v>
      </c>
      <c r="O240" t="n">
        <v>1</v>
      </c>
      <c r="P240" t="n">
        <v>5</v>
      </c>
      <c r="Q240" t="n">
        <v>1</v>
      </c>
      <c r="R240" t="n">
        <v>1</v>
      </c>
      <c r="S240" t="n">
        <v>1</v>
      </c>
      <c r="T240" t="n">
        <v>1</v>
      </c>
      <c r="U240" t="n">
        <v>2</v>
      </c>
      <c r="V240" t="n">
        <v>5</v>
      </c>
      <c r="W240">
        <f>(AVERAGE(B240:D240)-1)/4</f>
        <v/>
      </c>
      <c r="X240">
        <f>(AVERAGE(E240:G240)-1)/4</f>
        <v/>
      </c>
      <c r="Y240">
        <f>(AVERAGE(H240:J240)-1)/4</f>
        <v/>
      </c>
      <c r="Z240">
        <f>(AVERAGE(K240:M240)-1)/4</f>
        <v/>
      </c>
      <c r="AA240">
        <f>(AVERAGE(N240:P240)-1)/4</f>
        <v/>
      </c>
      <c r="AB240">
        <f>(AVERAGE(Q240:S240)-1)/4</f>
        <v/>
      </c>
      <c r="AC240">
        <f>(AVERAGE(T240:V240)-1)/4</f>
        <v/>
      </c>
      <c r="AD240">
        <f>AVERAGE(W240:AA240)</f>
        <v/>
      </c>
      <c r="AE240">
        <f>MIN(W240:AA240)</f>
        <v/>
      </c>
      <c r="AF240">
        <f>1-alpha*MAX(0,delta-AE240)</f>
        <v/>
      </c>
      <c r="AG240">
        <f>AD240*AF240</f>
        <v/>
      </c>
      <c r="AH240">
        <f>1+COUNTIF(bounds,"&lt;"&amp;ROUND(AD240,12))</f>
        <v/>
      </c>
      <c r="AI240">
        <f>1+COUNTIF(bounds,"&lt;"&amp;ROUND(AG240,12))</f>
        <v/>
      </c>
      <c r="AJ240">
        <f>IF(AF240&lt;1,1,0)</f>
        <v/>
      </c>
      <c r="AK240">
        <f>IF(AH240&lt;&gt;AI240,1,0)</f>
        <v/>
      </c>
      <c r="AL240">
        <f>IF(AND(AI240&gt;=3,AB240&lt;=0.2),1,0)</f>
        <v/>
      </c>
      <c r="AM240">
        <f>AVERAGE(W240:AB240)</f>
        <v/>
      </c>
      <c r="AN240">
        <f>1+COUNTIF(bounds,"&lt;"&amp;ROUND(AM240,12))</f>
        <v/>
      </c>
      <c r="AO240">
        <f>IF(AK240=1,AD240,NA())</f>
        <v/>
      </c>
      <c r="AP240">
        <f>IF(AK240=0,AD240,NA())</f>
        <v/>
      </c>
    </row>
    <row r="241">
      <c r="A241" t="n">
        <v>233</v>
      </c>
      <c r="B241" t="n">
        <v>4</v>
      </c>
      <c r="C241" t="n">
        <v>3</v>
      </c>
      <c r="D241" t="n">
        <v>4</v>
      </c>
      <c r="E241" t="n">
        <v>5</v>
      </c>
      <c r="F241" t="n">
        <v>4</v>
      </c>
      <c r="G241" t="n">
        <v>2</v>
      </c>
      <c r="H241" t="n">
        <v>3</v>
      </c>
      <c r="I241" t="n">
        <v>3</v>
      </c>
      <c r="J241" t="n">
        <v>2</v>
      </c>
      <c r="K241" t="n">
        <v>1</v>
      </c>
      <c r="L241" t="n">
        <v>1</v>
      </c>
      <c r="M241" t="n">
        <v>4</v>
      </c>
      <c r="N241" t="n">
        <v>1</v>
      </c>
      <c r="O241" t="n">
        <v>2</v>
      </c>
      <c r="P241" t="n">
        <v>1</v>
      </c>
      <c r="Q241" t="n">
        <v>4</v>
      </c>
      <c r="R241" t="n">
        <v>3</v>
      </c>
      <c r="S241" t="n">
        <v>5</v>
      </c>
      <c r="T241" t="n">
        <v>4</v>
      </c>
      <c r="U241" t="n">
        <v>4</v>
      </c>
      <c r="V241" t="n">
        <v>2</v>
      </c>
      <c r="W241">
        <f>(AVERAGE(B241:D241)-1)/4</f>
        <v/>
      </c>
      <c r="X241">
        <f>(AVERAGE(E241:G241)-1)/4</f>
        <v/>
      </c>
      <c r="Y241">
        <f>(AVERAGE(H241:J241)-1)/4</f>
        <v/>
      </c>
      <c r="Z241">
        <f>(AVERAGE(K241:M241)-1)/4</f>
        <v/>
      </c>
      <c r="AA241">
        <f>(AVERAGE(N241:P241)-1)/4</f>
        <v/>
      </c>
      <c r="AB241">
        <f>(AVERAGE(Q241:S241)-1)/4</f>
        <v/>
      </c>
      <c r="AC241">
        <f>(AVERAGE(T241:V241)-1)/4</f>
        <v/>
      </c>
      <c r="AD241">
        <f>AVERAGE(W241:AA241)</f>
        <v/>
      </c>
      <c r="AE241">
        <f>MIN(W241:AA241)</f>
        <v/>
      </c>
      <c r="AF241">
        <f>1-alpha*MAX(0,delta-AE241)</f>
        <v/>
      </c>
      <c r="AG241">
        <f>AD241*AF241</f>
        <v/>
      </c>
      <c r="AH241">
        <f>1+COUNTIF(bounds,"&lt;"&amp;ROUND(AD241,12))</f>
        <v/>
      </c>
      <c r="AI241">
        <f>1+COUNTIF(bounds,"&lt;"&amp;ROUND(AG241,12))</f>
        <v/>
      </c>
      <c r="AJ241">
        <f>IF(AF241&lt;1,1,0)</f>
        <v/>
      </c>
      <c r="AK241">
        <f>IF(AH241&lt;&gt;AI241,1,0)</f>
        <v/>
      </c>
      <c r="AL241">
        <f>IF(AND(AI241&gt;=3,AB241&lt;=0.2),1,0)</f>
        <v/>
      </c>
      <c r="AM241">
        <f>AVERAGE(W241:AB241)</f>
        <v/>
      </c>
      <c r="AN241">
        <f>1+COUNTIF(bounds,"&lt;"&amp;ROUND(AM241,12))</f>
        <v/>
      </c>
      <c r="AO241">
        <f>IF(AK241=1,AD241,NA())</f>
        <v/>
      </c>
      <c r="AP241">
        <f>IF(AK241=0,AD241,NA())</f>
        <v/>
      </c>
    </row>
    <row r="242">
      <c r="A242" t="n">
        <v>234</v>
      </c>
      <c r="B242" t="n">
        <v>4</v>
      </c>
      <c r="C242" t="n">
        <v>2</v>
      </c>
      <c r="D242" t="n">
        <v>1</v>
      </c>
      <c r="E242" t="n">
        <v>1</v>
      </c>
      <c r="F242" t="n">
        <v>1</v>
      </c>
      <c r="G242" t="n">
        <v>1</v>
      </c>
      <c r="H242" t="n">
        <v>5</v>
      </c>
      <c r="I242" t="n">
        <v>2</v>
      </c>
      <c r="J242" t="n">
        <v>2</v>
      </c>
      <c r="K242" t="n">
        <v>2</v>
      </c>
      <c r="L242" t="n">
        <v>2</v>
      </c>
      <c r="M242" t="n">
        <v>1</v>
      </c>
      <c r="N242" t="n">
        <v>5</v>
      </c>
      <c r="O242" t="n">
        <v>4</v>
      </c>
      <c r="P242" t="n">
        <v>1</v>
      </c>
      <c r="Q242" t="n">
        <v>1</v>
      </c>
      <c r="R242" t="n">
        <v>1</v>
      </c>
      <c r="S242" t="n">
        <v>3</v>
      </c>
      <c r="T242" t="n">
        <v>4</v>
      </c>
      <c r="U242" t="n">
        <v>1</v>
      </c>
      <c r="V242" t="n">
        <v>4</v>
      </c>
      <c r="W242">
        <f>(AVERAGE(B242:D242)-1)/4</f>
        <v/>
      </c>
      <c r="X242">
        <f>(AVERAGE(E242:G242)-1)/4</f>
        <v/>
      </c>
      <c r="Y242">
        <f>(AVERAGE(H242:J242)-1)/4</f>
        <v/>
      </c>
      <c r="Z242">
        <f>(AVERAGE(K242:M242)-1)/4</f>
        <v/>
      </c>
      <c r="AA242">
        <f>(AVERAGE(N242:P242)-1)/4</f>
        <v/>
      </c>
      <c r="AB242">
        <f>(AVERAGE(Q242:S242)-1)/4</f>
        <v/>
      </c>
      <c r="AC242">
        <f>(AVERAGE(T242:V242)-1)/4</f>
        <v/>
      </c>
      <c r="AD242">
        <f>AVERAGE(W242:AA242)</f>
        <v/>
      </c>
      <c r="AE242">
        <f>MIN(W242:AA242)</f>
        <v/>
      </c>
      <c r="AF242">
        <f>1-alpha*MAX(0,delta-AE242)</f>
        <v/>
      </c>
      <c r="AG242">
        <f>AD242*AF242</f>
        <v/>
      </c>
      <c r="AH242">
        <f>1+COUNTIF(bounds,"&lt;"&amp;ROUND(AD242,12))</f>
        <v/>
      </c>
      <c r="AI242">
        <f>1+COUNTIF(bounds,"&lt;"&amp;ROUND(AG242,12))</f>
        <v/>
      </c>
      <c r="AJ242">
        <f>IF(AF242&lt;1,1,0)</f>
        <v/>
      </c>
      <c r="AK242">
        <f>IF(AH242&lt;&gt;AI242,1,0)</f>
        <v/>
      </c>
      <c r="AL242">
        <f>IF(AND(AI242&gt;=3,AB242&lt;=0.2),1,0)</f>
        <v/>
      </c>
      <c r="AM242">
        <f>AVERAGE(W242:AB242)</f>
        <v/>
      </c>
      <c r="AN242">
        <f>1+COUNTIF(bounds,"&lt;"&amp;ROUND(AM242,12))</f>
        <v/>
      </c>
      <c r="AO242">
        <f>IF(AK242=1,AD242,NA())</f>
        <v/>
      </c>
      <c r="AP242">
        <f>IF(AK242=0,AD242,NA())</f>
        <v/>
      </c>
    </row>
    <row r="243">
      <c r="A243" t="n">
        <v>235</v>
      </c>
      <c r="B243" t="n">
        <v>5</v>
      </c>
      <c r="C243" t="n">
        <v>3</v>
      </c>
      <c r="D243" t="n">
        <v>2</v>
      </c>
      <c r="E243" t="n">
        <v>3</v>
      </c>
      <c r="F243" t="n">
        <v>1</v>
      </c>
      <c r="G243" t="n">
        <v>4</v>
      </c>
      <c r="H243" t="n">
        <v>5</v>
      </c>
      <c r="I243" t="n">
        <v>2</v>
      </c>
      <c r="J243" t="n">
        <v>3</v>
      </c>
      <c r="K243" t="n">
        <v>3</v>
      </c>
      <c r="L243" t="n">
        <v>3</v>
      </c>
      <c r="M243" t="n">
        <v>5</v>
      </c>
      <c r="N243" t="n">
        <v>1</v>
      </c>
      <c r="O243" t="n">
        <v>1</v>
      </c>
      <c r="P243" t="n">
        <v>4</v>
      </c>
      <c r="Q243" t="n">
        <v>3</v>
      </c>
      <c r="R243" t="n">
        <v>1</v>
      </c>
      <c r="S243" t="n">
        <v>1</v>
      </c>
      <c r="T243" t="n">
        <v>1</v>
      </c>
      <c r="U243" t="n">
        <v>5</v>
      </c>
      <c r="V243" t="n">
        <v>2</v>
      </c>
      <c r="W243">
        <f>(AVERAGE(B243:D243)-1)/4</f>
        <v/>
      </c>
      <c r="X243">
        <f>(AVERAGE(E243:G243)-1)/4</f>
        <v/>
      </c>
      <c r="Y243">
        <f>(AVERAGE(H243:J243)-1)/4</f>
        <v/>
      </c>
      <c r="Z243">
        <f>(AVERAGE(K243:M243)-1)/4</f>
        <v/>
      </c>
      <c r="AA243">
        <f>(AVERAGE(N243:P243)-1)/4</f>
        <v/>
      </c>
      <c r="AB243">
        <f>(AVERAGE(Q243:S243)-1)/4</f>
        <v/>
      </c>
      <c r="AC243">
        <f>(AVERAGE(T243:V243)-1)/4</f>
        <v/>
      </c>
      <c r="AD243">
        <f>AVERAGE(W243:AA243)</f>
        <v/>
      </c>
      <c r="AE243">
        <f>MIN(W243:AA243)</f>
        <v/>
      </c>
      <c r="AF243">
        <f>1-alpha*MAX(0,delta-AE243)</f>
        <v/>
      </c>
      <c r="AG243">
        <f>AD243*AF243</f>
        <v/>
      </c>
      <c r="AH243">
        <f>1+COUNTIF(bounds,"&lt;"&amp;ROUND(AD243,12))</f>
        <v/>
      </c>
      <c r="AI243">
        <f>1+COUNTIF(bounds,"&lt;"&amp;ROUND(AG243,12))</f>
        <v/>
      </c>
      <c r="AJ243">
        <f>IF(AF243&lt;1,1,0)</f>
        <v/>
      </c>
      <c r="AK243">
        <f>IF(AH243&lt;&gt;AI243,1,0)</f>
        <v/>
      </c>
      <c r="AL243">
        <f>IF(AND(AI243&gt;=3,AB243&lt;=0.2),1,0)</f>
        <v/>
      </c>
      <c r="AM243">
        <f>AVERAGE(W243:AB243)</f>
        <v/>
      </c>
      <c r="AN243">
        <f>1+COUNTIF(bounds,"&lt;"&amp;ROUND(AM243,12))</f>
        <v/>
      </c>
      <c r="AO243">
        <f>IF(AK243=1,AD243,NA())</f>
        <v/>
      </c>
      <c r="AP243">
        <f>IF(AK243=0,AD243,NA())</f>
        <v/>
      </c>
    </row>
    <row r="244">
      <c r="A244" t="n">
        <v>236</v>
      </c>
      <c r="B244" t="n">
        <v>2</v>
      </c>
      <c r="C244" t="n">
        <v>2</v>
      </c>
      <c r="D244" t="n">
        <v>3</v>
      </c>
      <c r="E244" t="n">
        <v>4</v>
      </c>
      <c r="F244" t="n">
        <v>1</v>
      </c>
      <c r="G244" t="n">
        <v>3</v>
      </c>
      <c r="H244" t="n">
        <v>2</v>
      </c>
      <c r="I244" t="n">
        <v>3</v>
      </c>
      <c r="J244" t="n">
        <v>4</v>
      </c>
      <c r="K244" t="n">
        <v>1</v>
      </c>
      <c r="L244" t="n">
        <v>1</v>
      </c>
      <c r="M244" t="n">
        <v>3</v>
      </c>
      <c r="N244" t="n">
        <v>1</v>
      </c>
      <c r="O244" t="n">
        <v>3</v>
      </c>
      <c r="P244" t="n">
        <v>3</v>
      </c>
      <c r="Q244" t="n">
        <v>3</v>
      </c>
      <c r="R244" t="n">
        <v>1</v>
      </c>
      <c r="S244" t="n">
        <v>4</v>
      </c>
      <c r="T244" t="n">
        <v>5</v>
      </c>
      <c r="U244" t="n">
        <v>4</v>
      </c>
      <c r="V244" t="n">
        <v>2</v>
      </c>
      <c r="W244">
        <f>(AVERAGE(B244:D244)-1)/4</f>
        <v/>
      </c>
      <c r="X244">
        <f>(AVERAGE(E244:G244)-1)/4</f>
        <v/>
      </c>
      <c r="Y244">
        <f>(AVERAGE(H244:J244)-1)/4</f>
        <v/>
      </c>
      <c r="Z244">
        <f>(AVERAGE(K244:M244)-1)/4</f>
        <v/>
      </c>
      <c r="AA244">
        <f>(AVERAGE(N244:P244)-1)/4</f>
        <v/>
      </c>
      <c r="AB244">
        <f>(AVERAGE(Q244:S244)-1)/4</f>
        <v/>
      </c>
      <c r="AC244">
        <f>(AVERAGE(T244:V244)-1)/4</f>
        <v/>
      </c>
      <c r="AD244">
        <f>AVERAGE(W244:AA244)</f>
        <v/>
      </c>
      <c r="AE244">
        <f>MIN(W244:AA244)</f>
        <v/>
      </c>
      <c r="AF244">
        <f>1-alpha*MAX(0,delta-AE244)</f>
        <v/>
      </c>
      <c r="AG244">
        <f>AD244*AF244</f>
        <v/>
      </c>
      <c r="AH244">
        <f>1+COUNTIF(bounds,"&lt;"&amp;ROUND(AD244,12))</f>
        <v/>
      </c>
      <c r="AI244">
        <f>1+COUNTIF(bounds,"&lt;"&amp;ROUND(AG244,12))</f>
        <v/>
      </c>
      <c r="AJ244">
        <f>IF(AF244&lt;1,1,0)</f>
        <v/>
      </c>
      <c r="AK244">
        <f>IF(AH244&lt;&gt;AI244,1,0)</f>
        <v/>
      </c>
      <c r="AL244">
        <f>IF(AND(AI244&gt;=3,AB244&lt;=0.2),1,0)</f>
        <v/>
      </c>
      <c r="AM244">
        <f>AVERAGE(W244:AB244)</f>
        <v/>
      </c>
      <c r="AN244">
        <f>1+COUNTIF(bounds,"&lt;"&amp;ROUND(AM244,12))</f>
        <v/>
      </c>
      <c r="AO244">
        <f>IF(AK244=1,AD244,NA())</f>
        <v/>
      </c>
      <c r="AP244">
        <f>IF(AK244=0,AD244,NA())</f>
        <v/>
      </c>
    </row>
    <row r="245">
      <c r="A245" t="n">
        <v>237</v>
      </c>
      <c r="B245" t="n">
        <v>3</v>
      </c>
      <c r="C245" t="n">
        <v>2</v>
      </c>
      <c r="D245" t="n">
        <v>1</v>
      </c>
      <c r="E245" t="n">
        <v>4</v>
      </c>
      <c r="F245" t="n">
        <v>1</v>
      </c>
      <c r="G245" t="n">
        <v>2</v>
      </c>
      <c r="H245" t="n">
        <v>5</v>
      </c>
      <c r="I245" t="n">
        <v>1</v>
      </c>
      <c r="J245" t="n">
        <v>3</v>
      </c>
      <c r="K245" t="n">
        <v>5</v>
      </c>
      <c r="L245" t="n">
        <v>5</v>
      </c>
      <c r="M245" t="n">
        <v>4</v>
      </c>
      <c r="N245" t="n">
        <v>1</v>
      </c>
      <c r="O245" t="n">
        <v>4</v>
      </c>
      <c r="P245" t="n">
        <v>4</v>
      </c>
      <c r="Q245" t="n">
        <v>2</v>
      </c>
      <c r="R245" t="n">
        <v>5</v>
      </c>
      <c r="S245" t="n">
        <v>4</v>
      </c>
      <c r="T245" t="n">
        <v>3</v>
      </c>
      <c r="U245" t="n">
        <v>5</v>
      </c>
      <c r="V245" t="n">
        <v>4</v>
      </c>
      <c r="W245">
        <f>(AVERAGE(B245:D245)-1)/4</f>
        <v/>
      </c>
      <c r="X245">
        <f>(AVERAGE(E245:G245)-1)/4</f>
        <v/>
      </c>
      <c r="Y245">
        <f>(AVERAGE(H245:J245)-1)/4</f>
        <v/>
      </c>
      <c r="Z245">
        <f>(AVERAGE(K245:M245)-1)/4</f>
        <v/>
      </c>
      <c r="AA245">
        <f>(AVERAGE(N245:P245)-1)/4</f>
        <v/>
      </c>
      <c r="AB245">
        <f>(AVERAGE(Q245:S245)-1)/4</f>
        <v/>
      </c>
      <c r="AC245">
        <f>(AVERAGE(T245:V245)-1)/4</f>
        <v/>
      </c>
      <c r="AD245">
        <f>AVERAGE(W245:AA245)</f>
        <v/>
      </c>
      <c r="AE245">
        <f>MIN(W245:AA245)</f>
        <v/>
      </c>
      <c r="AF245">
        <f>1-alpha*MAX(0,delta-AE245)</f>
        <v/>
      </c>
      <c r="AG245">
        <f>AD245*AF245</f>
        <v/>
      </c>
      <c r="AH245">
        <f>1+COUNTIF(bounds,"&lt;"&amp;ROUND(AD245,12))</f>
        <v/>
      </c>
      <c r="AI245">
        <f>1+COUNTIF(bounds,"&lt;"&amp;ROUND(AG245,12))</f>
        <v/>
      </c>
      <c r="AJ245">
        <f>IF(AF245&lt;1,1,0)</f>
        <v/>
      </c>
      <c r="AK245">
        <f>IF(AH245&lt;&gt;AI245,1,0)</f>
        <v/>
      </c>
      <c r="AL245">
        <f>IF(AND(AI245&gt;=3,AB245&lt;=0.2),1,0)</f>
        <v/>
      </c>
      <c r="AM245">
        <f>AVERAGE(W245:AB245)</f>
        <v/>
      </c>
      <c r="AN245">
        <f>1+COUNTIF(bounds,"&lt;"&amp;ROUND(AM245,12))</f>
        <v/>
      </c>
      <c r="AO245">
        <f>IF(AK245=1,AD245,NA())</f>
        <v/>
      </c>
      <c r="AP245">
        <f>IF(AK245=0,AD245,NA())</f>
        <v/>
      </c>
    </row>
    <row r="246">
      <c r="A246" t="n">
        <v>238</v>
      </c>
      <c r="B246" t="n">
        <v>5</v>
      </c>
      <c r="C246" t="n">
        <v>1</v>
      </c>
      <c r="D246" t="n">
        <v>5</v>
      </c>
      <c r="E246" t="n">
        <v>3</v>
      </c>
      <c r="F246" t="n">
        <v>3</v>
      </c>
      <c r="G246" t="n">
        <v>3</v>
      </c>
      <c r="H246" t="n">
        <v>3</v>
      </c>
      <c r="I246" t="n">
        <v>3</v>
      </c>
      <c r="J246" t="n">
        <v>4</v>
      </c>
      <c r="K246" t="n">
        <v>3</v>
      </c>
      <c r="L246" t="n">
        <v>1</v>
      </c>
      <c r="M246" t="n">
        <v>1</v>
      </c>
      <c r="N246" t="n">
        <v>2</v>
      </c>
      <c r="O246" t="n">
        <v>4</v>
      </c>
      <c r="P246" t="n">
        <v>3</v>
      </c>
      <c r="Q246" t="n">
        <v>5</v>
      </c>
      <c r="R246" t="n">
        <v>1</v>
      </c>
      <c r="S246" t="n">
        <v>3</v>
      </c>
      <c r="T246" t="n">
        <v>3</v>
      </c>
      <c r="U246" t="n">
        <v>5</v>
      </c>
      <c r="V246" t="n">
        <v>5</v>
      </c>
      <c r="W246">
        <f>(AVERAGE(B246:D246)-1)/4</f>
        <v/>
      </c>
      <c r="X246">
        <f>(AVERAGE(E246:G246)-1)/4</f>
        <v/>
      </c>
      <c r="Y246">
        <f>(AVERAGE(H246:J246)-1)/4</f>
        <v/>
      </c>
      <c r="Z246">
        <f>(AVERAGE(K246:M246)-1)/4</f>
        <v/>
      </c>
      <c r="AA246">
        <f>(AVERAGE(N246:P246)-1)/4</f>
        <v/>
      </c>
      <c r="AB246">
        <f>(AVERAGE(Q246:S246)-1)/4</f>
        <v/>
      </c>
      <c r="AC246">
        <f>(AVERAGE(T246:V246)-1)/4</f>
        <v/>
      </c>
      <c r="AD246">
        <f>AVERAGE(W246:AA246)</f>
        <v/>
      </c>
      <c r="AE246">
        <f>MIN(W246:AA246)</f>
        <v/>
      </c>
      <c r="AF246">
        <f>1-alpha*MAX(0,delta-AE246)</f>
        <v/>
      </c>
      <c r="AG246">
        <f>AD246*AF246</f>
        <v/>
      </c>
      <c r="AH246">
        <f>1+COUNTIF(bounds,"&lt;"&amp;ROUND(AD246,12))</f>
        <v/>
      </c>
      <c r="AI246">
        <f>1+COUNTIF(bounds,"&lt;"&amp;ROUND(AG246,12))</f>
        <v/>
      </c>
      <c r="AJ246">
        <f>IF(AF246&lt;1,1,0)</f>
        <v/>
      </c>
      <c r="AK246">
        <f>IF(AH246&lt;&gt;AI246,1,0)</f>
        <v/>
      </c>
      <c r="AL246">
        <f>IF(AND(AI246&gt;=3,AB246&lt;=0.2),1,0)</f>
        <v/>
      </c>
      <c r="AM246">
        <f>AVERAGE(W246:AB246)</f>
        <v/>
      </c>
      <c r="AN246">
        <f>1+COUNTIF(bounds,"&lt;"&amp;ROUND(AM246,12))</f>
        <v/>
      </c>
      <c r="AO246">
        <f>IF(AK246=1,AD246,NA())</f>
        <v/>
      </c>
      <c r="AP246">
        <f>IF(AK246=0,AD246,NA())</f>
        <v/>
      </c>
    </row>
    <row r="247">
      <c r="A247" t="n">
        <v>239</v>
      </c>
      <c r="B247" t="n">
        <v>1</v>
      </c>
      <c r="C247" t="n">
        <v>3</v>
      </c>
      <c r="D247" t="n">
        <v>4</v>
      </c>
      <c r="E247" t="n">
        <v>4</v>
      </c>
      <c r="F247" t="n">
        <v>2</v>
      </c>
      <c r="G247" t="n">
        <v>3</v>
      </c>
      <c r="H247" t="n">
        <v>3</v>
      </c>
      <c r="I247" t="n">
        <v>3</v>
      </c>
      <c r="J247" t="n">
        <v>3</v>
      </c>
      <c r="K247" t="n">
        <v>4</v>
      </c>
      <c r="L247" t="n">
        <v>4</v>
      </c>
      <c r="M247" t="n">
        <v>5</v>
      </c>
      <c r="N247" t="n">
        <v>2</v>
      </c>
      <c r="O247" t="n">
        <v>2</v>
      </c>
      <c r="P247" t="n">
        <v>4</v>
      </c>
      <c r="Q247" t="n">
        <v>4</v>
      </c>
      <c r="R247" t="n">
        <v>3</v>
      </c>
      <c r="S247" t="n">
        <v>2</v>
      </c>
      <c r="T247" t="n">
        <v>2</v>
      </c>
      <c r="U247" t="n">
        <v>4</v>
      </c>
      <c r="V247" t="n">
        <v>2</v>
      </c>
      <c r="W247">
        <f>(AVERAGE(B247:D247)-1)/4</f>
        <v/>
      </c>
      <c r="X247">
        <f>(AVERAGE(E247:G247)-1)/4</f>
        <v/>
      </c>
      <c r="Y247">
        <f>(AVERAGE(H247:J247)-1)/4</f>
        <v/>
      </c>
      <c r="Z247">
        <f>(AVERAGE(K247:M247)-1)/4</f>
        <v/>
      </c>
      <c r="AA247">
        <f>(AVERAGE(N247:P247)-1)/4</f>
        <v/>
      </c>
      <c r="AB247">
        <f>(AVERAGE(Q247:S247)-1)/4</f>
        <v/>
      </c>
      <c r="AC247">
        <f>(AVERAGE(T247:V247)-1)/4</f>
        <v/>
      </c>
      <c r="AD247">
        <f>AVERAGE(W247:AA247)</f>
        <v/>
      </c>
      <c r="AE247">
        <f>MIN(W247:AA247)</f>
        <v/>
      </c>
      <c r="AF247">
        <f>1-alpha*MAX(0,delta-AE247)</f>
        <v/>
      </c>
      <c r="AG247">
        <f>AD247*AF247</f>
        <v/>
      </c>
      <c r="AH247">
        <f>1+COUNTIF(bounds,"&lt;"&amp;ROUND(AD247,12))</f>
        <v/>
      </c>
      <c r="AI247">
        <f>1+COUNTIF(bounds,"&lt;"&amp;ROUND(AG247,12))</f>
        <v/>
      </c>
      <c r="AJ247">
        <f>IF(AF247&lt;1,1,0)</f>
        <v/>
      </c>
      <c r="AK247">
        <f>IF(AH247&lt;&gt;AI247,1,0)</f>
        <v/>
      </c>
      <c r="AL247">
        <f>IF(AND(AI247&gt;=3,AB247&lt;=0.2),1,0)</f>
        <v/>
      </c>
      <c r="AM247">
        <f>AVERAGE(W247:AB247)</f>
        <v/>
      </c>
      <c r="AN247">
        <f>1+COUNTIF(bounds,"&lt;"&amp;ROUND(AM247,12))</f>
        <v/>
      </c>
      <c r="AO247">
        <f>IF(AK247=1,AD247,NA())</f>
        <v/>
      </c>
      <c r="AP247">
        <f>IF(AK247=0,AD247,NA())</f>
        <v/>
      </c>
    </row>
    <row r="248">
      <c r="A248" t="n">
        <v>240</v>
      </c>
      <c r="B248" t="n">
        <v>4</v>
      </c>
      <c r="C248" t="n">
        <v>4</v>
      </c>
      <c r="D248" t="n">
        <v>1</v>
      </c>
      <c r="E248" t="n">
        <v>4</v>
      </c>
      <c r="F248" t="n">
        <v>1</v>
      </c>
      <c r="G248" t="n">
        <v>1</v>
      </c>
      <c r="H248" t="n">
        <v>2</v>
      </c>
      <c r="I248" t="n">
        <v>4</v>
      </c>
      <c r="J248" t="n">
        <v>1</v>
      </c>
      <c r="K248" t="n">
        <v>4</v>
      </c>
      <c r="L248" t="n">
        <v>2</v>
      </c>
      <c r="M248" t="n">
        <v>4</v>
      </c>
      <c r="N248" t="n">
        <v>3</v>
      </c>
      <c r="O248" t="n">
        <v>3</v>
      </c>
      <c r="P248" t="n">
        <v>2</v>
      </c>
      <c r="Q248" t="n">
        <v>4</v>
      </c>
      <c r="R248" t="n">
        <v>1</v>
      </c>
      <c r="S248" t="n">
        <v>1</v>
      </c>
      <c r="T248" t="n">
        <v>2</v>
      </c>
      <c r="U248" t="n">
        <v>2</v>
      </c>
      <c r="V248" t="n">
        <v>2</v>
      </c>
      <c r="W248">
        <f>(AVERAGE(B248:D248)-1)/4</f>
        <v/>
      </c>
      <c r="X248">
        <f>(AVERAGE(E248:G248)-1)/4</f>
        <v/>
      </c>
      <c r="Y248">
        <f>(AVERAGE(H248:J248)-1)/4</f>
        <v/>
      </c>
      <c r="Z248">
        <f>(AVERAGE(K248:M248)-1)/4</f>
        <v/>
      </c>
      <c r="AA248">
        <f>(AVERAGE(N248:P248)-1)/4</f>
        <v/>
      </c>
      <c r="AB248">
        <f>(AVERAGE(Q248:S248)-1)/4</f>
        <v/>
      </c>
      <c r="AC248">
        <f>(AVERAGE(T248:V248)-1)/4</f>
        <v/>
      </c>
      <c r="AD248">
        <f>AVERAGE(W248:AA248)</f>
        <v/>
      </c>
      <c r="AE248">
        <f>MIN(W248:AA248)</f>
        <v/>
      </c>
      <c r="AF248">
        <f>1-alpha*MAX(0,delta-AE248)</f>
        <v/>
      </c>
      <c r="AG248">
        <f>AD248*AF248</f>
        <v/>
      </c>
      <c r="AH248">
        <f>1+COUNTIF(bounds,"&lt;"&amp;ROUND(AD248,12))</f>
        <v/>
      </c>
      <c r="AI248">
        <f>1+COUNTIF(bounds,"&lt;"&amp;ROUND(AG248,12))</f>
        <v/>
      </c>
      <c r="AJ248">
        <f>IF(AF248&lt;1,1,0)</f>
        <v/>
      </c>
      <c r="AK248">
        <f>IF(AH248&lt;&gt;AI248,1,0)</f>
        <v/>
      </c>
      <c r="AL248">
        <f>IF(AND(AI248&gt;=3,AB248&lt;=0.2),1,0)</f>
        <v/>
      </c>
      <c r="AM248">
        <f>AVERAGE(W248:AB248)</f>
        <v/>
      </c>
      <c r="AN248">
        <f>1+COUNTIF(bounds,"&lt;"&amp;ROUND(AM248,12))</f>
        <v/>
      </c>
      <c r="AO248">
        <f>IF(AK248=1,AD248,NA())</f>
        <v/>
      </c>
      <c r="AP248">
        <f>IF(AK248=0,AD248,NA())</f>
        <v/>
      </c>
    </row>
    <row r="249">
      <c r="A249" t="n">
        <v>241</v>
      </c>
      <c r="B249" t="n">
        <v>5</v>
      </c>
      <c r="C249" t="n">
        <v>4</v>
      </c>
      <c r="D249" t="n">
        <v>5</v>
      </c>
      <c r="E249" t="n">
        <v>4</v>
      </c>
      <c r="F249" t="n">
        <v>2</v>
      </c>
      <c r="G249" t="n">
        <v>2</v>
      </c>
      <c r="H249" t="n">
        <v>4</v>
      </c>
      <c r="I249" t="n">
        <v>2</v>
      </c>
      <c r="J249" t="n">
        <v>1</v>
      </c>
      <c r="K249" t="n">
        <v>2</v>
      </c>
      <c r="L249" t="n">
        <v>4</v>
      </c>
      <c r="M249" t="n">
        <v>2</v>
      </c>
      <c r="N249" t="n">
        <v>4</v>
      </c>
      <c r="O249" t="n">
        <v>5</v>
      </c>
      <c r="P249" t="n">
        <v>2</v>
      </c>
      <c r="Q249" t="n">
        <v>1</v>
      </c>
      <c r="R249" t="n">
        <v>2</v>
      </c>
      <c r="S249" t="n">
        <v>2</v>
      </c>
      <c r="T249" t="n">
        <v>1</v>
      </c>
      <c r="U249" t="n">
        <v>1</v>
      </c>
      <c r="V249" t="n">
        <v>5</v>
      </c>
      <c r="W249">
        <f>(AVERAGE(B249:D249)-1)/4</f>
        <v/>
      </c>
      <c r="X249">
        <f>(AVERAGE(E249:G249)-1)/4</f>
        <v/>
      </c>
      <c r="Y249">
        <f>(AVERAGE(H249:J249)-1)/4</f>
        <v/>
      </c>
      <c r="Z249">
        <f>(AVERAGE(K249:M249)-1)/4</f>
        <v/>
      </c>
      <c r="AA249">
        <f>(AVERAGE(N249:P249)-1)/4</f>
        <v/>
      </c>
      <c r="AB249">
        <f>(AVERAGE(Q249:S249)-1)/4</f>
        <v/>
      </c>
      <c r="AC249">
        <f>(AVERAGE(T249:V249)-1)/4</f>
        <v/>
      </c>
      <c r="AD249">
        <f>AVERAGE(W249:AA249)</f>
        <v/>
      </c>
      <c r="AE249">
        <f>MIN(W249:AA249)</f>
        <v/>
      </c>
      <c r="AF249">
        <f>1-alpha*MAX(0,delta-AE249)</f>
        <v/>
      </c>
      <c r="AG249">
        <f>AD249*AF249</f>
        <v/>
      </c>
      <c r="AH249">
        <f>1+COUNTIF(bounds,"&lt;"&amp;ROUND(AD249,12))</f>
        <v/>
      </c>
      <c r="AI249">
        <f>1+COUNTIF(bounds,"&lt;"&amp;ROUND(AG249,12))</f>
        <v/>
      </c>
      <c r="AJ249">
        <f>IF(AF249&lt;1,1,0)</f>
        <v/>
      </c>
      <c r="AK249">
        <f>IF(AH249&lt;&gt;AI249,1,0)</f>
        <v/>
      </c>
      <c r="AL249">
        <f>IF(AND(AI249&gt;=3,AB249&lt;=0.2),1,0)</f>
        <v/>
      </c>
      <c r="AM249">
        <f>AVERAGE(W249:AB249)</f>
        <v/>
      </c>
      <c r="AN249">
        <f>1+COUNTIF(bounds,"&lt;"&amp;ROUND(AM249,12))</f>
        <v/>
      </c>
      <c r="AO249">
        <f>IF(AK249=1,AD249,NA())</f>
        <v/>
      </c>
      <c r="AP249">
        <f>IF(AK249=0,AD249,NA())</f>
        <v/>
      </c>
    </row>
    <row r="250">
      <c r="A250" t="n">
        <v>242</v>
      </c>
      <c r="B250" t="n">
        <v>5</v>
      </c>
      <c r="C250" t="n">
        <v>4</v>
      </c>
      <c r="D250" t="n">
        <v>5</v>
      </c>
      <c r="E250" t="n">
        <v>3</v>
      </c>
      <c r="F250" t="n">
        <v>3</v>
      </c>
      <c r="G250" t="n">
        <v>2</v>
      </c>
      <c r="H250" t="n">
        <v>3</v>
      </c>
      <c r="I250" t="n">
        <v>1</v>
      </c>
      <c r="J250" t="n">
        <v>1</v>
      </c>
      <c r="K250" t="n">
        <v>2</v>
      </c>
      <c r="L250" t="n">
        <v>3</v>
      </c>
      <c r="M250" t="n">
        <v>1</v>
      </c>
      <c r="N250" t="n">
        <v>5</v>
      </c>
      <c r="O250" t="n">
        <v>3</v>
      </c>
      <c r="P250" t="n">
        <v>3</v>
      </c>
      <c r="Q250" t="n">
        <v>3</v>
      </c>
      <c r="R250" t="n">
        <v>1</v>
      </c>
      <c r="S250" t="n">
        <v>1</v>
      </c>
      <c r="T250" t="n">
        <v>4</v>
      </c>
      <c r="U250" t="n">
        <v>2</v>
      </c>
      <c r="V250" t="n">
        <v>2</v>
      </c>
      <c r="W250">
        <f>(AVERAGE(B250:D250)-1)/4</f>
        <v/>
      </c>
      <c r="X250">
        <f>(AVERAGE(E250:G250)-1)/4</f>
        <v/>
      </c>
      <c r="Y250">
        <f>(AVERAGE(H250:J250)-1)/4</f>
        <v/>
      </c>
      <c r="Z250">
        <f>(AVERAGE(K250:M250)-1)/4</f>
        <v/>
      </c>
      <c r="AA250">
        <f>(AVERAGE(N250:P250)-1)/4</f>
        <v/>
      </c>
      <c r="AB250">
        <f>(AVERAGE(Q250:S250)-1)/4</f>
        <v/>
      </c>
      <c r="AC250">
        <f>(AVERAGE(T250:V250)-1)/4</f>
        <v/>
      </c>
      <c r="AD250">
        <f>AVERAGE(W250:AA250)</f>
        <v/>
      </c>
      <c r="AE250">
        <f>MIN(W250:AA250)</f>
        <v/>
      </c>
      <c r="AF250">
        <f>1-alpha*MAX(0,delta-AE250)</f>
        <v/>
      </c>
      <c r="AG250">
        <f>AD250*AF250</f>
        <v/>
      </c>
      <c r="AH250">
        <f>1+COUNTIF(bounds,"&lt;"&amp;ROUND(AD250,12))</f>
        <v/>
      </c>
      <c r="AI250">
        <f>1+COUNTIF(bounds,"&lt;"&amp;ROUND(AG250,12))</f>
        <v/>
      </c>
      <c r="AJ250">
        <f>IF(AF250&lt;1,1,0)</f>
        <v/>
      </c>
      <c r="AK250">
        <f>IF(AH250&lt;&gt;AI250,1,0)</f>
        <v/>
      </c>
      <c r="AL250">
        <f>IF(AND(AI250&gt;=3,AB250&lt;=0.2),1,0)</f>
        <v/>
      </c>
      <c r="AM250">
        <f>AVERAGE(W250:AB250)</f>
        <v/>
      </c>
      <c r="AN250">
        <f>1+COUNTIF(bounds,"&lt;"&amp;ROUND(AM250,12))</f>
        <v/>
      </c>
      <c r="AO250">
        <f>IF(AK250=1,AD250,NA())</f>
        <v/>
      </c>
      <c r="AP250">
        <f>IF(AK250=0,AD250,NA())</f>
        <v/>
      </c>
    </row>
    <row r="251">
      <c r="A251" t="n">
        <v>243</v>
      </c>
      <c r="B251" t="n">
        <v>5</v>
      </c>
      <c r="C251" t="n">
        <v>4</v>
      </c>
      <c r="D251" t="n">
        <v>4</v>
      </c>
      <c r="E251" t="n">
        <v>2</v>
      </c>
      <c r="F251" t="n">
        <v>5</v>
      </c>
      <c r="G251" t="n">
        <v>2</v>
      </c>
      <c r="H251" t="n">
        <v>5</v>
      </c>
      <c r="I251" t="n">
        <v>2</v>
      </c>
      <c r="J251" t="n">
        <v>3</v>
      </c>
      <c r="K251" t="n">
        <v>2</v>
      </c>
      <c r="L251" t="n">
        <v>2</v>
      </c>
      <c r="M251" t="n">
        <v>4</v>
      </c>
      <c r="N251" t="n">
        <v>1</v>
      </c>
      <c r="O251" t="n">
        <v>1</v>
      </c>
      <c r="P251" t="n">
        <v>1</v>
      </c>
      <c r="Q251" t="n">
        <v>3</v>
      </c>
      <c r="R251" t="n">
        <v>4</v>
      </c>
      <c r="S251" t="n">
        <v>2</v>
      </c>
      <c r="T251" t="n">
        <v>4</v>
      </c>
      <c r="U251" t="n">
        <v>3</v>
      </c>
      <c r="V251" t="n">
        <v>3</v>
      </c>
      <c r="W251">
        <f>(AVERAGE(B251:D251)-1)/4</f>
        <v/>
      </c>
      <c r="X251">
        <f>(AVERAGE(E251:G251)-1)/4</f>
        <v/>
      </c>
      <c r="Y251">
        <f>(AVERAGE(H251:J251)-1)/4</f>
        <v/>
      </c>
      <c r="Z251">
        <f>(AVERAGE(K251:M251)-1)/4</f>
        <v/>
      </c>
      <c r="AA251">
        <f>(AVERAGE(N251:P251)-1)/4</f>
        <v/>
      </c>
      <c r="AB251">
        <f>(AVERAGE(Q251:S251)-1)/4</f>
        <v/>
      </c>
      <c r="AC251">
        <f>(AVERAGE(T251:V251)-1)/4</f>
        <v/>
      </c>
      <c r="AD251">
        <f>AVERAGE(W251:AA251)</f>
        <v/>
      </c>
      <c r="AE251">
        <f>MIN(W251:AA251)</f>
        <v/>
      </c>
      <c r="AF251">
        <f>1-alpha*MAX(0,delta-AE251)</f>
        <v/>
      </c>
      <c r="AG251">
        <f>AD251*AF251</f>
        <v/>
      </c>
      <c r="AH251">
        <f>1+COUNTIF(bounds,"&lt;"&amp;ROUND(AD251,12))</f>
        <v/>
      </c>
      <c r="AI251">
        <f>1+COUNTIF(bounds,"&lt;"&amp;ROUND(AG251,12))</f>
        <v/>
      </c>
      <c r="AJ251">
        <f>IF(AF251&lt;1,1,0)</f>
        <v/>
      </c>
      <c r="AK251">
        <f>IF(AH251&lt;&gt;AI251,1,0)</f>
        <v/>
      </c>
      <c r="AL251">
        <f>IF(AND(AI251&gt;=3,AB251&lt;=0.2),1,0)</f>
        <v/>
      </c>
      <c r="AM251">
        <f>AVERAGE(W251:AB251)</f>
        <v/>
      </c>
      <c r="AN251">
        <f>1+COUNTIF(bounds,"&lt;"&amp;ROUND(AM251,12))</f>
        <v/>
      </c>
      <c r="AO251">
        <f>IF(AK251=1,AD251,NA())</f>
        <v/>
      </c>
      <c r="AP251">
        <f>IF(AK251=0,AD251,NA())</f>
        <v/>
      </c>
    </row>
    <row r="252">
      <c r="A252" t="n">
        <v>244</v>
      </c>
      <c r="B252" t="n">
        <v>3</v>
      </c>
      <c r="C252" t="n">
        <v>3</v>
      </c>
      <c r="D252" t="n">
        <v>4</v>
      </c>
      <c r="E252" t="n">
        <v>4</v>
      </c>
      <c r="F252" t="n">
        <v>2</v>
      </c>
      <c r="G252" t="n">
        <v>5</v>
      </c>
      <c r="H252" t="n">
        <v>1</v>
      </c>
      <c r="I252" t="n">
        <v>5</v>
      </c>
      <c r="J252" t="n">
        <v>1</v>
      </c>
      <c r="K252" t="n">
        <v>2</v>
      </c>
      <c r="L252" t="n">
        <v>2</v>
      </c>
      <c r="M252" t="n">
        <v>2</v>
      </c>
      <c r="N252" t="n">
        <v>2</v>
      </c>
      <c r="O252" t="n">
        <v>3</v>
      </c>
      <c r="P252" t="n">
        <v>3</v>
      </c>
      <c r="Q252" t="n">
        <v>3</v>
      </c>
      <c r="R252" t="n">
        <v>5</v>
      </c>
      <c r="S252" t="n">
        <v>4</v>
      </c>
      <c r="T252" t="n">
        <v>4</v>
      </c>
      <c r="U252" t="n">
        <v>2</v>
      </c>
      <c r="V252" t="n">
        <v>2</v>
      </c>
      <c r="W252">
        <f>(AVERAGE(B252:D252)-1)/4</f>
        <v/>
      </c>
      <c r="X252">
        <f>(AVERAGE(E252:G252)-1)/4</f>
        <v/>
      </c>
      <c r="Y252">
        <f>(AVERAGE(H252:J252)-1)/4</f>
        <v/>
      </c>
      <c r="Z252">
        <f>(AVERAGE(K252:M252)-1)/4</f>
        <v/>
      </c>
      <c r="AA252">
        <f>(AVERAGE(N252:P252)-1)/4</f>
        <v/>
      </c>
      <c r="AB252">
        <f>(AVERAGE(Q252:S252)-1)/4</f>
        <v/>
      </c>
      <c r="AC252">
        <f>(AVERAGE(T252:V252)-1)/4</f>
        <v/>
      </c>
      <c r="AD252">
        <f>AVERAGE(W252:AA252)</f>
        <v/>
      </c>
      <c r="AE252">
        <f>MIN(W252:AA252)</f>
        <v/>
      </c>
      <c r="AF252">
        <f>1-alpha*MAX(0,delta-AE252)</f>
        <v/>
      </c>
      <c r="AG252">
        <f>AD252*AF252</f>
        <v/>
      </c>
      <c r="AH252">
        <f>1+COUNTIF(bounds,"&lt;"&amp;ROUND(AD252,12))</f>
        <v/>
      </c>
      <c r="AI252">
        <f>1+COUNTIF(bounds,"&lt;"&amp;ROUND(AG252,12))</f>
        <v/>
      </c>
      <c r="AJ252">
        <f>IF(AF252&lt;1,1,0)</f>
        <v/>
      </c>
      <c r="AK252">
        <f>IF(AH252&lt;&gt;AI252,1,0)</f>
        <v/>
      </c>
      <c r="AL252">
        <f>IF(AND(AI252&gt;=3,AB252&lt;=0.2),1,0)</f>
        <v/>
      </c>
      <c r="AM252">
        <f>AVERAGE(W252:AB252)</f>
        <v/>
      </c>
      <c r="AN252">
        <f>1+COUNTIF(bounds,"&lt;"&amp;ROUND(AM252,12))</f>
        <v/>
      </c>
      <c r="AO252">
        <f>IF(AK252=1,AD252,NA())</f>
        <v/>
      </c>
      <c r="AP252">
        <f>IF(AK252=0,AD252,NA())</f>
        <v/>
      </c>
    </row>
    <row r="253">
      <c r="A253" t="n">
        <v>245</v>
      </c>
      <c r="B253" t="n">
        <v>4</v>
      </c>
      <c r="C253" t="n">
        <v>1</v>
      </c>
      <c r="D253" t="n">
        <v>1</v>
      </c>
      <c r="E253" t="n">
        <v>4</v>
      </c>
      <c r="F253" t="n">
        <v>1</v>
      </c>
      <c r="G253" t="n">
        <v>2</v>
      </c>
      <c r="H253" t="n">
        <v>5</v>
      </c>
      <c r="I253" t="n">
        <v>3</v>
      </c>
      <c r="J253" t="n">
        <v>3</v>
      </c>
      <c r="K253" t="n">
        <v>3</v>
      </c>
      <c r="L253" t="n">
        <v>5</v>
      </c>
      <c r="M253" t="n">
        <v>2</v>
      </c>
      <c r="N253" t="n">
        <v>1</v>
      </c>
      <c r="O253" t="n">
        <v>4</v>
      </c>
      <c r="P253" t="n">
        <v>1</v>
      </c>
      <c r="Q253" t="n">
        <v>5</v>
      </c>
      <c r="R253" t="n">
        <v>3</v>
      </c>
      <c r="S253" t="n">
        <v>2</v>
      </c>
      <c r="T253" t="n">
        <v>3</v>
      </c>
      <c r="U253" t="n">
        <v>2</v>
      </c>
      <c r="V253" t="n">
        <v>5</v>
      </c>
      <c r="W253">
        <f>(AVERAGE(B253:D253)-1)/4</f>
        <v/>
      </c>
      <c r="X253">
        <f>(AVERAGE(E253:G253)-1)/4</f>
        <v/>
      </c>
      <c r="Y253">
        <f>(AVERAGE(H253:J253)-1)/4</f>
        <v/>
      </c>
      <c r="Z253">
        <f>(AVERAGE(K253:M253)-1)/4</f>
        <v/>
      </c>
      <c r="AA253">
        <f>(AVERAGE(N253:P253)-1)/4</f>
        <v/>
      </c>
      <c r="AB253">
        <f>(AVERAGE(Q253:S253)-1)/4</f>
        <v/>
      </c>
      <c r="AC253">
        <f>(AVERAGE(T253:V253)-1)/4</f>
        <v/>
      </c>
      <c r="AD253">
        <f>AVERAGE(W253:AA253)</f>
        <v/>
      </c>
      <c r="AE253">
        <f>MIN(W253:AA253)</f>
        <v/>
      </c>
      <c r="AF253">
        <f>1-alpha*MAX(0,delta-AE253)</f>
        <v/>
      </c>
      <c r="AG253">
        <f>AD253*AF253</f>
        <v/>
      </c>
      <c r="AH253">
        <f>1+COUNTIF(bounds,"&lt;"&amp;ROUND(AD253,12))</f>
        <v/>
      </c>
      <c r="AI253">
        <f>1+COUNTIF(bounds,"&lt;"&amp;ROUND(AG253,12))</f>
        <v/>
      </c>
      <c r="AJ253">
        <f>IF(AF253&lt;1,1,0)</f>
        <v/>
      </c>
      <c r="AK253">
        <f>IF(AH253&lt;&gt;AI253,1,0)</f>
        <v/>
      </c>
      <c r="AL253">
        <f>IF(AND(AI253&gt;=3,AB253&lt;=0.2),1,0)</f>
        <v/>
      </c>
      <c r="AM253">
        <f>AVERAGE(W253:AB253)</f>
        <v/>
      </c>
      <c r="AN253">
        <f>1+COUNTIF(bounds,"&lt;"&amp;ROUND(AM253,12))</f>
        <v/>
      </c>
      <c r="AO253">
        <f>IF(AK253=1,AD253,NA())</f>
        <v/>
      </c>
      <c r="AP253">
        <f>IF(AK253=0,AD253,NA())</f>
        <v/>
      </c>
    </row>
    <row r="254">
      <c r="A254" t="n">
        <v>246</v>
      </c>
      <c r="B254" t="n">
        <v>3</v>
      </c>
      <c r="C254" t="n">
        <v>2</v>
      </c>
      <c r="D254" t="n">
        <v>4</v>
      </c>
      <c r="E254" t="n">
        <v>1</v>
      </c>
      <c r="F254" t="n">
        <v>4</v>
      </c>
      <c r="G254" t="n">
        <v>4</v>
      </c>
      <c r="H254" t="n">
        <v>5</v>
      </c>
      <c r="I254" t="n">
        <v>3</v>
      </c>
      <c r="J254" t="n">
        <v>5</v>
      </c>
      <c r="K254" t="n">
        <v>3</v>
      </c>
      <c r="L254" t="n">
        <v>1</v>
      </c>
      <c r="M254" t="n">
        <v>3</v>
      </c>
      <c r="N254" t="n">
        <v>3</v>
      </c>
      <c r="O254" t="n">
        <v>4</v>
      </c>
      <c r="P254" t="n">
        <v>1</v>
      </c>
      <c r="Q254" t="n">
        <v>5</v>
      </c>
      <c r="R254" t="n">
        <v>2</v>
      </c>
      <c r="S254" t="n">
        <v>4</v>
      </c>
      <c r="T254" t="n">
        <v>1</v>
      </c>
      <c r="U254" t="n">
        <v>2</v>
      </c>
      <c r="V254" t="n">
        <v>3</v>
      </c>
      <c r="W254">
        <f>(AVERAGE(B254:D254)-1)/4</f>
        <v/>
      </c>
      <c r="X254">
        <f>(AVERAGE(E254:G254)-1)/4</f>
        <v/>
      </c>
      <c r="Y254">
        <f>(AVERAGE(H254:J254)-1)/4</f>
        <v/>
      </c>
      <c r="Z254">
        <f>(AVERAGE(K254:M254)-1)/4</f>
        <v/>
      </c>
      <c r="AA254">
        <f>(AVERAGE(N254:P254)-1)/4</f>
        <v/>
      </c>
      <c r="AB254">
        <f>(AVERAGE(Q254:S254)-1)/4</f>
        <v/>
      </c>
      <c r="AC254">
        <f>(AVERAGE(T254:V254)-1)/4</f>
        <v/>
      </c>
      <c r="AD254">
        <f>AVERAGE(W254:AA254)</f>
        <v/>
      </c>
      <c r="AE254">
        <f>MIN(W254:AA254)</f>
        <v/>
      </c>
      <c r="AF254">
        <f>1-alpha*MAX(0,delta-AE254)</f>
        <v/>
      </c>
      <c r="AG254">
        <f>AD254*AF254</f>
        <v/>
      </c>
      <c r="AH254">
        <f>1+COUNTIF(bounds,"&lt;"&amp;ROUND(AD254,12))</f>
        <v/>
      </c>
      <c r="AI254">
        <f>1+COUNTIF(bounds,"&lt;"&amp;ROUND(AG254,12))</f>
        <v/>
      </c>
      <c r="AJ254">
        <f>IF(AF254&lt;1,1,0)</f>
        <v/>
      </c>
      <c r="AK254">
        <f>IF(AH254&lt;&gt;AI254,1,0)</f>
        <v/>
      </c>
      <c r="AL254">
        <f>IF(AND(AI254&gt;=3,AB254&lt;=0.2),1,0)</f>
        <v/>
      </c>
      <c r="AM254">
        <f>AVERAGE(W254:AB254)</f>
        <v/>
      </c>
      <c r="AN254">
        <f>1+COUNTIF(bounds,"&lt;"&amp;ROUND(AM254,12))</f>
        <v/>
      </c>
      <c r="AO254">
        <f>IF(AK254=1,AD254,NA())</f>
        <v/>
      </c>
      <c r="AP254">
        <f>IF(AK254=0,AD254,NA())</f>
        <v/>
      </c>
    </row>
    <row r="255">
      <c r="A255" t="n">
        <v>247</v>
      </c>
      <c r="B255" t="n">
        <v>5</v>
      </c>
      <c r="C255" t="n">
        <v>2</v>
      </c>
      <c r="D255" t="n">
        <v>5</v>
      </c>
      <c r="E255" t="n">
        <v>5</v>
      </c>
      <c r="F255" t="n">
        <v>3</v>
      </c>
      <c r="G255" t="n">
        <v>2</v>
      </c>
      <c r="H255" t="n">
        <v>3</v>
      </c>
      <c r="I255" t="n">
        <v>2</v>
      </c>
      <c r="J255" t="n">
        <v>2</v>
      </c>
      <c r="K255" t="n">
        <v>2</v>
      </c>
      <c r="L255" t="n">
        <v>5</v>
      </c>
      <c r="M255" t="n">
        <v>3</v>
      </c>
      <c r="N255" t="n">
        <v>2</v>
      </c>
      <c r="O255" t="n">
        <v>3</v>
      </c>
      <c r="P255" t="n">
        <v>2</v>
      </c>
      <c r="Q255" t="n">
        <v>3</v>
      </c>
      <c r="R255" t="n">
        <v>2</v>
      </c>
      <c r="S255" t="n">
        <v>1</v>
      </c>
      <c r="T255" t="n">
        <v>1</v>
      </c>
      <c r="U255" t="n">
        <v>1</v>
      </c>
      <c r="V255" t="n">
        <v>3</v>
      </c>
      <c r="W255">
        <f>(AVERAGE(B255:D255)-1)/4</f>
        <v/>
      </c>
      <c r="X255">
        <f>(AVERAGE(E255:G255)-1)/4</f>
        <v/>
      </c>
      <c r="Y255">
        <f>(AVERAGE(H255:J255)-1)/4</f>
        <v/>
      </c>
      <c r="Z255">
        <f>(AVERAGE(K255:M255)-1)/4</f>
        <v/>
      </c>
      <c r="AA255">
        <f>(AVERAGE(N255:P255)-1)/4</f>
        <v/>
      </c>
      <c r="AB255">
        <f>(AVERAGE(Q255:S255)-1)/4</f>
        <v/>
      </c>
      <c r="AC255">
        <f>(AVERAGE(T255:V255)-1)/4</f>
        <v/>
      </c>
      <c r="AD255">
        <f>AVERAGE(W255:AA255)</f>
        <v/>
      </c>
      <c r="AE255">
        <f>MIN(W255:AA255)</f>
        <v/>
      </c>
      <c r="AF255">
        <f>1-alpha*MAX(0,delta-AE255)</f>
        <v/>
      </c>
      <c r="AG255">
        <f>AD255*AF255</f>
        <v/>
      </c>
      <c r="AH255">
        <f>1+COUNTIF(bounds,"&lt;"&amp;ROUND(AD255,12))</f>
        <v/>
      </c>
      <c r="AI255">
        <f>1+COUNTIF(bounds,"&lt;"&amp;ROUND(AG255,12))</f>
        <v/>
      </c>
      <c r="AJ255">
        <f>IF(AF255&lt;1,1,0)</f>
        <v/>
      </c>
      <c r="AK255">
        <f>IF(AH255&lt;&gt;AI255,1,0)</f>
        <v/>
      </c>
      <c r="AL255">
        <f>IF(AND(AI255&gt;=3,AB255&lt;=0.2),1,0)</f>
        <v/>
      </c>
      <c r="AM255">
        <f>AVERAGE(W255:AB255)</f>
        <v/>
      </c>
      <c r="AN255">
        <f>1+COUNTIF(bounds,"&lt;"&amp;ROUND(AM255,12))</f>
        <v/>
      </c>
      <c r="AO255">
        <f>IF(AK255=1,AD255,NA())</f>
        <v/>
      </c>
      <c r="AP255">
        <f>IF(AK255=0,AD255,NA())</f>
        <v/>
      </c>
    </row>
    <row r="256">
      <c r="A256" t="n">
        <v>248</v>
      </c>
      <c r="B256" t="n">
        <v>2</v>
      </c>
      <c r="C256" t="n">
        <v>4</v>
      </c>
      <c r="D256" t="n">
        <v>1</v>
      </c>
      <c r="E256" t="n">
        <v>3</v>
      </c>
      <c r="F256" t="n">
        <v>1</v>
      </c>
      <c r="G256" t="n">
        <v>2</v>
      </c>
      <c r="H256" t="n">
        <v>5</v>
      </c>
      <c r="I256" t="n">
        <v>5</v>
      </c>
      <c r="J256" t="n">
        <v>1</v>
      </c>
      <c r="K256" t="n">
        <v>2</v>
      </c>
      <c r="L256" t="n">
        <v>3</v>
      </c>
      <c r="M256" t="n">
        <v>1</v>
      </c>
      <c r="N256" t="n">
        <v>1</v>
      </c>
      <c r="O256" t="n">
        <v>1</v>
      </c>
      <c r="P256" t="n">
        <v>1</v>
      </c>
      <c r="Q256" t="n">
        <v>3</v>
      </c>
      <c r="R256" t="n">
        <v>1</v>
      </c>
      <c r="S256" t="n">
        <v>1</v>
      </c>
      <c r="T256" t="n">
        <v>2</v>
      </c>
      <c r="U256" t="n">
        <v>2</v>
      </c>
      <c r="V256" t="n">
        <v>1</v>
      </c>
      <c r="W256">
        <f>(AVERAGE(B256:D256)-1)/4</f>
        <v/>
      </c>
      <c r="X256">
        <f>(AVERAGE(E256:G256)-1)/4</f>
        <v/>
      </c>
      <c r="Y256">
        <f>(AVERAGE(H256:J256)-1)/4</f>
        <v/>
      </c>
      <c r="Z256">
        <f>(AVERAGE(K256:M256)-1)/4</f>
        <v/>
      </c>
      <c r="AA256">
        <f>(AVERAGE(N256:P256)-1)/4</f>
        <v/>
      </c>
      <c r="AB256">
        <f>(AVERAGE(Q256:S256)-1)/4</f>
        <v/>
      </c>
      <c r="AC256">
        <f>(AVERAGE(T256:V256)-1)/4</f>
        <v/>
      </c>
      <c r="AD256">
        <f>AVERAGE(W256:AA256)</f>
        <v/>
      </c>
      <c r="AE256">
        <f>MIN(W256:AA256)</f>
        <v/>
      </c>
      <c r="AF256">
        <f>1-alpha*MAX(0,delta-AE256)</f>
        <v/>
      </c>
      <c r="AG256">
        <f>AD256*AF256</f>
        <v/>
      </c>
      <c r="AH256">
        <f>1+COUNTIF(bounds,"&lt;"&amp;ROUND(AD256,12))</f>
        <v/>
      </c>
      <c r="AI256">
        <f>1+COUNTIF(bounds,"&lt;"&amp;ROUND(AG256,12))</f>
        <v/>
      </c>
      <c r="AJ256">
        <f>IF(AF256&lt;1,1,0)</f>
        <v/>
      </c>
      <c r="AK256">
        <f>IF(AH256&lt;&gt;AI256,1,0)</f>
        <v/>
      </c>
      <c r="AL256">
        <f>IF(AND(AI256&gt;=3,AB256&lt;=0.2),1,0)</f>
        <v/>
      </c>
      <c r="AM256">
        <f>AVERAGE(W256:AB256)</f>
        <v/>
      </c>
      <c r="AN256">
        <f>1+COUNTIF(bounds,"&lt;"&amp;ROUND(AM256,12))</f>
        <v/>
      </c>
      <c r="AO256">
        <f>IF(AK256=1,AD256,NA())</f>
        <v/>
      </c>
      <c r="AP256">
        <f>IF(AK256=0,AD256,NA())</f>
        <v/>
      </c>
    </row>
    <row r="257">
      <c r="A257" t="n">
        <v>249</v>
      </c>
      <c r="B257" t="n">
        <v>4</v>
      </c>
      <c r="C257" t="n">
        <v>3</v>
      </c>
      <c r="D257" t="n">
        <v>5</v>
      </c>
      <c r="E257" t="n">
        <v>3</v>
      </c>
      <c r="F257" t="n">
        <v>4</v>
      </c>
      <c r="G257" t="n">
        <v>2</v>
      </c>
      <c r="H257" t="n">
        <v>4</v>
      </c>
      <c r="I257" t="n">
        <v>1</v>
      </c>
      <c r="J257" t="n">
        <v>5</v>
      </c>
      <c r="K257" t="n">
        <v>5</v>
      </c>
      <c r="L257" t="n">
        <v>5</v>
      </c>
      <c r="M257" t="n">
        <v>1</v>
      </c>
      <c r="N257" t="n">
        <v>3</v>
      </c>
      <c r="O257" t="n">
        <v>4</v>
      </c>
      <c r="P257" t="n">
        <v>5</v>
      </c>
      <c r="Q257" t="n">
        <v>3</v>
      </c>
      <c r="R257" t="n">
        <v>5</v>
      </c>
      <c r="S257" t="n">
        <v>4</v>
      </c>
      <c r="T257" t="n">
        <v>5</v>
      </c>
      <c r="U257" t="n">
        <v>5</v>
      </c>
      <c r="V257" t="n">
        <v>4</v>
      </c>
      <c r="W257">
        <f>(AVERAGE(B257:D257)-1)/4</f>
        <v/>
      </c>
      <c r="X257">
        <f>(AVERAGE(E257:G257)-1)/4</f>
        <v/>
      </c>
      <c r="Y257">
        <f>(AVERAGE(H257:J257)-1)/4</f>
        <v/>
      </c>
      <c r="Z257">
        <f>(AVERAGE(K257:M257)-1)/4</f>
        <v/>
      </c>
      <c r="AA257">
        <f>(AVERAGE(N257:P257)-1)/4</f>
        <v/>
      </c>
      <c r="AB257">
        <f>(AVERAGE(Q257:S257)-1)/4</f>
        <v/>
      </c>
      <c r="AC257">
        <f>(AVERAGE(T257:V257)-1)/4</f>
        <v/>
      </c>
      <c r="AD257">
        <f>AVERAGE(W257:AA257)</f>
        <v/>
      </c>
      <c r="AE257">
        <f>MIN(W257:AA257)</f>
        <v/>
      </c>
      <c r="AF257">
        <f>1-alpha*MAX(0,delta-AE257)</f>
        <v/>
      </c>
      <c r="AG257">
        <f>AD257*AF257</f>
        <v/>
      </c>
      <c r="AH257">
        <f>1+COUNTIF(bounds,"&lt;"&amp;ROUND(AD257,12))</f>
        <v/>
      </c>
      <c r="AI257">
        <f>1+COUNTIF(bounds,"&lt;"&amp;ROUND(AG257,12))</f>
        <v/>
      </c>
      <c r="AJ257">
        <f>IF(AF257&lt;1,1,0)</f>
        <v/>
      </c>
      <c r="AK257">
        <f>IF(AH257&lt;&gt;AI257,1,0)</f>
        <v/>
      </c>
      <c r="AL257">
        <f>IF(AND(AI257&gt;=3,AB257&lt;=0.2),1,0)</f>
        <v/>
      </c>
      <c r="AM257">
        <f>AVERAGE(W257:AB257)</f>
        <v/>
      </c>
      <c r="AN257">
        <f>1+COUNTIF(bounds,"&lt;"&amp;ROUND(AM257,12))</f>
        <v/>
      </c>
      <c r="AO257">
        <f>IF(AK257=1,AD257,NA())</f>
        <v/>
      </c>
      <c r="AP257">
        <f>IF(AK257=0,AD257,NA())</f>
        <v/>
      </c>
    </row>
    <row r="258">
      <c r="A258" t="n">
        <v>250</v>
      </c>
      <c r="B258" t="n">
        <v>1</v>
      </c>
      <c r="C258" t="n">
        <v>3</v>
      </c>
      <c r="D258" t="n">
        <v>5</v>
      </c>
      <c r="E258" t="n">
        <v>3</v>
      </c>
      <c r="F258" t="n">
        <v>2</v>
      </c>
      <c r="G258" t="n">
        <v>4</v>
      </c>
      <c r="H258" t="n">
        <v>2</v>
      </c>
      <c r="I258" t="n">
        <v>1</v>
      </c>
      <c r="J258" t="n">
        <v>1</v>
      </c>
      <c r="K258" t="n">
        <v>4</v>
      </c>
      <c r="L258" t="n">
        <v>4</v>
      </c>
      <c r="M258" t="n">
        <v>3</v>
      </c>
      <c r="N258" t="n">
        <v>1</v>
      </c>
      <c r="O258" t="n">
        <v>1</v>
      </c>
      <c r="P258" t="n">
        <v>5</v>
      </c>
      <c r="Q258" t="n">
        <v>3</v>
      </c>
      <c r="R258" t="n">
        <v>4</v>
      </c>
      <c r="S258" t="n">
        <v>5</v>
      </c>
      <c r="T258" t="n">
        <v>1</v>
      </c>
      <c r="U258" t="n">
        <v>1</v>
      </c>
      <c r="V258" t="n">
        <v>2</v>
      </c>
      <c r="W258">
        <f>(AVERAGE(B258:D258)-1)/4</f>
        <v/>
      </c>
      <c r="X258">
        <f>(AVERAGE(E258:G258)-1)/4</f>
        <v/>
      </c>
      <c r="Y258">
        <f>(AVERAGE(H258:J258)-1)/4</f>
        <v/>
      </c>
      <c r="Z258">
        <f>(AVERAGE(K258:M258)-1)/4</f>
        <v/>
      </c>
      <c r="AA258">
        <f>(AVERAGE(N258:P258)-1)/4</f>
        <v/>
      </c>
      <c r="AB258">
        <f>(AVERAGE(Q258:S258)-1)/4</f>
        <v/>
      </c>
      <c r="AC258">
        <f>(AVERAGE(T258:V258)-1)/4</f>
        <v/>
      </c>
      <c r="AD258">
        <f>AVERAGE(W258:AA258)</f>
        <v/>
      </c>
      <c r="AE258">
        <f>MIN(W258:AA258)</f>
        <v/>
      </c>
      <c r="AF258">
        <f>1-alpha*MAX(0,delta-AE258)</f>
        <v/>
      </c>
      <c r="AG258">
        <f>AD258*AF258</f>
        <v/>
      </c>
      <c r="AH258">
        <f>1+COUNTIF(bounds,"&lt;"&amp;ROUND(AD258,12))</f>
        <v/>
      </c>
      <c r="AI258">
        <f>1+COUNTIF(bounds,"&lt;"&amp;ROUND(AG258,12))</f>
        <v/>
      </c>
      <c r="AJ258">
        <f>IF(AF258&lt;1,1,0)</f>
        <v/>
      </c>
      <c r="AK258">
        <f>IF(AH258&lt;&gt;AI258,1,0)</f>
        <v/>
      </c>
      <c r="AL258">
        <f>IF(AND(AI258&gt;=3,AB258&lt;=0.2),1,0)</f>
        <v/>
      </c>
      <c r="AM258">
        <f>AVERAGE(W258:AB258)</f>
        <v/>
      </c>
      <c r="AN258">
        <f>1+COUNTIF(bounds,"&lt;"&amp;ROUND(AM258,12))</f>
        <v/>
      </c>
      <c r="AO258">
        <f>IF(AK258=1,AD258,NA())</f>
        <v/>
      </c>
      <c r="AP258">
        <f>IF(AK258=0,AD258,NA())</f>
        <v/>
      </c>
    </row>
    <row r="259">
      <c r="A259" t="n">
        <v>251</v>
      </c>
      <c r="B259" t="n">
        <v>4</v>
      </c>
      <c r="C259" t="n">
        <v>1</v>
      </c>
      <c r="D259" t="n">
        <v>5</v>
      </c>
      <c r="E259" t="n">
        <v>1</v>
      </c>
      <c r="F259" t="n">
        <v>2</v>
      </c>
      <c r="G259" t="n">
        <v>1</v>
      </c>
      <c r="H259" t="n">
        <v>3</v>
      </c>
      <c r="I259" t="n">
        <v>1</v>
      </c>
      <c r="J259" t="n">
        <v>2</v>
      </c>
      <c r="K259" t="n">
        <v>5</v>
      </c>
      <c r="L259" t="n">
        <v>2</v>
      </c>
      <c r="M259" t="n">
        <v>1</v>
      </c>
      <c r="N259" t="n">
        <v>3</v>
      </c>
      <c r="O259" t="n">
        <v>1</v>
      </c>
      <c r="P259" t="n">
        <v>5</v>
      </c>
      <c r="Q259" t="n">
        <v>5</v>
      </c>
      <c r="R259" t="n">
        <v>4</v>
      </c>
      <c r="S259" t="n">
        <v>4</v>
      </c>
      <c r="T259" t="n">
        <v>2</v>
      </c>
      <c r="U259" t="n">
        <v>5</v>
      </c>
      <c r="V259" t="n">
        <v>5</v>
      </c>
      <c r="W259">
        <f>(AVERAGE(B259:D259)-1)/4</f>
        <v/>
      </c>
      <c r="X259">
        <f>(AVERAGE(E259:G259)-1)/4</f>
        <v/>
      </c>
      <c r="Y259">
        <f>(AVERAGE(H259:J259)-1)/4</f>
        <v/>
      </c>
      <c r="Z259">
        <f>(AVERAGE(K259:M259)-1)/4</f>
        <v/>
      </c>
      <c r="AA259">
        <f>(AVERAGE(N259:P259)-1)/4</f>
        <v/>
      </c>
      <c r="AB259">
        <f>(AVERAGE(Q259:S259)-1)/4</f>
        <v/>
      </c>
      <c r="AC259">
        <f>(AVERAGE(T259:V259)-1)/4</f>
        <v/>
      </c>
      <c r="AD259">
        <f>AVERAGE(W259:AA259)</f>
        <v/>
      </c>
      <c r="AE259">
        <f>MIN(W259:AA259)</f>
        <v/>
      </c>
      <c r="AF259">
        <f>1-alpha*MAX(0,delta-AE259)</f>
        <v/>
      </c>
      <c r="AG259">
        <f>AD259*AF259</f>
        <v/>
      </c>
      <c r="AH259">
        <f>1+COUNTIF(bounds,"&lt;"&amp;ROUND(AD259,12))</f>
        <v/>
      </c>
      <c r="AI259">
        <f>1+COUNTIF(bounds,"&lt;"&amp;ROUND(AG259,12))</f>
        <v/>
      </c>
      <c r="AJ259">
        <f>IF(AF259&lt;1,1,0)</f>
        <v/>
      </c>
      <c r="AK259">
        <f>IF(AH259&lt;&gt;AI259,1,0)</f>
        <v/>
      </c>
      <c r="AL259">
        <f>IF(AND(AI259&gt;=3,AB259&lt;=0.2),1,0)</f>
        <v/>
      </c>
      <c r="AM259">
        <f>AVERAGE(W259:AB259)</f>
        <v/>
      </c>
      <c r="AN259">
        <f>1+COUNTIF(bounds,"&lt;"&amp;ROUND(AM259,12))</f>
        <v/>
      </c>
      <c r="AO259">
        <f>IF(AK259=1,AD259,NA())</f>
        <v/>
      </c>
      <c r="AP259">
        <f>IF(AK259=0,AD259,NA())</f>
        <v/>
      </c>
    </row>
    <row r="260">
      <c r="A260" t="n">
        <v>252</v>
      </c>
      <c r="B260" t="n">
        <v>2</v>
      </c>
      <c r="C260" t="n">
        <v>1</v>
      </c>
      <c r="D260" t="n">
        <v>1</v>
      </c>
      <c r="E260" t="n">
        <v>3</v>
      </c>
      <c r="F260" t="n">
        <v>5</v>
      </c>
      <c r="G260" t="n">
        <v>1</v>
      </c>
      <c r="H260" t="n">
        <v>1</v>
      </c>
      <c r="I260" t="n">
        <v>2</v>
      </c>
      <c r="J260" t="n">
        <v>5</v>
      </c>
      <c r="K260" t="n">
        <v>3</v>
      </c>
      <c r="L260" t="n">
        <v>1</v>
      </c>
      <c r="M260" t="n">
        <v>3</v>
      </c>
      <c r="N260" t="n">
        <v>2</v>
      </c>
      <c r="O260" t="n">
        <v>1</v>
      </c>
      <c r="P260" t="n">
        <v>4</v>
      </c>
      <c r="Q260" t="n">
        <v>5</v>
      </c>
      <c r="R260" t="n">
        <v>1</v>
      </c>
      <c r="S260" t="n">
        <v>4</v>
      </c>
      <c r="T260" t="n">
        <v>1</v>
      </c>
      <c r="U260" t="n">
        <v>4</v>
      </c>
      <c r="V260" t="n">
        <v>1</v>
      </c>
      <c r="W260">
        <f>(AVERAGE(B260:D260)-1)/4</f>
        <v/>
      </c>
      <c r="X260">
        <f>(AVERAGE(E260:G260)-1)/4</f>
        <v/>
      </c>
      <c r="Y260">
        <f>(AVERAGE(H260:J260)-1)/4</f>
        <v/>
      </c>
      <c r="Z260">
        <f>(AVERAGE(K260:M260)-1)/4</f>
        <v/>
      </c>
      <c r="AA260">
        <f>(AVERAGE(N260:P260)-1)/4</f>
        <v/>
      </c>
      <c r="AB260">
        <f>(AVERAGE(Q260:S260)-1)/4</f>
        <v/>
      </c>
      <c r="AC260">
        <f>(AVERAGE(T260:V260)-1)/4</f>
        <v/>
      </c>
      <c r="AD260">
        <f>AVERAGE(W260:AA260)</f>
        <v/>
      </c>
      <c r="AE260">
        <f>MIN(W260:AA260)</f>
        <v/>
      </c>
      <c r="AF260">
        <f>1-alpha*MAX(0,delta-AE260)</f>
        <v/>
      </c>
      <c r="AG260">
        <f>AD260*AF260</f>
        <v/>
      </c>
      <c r="AH260">
        <f>1+COUNTIF(bounds,"&lt;"&amp;ROUND(AD260,12))</f>
        <v/>
      </c>
      <c r="AI260">
        <f>1+COUNTIF(bounds,"&lt;"&amp;ROUND(AG260,12))</f>
        <v/>
      </c>
      <c r="AJ260">
        <f>IF(AF260&lt;1,1,0)</f>
        <v/>
      </c>
      <c r="AK260">
        <f>IF(AH260&lt;&gt;AI260,1,0)</f>
        <v/>
      </c>
      <c r="AL260">
        <f>IF(AND(AI260&gt;=3,AB260&lt;=0.2),1,0)</f>
        <v/>
      </c>
      <c r="AM260">
        <f>AVERAGE(W260:AB260)</f>
        <v/>
      </c>
      <c r="AN260">
        <f>1+COUNTIF(bounds,"&lt;"&amp;ROUND(AM260,12))</f>
        <v/>
      </c>
      <c r="AO260">
        <f>IF(AK260=1,AD260,NA())</f>
        <v/>
      </c>
      <c r="AP260">
        <f>IF(AK260=0,AD260,NA())</f>
        <v/>
      </c>
    </row>
    <row r="261">
      <c r="A261" t="n">
        <v>253</v>
      </c>
      <c r="B261" t="n">
        <v>4</v>
      </c>
      <c r="C261" t="n">
        <v>5</v>
      </c>
      <c r="D261" t="n">
        <v>5</v>
      </c>
      <c r="E261" t="n">
        <v>4</v>
      </c>
      <c r="F261" t="n">
        <v>5</v>
      </c>
      <c r="G261" t="n">
        <v>5</v>
      </c>
      <c r="H261" t="n">
        <v>2</v>
      </c>
      <c r="I261" t="n">
        <v>2</v>
      </c>
      <c r="J261" t="n">
        <v>4</v>
      </c>
      <c r="K261" t="n">
        <v>2</v>
      </c>
      <c r="L261" t="n">
        <v>1</v>
      </c>
      <c r="M261" t="n">
        <v>2</v>
      </c>
      <c r="N261" t="n">
        <v>4</v>
      </c>
      <c r="O261" t="n">
        <v>5</v>
      </c>
      <c r="P261" t="n">
        <v>1</v>
      </c>
      <c r="Q261" t="n">
        <v>5</v>
      </c>
      <c r="R261" t="n">
        <v>3</v>
      </c>
      <c r="S261" t="n">
        <v>2</v>
      </c>
      <c r="T261" t="n">
        <v>5</v>
      </c>
      <c r="U261" t="n">
        <v>2</v>
      </c>
      <c r="V261" t="n">
        <v>5</v>
      </c>
      <c r="W261">
        <f>(AVERAGE(B261:D261)-1)/4</f>
        <v/>
      </c>
      <c r="X261">
        <f>(AVERAGE(E261:G261)-1)/4</f>
        <v/>
      </c>
      <c r="Y261">
        <f>(AVERAGE(H261:J261)-1)/4</f>
        <v/>
      </c>
      <c r="Z261">
        <f>(AVERAGE(K261:M261)-1)/4</f>
        <v/>
      </c>
      <c r="AA261">
        <f>(AVERAGE(N261:P261)-1)/4</f>
        <v/>
      </c>
      <c r="AB261">
        <f>(AVERAGE(Q261:S261)-1)/4</f>
        <v/>
      </c>
      <c r="AC261">
        <f>(AVERAGE(T261:V261)-1)/4</f>
        <v/>
      </c>
      <c r="AD261">
        <f>AVERAGE(W261:AA261)</f>
        <v/>
      </c>
      <c r="AE261">
        <f>MIN(W261:AA261)</f>
        <v/>
      </c>
      <c r="AF261">
        <f>1-alpha*MAX(0,delta-AE261)</f>
        <v/>
      </c>
      <c r="AG261">
        <f>AD261*AF261</f>
        <v/>
      </c>
      <c r="AH261">
        <f>1+COUNTIF(bounds,"&lt;"&amp;ROUND(AD261,12))</f>
        <v/>
      </c>
      <c r="AI261">
        <f>1+COUNTIF(bounds,"&lt;"&amp;ROUND(AG261,12))</f>
        <v/>
      </c>
      <c r="AJ261">
        <f>IF(AF261&lt;1,1,0)</f>
        <v/>
      </c>
      <c r="AK261">
        <f>IF(AH261&lt;&gt;AI261,1,0)</f>
        <v/>
      </c>
      <c r="AL261">
        <f>IF(AND(AI261&gt;=3,AB261&lt;=0.2),1,0)</f>
        <v/>
      </c>
      <c r="AM261">
        <f>AVERAGE(W261:AB261)</f>
        <v/>
      </c>
      <c r="AN261">
        <f>1+COUNTIF(bounds,"&lt;"&amp;ROUND(AM261,12))</f>
        <v/>
      </c>
      <c r="AO261">
        <f>IF(AK261=1,AD261,NA())</f>
        <v/>
      </c>
      <c r="AP261">
        <f>IF(AK261=0,AD261,NA())</f>
        <v/>
      </c>
    </row>
    <row r="262">
      <c r="A262" t="n">
        <v>254</v>
      </c>
      <c r="B262" t="n">
        <v>4</v>
      </c>
      <c r="C262" t="n">
        <v>5</v>
      </c>
      <c r="D262" t="n">
        <v>5</v>
      </c>
      <c r="E262" t="n">
        <v>1</v>
      </c>
      <c r="F262" t="n">
        <v>1</v>
      </c>
      <c r="G262" t="n">
        <v>3</v>
      </c>
      <c r="H262" t="n">
        <v>2</v>
      </c>
      <c r="I262" t="n">
        <v>3</v>
      </c>
      <c r="J262" t="n">
        <v>2</v>
      </c>
      <c r="K262" t="n">
        <v>1</v>
      </c>
      <c r="L262" t="n">
        <v>3</v>
      </c>
      <c r="M262" t="n">
        <v>5</v>
      </c>
      <c r="N262" t="n">
        <v>4</v>
      </c>
      <c r="O262" t="n">
        <v>1</v>
      </c>
      <c r="P262" t="n">
        <v>2</v>
      </c>
      <c r="Q262" t="n">
        <v>5</v>
      </c>
      <c r="R262" t="n">
        <v>2</v>
      </c>
      <c r="S262" t="n">
        <v>4</v>
      </c>
      <c r="T262" t="n">
        <v>2</v>
      </c>
      <c r="U262" t="n">
        <v>3</v>
      </c>
      <c r="V262" t="n">
        <v>1</v>
      </c>
      <c r="W262">
        <f>(AVERAGE(B262:D262)-1)/4</f>
        <v/>
      </c>
      <c r="X262">
        <f>(AVERAGE(E262:G262)-1)/4</f>
        <v/>
      </c>
      <c r="Y262">
        <f>(AVERAGE(H262:J262)-1)/4</f>
        <v/>
      </c>
      <c r="Z262">
        <f>(AVERAGE(K262:M262)-1)/4</f>
        <v/>
      </c>
      <c r="AA262">
        <f>(AVERAGE(N262:P262)-1)/4</f>
        <v/>
      </c>
      <c r="AB262">
        <f>(AVERAGE(Q262:S262)-1)/4</f>
        <v/>
      </c>
      <c r="AC262">
        <f>(AVERAGE(T262:V262)-1)/4</f>
        <v/>
      </c>
      <c r="AD262">
        <f>AVERAGE(W262:AA262)</f>
        <v/>
      </c>
      <c r="AE262">
        <f>MIN(W262:AA262)</f>
        <v/>
      </c>
      <c r="AF262">
        <f>1-alpha*MAX(0,delta-AE262)</f>
        <v/>
      </c>
      <c r="AG262">
        <f>AD262*AF262</f>
        <v/>
      </c>
      <c r="AH262">
        <f>1+COUNTIF(bounds,"&lt;"&amp;ROUND(AD262,12))</f>
        <v/>
      </c>
      <c r="AI262">
        <f>1+COUNTIF(bounds,"&lt;"&amp;ROUND(AG262,12))</f>
        <v/>
      </c>
      <c r="AJ262">
        <f>IF(AF262&lt;1,1,0)</f>
        <v/>
      </c>
      <c r="AK262">
        <f>IF(AH262&lt;&gt;AI262,1,0)</f>
        <v/>
      </c>
      <c r="AL262">
        <f>IF(AND(AI262&gt;=3,AB262&lt;=0.2),1,0)</f>
        <v/>
      </c>
      <c r="AM262">
        <f>AVERAGE(W262:AB262)</f>
        <v/>
      </c>
      <c r="AN262">
        <f>1+COUNTIF(bounds,"&lt;"&amp;ROUND(AM262,12))</f>
        <v/>
      </c>
      <c r="AO262">
        <f>IF(AK262=1,AD262,NA())</f>
        <v/>
      </c>
      <c r="AP262">
        <f>IF(AK262=0,AD262,NA())</f>
        <v/>
      </c>
    </row>
    <row r="263">
      <c r="A263" t="n">
        <v>255</v>
      </c>
      <c r="B263" t="n">
        <v>3</v>
      </c>
      <c r="C263" t="n">
        <v>4</v>
      </c>
      <c r="D263" t="n">
        <v>5</v>
      </c>
      <c r="E263" t="n">
        <v>2</v>
      </c>
      <c r="F263" t="n">
        <v>1</v>
      </c>
      <c r="G263" t="n">
        <v>2</v>
      </c>
      <c r="H263" t="n">
        <v>4</v>
      </c>
      <c r="I263" t="n">
        <v>4</v>
      </c>
      <c r="J263" t="n">
        <v>3</v>
      </c>
      <c r="K263" t="n">
        <v>1</v>
      </c>
      <c r="L263" t="n">
        <v>2</v>
      </c>
      <c r="M263" t="n">
        <v>3</v>
      </c>
      <c r="N263" t="n">
        <v>2</v>
      </c>
      <c r="O263" t="n">
        <v>2</v>
      </c>
      <c r="P263" t="n">
        <v>2</v>
      </c>
      <c r="Q263" t="n">
        <v>2</v>
      </c>
      <c r="R263" t="n">
        <v>5</v>
      </c>
      <c r="S263" t="n">
        <v>3</v>
      </c>
      <c r="T263" t="n">
        <v>4</v>
      </c>
      <c r="U263" t="n">
        <v>1</v>
      </c>
      <c r="V263" t="n">
        <v>3</v>
      </c>
      <c r="W263">
        <f>(AVERAGE(B263:D263)-1)/4</f>
        <v/>
      </c>
      <c r="X263">
        <f>(AVERAGE(E263:G263)-1)/4</f>
        <v/>
      </c>
      <c r="Y263">
        <f>(AVERAGE(H263:J263)-1)/4</f>
        <v/>
      </c>
      <c r="Z263">
        <f>(AVERAGE(K263:M263)-1)/4</f>
        <v/>
      </c>
      <c r="AA263">
        <f>(AVERAGE(N263:P263)-1)/4</f>
        <v/>
      </c>
      <c r="AB263">
        <f>(AVERAGE(Q263:S263)-1)/4</f>
        <v/>
      </c>
      <c r="AC263">
        <f>(AVERAGE(T263:V263)-1)/4</f>
        <v/>
      </c>
      <c r="AD263">
        <f>AVERAGE(W263:AA263)</f>
        <v/>
      </c>
      <c r="AE263">
        <f>MIN(W263:AA263)</f>
        <v/>
      </c>
      <c r="AF263">
        <f>1-alpha*MAX(0,delta-AE263)</f>
        <v/>
      </c>
      <c r="AG263">
        <f>AD263*AF263</f>
        <v/>
      </c>
      <c r="AH263">
        <f>1+COUNTIF(bounds,"&lt;"&amp;ROUND(AD263,12))</f>
        <v/>
      </c>
      <c r="AI263">
        <f>1+COUNTIF(bounds,"&lt;"&amp;ROUND(AG263,12))</f>
        <v/>
      </c>
      <c r="AJ263">
        <f>IF(AF263&lt;1,1,0)</f>
        <v/>
      </c>
      <c r="AK263">
        <f>IF(AH263&lt;&gt;AI263,1,0)</f>
        <v/>
      </c>
      <c r="AL263">
        <f>IF(AND(AI263&gt;=3,AB263&lt;=0.2),1,0)</f>
        <v/>
      </c>
      <c r="AM263">
        <f>AVERAGE(W263:AB263)</f>
        <v/>
      </c>
      <c r="AN263">
        <f>1+COUNTIF(bounds,"&lt;"&amp;ROUND(AM263,12))</f>
        <v/>
      </c>
      <c r="AO263">
        <f>IF(AK263=1,AD263,NA())</f>
        <v/>
      </c>
      <c r="AP263">
        <f>IF(AK263=0,AD263,NA())</f>
        <v/>
      </c>
    </row>
    <row r="264">
      <c r="A264" t="n">
        <v>256</v>
      </c>
      <c r="B264" t="n">
        <v>3</v>
      </c>
      <c r="C264" t="n">
        <v>2</v>
      </c>
      <c r="D264" t="n">
        <v>5</v>
      </c>
      <c r="E264" t="n">
        <v>1</v>
      </c>
      <c r="F264" t="n">
        <v>5</v>
      </c>
      <c r="G264" t="n">
        <v>3</v>
      </c>
      <c r="H264" t="n">
        <v>5</v>
      </c>
      <c r="I264" t="n">
        <v>4</v>
      </c>
      <c r="J264" t="n">
        <v>3</v>
      </c>
      <c r="K264" t="n">
        <v>5</v>
      </c>
      <c r="L264" t="n">
        <v>4</v>
      </c>
      <c r="M264" t="n">
        <v>5</v>
      </c>
      <c r="N264" t="n">
        <v>2</v>
      </c>
      <c r="O264" t="n">
        <v>3</v>
      </c>
      <c r="P264" t="n">
        <v>4</v>
      </c>
      <c r="Q264" t="n">
        <v>5</v>
      </c>
      <c r="R264" t="n">
        <v>1</v>
      </c>
      <c r="S264" t="n">
        <v>4</v>
      </c>
      <c r="T264" t="n">
        <v>3</v>
      </c>
      <c r="U264" t="n">
        <v>2</v>
      </c>
      <c r="V264" t="n">
        <v>3</v>
      </c>
      <c r="W264">
        <f>(AVERAGE(B264:D264)-1)/4</f>
        <v/>
      </c>
      <c r="X264">
        <f>(AVERAGE(E264:G264)-1)/4</f>
        <v/>
      </c>
      <c r="Y264">
        <f>(AVERAGE(H264:J264)-1)/4</f>
        <v/>
      </c>
      <c r="Z264">
        <f>(AVERAGE(K264:M264)-1)/4</f>
        <v/>
      </c>
      <c r="AA264">
        <f>(AVERAGE(N264:P264)-1)/4</f>
        <v/>
      </c>
      <c r="AB264">
        <f>(AVERAGE(Q264:S264)-1)/4</f>
        <v/>
      </c>
      <c r="AC264">
        <f>(AVERAGE(T264:V264)-1)/4</f>
        <v/>
      </c>
      <c r="AD264">
        <f>AVERAGE(W264:AA264)</f>
        <v/>
      </c>
      <c r="AE264">
        <f>MIN(W264:AA264)</f>
        <v/>
      </c>
      <c r="AF264">
        <f>1-alpha*MAX(0,delta-AE264)</f>
        <v/>
      </c>
      <c r="AG264">
        <f>AD264*AF264</f>
        <v/>
      </c>
      <c r="AH264">
        <f>1+COUNTIF(bounds,"&lt;"&amp;ROUND(AD264,12))</f>
        <v/>
      </c>
      <c r="AI264">
        <f>1+COUNTIF(bounds,"&lt;"&amp;ROUND(AG264,12))</f>
        <v/>
      </c>
      <c r="AJ264">
        <f>IF(AF264&lt;1,1,0)</f>
        <v/>
      </c>
      <c r="AK264">
        <f>IF(AH264&lt;&gt;AI264,1,0)</f>
        <v/>
      </c>
      <c r="AL264">
        <f>IF(AND(AI264&gt;=3,AB264&lt;=0.2),1,0)</f>
        <v/>
      </c>
      <c r="AM264">
        <f>AVERAGE(W264:AB264)</f>
        <v/>
      </c>
      <c r="AN264">
        <f>1+COUNTIF(bounds,"&lt;"&amp;ROUND(AM264,12))</f>
        <v/>
      </c>
      <c r="AO264">
        <f>IF(AK264=1,AD264,NA())</f>
        <v/>
      </c>
      <c r="AP264">
        <f>IF(AK264=0,AD264,NA())</f>
        <v/>
      </c>
    </row>
    <row r="265">
      <c r="A265" t="n">
        <v>257</v>
      </c>
      <c r="B265" t="n">
        <v>1</v>
      </c>
      <c r="C265" t="n">
        <v>3</v>
      </c>
      <c r="D265" t="n">
        <v>5</v>
      </c>
      <c r="E265" t="n">
        <v>1</v>
      </c>
      <c r="F265" t="n">
        <v>2</v>
      </c>
      <c r="G265" t="n">
        <v>5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5</v>
      </c>
      <c r="N265" t="n">
        <v>4</v>
      </c>
      <c r="O265" t="n">
        <v>5</v>
      </c>
      <c r="P265" t="n">
        <v>4</v>
      </c>
      <c r="Q265" t="n">
        <v>5</v>
      </c>
      <c r="R265" t="n">
        <v>4</v>
      </c>
      <c r="S265" t="n">
        <v>2</v>
      </c>
      <c r="T265" t="n">
        <v>2</v>
      </c>
      <c r="U265" t="n">
        <v>2</v>
      </c>
      <c r="V265" t="n">
        <v>5</v>
      </c>
      <c r="W265">
        <f>(AVERAGE(B265:D265)-1)/4</f>
        <v/>
      </c>
      <c r="X265">
        <f>(AVERAGE(E265:G265)-1)/4</f>
        <v/>
      </c>
      <c r="Y265">
        <f>(AVERAGE(H265:J265)-1)/4</f>
        <v/>
      </c>
      <c r="Z265">
        <f>(AVERAGE(K265:M265)-1)/4</f>
        <v/>
      </c>
      <c r="AA265">
        <f>(AVERAGE(N265:P265)-1)/4</f>
        <v/>
      </c>
      <c r="AB265">
        <f>(AVERAGE(Q265:S265)-1)/4</f>
        <v/>
      </c>
      <c r="AC265">
        <f>(AVERAGE(T265:V265)-1)/4</f>
        <v/>
      </c>
      <c r="AD265">
        <f>AVERAGE(W265:AA265)</f>
        <v/>
      </c>
      <c r="AE265">
        <f>MIN(W265:AA265)</f>
        <v/>
      </c>
      <c r="AF265">
        <f>1-alpha*MAX(0,delta-AE265)</f>
        <v/>
      </c>
      <c r="AG265">
        <f>AD265*AF265</f>
        <v/>
      </c>
      <c r="AH265">
        <f>1+COUNTIF(bounds,"&lt;"&amp;ROUND(AD265,12))</f>
        <v/>
      </c>
      <c r="AI265">
        <f>1+COUNTIF(bounds,"&lt;"&amp;ROUND(AG265,12))</f>
        <v/>
      </c>
      <c r="AJ265">
        <f>IF(AF265&lt;1,1,0)</f>
        <v/>
      </c>
      <c r="AK265">
        <f>IF(AH265&lt;&gt;AI265,1,0)</f>
        <v/>
      </c>
      <c r="AL265">
        <f>IF(AND(AI265&gt;=3,AB265&lt;=0.2),1,0)</f>
        <v/>
      </c>
      <c r="AM265">
        <f>AVERAGE(W265:AB265)</f>
        <v/>
      </c>
      <c r="AN265">
        <f>1+COUNTIF(bounds,"&lt;"&amp;ROUND(AM265,12))</f>
        <v/>
      </c>
      <c r="AO265">
        <f>IF(AK265=1,AD265,NA())</f>
        <v/>
      </c>
      <c r="AP265">
        <f>IF(AK265=0,AD265,NA())</f>
        <v/>
      </c>
    </row>
    <row r="266">
      <c r="A266" t="n">
        <v>258</v>
      </c>
      <c r="B266" t="n">
        <v>4</v>
      </c>
      <c r="C266" t="n">
        <v>4</v>
      </c>
      <c r="D266" t="n">
        <v>3</v>
      </c>
      <c r="E266" t="n">
        <v>5</v>
      </c>
      <c r="F266" t="n">
        <v>5</v>
      </c>
      <c r="G266" t="n">
        <v>2</v>
      </c>
      <c r="H266" t="n">
        <v>5</v>
      </c>
      <c r="I266" t="n">
        <v>4</v>
      </c>
      <c r="J266" t="n">
        <v>2</v>
      </c>
      <c r="K266" t="n">
        <v>2</v>
      </c>
      <c r="L266" t="n">
        <v>3</v>
      </c>
      <c r="M266" t="n">
        <v>3</v>
      </c>
      <c r="N266" t="n">
        <v>1</v>
      </c>
      <c r="O266" t="n">
        <v>3</v>
      </c>
      <c r="P266" t="n">
        <v>3</v>
      </c>
      <c r="Q266" t="n">
        <v>4</v>
      </c>
      <c r="R266" t="n">
        <v>2</v>
      </c>
      <c r="S266" t="n">
        <v>5</v>
      </c>
      <c r="T266" t="n">
        <v>1</v>
      </c>
      <c r="U266" t="n">
        <v>2</v>
      </c>
      <c r="V266" t="n">
        <v>1</v>
      </c>
      <c r="W266">
        <f>(AVERAGE(B266:D266)-1)/4</f>
        <v/>
      </c>
      <c r="X266">
        <f>(AVERAGE(E266:G266)-1)/4</f>
        <v/>
      </c>
      <c r="Y266">
        <f>(AVERAGE(H266:J266)-1)/4</f>
        <v/>
      </c>
      <c r="Z266">
        <f>(AVERAGE(K266:M266)-1)/4</f>
        <v/>
      </c>
      <c r="AA266">
        <f>(AVERAGE(N266:P266)-1)/4</f>
        <v/>
      </c>
      <c r="AB266">
        <f>(AVERAGE(Q266:S266)-1)/4</f>
        <v/>
      </c>
      <c r="AC266">
        <f>(AVERAGE(T266:V266)-1)/4</f>
        <v/>
      </c>
      <c r="AD266">
        <f>AVERAGE(W266:AA266)</f>
        <v/>
      </c>
      <c r="AE266">
        <f>MIN(W266:AA266)</f>
        <v/>
      </c>
      <c r="AF266">
        <f>1-alpha*MAX(0,delta-AE266)</f>
        <v/>
      </c>
      <c r="AG266">
        <f>AD266*AF266</f>
        <v/>
      </c>
      <c r="AH266">
        <f>1+COUNTIF(bounds,"&lt;"&amp;ROUND(AD266,12))</f>
        <v/>
      </c>
      <c r="AI266">
        <f>1+COUNTIF(bounds,"&lt;"&amp;ROUND(AG266,12))</f>
        <v/>
      </c>
      <c r="AJ266">
        <f>IF(AF266&lt;1,1,0)</f>
        <v/>
      </c>
      <c r="AK266">
        <f>IF(AH266&lt;&gt;AI266,1,0)</f>
        <v/>
      </c>
      <c r="AL266">
        <f>IF(AND(AI266&gt;=3,AB266&lt;=0.2),1,0)</f>
        <v/>
      </c>
      <c r="AM266">
        <f>AVERAGE(W266:AB266)</f>
        <v/>
      </c>
      <c r="AN266">
        <f>1+COUNTIF(bounds,"&lt;"&amp;ROUND(AM266,12))</f>
        <v/>
      </c>
      <c r="AO266">
        <f>IF(AK266=1,AD266,NA())</f>
        <v/>
      </c>
      <c r="AP266">
        <f>IF(AK266=0,AD266,NA())</f>
        <v/>
      </c>
    </row>
    <row r="267">
      <c r="A267" t="n">
        <v>259</v>
      </c>
      <c r="B267" t="n">
        <v>2</v>
      </c>
      <c r="C267" t="n">
        <v>3</v>
      </c>
      <c r="D267" t="n">
        <v>4</v>
      </c>
      <c r="E267" t="n">
        <v>5</v>
      </c>
      <c r="F267" t="n">
        <v>2</v>
      </c>
      <c r="G267" t="n">
        <v>2</v>
      </c>
      <c r="H267" t="n">
        <v>3</v>
      </c>
      <c r="I267" t="n">
        <v>5</v>
      </c>
      <c r="J267" t="n">
        <v>3</v>
      </c>
      <c r="K267" t="n">
        <v>1</v>
      </c>
      <c r="L267" t="n">
        <v>3</v>
      </c>
      <c r="M267" t="n">
        <v>4</v>
      </c>
      <c r="N267" t="n">
        <v>3</v>
      </c>
      <c r="O267" t="n">
        <v>2</v>
      </c>
      <c r="P267" t="n">
        <v>4</v>
      </c>
      <c r="Q267" t="n">
        <v>5</v>
      </c>
      <c r="R267" t="n">
        <v>5</v>
      </c>
      <c r="S267" t="n">
        <v>1</v>
      </c>
      <c r="T267" t="n">
        <v>3</v>
      </c>
      <c r="U267" t="n">
        <v>5</v>
      </c>
      <c r="V267" t="n">
        <v>5</v>
      </c>
      <c r="W267">
        <f>(AVERAGE(B267:D267)-1)/4</f>
        <v/>
      </c>
      <c r="X267">
        <f>(AVERAGE(E267:G267)-1)/4</f>
        <v/>
      </c>
      <c r="Y267">
        <f>(AVERAGE(H267:J267)-1)/4</f>
        <v/>
      </c>
      <c r="Z267">
        <f>(AVERAGE(K267:M267)-1)/4</f>
        <v/>
      </c>
      <c r="AA267">
        <f>(AVERAGE(N267:P267)-1)/4</f>
        <v/>
      </c>
      <c r="AB267">
        <f>(AVERAGE(Q267:S267)-1)/4</f>
        <v/>
      </c>
      <c r="AC267">
        <f>(AVERAGE(T267:V267)-1)/4</f>
        <v/>
      </c>
      <c r="AD267">
        <f>AVERAGE(W267:AA267)</f>
        <v/>
      </c>
      <c r="AE267">
        <f>MIN(W267:AA267)</f>
        <v/>
      </c>
      <c r="AF267">
        <f>1-alpha*MAX(0,delta-AE267)</f>
        <v/>
      </c>
      <c r="AG267">
        <f>AD267*AF267</f>
        <v/>
      </c>
      <c r="AH267">
        <f>1+COUNTIF(bounds,"&lt;"&amp;ROUND(AD267,12))</f>
        <v/>
      </c>
      <c r="AI267">
        <f>1+COUNTIF(bounds,"&lt;"&amp;ROUND(AG267,12))</f>
        <v/>
      </c>
      <c r="AJ267">
        <f>IF(AF267&lt;1,1,0)</f>
        <v/>
      </c>
      <c r="AK267">
        <f>IF(AH267&lt;&gt;AI267,1,0)</f>
        <v/>
      </c>
      <c r="AL267">
        <f>IF(AND(AI267&gt;=3,AB267&lt;=0.2),1,0)</f>
        <v/>
      </c>
      <c r="AM267">
        <f>AVERAGE(W267:AB267)</f>
        <v/>
      </c>
      <c r="AN267">
        <f>1+COUNTIF(bounds,"&lt;"&amp;ROUND(AM267,12))</f>
        <v/>
      </c>
      <c r="AO267">
        <f>IF(AK267=1,AD267,NA())</f>
        <v/>
      </c>
      <c r="AP267">
        <f>IF(AK267=0,AD267,NA())</f>
        <v/>
      </c>
    </row>
    <row r="268">
      <c r="A268" t="n">
        <v>260</v>
      </c>
      <c r="B268" t="n">
        <v>3</v>
      </c>
      <c r="C268" t="n">
        <v>4</v>
      </c>
      <c r="D268" t="n">
        <v>5</v>
      </c>
      <c r="E268" t="n">
        <v>2</v>
      </c>
      <c r="F268" t="n">
        <v>2</v>
      </c>
      <c r="G268" t="n">
        <v>3</v>
      </c>
      <c r="H268" t="n">
        <v>3</v>
      </c>
      <c r="I268" t="n">
        <v>3</v>
      </c>
      <c r="J268" t="n">
        <v>3</v>
      </c>
      <c r="K268" t="n">
        <v>1</v>
      </c>
      <c r="L268" t="n">
        <v>1</v>
      </c>
      <c r="M268" t="n">
        <v>3</v>
      </c>
      <c r="N268" t="n">
        <v>4</v>
      </c>
      <c r="O268" t="n">
        <v>2</v>
      </c>
      <c r="P268" t="n">
        <v>1</v>
      </c>
      <c r="Q268" t="n">
        <v>2</v>
      </c>
      <c r="R268" t="n">
        <v>1</v>
      </c>
      <c r="S268" t="n">
        <v>3</v>
      </c>
      <c r="T268" t="n">
        <v>5</v>
      </c>
      <c r="U268" t="n">
        <v>5</v>
      </c>
      <c r="V268" t="n">
        <v>2</v>
      </c>
      <c r="W268">
        <f>(AVERAGE(B268:D268)-1)/4</f>
        <v/>
      </c>
      <c r="X268">
        <f>(AVERAGE(E268:G268)-1)/4</f>
        <v/>
      </c>
      <c r="Y268">
        <f>(AVERAGE(H268:J268)-1)/4</f>
        <v/>
      </c>
      <c r="Z268">
        <f>(AVERAGE(K268:M268)-1)/4</f>
        <v/>
      </c>
      <c r="AA268">
        <f>(AVERAGE(N268:P268)-1)/4</f>
        <v/>
      </c>
      <c r="AB268">
        <f>(AVERAGE(Q268:S268)-1)/4</f>
        <v/>
      </c>
      <c r="AC268">
        <f>(AVERAGE(T268:V268)-1)/4</f>
        <v/>
      </c>
      <c r="AD268">
        <f>AVERAGE(W268:AA268)</f>
        <v/>
      </c>
      <c r="AE268">
        <f>MIN(W268:AA268)</f>
        <v/>
      </c>
      <c r="AF268">
        <f>1-alpha*MAX(0,delta-AE268)</f>
        <v/>
      </c>
      <c r="AG268">
        <f>AD268*AF268</f>
        <v/>
      </c>
      <c r="AH268">
        <f>1+COUNTIF(bounds,"&lt;"&amp;ROUND(AD268,12))</f>
        <v/>
      </c>
      <c r="AI268">
        <f>1+COUNTIF(bounds,"&lt;"&amp;ROUND(AG268,12))</f>
        <v/>
      </c>
      <c r="AJ268">
        <f>IF(AF268&lt;1,1,0)</f>
        <v/>
      </c>
      <c r="AK268">
        <f>IF(AH268&lt;&gt;AI268,1,0)</f>
        <v/>
      </c>
      <c r="AL268">
        <f>IF(AND(AI268&gt;=3,AB268&lt;=0.2),1,0)</f>
        <v/>
      </c>
      <c r="AM268">
        <f>AVERAGE(W268:AB268)</f>
        <v/>
      </c>
      <c r="AN268">
        <f>1+COUNTIF(bounds,"&lt;"&amp;ROUND(AM268,12))</f>
        <v/>
      </c>
      <c r="AO268">
        <f>IF(AK268=1,AD268,NA())</f>
        <v/>
      </c>
      <c r="AP268">
        <f>IF(AK268=0,AD268,NA())</f>
        <v/>
      </c>
    </row>
    <row r="269">
      <c r="A269" t="n">
        <v>261</v>
      </c>
      <c r="B269" t="n">
        <v>4</v>
      </c>
      <c r="C269" t="n">
        <v>4</v>
      </c>
      <c r="D269" t="n">
        <v>5</v>
      </c>
      <c r="E269" t="n">
        <v>2</v>
      </c>
      <c r="F269" t="n">
        <v>4</v>
      </c>
      <c r="G269" t="n">
        <v>1</v>
      </c>
      <c r="H269" t="n">
        <v>3</v>
      </c>
      <c r="I269" t="n">
        <v>3</v>
      </c>
      <c r="J269" t="n">
        <v>2</v>
      </c>
      <c r="K269" t="n">
        <v>4</v>
      </c>
      <c r="L269" t="n">
        <v>2</v>
      </c>
      <c r="M269" t="n">
        <v>2</v>
      </c>
      <c r="N269" t="n">
        <v>2</v>
      </c>
      <c r="O269" t="n">
        <v>1</v>
      </c>
      <c r="P269" t="n">
        <v>5</v>
      </c>
      <c r="Q269" t="n">
        <v>2</v>
      </c>
      <c r="R269" t="n">
        <v>4</v>
      </c>
      <c r="S269" t="n">
        <v>2</v>
      </c>
      <c r="T269" t="n">
        <v>2</v>
      </c>
      <c r="U269" t="n">
        <v>1</v>
      </c>
      <c r="V269" t="n">
        <v>1</v>
      </c>
      <c r="W269">
        <f>(AVERAGE(B269:D269)-1)/4</f>
        <v/>
      </c>
      <c r="X269">
        <f>(AVERAGE(E269:G269)-1)/4</f>
        <v/>
      </c>
      <c r="Y269">
        <f>(AVERAGE(H269:J269)-1)/4</f>
        <v/>
      </c>
      <c r="Z269">
        <f>(AVERAGE(K269:M269)-1)/4</f>
        <v/>
      </c>
      <c r="AA269">
        <f>(AVERAGE(N269:P269)-1)/4</f>
        <v/>
      </c>
      <c r="AB269">
        <f>(AVERAGE(Q269:S269)-1)/4</f>
        <v/>
      </c>
      <c r="AC269">
        <f>(AVERAGE(T269:V269)-1)/4</f>
        <v/>
      </c>
      <c r="AD269">
        <f>AVERAGE(W269:AA269)</f>
        <v/>
      </c>
      <c r="AE269">
        <f>MIN(W269:AA269)</f>
        <v/>
      </c>
      <c r="AF269">
        <f>1-alpha*MAX(0,delta-AE269)</f>
        <v/>
      </c>
      <c r="AG269">
        <f>AD269*AF269</f>
        <v/>
      </c>
      <c r="AH269">
        <f>1+COUNTIF(bounds,"&lt;"&amp;ROUND(AD269,12))</f>
        <v/>
      </c>
      <c r="AI269">
        <f>1+COUNTIF(bounds,"&lt;"&amp;ROUND(AG269,12))</f>
        <v/>
      </c>
      <c r="AJ269">
        <f>IF(AF269&lt;1,1,0)</f>
        <v/>
      </c>
      <c r="AK269">
        <f>IF(AH269&lt;&gt;AI269,1,0)</f>
        <v/>
      </c>
      <c r="AL269">
        <f>IF(AND(AI269&gt;=3,AB269&lt;=0.2),1,0)</f>
        <v/>
      </c>
      <c r="AM269">
        <f>AVERAGE(W269:AB269)</f>
        <v/>
      </c>
      <c r="AN269">
        <f>1+COUNTIF(bounds,"&lt;"&amp;ROUND(AM269,12))</f>
        <v/>
      </c>
      <c r="AO269">
        <f>IF(AK269=1,AD269,NA())</f>
        <v/>
      </c>
      <c r="AP269">
        <f>IF(AK269=0,AD269,NA())</f>
        <v/>
      </c>
    </row>
    <row r="270">
      <c r="A270" t="n">
        <v>262</v>
      </c>
      <c r="B270" t="n">
        <v>3</v>
      </c>
      <c r="C270" t="n">
        <v>2</v>
      </c>
      <c r="D270" t="n">
        <v>4</v>
      </c>
      <c r="E270" t="n">
        <v>1</v>
      </c>
      <c r="F270" t="n">
        <v>5</v>
      </c>
      <c r="G270" t="n">
        <v>2</v>
      </c>
      <c r="H270" t="n">
        <v>3</v>
      </c>
      <c r="I270" t="n">
        <v>1</v>
      </c>
      <c r="J270" t="n">
        <v>5</v>
      </c>
      <c r="K270" t="n">
        <v>1</v>
      </c>
      <c r="L270" t="n">
        <v>5</v>
      </c>
      <c r="M270" t="n">
        <v>1</v>
      </c>
      <c r="N270" t="n">
        <v>2</v>
      </c>
      <c r="O270" t="n">
        <v>1</v>
      </c>
      <c r="P270" t="n">
        <v>3</v>
      </c>
      <c r="Q270" t="n">
        <v>4</v>
      </c>
      <c r="R270" t="n">
        <v>2</v>
      </c>
      <c r="S270" t="n">
        <v>1</v>
      </c>
      <c r="T270" t="n">
        <v>3</v>
      </c>
      <c r="U270" t="n">
        <v>3</v>
      </c>
      <c r="V270" t="n">
        <v>5</v>
      </c>
      <c r="W270">
        <f>(AVERAGE(B270:D270)-1)/4</f>
        <v/>
      </c>
      <c r="X270">
        <f>(AVERAGE(E270:G270)-1)/4</f>
        <v/>
      </c>
      <c r="Y270">
        <f>(AVERAGE(H270:J270)-1)/4</f>
        <v/>
      </c>
      <c r="Z270">
        <f>(AVERAGE(K270:M270)-1)/4</f>
        <v/>
      </c>
      <c r="AA270">
        <f>(AVERAGE(N270:P270)-1)/4</f>
        <v/>
      </c>
      <c r="AB270">
        <f>(AVERAGE(Q270:S270)-1)/4</f>
        <v/>
      </c>
      <c r="AC270">
        <f>(AVERAGE(T270:V270)-1)/4</f>
        <v/>
      </c>
      <c r="AD270">
        <f>AVERAGE(W270:AA270)</f>
        <v/>
      </c>
      <c r="AE270">
        <f>MIN(W270:AA270)</f>
        <v/>
      </c>
      <c r="AF270">
        <f>1-alpha*MAX(0,delta-AE270)</f>
        <v/>
      </c>
      <c r="AG270">
        <f>AD270*AF270</f>
        <v/>
      </c>
      <c r="AH270">
        <f>1+COUNTIF(bounds,"&lt;"&amp;ROUND(AD270,12))</f>
        <v/>
      </c>
      <c r="AI270">
        <f>1+COUNTIF(bounds,"&lt;"&amp;ROUND(AG270,12))</f>
        <v/>
      </c>
      <c r="AJ270">
        <f>IF(AF270&lt;1,1,0)</f>
        <v/>
      </c>
      <c r="AK270">
        <f>IF(AH270&lt;&gt;AI270,1,0)</f>
        <v/>
      </c>
      <c r="AL270">
        <f>IF(AND(AI270&gt;=3,AB270&lt;=0.2),1,0)</f>
        <v/>
      </c>
      <c r="AM270">
        <f>AVERAGE(W270:AB270)</f>
        <v/>
      </c>
      <c r="AN270">
        <f>1+COUNTIF(bounds,"&lt;"&amp;ROUND(AM270,12))</f>
        <v/>
      </c>
      <c r="AO270">
        <f>IF(AK270=1,AD270,NA())</f>
        <v/>
      </c>
      <c r="AP270">
        <f>IF(AK270=0,AD270,NA())</f>
        <v/>
      </c>
    </row>
    <row r="271">
      <c r="A271" t="n">
        <v>263</v>
      </c>
      <c r="B271" t="n">
        <v>5</v>
      </c>
      <c r="C271" t="n">
        <v>5</v>
      </c>
      <c r="D271" t="n">
        <v>1</v>
      </c>
      <c r="E271" t="n">
        <v>2</v>
      </c>
      <c r="F271" t="n">
        <v>1</v>
      </c>
      <c r="G271" t="n">
        <v>3</v>
      </c>
      <c r="H271" t="n">
        <v>3</v>
      </c>
      <c r="I271" t="n">
        <v>5</v>
      </c>
      <c r="J271" t="n">
        <v>2</v>
      </c>
      <c r="K271" t="n">
        <v>4</v>
      </c>
      <c r="L271" t="n">
        <v>3</v>
      </c>
      <c r="M271" t="n">
        <v>3</v>
      </c>
      <c r="N271" t="n">
        <v>3</v>
      </c>
      <c r="O271" t="n">
        <v>5</v>
      </c>
      <c r="P271" t="n">
        <v>3</v>
      </c>
      <c r="Q271" t="n">
        <v>1</v>
      </c>
      <c r="R271" t="n">
        <v>1</v>
      </c>
      <c r="S271" t="n">
        <v>1</v>
      </c>
      <c r="T271" t="n">
        <v>3</v>
      </c>
      <c r="U271" t="n">
        <v>2</v>
      </c>
      <c r="V271" t="n">
        <v>2</v>
      </c>
      <c r="W271">
        <f>(AVERAGE(B271:D271)-1)/4</f>
        <v/>
      </c>
      <c r="X271">
        <f>(AVERAGE(E271:G271)-1)/4</f>
        <v/>
      </c>
      <c r="Y271">
        <f>(AVERAGE(H271:J271)-1)/4</f>
        <v/>
      </c>
      <c r="Z271">
        <f>(AVERAGE(K271:M271)-1)/4</f>
        <v/>
      </c>
      <c r="AA271">
        <f>(AVERAGE(N271:P271)-1)/4</f>
        <v/>
      </c>
      <c r="AB271">
        <f>(AVERAGE(Q271:S271)-1)/4</f>
        <v/>
      </c>
      <c r="AC271">
        <f>(AVERAGE(T271:V271)-1)/4</f>
        <v/>
      </c>
      <c r="AD271">
        <f>AVERAGE(W271:AA271)</f>
        <v/>
      </c>
      <c r="AE271">
        <f>MIN(W271:AA271)</f>
        <v/>
      </c>
      <c r="AF271">
        <f>1-alpha*MAX(0,delta-AE271)</f>
        <v/>
      </c>
      <c r="AG271">
        <f>AD271*AF271</f>
        <v/>
      </c>
      <c r="AH271">
        <f>1+COUNTIF(bounds,"&lt;"&amp;ROUND(AD271,12))</f>
        <v/>
      </c>
      <c r="AI271">
        <f>1+COUNTIF(bounds,"&lt;"&amp;ROUND(AG271,12))</f>
        <v/>
      </c>
      <c r="AJ271">
        <f>IF(AF271&lt;1,1,0)</f>
        <v/>
      </c>
      <c r="AK271">
        <f>IF(AH271&lt;&gt;AI271,1,0)</f>
        <v/>
      </c>
      <c r="AL271">
        <f>IF(AND(AI271&gt;=3,AB271&lt;=0.2),1,0)</f>
        <v/>
      </c>
      <c r="AM271">
        <f>AVERAGE(W271:AB271)</f>
        <v/>
      </c>
      <c r="AN271">
        <f>1+COUNTIF(bounds,"&lt;"&amp;ROUND(AM271,12))</f>
        <v/>
      </c>
      <c r="AO271">
        <f>IF(AK271=1,AD271,NA())</f>
        <v/>
      </c>
      <c r="AP271">
        <f>IF(AK271=0,AD271,NA())</f>
        <v/>
      </c>
    </row>
    <row r="272">
      <c r="A272" t="n">
        <v>264</v>
      </c>
      <c r="B272" t="n">
        <v>3</v>
      </c>
      <c r="C272" t="n">
        <v>1</v>
      </c>
      <c r="D272" t="n">
        <v>3</v>
      </c>
      <c r="E272" t="n">
        <v>5</v>
      </c>
      <c r="F272" t="n">
        <v>4</v>
      </c>
      <c r="G272" t="n">
        <v>5</v>
      </c>
      <c r="H272" t="n">
        <v>5</v>
      </c>
      <c r="I272" t="n">
        <v>3</v>
      </c>
      <c r="J272" t="n">
        <v>5</v>
      </c>
      <c r="K272" t="n">
        <v>3</v>
      </c>
      <c r="L272" t="n">
        <v>4</v>
      </c>
      <c r="M272" t="n">
        <v>5</v>
      </c>
      <c r="N272" t="n">
        <v>3</v>
      </c>
      <c r="O272" t="n">
        <v>1</v>
      </c>
      <c r="P272" t="n">
        <v>2</v>
      </c>
      <c r="Q272" t="n">
        <v>1</v>
      </c>
      <c r="R272" t="n">
        <v>5</v>
      </c>
      <c r="S272" t="n">
        <v>2</v>
      </c>
      <c r="T272" t="n">
        <v>2</v>
      </c>
      <c r="U272" t="n">
        <v>4</v>
      </c>
      <c r="V272" t="n">
        <v>4</v>
      </c>
      <c r="W272">
        <f>(AVERAGE(B272:D272)-1)/4</f>
        <v/>
      </c>
      <c r="X272">
        <f>(AVERAGE(E272:G272)-1)/4</f>
        <v/>
      </c>
      <c r="Y272">
        <f>(AVERAGE(H272:J272)-1)/4</f>
        <v/>
      </c>
      <c r="Z272">
        <f>(AVERAGE(K272:M272)-1)/4</f>
        <v/>
      </c>
      <c r="AA272">
        <f>(AVERAGE(N272:P272)-1)/4</f>
        <v/>
      </c>
      <c r="AB272">
        <f>(AVERAGE(Q272:S272)-1)/4</f>
        <v/>
      </c>
      <c r="AC272">
        <f>(AVERAGE(T272:V272)-1)/4</f>
        <v/>
      </c>
      <c r="AD272">
        <f>AVERAGE(W272:AA272)</f>
        <v/>
      </c>
      <c r="AE272">
        <f>MIN(W272:AA272)</f>
        <v/>
      </c>
      <c r="AF272">
        <f>1-alpha*MAX(0,delta-AE272)</f>
        <v/>
      </c>
      <c r="AG272">
        <f>AD272*AF272</f>
        <v/>
      </c>
      <c r="AH272">
        <f>1+COUNTIF(bounds,"&lt;"&amp;ROUND(AD272,12))</f>
        <v/>
      </c>
      <c r="AI272">
        <f>1+COUNTIF(bounds,"&lt;"&amp;ROUND(AG272,12))</f>
        <v/>
      </c>
      <c r="AJ272">
        <f>IF(AF272&lt;1,1,0)</f>
        <v/>
      </c>
      <c r="AK272">
        <f>IF(AH272&lt;&gt;AI272,1,0)</f>
        <v/>
      </c>
      <c r="AL272">
        <f>IF(AND(AI272&gt;=3,AB272&lt;=0.2),1,0)</f>
        <v/>
      </c>
      <c r="AM272">
        <f>AVERAGE(W272:AB272)</f>
        <v/>
      </c>
      <c r="AN272">
        <f>1+COUNTIF(bounds,"&lt;"&amp;ROUND(AM272,12))</f>
        <v/>
      </c>
      <c r="AO272">
        <f>IF(AK272=1,AD272,NA())</f>
        <v/>
      </c>
      <c r="AP272">
        <f>IF(AK272=0,AD272,NA())</f>
        <v/>
      </c>
    </row>
    <row r="273">
      <c r="A273" t="n">
        <v>265</v>
      </c>
      <c r="B273" t="n">
        <v>3</v>
      </c>
      <c r="C273" t="n">
        <v>2</v>
      </c>
      <c r="D273" t="n">
        <v>5</v>
      </c>
      <c r="E273" t="n">
        <v>2</v>
      </c>
      <c r="F273" t="n">
        <v>3</v>
      </c>
      <c r="G273" t="n">
        <v>3</v>
      </c>
      <c r="H273" t="n">
        <v>3</v>
      </c>
      <c r="I273" t="n">
        <v>2</v>
      </c>
      <c r="J273" t="n">
        <v>1</v>
      </c>
      <c r="K273" t="n">
        <v>1</v>
      </c>
      <c r="L273" t="n">
        <v>3</v>
      </c>
      <c r="M273" t="n">
        <v>2</v>
      </c>
      <c r="N273" t="n">
        <v>1</v>
      </c>
      <c r="O273" t="n">
        <v>4</v>
      </c>
      <c r="P273" t="n">
        <v>1</v>
      </c>
      <c r="Q273" t="n">
        <v>2</v>
      </c>
      <c r="R273" t="n">
        <v>5</v>
      </c>
      <c r="S273" t="n">
        <v>5</v>
      </c>
      <c r="T273" t="n">
        <v>2</v>
      </c>
      <c r="U273" t="n">
        <v>2</v>
      </c>
      <c r="V273" t="n">
        <v>4</v>
      </c>
      <c r="W273">
        <f>(AVERAGE(B273:D273)-1)/4</f>
        <v/>
      </c>
      <c r="X273">
        <f>(AVERAGE(E273:G273)-1)/4</f>
        <v/>
      </c>
      <c r="Y273">
        <f>(AVERAGE(H273:J273)-1)/4</f>
        <v/>
      </c>
      <c r="Z273">
        <f>(AVERAGE(K273:M273)-1)/4</f>
        <v/>
      </c>
      <c r="AA273">
        <f>(AVERAGE(N273:P273)-1)/4</f>
        <v/>
      </c>
      <c r="AB273">
        <f>(AVERAGE(Q273:S273)-1)/4</f>
        <v/>
      </c>
      <c r="AC273">
        <f>(AVERAGE(T273:V273)-1)/4</f>
        <v/>
      </c>
      <c r="AD273">
        <f>AVERAGE(W273:AA273)</f>
        <v/>
      </c>
      <c r="AE273">
        <f>MIN(W273:AA273)</f>
        <v/>
      </c>
      <c r="AF273">
        <f>1-alpha*MAX(0,delta-AE273)</f>
        <v/>
      </c>
      <c r="AG273">
        <f>AD273*AF273</f>
        <v/>
      </c>
      <c r="AH273">
        <f>1+COUNTIF(bounds,"&lt;"&amp;ROUND(AD273,12))</f>
        <v/>
      </c>
      <c r="AI273">
        <f>1+COUNTIF(bounds,"&lt;"&amp;ROUND(AG273,12))</f>
        <v/>
      </c>
      <c r="AJ273">
        <f>IF(AF273&lt;1,1,0)</f>
        <v/>
      </c>
      <c r="AK273">
        <f>IF(AH273&lt;&gt;AI273,1,0)</f>
        <v/>
      </c>
      <c r="AL273">
        <f>IF(AND(AI273&gt;=3,AB273&lt;=0.2),1,0)</f>
        <v/>
      </c>
      <c r="AM273">
        <f>AVERAGE(W273:AB273)</f>
        <v/>
      </c>
      <c r="AN273">
        <f>1+COUNTIF(bounds,"&lt;"&amp;ROUND(AM273,12))</f>
        <v/>
      </c>
      <c r="AO273">
        <f>IF(AK273=1,AD273,NA())</f>
        <v/>
      </c>
      <c r="AP273">
        <f>IF(AK273=0,AD273,NA())</f>
        <v/>
      </c>
    </row>
    <row r="274">
      <c r="A274" t="n">
        <v>266</v>
      </c>
      <c r="B274" t="n">
        <v>4</v>
      </c>
      <c r="C274" t="n">
        <v>2</v>
      </c>
      <c r="D274" t="n">
        <v>4</v>
      </c>
      <c r="E274" t="n">
        <v>4</v>
      </c>
      <c r="F274" t="n">
        <v>3</v>
      </c>
      <c r="G274" t="n">
        <v>5</v>
      </c>
      <c r="H274" t="n">
        <v>1</v>
      </c>
      <c r="I274" t="n">
        <v>3</v>
      </c>
      <c r="J274" t="n">
        <v>5</v>
      </c>
      <c r="K274" t="n">
        <v>4</v>
      </c>
      <c r="L274" t="n">
        <v>5</v>
      </c>
      <c r="M274" t="n">
        <v>3</v>
      </c>
      <c r="N274" t="n">
        <v>2</v>
      </c>
      <c r="O274" t="n">
        <v>2</v>
      </c>
      <c r="P274" t="n">
        <v>3</v>
      </c>
      <c r="Q274" t="n">
        <v>4</v>
      </c>
      <c r="R274" t="n">
        <v>3</v>
      </c>
      <c r="S274" t="n">
        <v>4</v>
      </c>
      <c r="T274" t="n">
        <v>1</v>
      </c>
      <c r="U274" t="n">
        <v>5</v>
      </c>
      <c r="V274" t="n">
        <v>4</v>
      </c>
      <c r="W274">
        <f>(AVERAGE(B274:D274)-1)/4</f>
        <v/>
      </c>
      <c r="X274">
        <f>(AVERAGE(E274:G274)-1)/4</f>
        <v/>
      </c>
      <c r="Y274">
        <f>(AVERAGE(H274:J274)-1)/4</f>
        <v/>
      </c>
      <c r="Z274">
        <f>(AVERAGE(K274:M274)-1)/4</f>
        <v/>
      </c>
      <c r="AA274">
        <f>(AVERAGE(N274:P274)-1)/4</f>
        <v/>
      </c>
      <c r="AB274">
        <f>(AVERAGE(Q274:S274)-1)/4</f>
        <v/>
      </c>
      <c r="AC274">
        <f>(AVERAGE(T274:V274)-1)/4</f>
        <v/>
      </c>
      <c r="AD274">
        <f>AVERAGE(W274:AA274)</f>
        <v/>
      </c>
      <c r="AE274">
        <f>MIN(W274:AA274)</f>
        <v/>
      </c>
      <c r="AF274">
        <f>1-alpha*MAX(0,delta-AE274)</f>
        <v/>
      </c>
      <c r="AG274">
        <f>AD274*AF274</f>
        <v/>
      </c>
      <c r="AH274">
        <f>1+COUNTIF(bounds,"&lt;"&amp;ROUND(AD274,12))</f>
        <v/>
      </c>
      <c r="AI274">
        <f>1+COUNTIF(bounds,"&lt;"&amp;ROUND(AG274,12))</f>
        <v/>
      </c>
      <c r="AJ274">
        <f>IF(AF274&lt;1,1,0)</f>
        <v/>
      </c>
      <c r="AK274">
        <f>IF(AH274&lt;&gt;AI274,1,0)</f>
        <v/>
      </c>
      <c r="AL274">
        <f>IF(AND(AI274&gt;=3,AB274&lt;=0.2),1,0)</f>
        <v/>
      </c>
      <c r="AM274">
        <f>AVERAGE(W274:AB274)</f>
        <v/>
      </c>
      <c r="AN274">
        <f>1+COUNTIF(bounds,"&lt;"&amp;ROUND(AM274,12))</f>
        <v/>
      </c>
      <c r="AO274">
        <f>IF(AK274=1,AD274,NA())</f>
        <v/>
      </c>
      <c r="AP274">
        <f>IF(AK274=0,AD274,NA())</f>
        <v/>
      </c>
    </row>
    <row r="275">
      <c r="A275" t="n">
        <v>267</v>
      </c>
      <c r="B275" t="n">
        <v>2</v>
      </c>
      <c r="C275" t="n">
        <v>2</v>
      </c>
      <c r="D275" t="n">
        <v>4</v>
      </c>
      <c r="E275" t="n">
        <v>3</v>
      </c>
      <c r="F275" t="n">
        <v>4</v>
      </c>
      <c r="G275" t="n">
        <v>2</v>
      </c>
      <c r="H275" t="n">
        <v>5</v>
      </c>
      <c r="I275" t="n">
        <v>4</v>
      </c>
      <c r="J275" t="n">
        <v>3</v>
      </c>
      <c r="K275" t="n">
        <v>2</v>
      </c>
      <c r="L275" t="n">
        <v>4</v>
      </c>
      <c r="M275" t="n">
        <v>4</v>
      </c>
      <c r="N275" t="n">
        <v>1</v>
      </c>
      <c r="O275" t="n">
        <v>4</v>
      </c>
      <c r="P275" t="n">
        <v>1</v>
      </c>
      <c r="Q275" t="n">
        <v>3</v>
      </c>
      <c r="R275" t="n">
        <v>1</v>
      </c>
      <c r="S275" t="n">
        <v>3</v>
      </c>
      <c r="T275" t="n">
        <v>4</v>
      </c>
      <c r="U275" t="n">
        <v>5</v>
      </c>
      <c r="V275" t="n">
        <v>3</v>
      </c>
      <c r="W275">
        <f>(AVERAGE(B275:D275)-1)/4</f>
        <v/>
      </c>
      <c r="X275">
        <f>(AVERAGE(E275:G275)-1)/4</f>
        <v/>
      </c>
      <c r="Y275">
        <f>(AVERAGE(H275:J275)-1)/4</f>
        <v/>
      </c>
      <c r="Z275">
        <f>(AVERAGE(K275:M275)-1)/4</f>
        <v/>
      </c>
      <c r="AA275">
        <f>(AVERAGE(N275:P275)-1)/4</f>
        <v/>
      </c>
      <c r="AB275">
        <f>(AVERAGE(Q275:S275)-1)/4</f>
        <v/>
      </c>
      <c r="AC275">
        <f>(AVERAGE(T275:V275)-1)/4</f>
        <v/>
      </c>
      <c r="AD275">
        <f>AVERAGE(W275:AA275)</f>
        <v/>
      </c>
      <c r="AE275">
        <f>MIN(W275:AA275)</f>
        <v/>
      </c>
      <c r="AF275">
        <f>1-alpha*MAX(0,delta-AE275)</f>
        <v/>
      </c>
      <c r="AG275">
        <f>AD275*AF275</f>
        <v/>
      </c>
      <c r="AH275">
        <f>1+COUNTIF(bounds,"&lt;"&amp;ROUND(AD275,12))</f>
        <v/>
      </c>
      <c r="AI275">
        <f>1+COUNTIF(bounds,"&lt;"&amp;ROUND(AG275,12))</f>
        <v/>
      </c>
      <c r="AJ275">
        <f>IF(AF275&lt;1,1,0)</f>
        <v/>
      </c>
      <c r="AK275">
        <f>IF(AH275&lt;&gt;AI275,1,0)</f>
        <v/>
      </c>
      <c r="AL275">
        <f>IF(AND(AI275&gt;=3,AB275&lt;=0.2),1,0)</f>
        <v/>
      </c>
      <c r="AM275">
        <f>AVERAGE(W275:AB275)</f>
        <v/>
      </c>
      <c r="AN275">
        <f>1+COUNTIF(bounds,"&lt;"&amp;ROUND(AM275,12))</f>
        <v/>
      </c>
      <c r="AO275">
        <f>IF(AK275=1,AD275,NA())</f>
        <v/>
      </c>
      <c r="AP275">
        <f>IF(AK275=0,AD275,NA())</f>
        <v/>
      </c>
    </row>
    <row r="276">
      <c r="A276" t="n">
        <v>268</v>
      </c>
      <c r="B276" t="n">
        <v>4</v>
      </c>
      <c r="C276" t="n">
        <v>4</v>
      </c>
      <c r="D276" t="n">
        <v>2</v>
      </c>
      <c r="E276" t="n">
        <v>3</v>
      </c>
      <c r="F276" t="n">
        <v>2</v>
      </c>
      <c r="G276" t="n">
        <v>4</v>
      </c>
      <c r="H276" t="n">
        <v>2</v>
      </c>
      <c r="I276" t="n">
        <v>3</v>
      </c>
      <c r="J276" t="n">
        <v>2</v>
      </c>
      <c r="K276" t="n">
        <v>2</v>
      </c>
      <c r="L276" t="n">
        <v>4</v>
      </c>
      <c r="M276" t="n">
        <v>4</v>
      </c>
      <c r="N276" t="n">
        <v>4</v>
      </c>
      <c r="O276" t="n">
        <v>4</v>
      </c>
      <c r="P276" t="n">
        <v>2</v>
      </c>
      <c r="Q276" t="n">
        <v>2</v>
      </c>
      <c r="R276" t="n">
        <v>5</v>
      </c>
      <c r="S276" t="n">
        <v>2</v>
      </c>
      <c r="T276" t="n">
        <v>2</v>
      </c>
      <c r="U276" t="n">
        <v>2</v>
      </c>
      <c r="V276" t="n">
        <v>2</v>
      </c>
      <c r="W276">
        <f>(AVERAGE(B276:D276)-1)/4</f>
        <v/>
      </c>
      <c r="X276">
        <f>(AVERAGE(E276:G276)-1)/4</f>
        <v/>
      </c>
      <c r="Y276">
        <f>(AVERAGE(H276:J276)-1)/4</f>
        <v/>
      </c>
      <c r="Z276">
        <f>(AVERAGE(K276:M276)-1)/4</f>
        <v/>
      </c>
      <c r="AA276">
        <f>(AVERAGE(N276:P276)-1)/4</f>
        <v/>
      </c>
      <c r="AB276">
        <f>(AVERAGE(Q276:S276)-1)/4</f>
        <v/>
      </c>
      <c r="AC276">
        <f>(AVERAGE(T276:V276)-1)/4</f>
        <v/>
      </c>
      <c r="AD276">
        <f>AVERAGE(W276:AA276)</f>
        <v/>
      </c>
      <c r="AE276">
        <f>MIN(W276:AA276)</f>
        <v/>
      </c>
      <c r="AF276">
        <f>1-alpha*MAX(0,delta-AE276)</f>
        <v/>
      </c>
      <c r="AG276">
        <f>AD276*AF276</f>
        <v/>
      </c>
      <c r="AH276">
        <f>1+COUNTIF(bounds,"&lt;"&amp;ROUND(AD276,12))</f>
        <v/>
      </c>
      <c r="AI276">
        <f>1+COUNTIF(bounds,"&lt;"&amp;ROUND(AG276,12))</f>
        <v/>
      </c>
      <c r="AJ276">
        <f>IF(AF276&lt;1,1,0)</f>
        <v/>
      </c>
      <c r="AK276">
        <f>IF(AH276&lt;&gt;AI276,1,0)</f>
        <v/>
      </c>
      <c r="AL276">
        <f>IF(AND(AI276&gt;=3,AB276&lt;=0.2),1,0)</f>
        <v/>
      </c>
      <c r="AM276">
        <f>AVERAGE(W276:AB276)</f>
        <v/>
      </c>
      <c r="AN276">
        <f>1+COUNTIF(bounds,"&lt;"&amp;ROUND(AM276,12))</f>
        <v/>
      </c>
      <c r="AO276">
        <f>IF(AK276=1,AD276,NA())</f>
        <v/>
      </c>
      <c r="AP276">
        <f>IF(AK276=0,AD276,NA())</f>
        <v/>
      </c>
    </row>
    <row r="277">
      <c r="A277" t="n">
        <v>269</v>
      </c>
      <c r="B277" t="n">
        <v>1</v>
      </c>
      <c r="C277" t="n">
        <v>3</v>
      </c>
      <c r="D277" t="n">
        <v>4</v>
      </c>
      <c r="E277" t="n">
        <v>3</v>
      </c>
      <c r="F277" t="n">
        <v>4</v>
      </c>
      <c r="G277" t="n">
        <v>5</v>
      </c>
      <c r="H277" t="n">
        <v>4</v>
      </c>
      <c r="I277" t="n">
        <v>1</v>
      </c>
      <c r="J277" t="n">
        <v>3</v>
      </c>
      <c r="K277" t="n">
        <v>5</v>
      </c>
      <c r="L277" t="n">
        <v>2</v>
      </c>
      <c r="M277" t="n">
        <v>4</v>
      </c>
      <c r="N277" t="n">
        <v>4</v>
      </c>
      <c r="O277" t="n">
        <v>5</v>
      </c>
      <c r="P277" t="n">
        <v>4</v>
      </c>
      <c r="Q277" t="n">
        <v>4</v>
      </c>
      <c r="R277" t="n">
        <v>4</v>
      </c>
      <c r="S277" t="n">
        <v>2</v>
      </c>
      <c r="T277" t="n">
        <v>1</v>
      </c>
      <c r="U277" t="n">
        <v>4</v>
      </c>
      <c r="V277" t="n">
        <v>3</v>
      </c>
      <c r="W277">
        <f>(AVERAGE(B277:D277)-1)/4</f>
        <v/>
      </c>
      <c r="X277">
        <f>(AVERAGE(E277:G277)-1)/4</f>
        <v/>
      </c>
      <c r="Y277">
        <f>(AVERAGE(H277:J277)-1)/4</f>
        <v/>
      </c>
      <c r="Z277">
        <f>(AVERAGE(K277:M277)-1)/4</f>
        <v/>
      </c>
      <c r="AA277">
        <f>(AVERAGE(N277:P277)-1)/4</f>
        <v/>
      </c>
      <c r="AB277">
        <f>(AVERAGE(Q277:S277)-1)/4</f>
        <v/>
      </c>
      <c r="AC277">
        <f>(AVERAGE(T277:V277)-1)/4</f>
        <v/>
      </c>
      <c r="AD277">
        <f>AVERAGE(W277:AA277)</f>
        <v/>
      </c>
      <c r="AE277">
        <f>MIN(W277:AA277)</f>
        <v/>
      </c>
      <c r="AF277">
        <f>1-alpha*MAX(0,delta-AE277)</f>
        <v/>
      </c>
      <c r="AG277">
        <f>AD277*AF277</f>
        <v/>
      </c>
      <c r="AH277">
        <f>1+COUNTIF(bounds,"&lt;"&amp;ROUND(AD277,12))</f>
        <v/>
      </c>
      <c r="AI277">
        <f>1+COUNTIF(bounds,"&lt;"&amp;ROUND(AG277,12))</f>
        <v/>
      </c>
      <c r="AJ277">
        <f>IF(AF277&lt;1,1,0)</f>
        <v/>
      </c>
      <c r="AK277">
        <f>IF(AH277&lt;&gt;AI277,1,0)</f>
        <v/>
      </c>
      <c r="AL277">
        <f>IF(AND(AI277&gt;=3,AB277&lt;=0.2),1,0)</f>
        <v/>
      </c>
      <c r="AM277">
        <f>AVERAGE(W277:AB277)</f>
        <v/>
      </c>
      <c r="AN277">
        <f>1+COUNTIF(bounds,"&lt;"&amp;ROUND(AM277,12))</f>
        <v/>
      </c>
      <c r="AO277">
        <f>IF(AK277=1,AD277,NA())</f>
        <v/>
      </c>
      <c r="AP277">
        <f>IF(AK277=0,AD277,NA())</f>
        <v/>
      </c>
    </row>
    <row r="278">
      <c r="A278" t="n">
        <v>270</v>
      </c>
      <c r="B278" t="n">
        <v>5</v>
      </c>
      <c r="C278" t="n">
        <v>5</v>
      </c>
      <c r="D278" t="n">
        <v>5</v>
      </c>
      <c r="E278" t="n">
        <v>3</v>
      </c>
      <c r="F278" t="n">
        <v>5</v>
      </c>
      <c r="G278" t="n">
        <v>4</v>
      </c>
      <c r="H278" t="n">
        <v>4</v>
      </c>
      <c r="I278" t="n">
        <v>4</v>
      </c>
      <c r="J278" t="n">
        <v>2</v>
      </c>
      <c r="K278" t="n">
        <v>4</v>
      </c>
      <c r="L278" t="n">
        <v>3</v>
      </c>
      <c r="M278" t="n">
        <v>3</v>
      </c>
      <c r="N278" t="n">
        <v>5</v>
      </c>
      <c r="O278" t="n">
        <v>4</v>
      </c>
      <c r="P278" t="n">
        <v>1</v>
      </c>
      <c r="Q278" t="n">
        <v>3</v>
      </c>
      <c r="R278" t="n">
        <v>2</v>
      </c>
      <c r="S278" t="n">
        <v>5</v>
      </c>
      <c r="T278" t="n">
        <v>4</v>
      </c>
      <c r="U278" t="n">
        <v>1</v>
      </c>
      <c r="V278" t="n">
        <v>3</v>
      </c>
      <c r="W278">
        <f>(AVERAGE(B278:D278)-1)/4</f>
        <v/>
      </c>
      <c r="X278">
        <f>(AVERAGE(E278:G278)-1)/4</f>
        <v/>
      </c>
      <c r="Y278">
        <f>(AVERAGE(H278:J278)-1)/4</f>
        <v/>
      </c>
      <c r="Z278">
        <f>(AVERAGE(K278:M278)-1)/4</f>
        <v/>
      </c>
      <c r="AA278">
        <f>(AVERAGE(N278:P278)-1)/4</f>
        <v/>
      </c>
      <c r="AB278">
        <f>(AVERAGE(Q278:S278)-1)/4</f>
        <v/>
      </c>
      <c r="AC278">
        <f>(AVERAGE(T278:V278)-1)/4</f>
        <v/>
      </c>
      <c r="AD278">
        <f>AVERAGE(W278:AA278)</f>
        <v/>
      </c>
      <c r="AE278">
        <f>MIN(W278:AA278)</f>
        <v/>
      </c>
      <c r="AF278">
        <f>1-alpha*MAX(0,delta-AE278)</f>
        <v/>
      </c>
      <c r="AG278">
        <f>AD278*AF278</f>
        <v/>
      </c>
      <c r="AH278">
        <f>1+COUNTIF(bounds,"&lt;"&amp;ROUND(AD278,12))</f>
        <v/>
      </c>
      <c r="AI278">
        <f>1+COUNTIF(bounds,"&lt;"&amp;ROUND(AG278,12))</f>
        <v/>
      </c>
      <c r="AJ278">
        <f>IF(AF278&lt;1,1,0)</f>
        <v/>
      </c>
      <c r="AK278">
        <f>IF(AH278&lt;&gt;AI278,1,0)</f>
        <v/>
      </c>
      <c r="AL278">
        <f>IF(AND(AI278&gt;=3,AB278&lt;=0.2),1,0)</f>
        <v/>
      </c>
      <c r="AM278">
        <f>AVERAGE(W278:AB278)</f>
        <v/>
      </c>
      <c r="AN278">
        <f>1+COUNTIF(bounds,"&lt;"&amp;ROUND(AM278,12))</f>
        <v/>
      </c>
      <c r="AO278">
        <f>IF(AK278=1,AD278,NA())</f>
        <v/>
      </c>
      <c r="AP278">
        <f>IF(AK278=0,AD278,NA())</f>
        <v/>
      </c>
    </row>
    <row r="279">
      <c r="A279" t="n">
        <v>271</v>
      </c>
      <c r="B279" t="n">
        <v>2</v>
      </c>
      <c r="C279" t="n">
        <v>5</v>
      </c>
      <c r="D279" t="n">
        <v>5</v>
      </c>
      <c r="E279" t="n">
        <v>4</v>
      </c>
      <c r="F279" t="n">
        <v>5</v>
      </c>
      <c r="G279" t="n">
        <v>2</v>
      </c>
      <c r="H279" t="n">
        <v>5</v>
      </c>
      <c r="I279" t="n">
        <v>2</v>
      </c>
      <c r="J279" t="n">
        <v>4</v>
      </c>
      <c r="K279" t="n">
        <v>3</v>
      </c>
      <c r="L279" t="n">
        <v>1</v>
      </c>
      <c r="M279" t="n">
        <v>5</v>
      </c>
      <c r="N279" t="n">
        <v>3</v>
      </c>
      <c r="O279" t="n">
        <v>5</v>
      </c>
      <c r="P279" t="n">
        <v>5</v>
      </c>
      <c r="Q279" t="n">
        <v>5</v>
      </c>
      <c r="R279" t="n">
        <v>4</v>
      </c>
      <c r="S279" t="n">
        <v>1</v>
      </c>
      <c r="T279" t="n">
        <v>3</v>
      </c>
      <c r="U279" t="n">
        <v>2</v>
      </c>
      <c r="V279" t="n">
        <v>5</v>
      </c>
      <c r="W279">
        <f>(AVERAGE(B279:D279)-1)/4</f>
        <v/>
      </c>
      <c r="X279">
        <f>(AVERAGE(E279:G279)-1)/4</f>
        <v/>
      </c>
      <c r="Y279">
        <f>(AVERAGE(H279:J279)-1)/4</f>
        <v/>
      </c>
      <c r="Z279">
        <f>(AVERAGE(K279:M279)-1)/4</f>
        <v/>
      </c>
      <c r="AA279">
        <f>(AVERAGE(N279:P279)-1)/4</f>
        <v/>
      </c>
      <c r="AB279">
        <f>(AVERAGE(Q279:S279)-1)/4</f>
        <v/>
      </c>
      <c r="AC279">
        <f>(AVERAGE(T279:V279)-1)/4</f>
        <v/>
      </c>
      <c r="AD279">
        <f>AVERAGE(W279:AA279)</f>
        <v/>
      </c>
      <c r="AE279">
        <f>MIN(W279:AA279)</f>
        <v/>
      </c>
      <c r="AF279">
        <f>1-alpha*MAX(0,delta-AE279)</f>
        <v/>
      </c>
      <c r="AG279">
        <f>AD279*AF279</f>
        <v/>
      </c>
      <c r="AH279">
        <f>1+COUNTIF(bounds,"&lt;"&amp;ROUND(AD279,12))</f>
        <v/>
      </c>
      <c r="AI279">
        <f>1+COUNTIF(bounds,"&lt;"&amp;ROUND(AG279,12))</f>
        <v/>
      </c>
      <c r="AJ279">
        <f>IF(AF279&lt;1,1,0)</f>
        <v/>
      </c>
      <c r="AK279">
        <f>IF(AH279&lt;&gt;AI279,1,0)</f>
        <v/>
      </c>
      <c r="AL279">
        <f>IF(AND(AI279&gt;=3,AB279&lt;=0.2),1,0)</f>
        <v/>
      </c>
      <c r="AM279">
        <f>AVERAGE(W279:AB279)</f>
        <v/>
      </c>
      <c r="AN279">
        <f>1+COUNTIF(bounds,"&lt;"&amp;ROUND(AM279,12))</f>
        <v/>
      </c>
      <c r="AO279">
        <f>IF(AK279=1,AD279,NA())</f>
        <v/>
      </c>
      <c r="AP279">
        <f>IF(AK279=0,AD279,NA())</f>
        <v/>
      </c>
    </row>
    <row r="280">
      <c r="A280" t="n">
        <v>272</v>
      </c>
      <c r="B280" t="n">
        <v>2</v>
      </c>
      <c r="C280" t="n">
        <v>1</v>
      </c>
      <c r="D280" t="n">
        <v>1</v>
      </c>
      <c r="E280" t="n">
        <v>3</v>
      </c>
      <c r="F280" t="n">
        <v>2</v>
      </c>
      <c r="G280" t="n">
        <v>1</v>
      </c>
      <c r="H280" t="n">
        <v>1</v>
      </c>
      <c r="I280" t="n">
        <v>3</v>
      </c>
      <c r="J280" t="n">
        <v>1</v>
      </c>
      <c r="K280" t="n">
        <v>2</v>
      </c>
      <c r="L280" t="n">
        <v>3</v>
      </c>
      <c r="M280" t="n">
        <v>5</v>
      </c>
      <c r="N280" t="n">
        <v>2</v>
      </c>
      <c r="O280" t="n">
        <v>5</v>
      </c>
      <c r="P280" t="n">
        <v>1</v>
      </c>
      <c r="Q280" t="n">
        <v>5</v>
      </c>
      <c r="R280" t="n">
        <v>2</v>
      </c>
      <c r="S280" t="n">
        <v>3</v>
      </c>
      <c r="T280" t="n">
        <v>4</v>
      </c>
      <c r="U280" t="n">
        <v>2</v>
      </c>
      <c r="V280" t="n">
        <v>3</v>
      </c>
      <c r="W280">
        <f>(AVERAGE(B280:D280)-1)/4</f>
        <v/>
      </c>
      <c r="X280">
        <f>(AVERAGE(E280:G280)-1)/4</f>
        <v/>
      </c>
      <c r="Y280">
        <f>(AVERAGE(H280:J280)-1)/4</f>
        <v/>
      </c>
      <c r="Z280">
        <f>(AVERAGE(K280:M280)-1)/4</f>
        <v/>
      </c>
      <c r="AA280">
        <f>(AVERAGE(N280:P280)-1)/4</f>
        <v/>
      </c>
      <c r="AB280">
        <f>(AVERAGE(Q280:S280)-1)/4</f>
        <v/>
      </c>
      <c r="AC280">
        <f>(AVERAGE(T280:V280)-1)/4</f>
        <v/>
      </c>
      <c r="AD280">
        <f>AVERAGE(W280:AA280)</f>
        <v/>
      </c>
      <c r="AE280">
        <f>MIN(W280:AA280)</f>
        <v/>
      </c>
      <c r="AF280">
        <f>1-alpha*MAX(0,delta-AE280)</f>
        <v/>
      </c>
      <c r="AG280">
        <f>AD280*AF280</f>
        <v/>
      </c>
      <c r="AH280">
        <f>1+COUNTIF(bounds,"&lt;"&amp;ROUND(AD280,12))</f>
        <v/>
      </c>
      <c r="AI280">
        <f>1+COUNTIF(bounds,"&lt;"&amp;ROUND(AG280,12))</f>
        <v/>
      </c>
      <c r="AJ280">
        <f>IF(AF280&lt;1,1,0)</f>
        <v/>
      </c>
      <c r="AK280">
        <f>IF(AH280&lt;&gt;AI280,1,0)</f>
        <v/>
      </c>
      <c r="AL280">
        <f>IF(AND(AI280&gt;=3,AB280&lt;=0.2),1,0)</f>
        <v/>
      </c>
      <c r="AM280">
        <f>AVERAGE(W280:AB280)</f>
        <v/>
      </c>
      <c r="AN280">
        <f>1+COUNTIF(bounds,"&lt;"&amp;ROUND(AM280,12))</f>
        <v/>
      </c>
      <c r="AO280">
        <f>IF(AK280=1,AD280,NA())</f>
        <v/>
      </c>
      <c r="AP280">
        <f>IF(AK280=0,AD280,NA())</f>
        <v/>
      </c>
    </row>
    <row r="281">
      <c r="A281" t="n">
        <v>273</v>
      </c>
      <c r="B281" t="n">
        <v>4</v>
      </c>
      <c r="C281" t="n">
        <v>5</v>
      </c>
      <c r="D281" t="n">
        <v>2</v>
      </c>
      <c r="E281" t="n">
        <v>3</v>
      </c>
      <c r="F281" t="n">
        <v>5</v>
      </c>
      <c r="G281" t="n">
        <v>3</v>
      </c>
      <c r="H281" t="n">
        <v>5</v>
      </c>
      <c r="I281" t="n">
        <v>4</v>
      </c>
      <c r="J281" t="n">
        <v>1</v>
      </c>
      <c r="K281" t="n">
        <v>1</v>
      </c>
      <c r="L281" t="n">
        <v>3</v>
      </c>
      <c r="M281" t="n">
        <v>5</v>
      </c>
      <c r="N281" t="n">
        <v>1</v>
      </c>
      <c r="O281" t="n">
        <v>2</v>
      </c>
      <c r="P281" t="n">
        <v>2</v>
      </c>
      <c r="Q281" t="n">
        <v>5</v>
      </c>
      <c r="R281" t="n">
        <v>5</v>
      </c>
      <c r="S281" t="n">
        <v>3</v>
      </c>
      <c r="T281" t="n">
        <v>2</v>
      </c>
      <c r="U281" t="n">
        <v>3</v>
      </c>
      <c r="V281" t="n">
        <v>3</v>
      </c>
      <c r="W281">
        <f>(AVERAGE(B281:D281)-1)/4</f>
        <v/>
      </c>
      <c r="X281">
        <f>(AVERAGE(E281:G281)-1)/4</f>
        <v/>
      </c>
      <c r="Y281">
        <f>(AVERAGE(H281:J281)-1)/4</f>
        <v/>
      </c>
      <c r="Z281">
        <f>(AVERAGE(K281:M281)-1)/4</f>
        <v/>
      </c>
      <c r="AA281">
        <f>(AVERAGE(N281:P281)-1)/4</f>
        <v/>
      </c>
      <c r="AB281">
        <f>(AVERAGE(Q281:S281)-1)/4</f>
        <v/>
      </c>
      <c r="AC281">
        <f>(AVERAGE(T281:V281)-1)/4</f>
        <v/>
      </c>
      <c r="AD281">
        <f>AVERAGE(W281:AA281)</f>
        <v/>
      </c>
      <c r="AE281">
        <f>MIN(W281:AA281)</f>
        <v/>
      </c>
      <c r="AF281">
        <f>1-alpha*MAX(0,delta-AE281)</f>
        <v/>
      </c>
      <c r="AG281">
        <f>AD281*AF281</f>
        <v/>
      </c>
      <c r="AH281">
        <f>1+COUNTIF(bounds,"&lt;"&amp;ROUND(AD281,12))</f>
        <v/>
      </c>
      <c r="AI281">
        <f>1+COUNTIF(bounds,"&lt;"&amp;ROUND(AG281,12))</f>
        <v/>
      </c>
      <c r="AJ281">
        <f>IF(AF281&lt;1,1,0)</f>
        <v/>
      </c>
      <c r="AK281">
        <f>IF(AH281&lt;&gt;AI281,1,0)</f>
        <v/>
      </c>
      <c r="AL281">
        <f>IF(AND(AI281&gt;=3,AB281&lt;=0.2),1,0)</f>
        <v/>
      </c>
      <c r="AM281">
        <f>AVERAGE(W281:AB281)</f>
        <v/>
      </c>
      <c r="AN281">
        <f>1+COUNTIF(bounds,"&lt;"&amp;ROUND(AM281,12))</f>
        <v/>
      </c>
      <c r="AO281">
        <f>IF(AK281=1,AD281,NA())</f>
        <v/>
      </c>
      <c r="AP281">
        <f>IF(AK281=0,AD281,NA())</f>
        <v/>
      </c>
    </row>
    <row r="282">
      <c r="A282" t="n">
        <v>274</v>
      </c>
      <c r="B282" t="n">
        <v>5</v>
      </c>
      <c r="C282" t="n">
        <v>2</v>
      </c>
      <c r="D282" t="n">
        <v>4</v>
      </c>
      <c r="E282" t="n">
        <v>2</v>
      </c>
      <c r="F282" t="n">
        <v>3</v>
      </c>
      <c r="G282" t="n">
        <v>2</v>
      </c>
      <c r="H282" t="n">
        <v>5</v>
      </c>
      <c r="I282" t="n">
        <v>3</v>
      </c>
      <c r="J282" t="n">
        <v>5</v>
      </c>
      <c r="K282" t="n">
        <v>5</v>
      </c>
      <c r="L282" t="n">
        <v>2</v>
      </c>
      <c r="M282" t="n">
        <v>5</v>
      </c>
      <c r="N282" t="n">
        <v>3</v>
      </c>
      <c r="O282" t="n">
        <v>3</v>
      </c>
      <c r="P282" t="n">
        <v>5</v>
      </c>
      <c r="Q282" t="n">
        <v>1</v>
      </c>
      <c r="R282" t="n">
        <v>3</v>
      </c>
      <c r="S282" t="n">
        <v>1</v>
      </c>
      <c r="T282" t="n">
        <v>4</v>
      </c>
      <c r="U282" t="n">
        <v>5</v>
      </c>
      <c r="V282" t="n">
        <v>2</v>
      </c>
      <c r="W282">
        <f>(AVERAGE(B282:D282)-1)/4</f>
        <v/>
      </c>
      <c r="X282">
        <f>(AVERAGE(E282:G282)-1)/4</f>
        <v/>
      </c>
      <c r="Y282">
        <f>(AVERAGE(H282:J282)-1)/4</f>
        <v/>
      </c>
      <c r="Z282">
        <f>(AVERAGE(K282:M282)-1)/4</f>
        <v/>
      </c>
      <c r="AA282">
        <f>(AVERAGE(N282:P282)-1)/4</f>
        <v/>
      </c>
      <c r="AB282">
        <f>(AVERAGE(Q282:S282)-1)/4</f>
        <v/>
      </c>
      <c r="AC282">
        <f>(AVERAGE(T282:V282)-1)/4</f>
        <v/>
      </c>
      <c r="AD282">
        <f>AVERAGE(W282:AA282)</f>
        <v/>
      </c>
      <c r="AE282">
        <f>MIN(W282:AA282)</f>
        <v/>
      </c>
      <c r="AF282">
        <f>1-alpha*MAX(0,delta-AE282)</f>
        <v/>
      </c>
      <c r="AG282">
        <f>AD282*AF282</f>
        <v/>
      </c>
      <c r="AH282">
        <f>1+COUNTIF(bounds,"&lt;"&amp;ROUND(AD282,12))</f>
        <v/>
      </c>
      <c r="AI282">
        <f>1+COUNTIF(bounds,"&lt;"&amp;ROUND(AG282,12))</f>
        <v/>
      </c>
      <c r="AJ282">
        <f>IF(AF282&lt;1,1,0)</f>
        <v/>
      </c>
      <c r="AK282">
        <f>IF(AH282&lt;&gt;AI282,1,0)</f>
        <v/>
      </c>
      <c r="AL282">
        <f>IF(AND(AI282&gt;=3,AB282&lt;=0.2),1,0)</f>
        <v/>
      </c>
      <c r="AM282">
        <f>AVERAGE(W282:AB282)</f>
        <v/>
      </c>
      <c r="AN282">
        <f>1+COUNTIF(bounds,"&lt;"&amp;ROUND(AM282,12))</f>
        <v/>
      </c>
      <c r="AO282">
        <f>IF(AK282=1,AD282,NA())</f>
        <v/>
      </c>
      <c r="AP282">
        <f>IF(AK282=0,AD282,NA())</f>
        <v/>
      </c>
    </row>
    <row r="283">
      <c r="A283" t="n">
        <v>275</v>
      </c>
      <c r="B283" t="n">
        <v>1</v>
      </c>
      <c r="C283" t="n">
        <v>4</v>
      </c>
      <c r="D283" t="n">
        <v>1</v>
      </c>
      <c r="E283" t="n">
        <v>3</v>
      </c>
      <c r="F283" t="n">
        <v>1</v>
      </c>
      <c r="G283" t="n">
        <v>4</v>
      </c>
      <c r="H283" t="n">
        <v>1</v>
      </c>
      <c r="I283" t="n">
        <v>3</v>
      </c>
      <c r="J283" t="n">
        <v>3</v>
      </c>
      <c r="K283" t="n">
        <v>3</v>
      </c>
      <c r="L283" t="n">
        <v>3</v>
      </c>
      <c r="M283" t="n">
        <v>4</v>
      </c>
      <c r="N283" t="n">
        <v>3</v>
      </c>
      <c r="O283" t="n">
        <v>4</v>
      </c>
      <c r="P283" t="n">
        <v>4</v>
      </c>
      <c r="Q283" t="n">
        <v>3</v>
      </c>
      <c r="R283" t="n">
        <v>2</v>
      </c>
      <c r="S283" t="n">
        <v>3</v>
      </c>
      <c r="T283" t="n">
        <v>4</v>
      </c>
      <c r="U283" t="n">
        <v>1</v>
      </c>
      <c r="V283" t="n">
        <v>4</v>
      </c>
      <c r="W283">
        <f>(AVERAGE(B283:D283)-1)/4</f>
        <v/>
      </c>
      <c r="X283">
        <f>(AVERAGE(E283:G283)-1)/4</f>
        <v/>
      </c>
      <c r="Y283">
        <f>(AVERAGE(H283:J283)-1)/4</f>
        <v/>
      </c>
      <c r="Z283">
        <f>(AVERAGE(K283:M283)-1)/4</f>
        <v/>
      </c>
      <c r="AA283">
        <f>(AVERAGE(N283:P283)-1)/4</f>
        <v/>
      </c>
      <c r="AB283">
        <f>(AVERAGE(Q283:S283)-1)/4</f>
        <v/>
      </c>
      <c r="AC283">
        <f>(AVERAGE(T283:V283)-1)/4</f>
        <v/>
      </c>
      <c r="AD283">
        <f>AVERAGE(W283:AA283)</f>
        <v/>
      </c>
      <c r="AE283">
        <f>MIN(W283:AA283)</f>
        <v/>
      </c>
      <c r="AF283">
        <f>1-alpha*MAX(0,delta-AE283)</f>
        <v/>
      </c>
      <c r="AG283">
        <f>AD283*AF283</f>
        <v/>
      </c>
      <c r="AH283">
        <f>1+COUNTIF(bounds,"&lt;"&amp;ROUND(AD283,12))</f>
        <v/>
      </c>
      <c r="AI283">
        <f>1+COUNTIF(bounds,"&lt;"&amp;ROUND(AG283,12))</f>
        <v/>
      </c>
      <c r="AJ283">
        <f>IF(AF283&lt;1,1,0)</f>
        <v/>
      </c>
      <c r="AK283">
        <f>IF(AH283&lt;&gt;AI283,1,0)</f>
        <v/>
      </c>
      <c r="AL283">
        <f>IF(AND(AI283&gt;=3,AB283&lt;=0.2),1,0)</f>
        <v/>
      </c>
      <c r="AM283">
        <f>AVERAGE(W283:AB283)</f>
        <v/>
      </c>
      <c r="AN283">
        <f>1+COUNTIF(bounds,"&lt;"&amp;ROUND(AM283,12))</f>
        <v/>
      </c>
      <c r="AO283">
        <f>IF(AK283=1,AD283,NA())</f>
        <v/>
      </c>
      <c r="AP283">
        <f>IF(AK283=0,AD283,NA())</f>
        <v/>
      </c>
    </row>
    <row r="284">
      <c r="A284" t="n">
        <v>276</v>
      </c>
      <c r="B284" t="n">
        <v>3</v>
      </c>
      <c r="C284" t="n">
        <v>2</v>
      </c>
      <c r="D284" t="n">
        <v>4</v>
      </c>
      <c r="E284" t="n">
        <v>5</v>
      </c>
      <c r="F284" t="n">
        <v>1</v>
      </c>
      <c r="G284" t="n">
        <v>1</v>
      </c>
      <c r="H284" t="n">
        <v>5</v>
      </c>
      <c r="I284" t="n">
        <v>2</v>
      </c>
      <c r="J284" t="n">
        <v>2</v>
      </c>
      <c r="K284" t="n">
        <v>1</v>
      </c>
      <c r="L284" t="n">
        <v>1</v>
      </c>
      <c r="M284" t="n">
        <v>1</v>
      </c>
      <c r="N284" t="n">
        <v>1</v>
      </c>
      <c r="O284" t="n">
        <v>5</v>
      </c>
      <c r="P284" t="n">
        <v>5</v>
      </c>
      <c r="Q284" t="n">
        <v>1</v>
      </c>
      <c r="R284" t="n">
        <v>3</v>
      </c>
      <c r="S284" t="n">
        <v>3</v>
      </c>
      <c r="T284" t="n">
        <v>5</v>
      </c>
      <c r="U284" t="n">
        <v>2</v>
      </c>
      <c r="V284" t="n">
        <v>1</v>
      </c>
      <c r="W284">
        <f>(AVERAGE(B284:D284)-1)/4</f>
        <v/>
      </c>
      <c r="X284">
        <f>(AVERAGE(E284:G284)-1)/4</f>
        <v/>
      </c>
      <c r="Y284">
        <f>(AVERAGE(H284:J284)-1)/4</f>
        <v/>
      </c>
      <c r="Z284">
        <f>(AVERAGE(K284:M284)-1)/4</f>
        <v/>
      </c>
      <c r="AA284">
        <f>(AVERAGE(N284:P284)-1)/4</f>
        <v/>
      </c>
      <c r="AB284">
        <f>(AVERAGE(Q284:S284)-1)/4</f>
        <v/>
      </c>
      <c r="AC284">
        <f>(AVERAGE(T284:V284)-1)/4</f>
        <v/>
      </c>
      <c r="AD284">
        <f>AVERAGE(W284:AA284)</f>
        <v/>
      </c>
      <c r="AE284">
        <f>MIN(W284:AA284)</f>
        <v/>
      </c>
      <c r="AF284">
        <f>1-alpha*MAX(0,delta-AE284)</f>
        <v/>
      </c>
      <c r="AG284">
        <f>AD284*AF284</f>
        <v/>
      </c>
      <c r="AH284">
        <f>1+COUNTIF(bounds,"&lt;"&amp;ROUND(AD284,12))</f>
        <v/>
      </c>
      <c r="AI284">
        <f>1+COUNTIF(bounds,"&lt;"&amp;ROUND(AG284,12))</f>
        <v/>
      </c>
      <c r="AJ284">
        <f>IF(AF284&lt;1,1,0)</f>
        <v/>
      </c>
      <c r="AK284">
        <f>IF(AH284&lt;&gt;AI284,1,0)</f>
        <v/>
      </c>
      <c r="AL284">
        <f>IF(AND(AI284&gt;=3,AB284&lt;=0.2),1,0)</f>
        <v/>
      </c>
      <c r="AM284">
        <f>AVERAGE(W284:AB284)</f>
        <v/>
      </c>
      <c r="AN284">
        <f>1+COUNTIF(bounds,"&lt;"&amp;ROUND(AM284,12))</f>
        <v/>
      </c>
      <c r="AO284">
        <f>IF(AK284=1,AD284,NA())</f>
        <v/>
      </c>
      <c r="AP284">
        <f>IF(AK284=0,AD284,NA())</f>
        <v/>
      </c>
    </row>
    <row r="285">
      <c r="A285" t="n">
        <v>277</v>
      </c>
      <c r="B285" t="n">
        <v>5</v>
      </c>
      <c r="C285" t="n">
        <v>2</v>
      </c>
      <c r="D285" t="n">
        <v>5</v>
      </c>
      <c r="E285" t="n">
        <v>1</v>
      </c>
      <c r="F285" t="n">
        <v>5</v>
      </c>
      <c r="G285" t="n">
        <v>4</v>
      </c>
      <c r="H285" t="n">
        <v>1</v>
      </c>
      <c r="I285" t="n">
        <v>4</v>
      </c>
      <c r="J285" t="n">
        <v>2</v>
      </c>
      <c r="K285" t="n">
        <v>1</v>
      </c>
      <c r="L285" t="n">
        <v>4</v>
      </c>
      <c r="M285" t="n">
        <v>1</v>
      </c>
      <c r="N285" t="n">
        <v>4</v>
      </c>
      <c r="O285" t="n">
        <v>3</v>
      </c>
      <c r="P285" t="n">
        <v>3</v>
      </c>
      <c r="Q285" t="n">
        <v>1</v>
      </c>
      <c r="R285" t="n">
        <v>4</v>
      </c>
      <c r="S285" t="n">
        <v>4</v>
      </c>
      <c r="T285" t="n">
        <v>1</v>
      </c>
      <c r="U285" t="n">
        <v>1</v>
      </c>
      <c r="V285" t="n">
        <v>4</v>
      </c>
      <c r="W285">
        <f>(AVERAGE(B285:D285)-1)/4</f>
        <v/>
      </c>
      <c r="X285">
        <f>(AVERAGE(E285:G285)-1)/4</f>
        <v/>
      </c>
      <c r="Y285">
        <f>(AVERAGE(H285:J285)-1)/4</f>
        <v/>
      </c>
      <c r="Z285">
        <f>(AVERAGE(K285:M285)-1)/4</f>
        <v/>
      </c>
      <c r="AA285">
        <f>(AVERAGE(N285:P285)-1)/4</f>
        <v/>
      </c>
      <c r="AB285">
        <f>(AVERAGE(Q285:S285)-1)/4</f>
        <v/>
      </c>
      <c r="AC285">
        <f>(AVERAGE(T285:V285)-1)/4</f>
        <v/>
      </c>
      <c r="AD285">
        <f>AVERAGE(W285:AA285)</f>
        <v/>
      </c>
      <c r="AE285">
        <f>MIN(W285:AA285)</f>
        <v/>
      </c>
      <c r="AF285">
        <f>1-alpha*MAX(0,delta-AE285)</f>
        <v/>
      </c>
      <c r="AG285">
        <f>AD285*AF285</f>
        <v/>
      </c>
      <c r="AH285">
        <f>1+COUNTIF(bounds,"&lt;"&amp;ROUND(AD285,12))</f>
        <v/>
      </c>
      <c r="AI285">
        <f>1+COUNTIF(bounds,"&lt;"&amp;ROUND(AG285,12))</f>
        <v/>
      </c>
      <c r="AJ285">
        <f>IF(AF285&lt;1,1,0)</f>
        <v/>
      </c>
      <c r="AK285">
        <f>IF(AH285&lt;&gt;AI285,1,0)</f>
        <v/>
      </c>
      <c r="AL285">
        <f>IF(AND(AI285&gt;=3,AB285&lt;=0.2),1,0)</f>
        <v/>
      </c>
      <c r="AM285">
        <f>AVERAGE(W285:AB285)</f>
        <v/>
      </c>
      <c r="AN285">
        <f>1+COUNTIF(bounds,"&lt;"&amp;ROUND(AM285,12))</f>
        <v/>
      </c>
      <c r="AO285">
        <f>IF(AK285=1,AD285,NA())</f>
        <v/>
      </c>
      <c r="AP285">
        <f>IF(AK285=0,AD285,NA())</f>
        <v/>
      </c>
    </row>
    <row r="286">
      <c r="A286" t="n">
        <v>278</v>
      </c>
      <c r="B286" t="n">
        <v>3</v>
      </c>
      <c r="C286" t="n">
        <v>2</v>
      </c>
      <c r="D286" t="n">
        <v>2</v>
      </c>
      <c r="E286" t="n">
        <v>1</v>
      </c>
      <c r="F286" t="n">
        <v>2</v>
      </c>
      <c r="G286" t="n">
        <v>5</v>
      </c>
      <c r="H286" t="n">
        <v>2</v>
      </c>
      <c r="I286" t="n">
        <v>5</v>
      </c>
      <c r="J286" t="n">
        <v>2</v>
      </c>
      <c r="K286" t="n">
        <v>5</v>
      </c>
      <c r="L286" t="n">
        <v>4</v>
      </c>
      <c r="M286" t="n">
        <v>3</v>
      </c>
      <c r="N286" t="n">
        <v>4</v>
      </c>
      <c r="O286" t="n">
        <v>4</v>
      </c>
      <c r="P286" t="n">
        <v>3</v>
      </c>
      <c r="Q286" t="n">
        <v>3</v>
      </c>
      <c r="R286" t="n">
        <v>4</v>
      </c>
      <c r="S286" t="n">
        <v>4</v>
      </c>
      <c r="T286" t="n">
        <v>1</v>
      </c>
      <c r="U286" t="n">
        <v>5</v>
      </c>
      <c r="V286" t="n">
        <v>2</v>
      </c>
      <c r="W286">
        <f>(AVERAGE(B286:D286)-1)/4</f>
        <v/>
      </c>
      <c r="X286">
        <f>(AVERAGE(E286:G286)-1)/4</f>
        <v/>
      </c>
      <c r="Y286">
        <f>(AVERAGE(H286:J286)-1)/4</f>
        <v/>
      </c>
      <c r="Z286">
        <f>(AVERAGE(K286:M286)-1)/4</f>
        <v/>
      </c>
      <c r="AA286">
        <f>(AVERAGE(N286:P286)-1)/4</f>
        <v/>
      </c>
      <c r="AB286">
        <f>(AVERAGE(Q286:S286)-1)/4</f>
        <v/>
      </c>
      <c r="AC286">
        <f>(AVERAGE(T286:V286)-1)/4</f>
        <v/>
      </c>
      <c r="AD286">
        <f>AVERAGE(W286:AA286)</f>
        <v/>
      </c>
      <c r="AE286">
        <f>MIN(W286:AA286)</f>
        <v/>
      </c>
      <c r="AF286">
        <f>1-alpha*MAX(0,delta-AE286)</f>
        <v/>
      </c>
      <c r="AG286">
        <f>AD286*AF286</f>
        <v/>
      </c>
      <c r="AH286">
        <f>1+COUNTIF(bounds,"&lt;"&amp;ROUND(AD286,12))</f>
        <v/>
      </c>
      <c r="AI286">
        <f>1+COUNTIF(bounds,"&lt;"&amp;ROUND(AG286,12))</f>
        <v/>
      </c>
      <c r="AJ286">
        <f>IF(AF286&lt;1,1,0)</f>
        <v/>
      </c>
      <c r="AK286">
        <f>IF(AH286&lt;&gt;AI286,1,0)</f>
        <v/>
      </c>
      <c r="AL286">
        <f>IF(AND(AI286&gt;=3,AB286&lt;=0.2),1,0)</f>
        <v/>
      </c>
      <c r="AM286">
        <f>AVERAGE(W286:AB286)</f>
        <v/>
      </c>
      <c r="AN286">
        <f>1+COUNTIF(bounds,"&lt;"&amp;ROUND(AM286,12))</f>
        <v/>
      </c>
      <c r="AO286">
        <f>IF(AK286=1,AD286,NA())</f>
        <v/>
      </c>
      <c r="AP286">
        <f>IF(AK286=0,AD286,NA())</f>
        <v/>
      </c>
    </row>
    <row r="287">
      <c r="A287" t="n">
        <v>279</v>
      </c>
      <c r="B287" t="n">
        <v>1</v>
      </c>
      <c r="C287" t="n">
        <v>1</v>
      </c>
      <c r="D287" t="n">
        <v>5</v>
      </c>
      <c r="E287" t="n">
        <v>1</v>
      </c>
      <c r="F287" t="n">
        <v>3</v>
      </c>
      <c r="G287" t="n">
        <v>5</v>
      </c>
      <c r="H287" t="n">
        <v>2</v>
      </c>
      <c r="I287" t="n">
        <v>3</v>
      </c>
      <c r="J287" t="n">
        <v>4</v>
      </c>
      <c r="K287" t="n">
        <v>1</v>
      </c>
      <c r="L287" t="n">
        <v>3</v>
      </c>
      <c r="M287" t="n">
        <v>2</v>
      </c>
      <c r="N287" t="n">
        <v>1</v>
      </c>
      <c r="O287" t="n">
        <v>1</v>
      </c>
      <c r="P287" t="n">
        <v>2</v>
      </c>
      <c r="Q287" t="n">
        <v>1</v>
      </c>
      <c r="R287" t="n">
        <v>2</v>
      </c>
      <c r="S287" t="n">
        <v>3</v>
      </c>
      <c r="T287" t="n">
        <v>5</v>
      </c>
      <c r="U287" t="n">
        <v>4</v>
      </c>
      <c r="V287" t="n">
        <v>3</v>
      </c>
      <c r="W287">
        <f>(AVERAGE(B287:D287)-1)/4</f>
        <v/>
      </c>
      <c r="X287">
        <f>(AVERAGE(E287:G287)-1)/4</f>
        <v/>
      </c>
      <c r="Y287">
        <f>(AVERAGE(H287:J287)-1)/4</f>
        <v/>
      </c>
      <c r="Z287">
        <f>(AVERAGE(K287:M287)-1)/4</f>
        <v/>
      </c>
      <c r="AA287">
        <f>(AVERAGE(N287:P287)-1)/4</f>
        <v/>
      </c>
      <c r="AB287">
        <f>(AVERAGE(Q287:S287)-1)/4</f>
        <v/>
      </c>
      <c r="AC287">
        <f>(AVERAGE(T287:V287)-1)/4</f>
        <v/>
      </c>
      <c r="AD287">
        <f>AVERAGE(W287:AA287)</f>
        <v/>
      </c>
      <c r="AE287">
        <f>MIN(W287:AA287)</f>
        <v/>
      </c>
      <c r="AF287">
        <f>1-alpha*MAX(0,delta-AE287)</f>
        <v/>
      </c>
      <c r="AG287">
        <f>AD287*AF287</f>
        <v/>
      </c>
      <c r="AH287">
        <f>1+COUNTIF(bounds,"&lt;"&amp;ROUND(AD287,12))</f>
        <v/>
      </c>
      <c r="AI287">
        <f>1+COUNTIF(bounds,"&lt;"&amp;ROUND(AG287,12))</f>
        <v/>
      </c>
      <c r="AJ287">
        <f>IF(AF287&lt;1,1,0)</f>
        <v/>
      </c>
      <c r="AK287">
        <f>IF(AH287&lt;&gt;AI287,1,0)</f>
        <v/>
      </c>
      <c r="AL287">
        <f>IF(AND(AI287&gt;=3,AB287&lt;=0.2),1,0)</f>
        <v/>
      </c>
      <c r="AM287">
        <f>AVERAGE(W287:AB287)</f>
        <v/>
      </c>
      <c r="AN287">
        <f>1+COUNTIF(bounds,"&lt;"&amp;ROUND(AM287,12))</f>
        <v/>
      </c>
      <c r="AO287">
        <f>IF(AK287=1,AD287,NA())</f>
        <v/>
      </c>
      <c r="AP287">
        <f>IF(AK287=0,AD287,NA())</f>
        <v/>
      </c>
    </row>
    <row r="288">
      <c r="A288" t="n">
        <v>280</v>
      </c>
      <c r="B288" t="n">
        <v>1</v>
      </c>
      <c r="C288" t="n">
        <v>4</v>
      </c>
      <c r="D288" t="n">
        <v>4</v>
      </c>
      <c r="E288" t="n">
        <v>1</v>
      </c>
      <c r="F288" t="n">
        <v>4</v>
      </c>
      <c r="G288" t="n">
        <v>1</v>
      </c>
      <c r="H288" t="n">
        <v>3</v>
      </c>
      <c r="I288" t="n">
        <v>5</v>
      </c>
      <c r="J288" t="n">
        <v>2</v>
      </c>
      <c r="K288" t="n">
        <v>1</v>
      </c>
      <c r="L288" t="n">
        <v>1</v>
      </c>
      <c r="M288" t="n">
        <v>3</v>
      </c>
      <c r="N288" t="n">
        <v>2</v>
      </c>
      <c r="O288" t="n">
        <v>5</v>
      </c>
      <c r="P288" t="n">
        <v>3</v>
      </c>
      <c r="Q288" t="n">
        <v>5</v>
      </c>
      <c r="R288" t="n">
        <v>3</v>
      </c>
      <c r="S288" t="n">
        <v>1</v>
      </c>
      <c r="T288" t="n">
        <v>5</v>
      </c>
      <c r="U288" t="n">
        <v>3</v>
      </c>
      <c r="V288" t="n">
        <v>4</v>
      </c>
      <c r="W288">
        <f>(AVERAGE(B288:D288)-1)/4</f>
        <v/>
      </c>
      <c r="X288">
        <f>(AVERAGE(E288:G288)-1)/4</f>
        <v/>
      </c>
      <c r="Y288">
        <f>(AVERAGE(H288:J288)-1)/4</f>
        <v/>
      </c>
      <c r="Z288">
        <f>(AVERAGE(K288:M288)-1)/4</f>
        <v/>
      </c>
      <c r="AA288">
        <f>(AVERAGE(N288:P288)-1)/4</f>
        <v/>
      </c>
      <c r="AB288">
        <f>(AVERAGE(Q288:S288)-1)/4</f>
        <v/>
      </c>
      <c r="AC288">
        <f>(AVERAGE(T288:V288)-1)/4</f>
        <v/>
      </c>
      <c r="AD288">
        <f>AVERAGE(W288:AA288)</f>
        <v/>
      </c>
      <c r="AE288">
        <f>MIN(W288:AA288)</f>
        <v/>
      </c>
      <c r="AF288">
        <f>1-alpha*MAX(0,delta-AE288)</f>
        <v/>
      </c>
      <c r="AG288">
        <f>AD288*AF288</f>
        <v/>
      </c>
      <c r="AH288">
        <f>1+COUNTIF(bounds,"&lt;"&amp;ROUND(AD288,12))</f>
        <v/>
      </c>
      <c r="AI288">
        <f>1+COUNTIF(bounds,"&lt;"&amp;ROUND(AG288,12))</f>
        <v/>
      </c>
      <c r="AJ288">
        <f>IF(AF288&lt;1,1,0)</f>
        <v/>
      </c>
      <c r="AK288">
        <f>IF(AH288&lt;&gt;AI288,1,0)</f>
        <v/>
      </c>
      <c r="AL288">
        <f>IF(AND(AI288&gt;=3,AB288&lt;=0.2),1,0)</f>
        <v/>
      </c>
      <c r="AM288">
        <f>AVERAGE(W288:AB288)</f>
        <v/>
      </c>
      <c r="AN288">
        <f>1+COUNTIF(bounds,"&lt;"&amp;ROUND(AM288,12))</f>
        <v/>
      </c>
      <c r="AO288">
        <f>IF(AK288=1,AD288,NA())</f>
        <v/>
      </c>
      <c r="AP288">
        <f>IF(AK288=0,AD288,NA())</f>
        <v/>
      </c>
    </row>
    <row r="289">
      <c r="A289" t="n">
        <v>281</v>
      </c>
      <c r="B289" t="n">
        <v>3</v>
      </c>
      <c r="C289" t="n">
        <v>3</v>
      </c>
      <c r="D289" t="n">
        <v>1</v>
      </c>
      <c r="E289" t="n">
        <v>3</v>
      </c>
      <c r="F289" t="n">
        <v>4</v>
      </c>
      <c r="G289" t="n">
        <v>4</v>
      </c>
      <c r="H289" t="n">
        <v>1</v>
      </c>
      <c r="I289" t="n">
        <v>1</v>
      </c>
      <c r="J289" t="n">
        <v>2</v>
      </c>
      <c r="K289" t="n">
        <v>2</v>
      </c>
      <c r="L289" t="n">
        <v>5</v>
      </c>
      <c r="M289" t="n">
        <v>5</v>
      </c>
      <c r="N289" t="n">
        <v>2</v>
      </c>
      <c r="O289" t="n">
        <v>1</v>
      </c>
      <c r="P289" t="n">
        <v>5</v>
      </c>
      <c r="Q289" t="n">
        <v>5</v>
      </c>
      <c r="R289" t="n">
        <v>5</v>
      </c>
      <c r="S289" t="n">
        <v>1</v>
      </c>
      <c r="T289" t="n">
        <v>4</v>
      </c>
      <c r="U289" t="n">
        <v>5</v>
      </c>
      <c r="V289" t="n">
        <v>5</v>
      </c>
      <c r="W289">
        <f>(AVERAGE(B289:D289)-1)/4</f>
        <v/>
      </c>
      <c r="X289">
        <f>(AVERAGE(E289:G289)-1)/4</f>
        <v/>
      </c>
      <c r="Y289">
        <f>(AVERAGE(H289:J289)-1)/4</f>
        <v/>
      </c>
      <c r="Z289">
        <f>(AVERAGE(K289:M289)-1)/4</f>
        <v/>
      </c>
      <c r="AA289">
        <f>(AVERAGE(N289:P289)-1)/4</f>
        <v/>
      </c>
      <c r="AB289">
        <f>(AVERAGE(Q289:S289)-1)/4</f>
        <v/>
      </c>
      <c r="AC289">
        <f>(AVERAGE(T289:V289)-1)/4</f>
        <v/>
      </c>
      <c r="AD289">
        <f>AVERAGE(W289:AA289)</f>
        <v/>
      </c>
      <c r="AE289">
        <f>MIN(W289:AA289)</f>
        <v/>
      </c>
      <c r="AF289">
        <f>1-alpha*MAX(0,delta-AE289)</f>
        <v/>
      </c>
      <c r="AG289">
        <f>AD289*AF289</f>
        <v/>
      </c>
      <c r="AH289">
        <f>1+COUNTIF(bounds,"&lt;"&amp;ROUND(AD289,12))</f>
        <v/>
      </c>
      <c r="AI289">
        <f>1+COUNTIF(bounds,"&lt;"&amp;ROUND(AG289,12))</f>
        <v/>
      </c>
      <c r="AJ289">
        <f>IF(AF289&lt;1,1,0)</f>
        <v/>
      </c>
      <c r="AK289">
        <f>IF(AH289&lt;&gt;AI289,1,0)</f>
        <v/>
      </c>
      <c r="AL289">
        <f>IF(AND(AI289&gt;=3,AB289&lt;=0.2),1,0)</f>
        <v/>
      </c>
      <c r="AM289">
        <f>AVERAGE(W289:AB289)</f>
        <v/>
      </c>
      <c r="AN289">
        <f>1+COUNTIF(bounds,"&lt;"&amp;ROUND(AM289,12))</f>
        <v/>
      </c>
      <c r="AO289">
        <f>IF(AK289=1,AD289,NA())</f>
        <v/>
      </c>
      <c r="AP289">
        <f>IF(AK289=0,AD289,NA())</f>
        <v/>
      </c>
    </row>
    <row r="290">
      <c r="A290" t="n">
        <v>282</v>
      </c>
      <c r="B290" t="n">
        <v>1</v>
      </c>
      <c r="C290" t="n">
        <v>4</v>
      </c>
      <c r="D290" t="n">
        <v>5</v>
      </c>
      <c r="E290" t="n">
        <v>4</v>
      </c>
      <c r="F290" t="n">
        <v>5</v>
      </c>
      <c r="G290" t="n">
        <v>4</v>
      </c>
      <c r="H290" t="n">
        <v>2</v>
      </c>
      <c r="I290" t="n">
        <v>1</v>
      </c>
      <c r="J290" t="n">
        <v>5</v>
      </c>
      <c r="K290" t="n">
        <v>2</v>
      </c>
      <c r="L290" t="n">
        <v>3</v>
      </c>
      <c r="M290" t="n">
        <v>5</v>
      </c>
      <c r="N290" t="n">
        <v>3</v>
      </c>
      <c r="O290" t="n">
        <v>5</v>
      </c>
      <c r="P290" t="n">
        <v>3</v>
      </c>
      <c r="Q290" t="n">
        <v>5</v>
      </c>
      <c r="R290" t="n">
        <v>1</v>
      </c>
      <c r="S290" t="n">
        <v>5</v>
      </c>
      <c r="T290" t="n">
        <v>5</v>
      </c>
      <c r="U290" t="n">
        <v>5</v>
      </c>
      <c r="V290" t="n">
        <v>5</v>
      </c>
      <c r="W290">
        <f>(AVERAGE(B290:D290)-1)/4</f>
        <v/>
      </c>
      <c r="X290">
        <f>(AVERAGE(E290:G290)-1)/4</f>
        <v/>
      </c>
      <c r="Y290">
        <f>(AVERAGE(H290:J290)-1)/4</f>
        <v/>
      </c>
      <c r="Z290">
        <f>(AVERAGE(K290:M290)-1)/4</f>
        <v/>
      </c>
      <c r="AA290">
        <f>(AVERAGE(N290:P290)-1)/4</f>
        <v/>
      </c>
      <c r="AB290">
        <f>(AVERAGE(Q290:S290)-1)/4</f>
        <v/>
      </c>
      <c r="AC290">
        <f>(AVERAGE(T290:V290)-1)/4</f>
        <v/>
      </c>
      <c r="AD290">
        <f>AVERAGE(W290:AA290)</f>
        <v/>
      </c>
      <c r="AE290">
        <f>MIN(W290:AA290)</f>
        <v/>
      </c>
      <c r="AF290">
        <f>1-alpha*MAX(0,delta-AE290)</f>
        <v/>
      </c>
      <c r="AG290">
        <f>AD290*AF290</f>
        <v/>
      </c>
      <c r="AH290">
        <f>1+COUNTIF(bounds,"&lt;"&amp;ROUND(AD290,12))</f>
        <v/>
      </c>
      <c r="AI290">
        <f>1+COUNTIF(bounds,"&lt;"&amp;ROUND(AG290,12))</f>
        <v/>
      </c>
      <c r="AJ290">
        <f>IF(AF290&lt;1,1,0)</f>
        <v/>
      </c>
      <c r="AK290">
        <f>IF(AH290&lt;&gt;AI290,1,0)</f>
        <v/>
      </c>
      <c r="AL290">
        <f>IF(AND(AI290&gt;=3,AB290&lt;=0.2),1,0)</f>
        <v/>
      </c>
      <c r="AM290">
        <f>AVERAGE(W290:AB290)</f>
        <v/>
      </c>
      <c r="AN290">
        <f>1+COUNTIF(bounds,"&lt;"&amp;ROUND(AM290,12))</f>
        <v/>
      </c>
      <c r="AO290">
        <f>IF(AK290=1,AD290,NA())</f>
        <v/>
      </c>
      <c r="AP290">
        <f>IF(AK290=0,AD290,NA())</f>
        <v/>
      </c>
    </row>
    <row r="291">
      <c r="A291" t="n">
        <v>283</v>
      </c>
      <c r="B291" t="n">
        <v>3</v>
      </c>
      <c r="C291" t="n">
        <v>2</v>
      </c>
      <c r="D291" t="n">
        <v>5</v>
      </c>
      <c r="E291" t="n">
        <v>5</v>
      </c>
      <c r="F291" t="n">
        <v>2</v>
      </c>
      <c r="G291" t="n">
        <v>1</v>
      </c>
      <c r="H291" t="n">
        <v>1</v>
      </c>
      <c r="I291" t="n">
        <v>2</v>
      </c>
      <c r="J291" t="n">
        <v>4</v>
      </c>
      <c r="K291" t="n">
        <v>4</v>
      </c>
      <c r="L291" t="n">
        <v>2</v>
      </c>
      <c r="M291" t="n">
        <v>4</v>
      </c>
      <c r="N291" t="n">
        <v>1</v>
      </c>
      <c r="O291" t="n">
        <v>1</v>
      </c>
      <c r="P291" t="n">
        <v>1</v>
      </c>
      <c r="Q291" t="n">
        <v>1</v>
      </c>
      <c r="R291" t="n">
        <v>4</v>
      </c>
      <c r="S291" t="n">
        <v>5</v>
      </c>
      <c r="T291" t="n">
        <v>2</v>
      </c>
      <c r="U291" t="n">
        <v>2</v>
      </c>
      <c r="V291" t="n">
        <v>1</v>
      </c>
      <c r="W291">
        <f>(AVERAGE(B291:D291)-1)/4</f>
        <v/>
      </c>
      <c r="X291">
        <f>(AVERAGE(E291:G291)-1)/4</f>
        <v/>
      </c>
      <c r="Y291">
        <f>(AVERAGE(H291:J291)-1)/4</f>
        <v/>
      </c>
      <c r="Z291">
        <f>(AVERAGE(K291:M291)-1)/4</f>
        <v/>
      </c>
      <c r="AA291">
        <f>(AVERAGE(N291:P291)-1)/4</f>
        <v/>
      </c>
      <c r="AB291">
        <f>(AVERAGE(Q291:S291)-1)/4</f>
        <v/>
      </c>
      <c r="AC291">
        <f>(AVERAGE(T291:V291)-1)/4</f>
        <v/>
      </c>
      <c r="AD291">
        <f>AVERAGE(W291:AA291)</f>
        <v/>
      </c>
      <c r="AE291">
        <f>MIN(W291:AA291)</f>
        <v/>
      </c>
      <c r="AF291">
        <f>1-alpha*MAX(0,delta-AE291)</f>
        <v/>
      </c>
      <c r="AG291">
        <f>AD291*AF291</f>
        <v/>
      </c>
      <c r="AH291">
        <f>1+COUNTIF(bounds,"&lt;"&amp;ROUND(AD291,12))</f>
        <v/>
      </c>
      <c r="AI291">
        <f>1+COUNTIF(bounds,"&lt;"&amp;ROUND(AG291,12))</f>
        <v/>
      </c>
      <c r="AJ291">
        <f>IF(AF291&lt;1,1,0)</f>
        <v/>
      </c>
      <c r="AK291">
        <f>IF(AH291&lt;&gt;AI291,1,0)</f>
        <v/>
      </c>
      <c r="AL291">
        <f>IF(AND(AI291&gt;=3,AB291&lt;=0.2),1,0)</f>
        <v/>
      </c>
      <c r="AM291">
        <f>AVERAGE(W291:AB291)</f>
        <v/>
      </c>
      <c r="AN291">
        <f>1+COUNTIF(bounds,"&lt;"&amp;ROUND(AM291,12))</f>
        <v/>
      </c>
      <c r="AO291">
        <f>IF(AK291=1,AD291,NA())</f>
        <v/>
      </c>
      <c r="AP291">
        <f>IF(AK291=0,AD291,NA())</f>
        <v/>
      </c>
    </row>
    <row r="292">
      <c r="A292" t="n">
        <v>284</v>
      </c>
      <c r="B292" t="n">
        <v>1</v>
      </c>
      <c r="C292" t="n">
        <v>3</v>
      </c>
      <c r="D292" t="n">
        <v>5</v>
      </c>
      <c r="E292" t="n">
        <v>3</v>
      </c>
      <c r="F292" t="n">
        <v>3</v>
      </c>
      <c r="G292" t="n">
        <v>4</v>
      </c>
      <c r="H292" t="n">
        <v>5</v>
      </c>
      <c r="I292" t="n">
        <v>5</v>
      </c>
      <c r="J292" t="n">
        <v>2</v>
      </c>
      <c r="K292" t="n">
        <v>2</v>
      </c>
      <c r="L292" t="n">
        <v>2</v>
      </c>
      <c r="M292" t="n">
        <v>5</v>
      </c>
      <c r="N292" t="n">
        <v>5</v>
      </c>
      <c r="O292" t="n">
        <v>4</v>
      </c>
      <c r="P292" t="n">
        <v>3</v>
      </c>
      <c r="Q292" t="n">
        <v>4</v>
      </c>
      <c r="R292" t="n">
        <v>1</v>
      </c>
      <c r="S292" t="n">
        <v>4</v>
      </c>
      <c r="T292" t="n">
        <v>3</v>
      </c>
      <c r="U292" t="n">
        <v>2</v>
      </c>
      <c r="V292" t="n">
        <v>2</v>
      </c>
      <c r="W292">
        <f>(AVERAGE(B292:D292)-1)/4</f>
        <v/>
      </c>
      <c r="X292">
        <f>(AVERAGE(E292:G292)-1)/4</f>
        <v/>
      </c>
      <c r="Y292">
        <f>(AVERAGE(H292:J292)-1)/4</f>
        <v/>
      </c>
      <c r="Z292">
        <f>(AVERAGE(K292:M292)-1)/4</f>
        <v/>
      </c>
      <c r="AA292">
        <f>(AVERAGE(N292:P292)-1)/4</f>
        <v/>
      </c>
      <c r="AB292">
        <f>(AVERAGE(Q292:S292)-1)/4</f>
        <v/>
      </c>
      <c r="AC292">
        <f>(AVERAGE(T292:V292)-1)/4</f>
        <v/>
      </c>
      <c r="AD292">
        <f>AVERAGE(W292:AA292)</f>
        <v/>
      </c>
      <c r="AE292">
        <f>MIN(W292:AA292)</f>
        <v/>
      </c>
      <c r="AF292">
        <f>1-alpha*MAX(0,delta-AE292)</f>
        <v/>
      </c>
      <c r="AG292">
        <f>AD292*AF292</f>
        <v/>
      </c>
      <c r="AH292">
        <f>1+COUNTIF(bounds,"&lt;"&amp;ROUND(AD292,12))</f>
        <v/>
      </c>
      <c r="AI292">
        <f>1+COUNTIF(bounds,"&lt;"&amp;ROUND(AG292,12))</f>
        <v/>
      </c>
      <c r="AJ292">
        <f>IF(AF292&lt;1,1,0)</f>
        <v/>
      </c>
      <c r="AK292">
        <f>IF(AH292&lt;&gt;AI292,1,0)</f>
        <v/>
      </c>
      <c r="AL292">
        <f>IF(AND(AI292&gt;=3,AB292&lt;=0.2),1,0)</f>
        <v/>
      </c>
      <c r="AM292">
        <f>AVERAGE(W292:AB292)</f>
        <v/>
      </c>
      <c r="AN292">
        <f>1+COUNTIF(bounds,"&lt;"&amp;ROUND(AM292,12))</f>
        <v/>
      </c>
      <c r="AO292">
        <f>IF(AK292=1,AD292,NA())</f>
        <v/>
      </c>
      <c r="AP292">
        <f>IF(AK292=0,AD292,NA())</f>
        <v/>
      </c>
    </row>
    <row r="293">
      <c r="A293" t="n">
        <v>285</v>
      </c>
      <c r="B293" t="n">
        <v>3</v>
      </c>
      <c r="C293" t="n">
        <v>2</v>
      </c>
      <c r="D293" t="n">
        <v>2</v>
      </c>
      <c r="E293" t="n">
        <v>3</v>
      </c>
      <c r="F293" t="n">
        <v>2</v>
      </c>
      <c r="G293" t="n">
        <v>3</v>
      </c>
      <c r="H293" t="n">
        <v>3</v>
      </c>
      <c r="I293" t="n">
        <v>1</v>
      </c>
      <c r="J293" t="n">
        <v>1</v>
      </c>
      <c r="K293" t="n">
        <v>3</v>
      </c>
      <c r="L293" t="n">
        <v>4</v>
      </c>
      <c r="M293" t="n">
        <v>4</v>
      </c>
      <c r="N293" t="n">
        <v>2</v>
      </c>
      <c r="O293" t="n">
        <v>3</v>
      </c>
      <c r="P293" t="n">
        <v>3</v>
      </c>
      <c r="Q293" t="n">
        <v>1</v>
      </c>
      <c r="R293" t="n">
        <v>4</v>
      </c>
      <c r="S293" t="n">
        <v>4</v>
      </c>
      <c r="T293" t="n">
        <v>2</v>
      </c>
      <c r="U293" t="n">
        <v>5</v>
      </c>
      <c r="V293" t="n">
        <v>5</v>
      </c>
      <c r="W293">
        <f>(AVERAGE(B293:D293)-1)/4</f>
        <v/>
      </c>
      <c r="X293">
        <f>(AVERAGE(E293:G293)-1)/4</f>
        <v/>
      </c>
      <c r="Y293">
        <f>(AVERAGE(H293:J293)-1)/4</f>
        <v/>
      </c>
      <c r="Z293">
        <f>(AVERAGE(K293:M293)-1)/4</f>
        <v/>
      </c>
      <c r="AA293">
        <f>(AVERAGE(N293:P293)-1)/4</f>
        <v/>
      </c>
      <c r="AB293">
        <f>(AVERAGE(Q293:S293)-1)/4</f>
        <v/>
      </c>
      <c r="AC293">
        <f>(AVERAGE(T293:V293)-1)/4</f>
        <v/>
      </c>
      <c r="AD293">
        <f>AVERAGE(W293:AA293)</f>
        <v/>
      </c>
      <c r="AE293">
        <f>MIN(W293:AA293)</f>
        <v/>
      </c>
      <c r="AF293">
        <f>1-alpha*MAX(0,delta-AE293)</f>
        <v/>
      </c>
      <c r="AG293">
        <f>AD293*AF293</f>
        <v/>
      </c>
      <c r="AH293">
        <f>1+COUNTIF(bounds,"&lt;"&amp;ROUND(AD293,12))</f>
        <v/>
      </c>
      <c r="AI293">
        <f>1+COUNTIF(bounds,"&lt;"&amp;ROUND(AG293,12))</f>
        <v/>
      </c>
      <c r="AJ293">
        <f>IF(AF293&lt;1,1,0)</f>
        <v/>
      </c>
      <c r="AK293">
        <f>IF(AH293&lt;&gt;AI293,1,0)</f>
        <v/>
      </c>
      <c r="AL293">
        <f>IF(AND(AI293&gt;=3,AB293&lt;=0.2),1,0)</f>
        <v/>
      </c>
      <c r="AM293">
        <f>AVERAGE(W293:AB293)</f>
        <v/>
      </c>
      <c r="AN293">
        <f>1+COUNTIF(bounds,"&lt;"&amp;ROUND(AM293,12))</f>
        <v/>
      </c>
      <c r="AO293">
        <f>IF(AK293=1,AD293,NA())</f>
        <v/>
      </c>
      <c r="AP293">
        <f>IF(AK293=0,AD293,NA())</f>
        <v/>
      </c>
    </row>
    <row r="294">
      <c r="A294" t="n">
        <v>286</v>
      </c>
      <c r="B294" t="n">
        <v>3</v>
      </c>
      <c r="C294" t="n">
        <v>5</v>
      </c>
      <c r="D294" t="n">
        <v>4</v>
      </c>
      <c r="E294" t="n">
        <v>5</v>
      </c>
      <c r="F294" t="n">
        <v>2</v>
      </c>
      <c r="G294" t="n">
        <v>1</v>
      </c>
      <c r="H294" t="n">
        <v>1</v>
      </c>
      <c r="I294" t="n">
        <v>5</v>
      </c>
      <c r="J294" t="n">
        <v>5</v>
      </c>
      <c r="K294" t="n">
        <v>4</v>
      </c>
      <c r="L294" t="n">
        <v>5</v>
      </c>
      <c r="M294" t="n">
        <v>5</v>
      </c>
      <c r="N294" t="n">
        <v>3</v>
      </c>
      <c r="O294" t="n">
        <v>3</v>
      </c>
      <c r="P294" t="n">
        <v>3</v>
      </c>
      <c r="Q294" t="n">
        <v>4</v>
      </c>
      <c r="R294" t="n">
        <v>4</v>
      </c>
      <c r="S294" t="n">
        <v>5</v>
      </c>
      <c r="T294" t="n">
        <v>4</v>
      </c>
      <c r="U294" t="n">
        <v>4</v>
      </c>
      <c r="V294" t="n">
        <v>5</v>
      </c>
      <c r="W294">
        <f>(AVERAGE(B294:D294)-1)/4</f>
        <v/>
      </c>
      <c r="X294">
        <f>(AVERAGE(E294:G294)-1)/4</f>
        <v/>
      </c>
      <c r="Y294">
        <f>(AVERAGE(H294:J294)-1)/4</f>
        <v/>
      </c>
      <c r="Z294">
        <f>(AVERAGE(K294:M294)-1)/4</f>
        <v/>
      </c>
      <c r="AA294">
        <f>(AVERAGE(N294:P294)-1)/4</f>
        <v/>
      </c>
      <c r="AB294">
        <f>(AVERAGE(Q294:S294)-1)/4</f>
        <v/>
      </c>
      <c r="AC294">
        <f>(AVERAGE(T294:V294)-1)/4</f>
        <v/>
      </c>
      <c r="AD294">
        <f>AVERAGE(W294:AA294)</f>
        <v/>
      </c>
      <c r="AE294">
        <f>MIN(W294:AA294)</f>
        <v/>
      </c>
      <c r="AF294">
        <f>1-alpha*MAX(0,delta-AE294)</f>
        <v/>
      </c>
      <c r="AG294">
        <f>AD294*AF294</f>
        <v/>
      </c>
      <c r="AH294">
        <f>1+COUNTIF(bounds,"&lt;"&amp;ROUND(AD294,12))</f>
        <v/>
      </c>
      <c r="AI294">
        <f>1+COUNTIF(bounds,"&lt;"&amp;ROUND(AG294,12))</f>
        <v/>
      </c>
      <c r="AJ294">
        <f>IF(AF294&lt;1,1,0)</f>
        <v/>
      </c>
      <c r="AK294">
        <f>IF(AH294&lt;&gt;AI294,1,0)</f>
        <v/>
      </c>
      <c r="AL294">
        <f>IF(AND(AI294&gt;=3,AB294&lt;=0.2),1,0)</f>
        <v/>
      </c>
      <c r="AM294">
        <f>AVERAGE(W294:AB294)</f>
        <v/>
      </c>
      <c r="AN294">
        <f>1+COUNTIF(bounds,"&lt;"&amp;ROUND(AM294,12))</f>
        <v/>
      </c>
      <c r="AO294">
        <f>IF(AK294=1,AD294,NA())</f>
        <v/>
      </c>
      <c r="AP294">
        <f>IF(AK294=0,AD294,NA())</f>
        <v/>
      </c>
    </row>
    <row r="295">
      <c r="A295" t="n">
        <v>287</v>
      </c>
      <c r="B295" t="n">
        <v>2</v>
      </c>
      <c r="C295" t="n">
        <v>2</v>
      </c>
      <c r="D295" t="n">
        <v>4</v>
      </c>
      <c r="E295" t="n">
        <v>1</v>
      </c>
      <c r="F295" t="n">
        <v>3</v>
      </c>
      <c r="G295" t="n">
        <v>2</v>
      </c>
      <c r="H295" t="n">
        <v>3</v>
      </c>
      <c r="I295" t="n">
        <v>3</v>
      </c>
      <c r="J295" t="n">
        <v>4</v>
      </c>
      <c r="K295" t="n">
        <v>4</v>
      </c>
      <c r="L295" t="n">
        <v>5</v>
      </c>
      <c r="M295" t="n">
        <v>3</v>
      </c>
      <c r="N295" t="n">
        <v>4</v>
      </c>
      <c r="O295" t="n">
        <v>1</v>
      </c>
      <c r="P295" t="n">
        <v>4</v>
      </c>
      <c r="Q295" t="n">
        <v>5</v>
      </c>
      <c r="R295" t="n">
        <v>3</v>
      </c>
      <c r="S295" t="n">
        <v>3</v>
      </c>
      <c r="T295" t="n">
        <v>4</v>
      </c>
      <c r="U295" t="n">
        <v>3</v>
      </c>
      <c r="V295" t="n">
        <v>3</v>
      </c>
      <c r="W295">
        <f>(AVERAGE(B295:D295)-1)/4</f>
        <v/>
      </c>
      <c r="X295">
        <f>(AVERAGE(E295:G295)-1)/4</f>
        <v/>
      </c>
      <c r="Y295">
        <f>(AVERAGE(H295:J295)-1)/4</f>
        <v/>
      </c>
      <c r="Z295">
        <f>(AVERAGE(K295:M295)-1)/4</f>
        <v/>
      </c>
      <c r="AA295">
        <f>(AVERAGE(N295:P295)-1)/4</f>
        <v/>
      </c>
      <c r="AB295">
        <f>(AVERAGE(Q295:S295)-1)/4</f>
        <v/>
      </c>
      <c r="AC295">
        <f>(AVERAGE(T295:V295)-1)/4</f>
        <v/>
      </c>
      <c r="AD295">
        <f>AVERAGE(W295:AA295)</f>
        <v/>
      </c>
      <c r="AE295">
        <f>MIN(W295:AA295)</f>
        <v/>
      </c>
      <c r="AF295">
        <f>1-alpha*MAX(0,delta-AE295)</f>
        <v/>
      </c>
      <c r="AG295">
        <f>AD295*AF295</f>
        <v/>
      </c>
      <c r="AH295">
        <f>1+COUNTIF(bounds,"&lt;"&amp;ROUND(AD295,12))</f>
        <v/>
      </c>
      <c r="AI295">
        <f>1+COUNTIF(bounds,"&lt;"&amp;ROUND(AG295,12))</f>
        <v/>
      </c>
      <c r="AJ295">
        <f>IF(AF295&lt;1,1,0)</f>
        <v/>
      </c>
      <c r="AK295">
        <f>IF(AH295&lt;&gt;AI295,1,0)</f>
        <v/>
      </c>
      <c r="AL295">
        <f>IF(AND(AI295&gt;=3,AB295&lt;=0.2),1,0)</f>
        <v/>
      </c>
      <c r="AM295">
        <f>AVERAGE(W295:AB295)</f>
        <v/>
      </c>
      <c r="AN295">
        <f>1+COUNTIF(bounds,"&lt;"&amp;ROUND(AM295,12))</f>
        <v/>
      </c>
      <c r="AO295">
        <f>IF(AK295=1,AD295,NA())</f>
        <v/>
      </c>
      <c r="AP295">
        <f>IF(AK295=0,AD295,NA())</f>
        <v/>
      </c>
    </row>
    <row r="296">
      <c r="A296" t="n">
        <v>288</v>
      </c>
      <c r="B296" t="n">
        <v>4</v>
      </c>
      <c r="C296" t="n">
        <v>1</v>
      </c>
      <c r="D296" t="n">
        <v>3</v>
      </c>
      <c r="E296" t="n">
        <v>4</v>
      </c>
      <c r="F296" t="n">
        <v>4</v>
      </c>
      <c r="G296" t="n">
        <v>5</v>
      </c>
      <c r="H296" t="n">
        <v>3</v>
      </c>
      <c r="I296" t="n">
        <v>1</v>
      </c>
      <c r="J296" t="n">
        <v>1</v>
      </c>
      <c r="K296" t="n">
        <v>5</v>
      </c>
      <c r="L296" t="n">
        <v>3</v>
      </c>
      <c r="M296" t="n">
        <v>2</v>
      </c>
      <c r="N296" t="n">
        <v>5</v>
      </c>
      <c r="O296" t="n">
        <v>4</v>
      </c>
      <c r="P296" t="n">
        <v>1</v>
      </c>
      <c r="Q296" t="n">
        <v>4</v>
      </c>
      <c r="R296" t="n">
        <v>4</v>
      </c>
      <c r="S296" t="n">
        <v>1</v>
      </c>
      <c r="T296" t="n">
        <v>3</v>
      </c>
      <c r="U296" t="n">
        <v>3</v>
      </c>
      <c r="V296" t="n">
        <v>2</v>
      </c>
      <c r="W296">
        <f>(AVERAGE(B296:D296)-1)/4</f>
        <v/>
      </c>
      <c r="X296">
        <f>(AVERAGE(E296:G296)-1)/4</f>
        <v/>
      </c>
      <c r="Y296">
        <f>(AVERAGE(H296:J296)-1)/4</f>
        <v/>
      </c>
      <c r="Z296">
        <f>(AVERAGE(K296:M296)-1)/4</f>
        <v/>
      </c>
      <c r="AA296">
        <f>(AVERAGE(N296:P296)-1)/4</f>
        <v/>
      </c>
      <c r="AB296">
        <f>(AVERAGE(Q296:S296)-1)/4</f>
        <v/>
      </c>
      <c r="AC296">
        <f>(AVERAGE(T296:V296)-1)/4</f>
        <v/>
      </c>
      <c r="AD296">
        <f>AVERAGE(W296:AA296)</f>
        <v/>
      </c>
      <c r="AE296">
        <f>MIN(W296:AA296)</f>
        <v/>
      </c>
      <c r="AF296">
        <f>1-alpha*MAX(0,delta-AE296)</f>
        <v/>
      </c>
      <c r="AG296">
        <f>AD296*AF296</f>
        <v/>
      </c>
      <c r="AH296">
        <f>1+COUNTIF(bounds,"&lt;"&amp;ROUND(AD296,12))</f>
        <v/>
      </c>
      <c r="AI296">
        <f>1+COUNTIF(bounds,"&lt;"&amp;ROUND(AG296,12))</f>
        <v/>
      </c>
      <c r="AJ296">
        <f>IF(AF296&lt;1,1,0)</f>
        <v/>
      </c>
      <c r="AK296">
        <f>IF(AH296&lt;&gt;AI296,1,0)</f>
        <v/>
      </c>
      <c r="AL296">
        <f>IF(AND(AI296&gt;=3,AB296&lt;=0.2),1,0)</f>
        <v/>
      </c>
      <c r="AM296">
        <f>AVERAGE(W296:AB296)</f>
        <v/>
      </c>
      <c r="AN296">
        <f>1+COUNTIF(bounds,"&lt;"&amp;ROUND(AM296,12))</f>
        <v/>
      </c>
      <c r="AO296">
        <f>IF(AK296=1,AD296,NA())</f>
        <v/>
      </c>
      <c r="AP296">
        <f>IF(AK296=0,AD296,NA())</f>
        <v/>
      </c>
    </row>
    <row r="297">
      <c r="A297" t="n">
        <v>289</v>
      </c>
      <c r="B297" t="n">
        <v>4</v>
      </c>
      <c r="C297" t="n">
        <v>1</v>
      </c>
      <c r="D297" t="n">
        <v>4</v>
      </c>
      <c r="E297" t="n">
        <v>3</v>
      </c>
      <c r="F297" t="n">
        <v>4</v>
      </c>
      <c r="G297" t="n">
        <v>3</v>
      </c>
      <c r="H297" t="n">
        <v>4</v>
      </c>
      <c r="I297" t="n">
        <v>5</v>
      </c>
      <c r="J297" t="n">
        <v>4</v>
      </c>
      <c r="K297" t="n">
        <v>3</v>
      </c>
      <c r="L297" t="n">
        <v>1</v>
      </c>
      <c r="M297" t="n">
        <v>4</v>
      </c>
      <c r="N297" t="n">
        <v>1</v>
      </c>
      <c r="O297" t="n">
        <v>5</v>
      </c>
      <c r="P297" t="n">
        <v>5</v>
      </c>
      <c r="Q297" t="n">
        <v>2</v>
      </c>
      <c r="R297" t="n">
        <v>2</v>
      </c>
      <c r="S297" t="n">
        <v>1</v>
      </c>
      <c r="T297" t="n">
        <v>2</v>
      </c>
      <c r="U297" t="n">
        <v>2</v>
      </c>
      <c r="V297" t="n">
        <v>4</v>
      </c>
      <c r="W297">
        <f>(AVERAGE(B297:D297)-1)/4</f>
        <v/>
      </c>
      <c r="X297">
        <f>(AVERAGE(E297:G297)-1)/4</f>
        <v/>
      </c>
      <c r="Y297">
        <f>(AVERAGE(H297:J297)-1)/4</f>
        <v/>
      </c>
      <c r="Z297">
        <f>(AVERAGE(K297:M297)-1)/4</f>
        <v/>
      </c>
      <c r="AA297">
        <f>(AVERAGE(N297:P297)-1)/4</f>
        <v/>
      </c>
      <c r="AB297">
        <f>(AVERAGE(Q297:S297)-1)/4</f>
        <v/>
      </c>
      <c r="AC297">
        <f>(AVERAGE(T297:V297)-1)/4</f>
        <v/>
      </c>
      <c r="AD297">
        <f>AVERAGE(W297:AA297)</f>
        <v/>
      </c>
      <c r="AE297">
        <f>MIN(W297:AA297)</f>
        <v/>
      </c>
      <c r="AF297">
        <f>1-alpha*MAX(0,delta-AE297)</f>
        <v/>
      </c>
      <c r="AG297">
        <f>AD297*AF297</f>
        <v/>
      </c>
      <c r="AH297">
        <f>1+COUNTIF(bounds,"&lt;"&amp;ROUND(AD297,12))</f>
        <v/>
      </c>
      <c r="AI297">
        <f>1+COUNTIF(bounds,"&lt;"&amp;ROUND(AG297,12))</f>
        <v/>
      </c>
      <c r="AJ297">
        <f>IF(AF297&lt;1,1,0)</f>
        <v/>
      </c>
      <c r="AK297">
        <f>IF(AH297&lt;&gt;AI297,1,0)</f>
        <v/>
      </c>
      <c r="AL297">
        <f>IF(AND(AI297&gt;=3,AB297&lt;=0.2),1,0)</f>
        <v/>
      </c>
      <c r="AM297">
        <f>AVERAGE(W297:AB297)</f>
        <v/>
      </c>
      <c r="AN297">
        <f>1+COUNTIF(bounds,"&lt;"&amp;ROUND(AM297,12))</f>
        <v/>
      </c>
      <c r="AO297">
        <f>IF(AK297=1,AD297,NA())</f>
        <v/>
      </c>
      <c r="AP297">
        <f>IF(AK297=0,AD297,NA())</f>
        <v/>
      </c>
    </row>
    <row r="298">
      <c r="A298" t="n">
        <v>290</v>
      </c>
      <c r="B298" t="n">
        <v>1</v>
      </c>
      <c r="C298" t="n">
        <v>1</v>
      </c>
      <c r="D298" t="n">
        <v>3</v>
      </c>
      <c r="E298" t="n">
        <v>4</v>
      </c>
      <c r="F298" t="n">
        <v>4</v>
      </c>
      <c r="G298" t="n">
        <v>2</v>
      </c>
      <c r="H298" t="n">
        <v>5</v>
      </c>
      <c r="I298" t="n">
        <v>5</v>
      </c>
      <c r="J298" t="n">
        <v>1</v>
      </c>
      <c r="K298" t="n">
        <v>1</v>
      </c>
      <c r="L298" t="n">
        <v>3</v>
      </c>
      <c r="M298" t="n">
        <v>1</v>
      </c>
      <c r="N298" t="n">
        <v>1</v>
      </c>
      <c r="O298" t="n">
        <v>4</v>
      </c>
      <c r="P298" t="n">
        <v>4</v>
      </c>
      <c r="Q298" t="n">
        <v>2</v>
      </c>
      <c r="R298" t="n">
        <v>1</v>
      </c>
      <c r="S298" t="n">
        <v>2</v>
      </c>
      <c r="T298" t="n">
        <v>4</v>
      </c>
      <c r="U298" t="n">
        <v>4</v>
      </c>
      <c r="V298" t="n">
        <v>2</v>
      </c>
      <c r="W298">
        <f>(AVERAGE(B298:D298)-1)/4</f>
        <v/>
      </c>
      <c r="X298">
        <f>(AVERAGE(E298:G298)-1)/4</f>
        <v/>
      </c>
      <c r="Y298">
        <f>(AVERAGE(H298:J298)-1)/4</f>
        <v/>
      </c>
      <c r="Z298">
        <f>(AVERAGE(K298:M298)-1)/4</f>
        <v/>
      </c>
      <c r="AA298">
        <f>(AVERAGE(N298:P298)-1)/4</f>
        <v/>
      </c>
      <c r="AB298">
        <f>(AVERAGE(Q298:S298)-1)/4</f>
        <v/>
      </c>
      <c r="AC298">
        <f>(AVERAGE(T298:V298)-1)/4</f>
        <v/>
      </c>
      <c r="AD298">
        <f>AVERAGE(W298:AA298)</f>
        <v/>
      </c>
      <c r="AE298">
        <f>MIN(W298:AA298)</f>
        <v/>
      </c>
      <c r="AF298">
        <f>1-alpha*MAX(0,delta-AE298)</f>
        <v/>
      </c>
      <c r="AG298">
        <f>AD298*AF298</f>
        <v/>
      </c>
      <c r="AH298">
        <f>1+COUNTIF(bounds,"&lt;"&amp;ROUND(AD298,12))</f>
        <v/>
      </c>
      <c r="AI298">
        <f>1+COUNTIF(bounds,"&lt;"&amp;ROUND(AG298,12))</f>
        <v/>
      </c>
      <c r="AJ298">
        <f>IF(AF298&lt;1,1,0)</f>
        <v/>
      </c>
      <c r="AK298">
        <f>IF(AH298&lt;&gt;AI298,1,0)</f>
        <v/>
      </c>
      <c r="AL298">
        <f>IF(AND(AI298&gt;=3,AB298&lt;=0.2),1,0)</f>
        <v/>
      </c>
      <c r="AM298">
        <f>AVERAGE(W298:AB298)</f>
        <v/>
      </c>
      <c r="AN298">
        <f>1+COUNTIF(bounds,"&lt;"&amp;ROUND(AM298,12))</f>
        <v/>
      </c>
      <c r="AO298">
        <f>IF(AK298=1,AD298,NA())</f>
        <v/>
      </c>
      <c r="AP298">
        <f>IF(AK298=0,AD298,NA())</f>
        <v/>
      </c>
    </row>
    <row r="299">
      <c r="A299" t="n">
        <v>291</v>
      </c>
      <c r="B299" t="n">
        <v>4</v>
      </c>
      <c r="C299" t="n">
        <v>4</v>
      </c>
      <c r="D299" t="n">
        <v>4</v>
      </c>
      <c r="E299" t="n">
        <v>4</v>
      </c>
      <c r="F299" t="n">
        <v>2</v>
      </c>
      <c r="G299" t="n">
        <v>2</v>
      </c>
      <c r="H299" t="n">
        <v>5</v>
      </c>
      <c r="I299" t="n">
        <v>1</v>
      </c>
      <c r="J299" t="n">
        <v>1</v>
      </c>
      <c r="K299" t="n">
        <v>3</v>
      </c>
      <c r="L299" t="n">
        <v>2</v>
      </c>
      <c r="M299" t="n">
        <v>2</v>
      </c>
      <c r="N299" t="n">
        <v>1</v>
      </c>
      <c r="O299" t="n">
        <v>1</v>
      </c>
      <c r="P299" t="n">
        <v>4</v>
      </c>
      <c r="Q299" t="n">
        <v>2</v>
      </c>
      <c r="R299" t="n">
        <v>5</v>
      </c>
      <c r="S299" t="n">
        <v>5</v>
      </c>
      <c r="T299" t="n">
        <v>2</v>
      </c>
      <c r="U299" t="n">
        <v>4</v>
      </c>
      <c r="V299" t="n">
        <v>4</v>
      </c>
      <c r="W299">
        <f>(AVERAGE(B299:D299)-1)/4</f>
        <v/>
      </c>
      <c r="X299">
        <f>(AVERAGE(E299:G299)-1)/4</f>
        <v/>
      </c>
      <c r="Y299">
        <f>(AVERAGE(H299:J299)-1)/4</f>
        <v/>
      </c>
      <c r="Z299">
        <f>(AVERAGE(K299:M299)-1)/4</f>
        <v/>
      </c>
      <c r="AA299">
        <f>(AVERAGE(N299:P299)-1)/4</f>
        <v/>
      </c>
      <c r="AB299">
        <f>(AVERAGE(Q299:S299)-1)/4</f>
        <v/>
      </c>
      <c r="AC299">
        <f>(AVERAGE(T299:V299)-1)/4</f>
        <v/>
      </c>
      <c r="AD299">
        <f>AVERAGE(W299:AA299)</f>
        <v/>
      </c>
      <c r="AE299">
        <f>MIN(W299:AA299)</f>
        <v/>
      </c>
      <c r="AF299">
        <f>1-alpha*MAX(0,delta-AE299)</f>
        <v/>
      </c>
      <c r="AG299">
        <f>AD299*AF299</f>
        <v/>
      </c>
      <c r="AH299">
        <f>1+COUNTIF(bounds,"&lt;"&amp;ROUND(AD299,12))</f>
        <v/>
      </c>
      <c r="AI299">
        <f>1+COUNTIF(bounds,"&lt;"&amp;ROUND(AG299,12))</f>
        <v/>
      </c>
      <c r="AJ299">
        <f>IF(AF299&lt;1,1,0)</f>
        <v/>
      </c>
      <c r="AK299">
        <f>IF(AH299&lt;&gt;AI299,1,0)</f>
        <v/>
      </c>
      <c r="AL299">
        <f>IF(AND(AI299&gt;=3,AB299&lt;=0.2),1,0)</f>
        <v/>
      </c>
      <c r="AM299">
        <f>AVERAGE(W299:AB299)</f>
        <v/>
      </c>
      <c r="AN299">
        <f>1+COUNTIF(bounds,"&lt;"&amp;ROUND(AM299,12))</f>
        <v/>
      </c>
      <c r="AO299">
        <f>IF(AK299=1,AD299,NA())</f>
        <v/>
      </c>
      <c r="AP299">
        <f>IF(AK299=0,AD299,NA())</f>
        <v/>
      </c>
    </row>
    <row r="300">
      <c r="A300" t="n">
        <v>292</v>
      </c>
      <c r="B300" t="n">
        <v>1</v>
      </c>
      <c r="C300" t="n">
        <v>3</v>
      </c>
      <c r="D300" t="n">
        <v>3</v>
      </c>
      <c r="E300" t="n">
        <v>4</v>
      </c>
      <c r="F300" t="n">
        <v>5</v>
      </c>
      <c r="G300" t="n">
        <v>1</v>
      </c>
      <c r="H300" t="n">
        <v>4</v>
      </c>
      <c r="I300" t="n">
        <v>1</v>
      </c>
      <c r="J300" t="n">
        <v>5</v>
      </c>
      <c r="K300" t="n">
        <v>4</v>
      </c>
      <c r="L300" t="n">
        <v>4</v>
      </c>
      <c r="M300" t="n">
        <v>1</v>
      </c>
      <c r="N300" t="n">
        <v>5</v>
      </c>
      <c r="O300" t="n">
        <v>5</v>
      </c>
      <c r="P300" t="n">
        <v>5</v>
      </c>
      <c r="Q300" t="n">
        <v>3</v>
      </c>
      <c r="R300" t="n">
        <v>2</v>
      </c>
      <c r="S300" t="n">
        <v>2</v>
      </c>
      <c r="T300" t="n">
        <v>4</v>
      </c>
      <c r="U300" t="n">
        <v>3</v>
      </c>
      <c r="V300" t="n">
        <v>1</v>
      </c>
      <c r="W300">
        <f>(AVERAGE(B300:D300)-1)/4</f>
        <v/>
      </c>
      <c r="X300">
        <f>(AVERAGE(E300:G300)-1)/4</f>
        <v/>
      </c>
      <c r="Y300">
        <f>(AVERAGE(H300:J300)-1)/4</f>
        <v/>
      </c>
      <c r="Z300">
        <f>(AVERAGE(K300:M300)-1)/4</f>
        <v/>
      </c>
      <c r="AA300">
        <f>(AVERAGE(N300:P300)-1)/4</f>
        <v/>
      </c>
      <c r="AB300">
        <f>(AVERAGE(Q300:S300)-1)/4</f>
        <v/>
      </c>
      <c r="AC300">
        <f>(AVERAGE(T300:V300)-1)/4</f>
        <v/>
      </c>
      <c r="AD300">
        <f>AVERAGE(W300:AA300)</f>
        <v/>
      </c>
      <c r="AE300">
        <f>MIN(W300:AA300)</f>
        <v/>
      </c>
      <c r="AF300">
        <f>1-alpha*MAX(0,delta-AE300)</f>
        <v/>
      </c>
      <c r="AG300">
        <f>AD300*AF300</f>
        <v/>
      </c>
      <c r="AH300">
        <f>1+COUNTIF(bounds,"&lt;"&amp;ROUND(AD300,12))</f>
        <v/>
      </c>
      <c r="AI300">
        <f>1+COUNTIF(bounds,"&lt;"&amp;ROUND(AG300,12))</f>
        <v/>
      </c>
      <c r="AJ300">
        <f>IF(AF300&lt;1,1,0)</f>
        <v/>
      </c>
      <c r="AK300">
        <f>IF(AH300&lt;&gt;AI300,1,0)</f>
        <v/>
      </c>
      <c r="AL300">
        <f>IF(AND(AI300&gt;=3,AB300&lt;=0.2),1,0)</f>
        <v/>
      </c>
      <c r="AM300">
        <f>AVERAGE(W300:AB300)</f>
        <v/>
      </c>
      <c r="AN300">
        <f>1+COUNTIF(bounds,"&lt;"&amp;ROUND(AM300,12))</f>
        <v/>
      </c>
      <c r="AO300">
        <f>IF(AK300=1,AD300,NA())</f>
        <v/>
      </c>
      <c r="AP300">
        <f>IF(AK300=0,AD300,NA())</f>
        <v/>
      </c>
    </row>
    <row r="301">
      <c r="A301" t="n">
        <v>293</v>
      </c>
      <c r="B301" t="n">
        <v>1</v>
      </c>
      <c r="C301" t="n">
        <v>4</v>
      </c>
      <c r="D301" t="n">
        <v>2</v>
      </c>
      <c r="E301" t="n">
        <v>4</v>
      </c>
      <c r="F301" t="n">
        <v>5</v>
      </c>
      <c r="G301" t="n">
        <v>1</v>
      </c>
      <c r="H301" t="n">
        <v>5</v>
      </c>
      <c r="I301" t="n">
        <v>5</v>
      </c>
      <c r="J301" t="n">
        <v>1</v>
      </c>
      <c r="K301" t="n">
        <v>4</v>
      </c>
      <c r="L301" t="n">
        <v>3</v>
      </c>
      <c r="M301" t="n">
        <v>2</v>
      </c>
      <c r="N301" t="n">
        <v>5</v>
      </c>
      <c r="O301" t="n">
        <v>3</v>
      </c>
      <c r="P301" t="n">
        <v>5</v>
      </c>
      <c r="Q301" t="n">
        <v>2</v>
      </c>
      <c r="R301" t="n">
        <v>5</v>
      </c>
      <c r="S301" t="n">
        <v>3</v>
      </c>
      <c r="T301" t="n">
        <v>5</v>
      </c>
      <c r="U301" t="n">
        <v>4</v>
      </c>
      <c r="V301" t="n">
        <v>2</v>
      </c>
      <c r="W301">
        <f>(AVERAGE(B301:D301)-1)/4</f>
        <v/>
      </c>
      <c r="X301">
        <f>(AVERAGE(E301:G301)-1)/4</f>
        <v/>
      </c>
      <c r="Y301">
        <f>(AVERAGE(H301:J301)-1)/4</f>
        <v/>
      </c>
      <c r="Z301">
        <f>(AVERAGE(K301:M301)-1)/4</f>
        <v/>
      </c>
      <c r="AA301">
        <f>(AVERAGE(N301:P301)-1)/4</f>
        <v/>
      </c>
      <c r="AB301">
        <f>(AVERAGE(Q301:S301)-1)/4</f>
        <v/>
      </c>
      <c r="AC301">
        <f>(AVERAGE(T301:V301)-1)/4</f>
        <v/>
      </c>
      <c r="AD301">
        <f>AVERAGE(W301:AA301)</f>
        <v/>
      </c>
      <c r="AE301">
        <f>MIN(W301:AA301)</f>
        <v/>
      </c>
      <c r="AF301">
        <f>1-alpha*MAX(0,delta-AE301)</f>
        <v/>
      </c>
      <c r="AG301">
        <f>AD301*AF301</f>
        <v/>
      </c>
      <c r="AH301">
        <f>1+COUNTIF(bounds,"&lt;"&amp;ROUND(AD301,12))</f>
        <v/>
      </c>
      <c r="AI301">
        <f>1+COUNTIF(bounds,"&lt;"&amp;ROUND(AG301,12))</f>
        <v/>
      </c>
      <c r="AJ301">
        <f>IF(AF301&lt;1,1,0)</f>
        <v/>
      </c>
      <c r="AK301">
        <f>IF(AH301&lt;&gt;AI301,1,0)</f>
        <v/>
      </c>
      <c r="AL301">
        <f>IF(AND(AI301&gt;=3,AB301&lt;=0.2),1,0)</f>
        <v/>
      </c>
      <c r="AM301">
        <f>AVERAGE(W301:AB301)</f>
        <v/>
      </c>
      <c r="AN301">
        <f>1+COUNTIF(bounds,"&lt;"&amp;ROUND(AM301,12))</f>
        <v/>
      </c>
      <c r="AO301">
        <f>IF(AK301=1,AD301,NA())</f>
        <v/>
      </c>
      <c r="AP301">
        <f>IF(AK301=0,AD301,NA())</f>
        <v/>
      </c>
    </row>
    <row r="302">
      <c r="A302" t="n">
        <v>294</v>
      </c>
      <c r="B302" t="n">
        <v>3</v>
      </c>
      <c r="C302" t="n">
        <v>3</v>
      </c>
      <c r="D302" t="n">
        <v>4</v>
      </c>
      <c r="E302" t="n">
        <v>5</v>
      </c>
      <c r="F302" t="n">
        <v>3</v>
      </c>
      <c r="G302" t="n">
        <v>4</v>
      </c>
      <c r="H302" t="n">
        <v>1</v>
      </c>
      <c r="I302" t="n">
        <v>5</v>
      </c>
      <c r="J302" t="n">
        <v>3</v>
      </c>
      <c r="K302" t="n">
        <v>2</v>
      </c>
      <c r="L302" t="n">
        <v>3</v>
      </c>
      <c r="M302" t="n">
        <v>1</v>
      </c>
      <c r="N302" t="n">
        <v>3</v>
      </c>
      <c r="O302" t="n">
        <v>5</v>
      </c>
      <c r="P302" t="n">
        <v>3</v>
      </c>
      <c r="Q302" t="n">
        <v>2</v>
      </c>
      <c r="R302" t="n">
        <v>2</v>
      </c>
      <c r="S302" t="n">
        <v>2</v>
      </c>
      <c r="T302" t="n">
        <v>4</v>
      </c>
      <c r="U302" t="n">
        <v>3</v>
      </c>
      <c r="V302" t="n">
        <v>4</v>
      </c>
      <c r="W302">
        <f>(AVERAGE(B302:D302)-1)/4</f>
        <v/>
      </c>
      <c r="X302">
        <f>(AVERAGE(E302:G302)-1)/4</f>
        <v/>
      </c>
      <c r="Y302">
        <f>(AVERAGE(H302:J302)-1)/4</f>
        <v/>
      </c>
      <c r="Z302">
        <f>(AVERAGE(K302:M302)-1)/4</f>
        <v/>
      </c>
      <c r="AA302">
        <f>(AVERAGE(N302:P302)-1)/4</f>
        <v/>
      </c>
      <c r="AB302">
        <f>(AVERAGE(Q302:S302)-1)/4</f>
        <v/>
      </c>
      <c r="AC302">
        <f>(AVERAGE(T302:V302)-1)/4</f>
        <v/>
      </c>
      <c r="AD302">
        <f>AVERAGE(W302:AA302)</f>
        <v/>
      </c>
      <c r="AE302">
        <f>MIN(W302:AA302)</f>
        <v/>
      </c>
      <c r="AF302">
        <f>1-alpha*MAX(0,delta-AE302)</f>
        <v/>
      </c>
      <c r="AG302">
        <f>AD302*AF302</f>
        <v/>
      </c>
      <c r="AH302">
        <f>1+COUNTIF(bounds,"&lt;"&amp;ROUND(AD302,12))</f>
        <v/>
      </c>
      <c r="AI302">
        <f>1+COUNTIF(bounds,"&lt;"&amp;ROUND(AG302,12))</f>
        <v/>
      </c>
      <c r="AJ302">
        <f>IF(AF302&lt;1,1,0)</f>
        <v/>
      </c>
      <c r="AK302">
        <f>IF(AH302&lt;&gt;AI302,1,0)</f>
        <v/>
      </c>
      <c r="AL302">
        <f>IF(AND(AI302&gt;=3,AB302&lt;=0.2),1,0)</f>
        <v/>
      </c>
      <c r="AM302">
        <f>AVERAGE(W302:AB302)</f>
        <v/>
      </c>
      <c r="AN302">
        <f>1+COUNTIF(bounds,"&lt;"&amp;ROUND(AM302,12))</f>
        <v/>
      </c>
      <c r="AO302">
        <f>IF(AK302=1,AD302,NA())</f>
        <v/>
      </c>
      <c r="AP302">
        <f>IF(AK302=0,AD302,NA())</f>
        <v/>
      </c>
    </row>
    <row r="303">
      <c r="A303" t="n">
        <v>295</v>
      </c>
      <c r="B303" t="n">
        <v>5</v>
      </c>
      <c r="C303" t="n">
        <v>4</v>
      </c>
      <c r="D303" t="n">
        <v>2</v>
      </c>
      <c r="E303" t="n">
        <v>3</v>
      </c>
      <c r="F303" t="n">
        <v>1</v>
      </c>
      <c r="G303" t="n">
        <v>2</v>
      </c>
      <c r="H303" t="n">
        <v>5</v>
      </c>
      <c r="I303" t="n">
        <v>5</v>
      </c>
      <c r="J303" t="n">
        <v>4</v>
      </c>
      <c r="K303" t="n">
        <v>5</v>
      </c>
      <c r="L303" t="n">
        <v>3</v>
      </c>
      <c r="M303" t="n">
        <v>3</v>
      </c>
      <c r="N303" t="n">
        <v>4</v>
      </c>
      <c r="O303" t="n">
        <v>1</v>
      </c>
      <c r="P303" t="n">
        <v>1</v>
      </c>
      <c r="Q303" t="n">
        <v>4</v>
      </c>
      <c r="R303" t="n">
        <v>2</v>
      </c>
      <c r="S303" t="n">
        <v>5</v>
      </c>
      <c r="T303" t="n">
        <v>3</v>
      </c>
      <c r="U303" t="n">
        <v>1</v>
      </c>
      <c r="V303" t="n">
        <v>4</v>
      </c>
      <c r="W303">
        <f>(AVERAGE(B303:D303)-1)/4</f>
        <v/>
      </c>
      <c r="X303">
        <f>(AVERAGE(E303:G303)-1)/4</f>
        <v/>
      </c>
      <c r="Y303">
        <f>(AVERAGE(H303:J303)-1)/4</f>
        <v/>
      </c>
      <c r="Z303">
        <f>(AVERAGE(K303:M303)-1)/4</f>
        <v/>
      </c>
      <c r="AA303">
        <f>(AVERAGE(N303:P303)-1)/4</f>
        <v/>
      </c>
      <c r="AB303">
        <f>(AVERAGE(Q303:S303)-1)/4</f>
        <v/>
      </c>
      <c r="AC303">
        <f>(AVERAGE(T303:V303)-1)/4</f>
        <v/>
      </c>
      <c r="AD303">
        <f>AVERAGE(W303:AA303)</f>
        <v/>
      </c>
      <c r="AE303">
        <f>MIN(W303:AA303)</f>
        <v/>
      </c>
      <c r="AF303">
        <f>1-alpha*MAX(0,delta-AE303)</f>
        <v/>
      </c>
      <c r="AG303">
        <f>AD303*AF303</f>
        <v/>
      </c>
      <c r="AH303">
        <f>1+COUNTIF(bounds,"&lt;"&amp;ROUND(AD303,12))</f>
        <v/>
      </c>
      <c r="AI303">
        <f>1+COUNTIF(bounds,"&lt;"&amp;ROUND(AG303,12))</f>
        <v/>
      </c>
      <c r="AJ303">
        <f>IF(AF303&lt;1,1,0)</f>
        <v/>
      </c>
      <c r="AK303">
        <f>IF(AH303&lt;&gt;AI303,1,0)</f>
        <v/>
      </c>
      <c r="AL303">
        <f>IF(AND(AI303&gt;=3,AB303&lt;=0.2),1,0)</f>
        <v/>
      </c>
      <c r="AM303">
        <f>AVERAGE(W303:AB303)</f>
        <v/>
      </c>
      <c r="AN303">
        <f>1+COUNTIF(bounds,"&lt;"&amp;ROUND(AM303,12))</f>
        <v/>
      </c>
      <c r="AO303">
        <f>IF(AK303=1,AD303,NA())</f>
        <v/>
      </c>
      <c r="AP303">
        <f>IF(AK303=0,AD303,NA())</f>
        <v/>
      </c>
    </row>
    <row r="304">
      <c r="A304" t="n">
        <v>296</v>
      </c>
      <c r="B304" t="n">
        <v>2</v>
      </c>
      <c r="C304" t="n">
        <v>3</v>
      </c>
      <c r="D304" t="n">
        <v>2</v>
      </c>
      <c r="E304" t="n">
        <v>1</v>
      </c>
      <c r="F304" t="n">
        <v>5</v>
      </c>
      <c r="G304" t="n">
        <v>1</v>
      </c>
      <c r="H304" t="n">
        <v>5</v>
      </c>
      <c r="I304" t="n">
        <v>3</v>
      </c>
      <c r="J304" t="n">
        <v>2</v>
      </c>
      <c r="K304" t="n">
        <v>1</v>
      </c>
      <c r="L304" t="n">
        <v>2</v>
      </c>
      <c r="M304" t="n">
        <v>4</v>
      </c>
      <c r="N304" t="n">
        <v>4</v>
      </c>
      <c r="O304" t="n">
        <v>5</v>
      </c>
      <c r="P304" t="n">
        <v>2</v>
      </c>
      <c r="Q304" t="n">
        <v>1</v>
      </c>
      <c r="R304" t="n">
        <v>5</v>
      </c>
      <c r="S304" t="n">
        <v>1</v>
      </c>
      <c r="T304" t="n">
        <v>5</v>
      </c>
      <c r="U304" t="n">
        <v>5</v>
      </c>
      <c r="V304" t="n">
        <v>5</v>
      </c>
      <c r="W304">
        <f>(AVERAGE(B304:D304)-1)/4</f>
        <v/>
      </c>
      <c r="X304">
        <f>(AVERAGE(E304:G304)-1)/4</f>
        <v/>
      </c>
      <c r="Y304">
        <f>(AVERAGE(H304:J304)-1)/4</f>
        <v/>
      </c>
      <c r="Z304">
        <f>(AVERAGE(K304:M304)-1)/4</f>
        <v/>
      </c>
      <c r="AA304">
        <f>(AVERAGE(N304:P304)-1)/4</f>
        <v/>
      </c>
      <c r="AB304">
        <f>(AVERAGE(Q304:S304)-1)/4</f>
        <v/>
      </c>
      <c r="AC304">
        <f>(AVERAGE(T304:V304)-1)/4</f>
        <v/>
      </c>
      <c r="AD304">
        <f>AVERAGE(W304:AA304)</f>
        <v/>
      </c>
      <c r="AE304">
        <f>MIN(W304:AA304)</f>
        <v/>
      </c>
      <c r="AF304">
        <f>1-alpha*MAX(0,delta-AE304)</f>
        <v/>
      </c>
      <c r="AG304">
        <f>AD304*AF304</f>
        <v/>
      </c>
      <c r="AH304">
        <f>1+COUNTIF(bounds,"&lt;"&amp;ROUND(AD304,12))</f>
        <v/>
      </c>
      <c r="AI304">
        <f>1+COUNTIF(bounds,"&lt;"&amp;ROUND(AG304,12))</f>
        <v/>
      </c>
      <c r="AJ304">
        <f>IF(AF304&lt;1,1,0)</f>
        <v/>
      </c>
      <c r="AK304">
        <f>IF(AH304&lt;&gt;AI304,1,0)</f>
        <v/>
      </c>
      <c r="AL304">
        <f>IF(AND(AI304&gt;=3,AB304&lt;=0.2),1,0)</f>
        <v/>
      </c>
      <c r="AM304">
        <f>AVERAGE(W304:AB304)</f>
        <v/>
      </c>
      <c r="AN304">
        <f>1+COUNTIF(bounds,"&lt;"&amp;ROUND(AM304,12))</f>
        <v/>
      </c>
      <c r="AO304">
        <f>IF(AK304=1,AD304,NA())</f>
        <v/>
      </c>
      <c r="AP304">
        <f>IF(AK304=0,AD304,NA())</f>
        <v/>
      </c>
    </row>
    <row r="305">
      <c r="A305" t="n">
        <v>297</v>
      </c>
      <c r="B305" t="n">
        <v>4</v>
      </c>
      <c r="C305" t="n">
        <v>3</v>
      </c>
      <c r="D305" t="n">
        <v>3</v>
      </c>
      <c r="E305" t="n">
        <v>2</v>
      </c>
      <c r="F305" t="n">
        <v>4</v>
      </c>
      <c r="G305" t="n">
        <v>2</v>
      </c>
      <c r="H305" t="n">
        <v>4</v>
      </c>
      <c r="I305" t="n">
        <v>4</v>
      </c>
      <c r="J305" t="n">
        <v>3</v>
      </c>
      <c r="K305" t="n">
        <v>4</v>
      </c>
      <c r="L305" t="n">
        <v>1</v>
      </c>
      <c r="M305" t="n">
        <v>1</v>
      </c>
      <c r="N305" t="n">
        <v>5</v>
      </c>
      <c r="O305" t="n">
        <v>2</v>
      </c>
      <c r="P305" t="n">
        <v>2</v>
      </c>
      <c r="Q305" t="n">
        <v>4</v>
      </c>
      <c r="R305" t="n">
        <v>3</v>
      </c>
      <c r="S305" t="n">
        <v>1</v>
      </c>
      <c r="T305" t="n">
        <v>3</v>
      </c>
      <c r="U305" t="n">
        <v>5</v>
      </c>
      <c r="V305" t="n">
        <v>3</v>
      </c>
      <c r="W305">
        <f>(AVERAGE(B305:D305)-1)/4</f>
        <v/>
      </c>
      <c r="X305">
        <f>(AVERAGE(E305:G305)-1)/4</f>
        <v/>
      </c>
      <c r="Y305">
        <f>(AVERAGE(H305:J305)-1)/4</f>
        <v/>
      </c>
      <c r="Z305">
        <f>(AVERAGE(K305:M305)-1)/4</f>
        <v/>
      </c>
      <c r="AA305">
        <f>(AVERAGE(N305:P305)-1)/4</f>
        <v/>
      </c>
      <c r="AB305">
        <f>(AVERAGE(Q305:S305)-1)/4</f>
        <v/>
      </c>
      <c r="AC305">
        <f>(AVERAGE(T305:V305)-1)/4</f>
        <v/>
      </c>
      <c r="AD305">
        <f>AVERAGE(W305:AA305)</f>
        <v/>
      </c>
      <c r="AE305">
        <f>MIN(W305:AA305)</f>
        <v/>
      </c>
      <c r="AF305">
        <f>1-alpha*MAX(0,delta-AE305)</f>
        <v/>
      </c>
      <c r="AG305">
        <f>AD305*AF305</f>
        <v/>
      </c>
      <c r="AH305">
        <f>1+COUNTIF(bounds,"&lt;"&amp;ROUND(AD305,12))</f>
        <v/>
      </c>
      <c r="AI305">
        <f>1+COUNTIF(bounds,"&lt;"&amp;ROUND(AG305,12))</f>
        <v/>
      </c>
      <c r="AJ305">
        <f>IF(AF305&lt;1,1,0)</f>
        <v/>
      </c>
      <c r="AK305">
        <f>IF(AH305&lt;&gt;AI305,1,0)</f>
        <v/>
      </c>
      <c r="AL305">
        <f>IF(AND(AI305&gt;=3,AB305&lt;=0.2),1,0)</f>
        <v/>
      </c>
      <c r="AM305">
        <f>AVERAGE(W305:AB305)</f>
        <v/>
      </c>
      <c r="AN305">
        <f>1+COUNTIF(bounds,"&lt;"&amp;ROUND(AM305,12))</f>
        <v/>
      </c>
      <c r="AO305">
        <f>IF(AK305=1,AD305,NA())</f>
        <v/>
      </c>
      <c r="AP305">
        <f>IF(AK305=0,AD305,NA())</f>
        <v/>
      </c>
    </row>
    <row r="306">
      <c r="A306" t="n">
        <v>298</v>
      </c>
      <c r="B306" t="n">
        <v>4</v>
      </c>
      <c r="C306" t="n">
        <v>2</v>
      </c>
      <c r="D306" t="n">
        <v>5</v>
      </c>
      <c r="E306" t="n">
        <v>4</v>
      </c>
      <c r="F306" t="n">
        <v>5</v>
      </c>
      <c r="G306" t="n">
        <v>4</v>
      </c>
      <c r="H306" t="n">
        <v>4</v>
      </c>
      <c r="I306" t="n">
        <v>1</v>
      </c>
      <c r="J306" t="n">
        <v>1</v>
      </c>
      <c r="K306" t="n">
        <v>3</v>
      </c>
      <c r="L306" t="n">
        <v>2</v>
      </c>
      <c r="M306" t="n">
        <v>2</v>
      </c>
      <c r="N306" t="n">
        <v>3</v>
      </c>
      <c r="O306" t="n">
        <v>5</v>
      </c>
      <c r="P306" t="n">
        <v>1</v>
      </c>
      <c r="Q306" t="n">
        <v>1</v>
      </c>
      <c r="R306" t="n">
        <v>2</v>
      </c>
      <c r="S306" t="n">
        <v>1</v>
      </c>
      <c r="T306" t="n">
        <v>1</v>
      </c>
      <c r="U306" t="n">
        <v>4</v>
      </c>
      <c r="V306" t="n">
        <v>4</v>
      </c>
      <c r="W306">
        <f>(AVERAGE(B306:D306)-1)/4</f>
        <v/>
      </c>
      <c r="X306">
        <f>(AVERAGE(E306:G306)-1)/4</f>
        <v/>
      </c>
      <c r="Y306">
        <f>(AVERAGE(H306:J306)-1)/4</f>
        <v/>
      </c>
      <c r="Z306">
        <f>(AVERAGE(K306:M306)-1)/4</f>
        <v/>
      </c>
      <c r="AA306">
        <f>(AVERAGE(N306:P306)-1)/4</f>
        <v/>
      </c>
      <c r="AB306">
        <f>(AVERAGE(Q306:S306)-1)/4</f>
        <v/>
      </c>
      <c r="AC306">
        <f>(AVERAGE(T306:V306)-1)/4</f>
        <v/>
      </c>
      <c r="AD306">
        <f>AVERAGE(W306:AA306)</f>
        <v/>
      </c>
      <c r="AE306">
        <f>MIN(W306:AA306)</f>
        <v/>
      </c>
      <c r="AF306">
        <f>1-alpha*MAX(0,delta-AE306)</f>
        <v/>
      </c>
      <c r="AG306">
        <f>AD306*AF306</f>
        <v/>
      </c>
      <c r="AH306">
        <f>1+COUNTIF(bounds,"&lt;"&amp;ROUND(AD306,12))</f>
        <v/>
      </c>
      <c r="AI306">
        <f>1+COUNTIF(bounds,"&lt;"&amp;ROUND(AG306,12))</f>
        <v/>
      </c>
      <c r="AJ306">
        <f>IF(AF306&lt;1,1,0)</f>
        <v/>
      </c>
      <c r="AK306">
        <f>IF(AH306&lt;&gt;AI306,1,0)</f>
        <v/>
      </c>
      <c r="AL306">
        <f>IF(AND(AI306&gt;=3,AB306&lt;=0.2),1,0)</f>
        <v/>
      </c>
      <c r="AM306">
        <f>AVERAGE(W306:AB306)</f>
        <v/>
      </c>
      <c r="AN306">
        <f>1+COUNTIF(bounds,"&lt;"&amp;ROUND(AM306,12))</f>
        <v/>
      </c>
      <c r="AO306">
        <f>IF(AK306=1,AD306,NA())</f>
        <v/>
      </c>
      <c r="AP306">
        <f>IF(AK306=0,AD306,NA())</f>
        <v/>
      </c>
    </row>
    <row r="307">
      <c r="A307" t="n">
        <v>299</v>
      </c>
      <c r="B307" t="n">
        <v>4</v>
      </c>
      <c r="C307" t="n">
        <v>4</v>
      </c>
      <c r="D307" t="n">
        <v>5</v>
      </c>
      <c r="E307" t="n">
        <v>4</v>
      </c>
      <c r="F307" t="n">
        <v>3</v>
      </c>
      <c r="G307" t="n">
        <v>3</v>
      </c>
      <c r="H307" t="n">
        <v>3</v>
      </c>
      <c r="I307" t="n">
        <v>2</v>
      </c>
      <c r="J307" t="n">
        <v>3</v>
      </c>
      <c r="K307" t="n">
        <v>2</v>
      </c>
      <c r="L307" t="n">
        <v>5</v>
      </c>
      <c r="M307" t="n">
        <v>4</v>
      </c>
      <c r="N307" t="n">
        <v>3</v>
      </c>
      <c r="O307" t="n">
        <v>1</v>
      </c>
      <c r="P307" t="n">
        <v>2</v>
      </c>
      <c r="Q307" t="n">
        <v>2</v>
      </c>
      <c r="R307" t="n">
        <v>2</v>
      </c>
      <c r="S307" t="n">
        <v>4</v>
      </c>
      <c r="T307" t="n">
        <v>3</v>
      </c>
      <c r="U307" t="n">
        <v>5</v>
      </c>
      <c r="V307" t="n">
        <v>5</v>
      </c>
      <c r="W307">
        <f>(AVERAGE(B307:D307)-1)/4</f>
        <v/>
      </c>
      <c r="X307">
        <f>(AVERAGE(E307:G307)-1)/4</f>
        <v/>
      </c>
      <c r="Y307">
        <f>(AVERAGE(H307:J307)-1)/4</f>
        <v/>
      </c>
      <c r="Z307">
        <f>(AVERAGE(K307:M307)-1)/4</f>
        <v/>
      </c>
      <c r="AA307">
        <f>(AVERAGE(N307:P307)-1)/4</f>
        <v/>
      </c>
      <c r="AB307">
        <f>(AVERAGE(Q307:S307)-1)/4</f>
        <v/>
      </c>
      <c r="AC307">
        <f>(AVERAGE(T307:V307)-1)/4</f>
        <v/>
      </c>
      <c r="AD307">
        <f>AVERAGE(W307:AA307)</f>
        <v/>
      </c>
      <c r="AE307">
        <f>MIN(W307:AA307)</f>
        <v/>
      </c>
      <c r="AF307">
        <f>1-alpha*MAX(0,delta-AE307)</f>
        <v/>
      </c>
      <c r="AG307">
        <f>AD307*AF307</f>
        <v/>
      </c>
      <c r="AH307">
        <f>1+COUNTIF(bounds,"&lt;"&amp;ROUND(AD307,12))</f>
        <v/>
      </c>
      <c r="AI307">
        <f>1+COUNTIF(bounds,"&lt;"&amp;ROUND(AG307,12))</f>
        <v/>
      </c>
      <c r="AJ307">
        <f>IF(AF307&lt;1,1,0)</f>
        <v/>
      </c>
      <c r="AK307">
        <f>IF(AH307&lt;&gt;AI307,1,0)</f>
        <v/>
      </c>
      <c r="AL307">
        <f>IF(AND(AI307&gt;=3,AB307&lt;=0.2),1,0)</f>
        <v/>
      </c>
      <c r="AM307">
        <f>AVERAGE(W307:AB307)</f>
        <v/>
      </c>
      <c r="AN307">
        <f>1+COUNTIF(bounds,"&lt;"&amp;ROUND(AM307,12))</f>
        <v/>
      </c>
      <c r="AO307">
        <f>IF(AK307=1,AD307,NA())</f>
        <v/>
      </c>
      <c r="AP307">
        <f>IF(AK307=0,AD307,NA())</f>
        <v/>
      </c>
    </row>
    <row r="308">
      <c r="A308" t="n">
        <v>300</v>
      </c>
      <c r="B308" t="n">
        <v>4</v>
      </c>
      <c r="C308" t="n">
        <v>4</v>
      </c>
      <c r="D308" t="n">
        <v>4</v>
      </c>
      <c r="E308" t="n">
        <v>5</v>
      </c>
      <c r="F308" t="n">
        <v>1</v>
      </c>
      <c r="G308" t="n">
        <v>4</v>
      </c>
      <c r="H308" t="n">
        <v>5</v>
      </c>
      <c r="I308" t="n">
        <v>2</v>
      </c>
      <c r="J308" t="n">
        <v>5</v>
      </c>
      <c r="K308" t="n">
        <v>5</v>
      </c>
      <c r="L308" t="n">
        <v>5</v>
      </c>
      <c r="M308" t="n">
        <v>5</v>
      </c>
      <c r="N308" t="n">
        <v>2</v>
      </c>
      <c r="O308" t="n">
        <v>2</v>
      </c>
      <c r="P308" t="n">
        <v>2</v>
      </c>
      <c r="Q308" t="n">
        <v>1</v>
      </c>
      <c r="R308" t="n">
        <v>3</v>
      </c>
      <c r="S308" t="n">
        <v>4</v>
      </c>
      <c r="T308" t="n">
        <v>1</v>
      </c>
      <c r="U308" t="n">
        <v>2</v>
      </c>
      <c r="V308" t="n">
        <v>4</v>
      </c>
      <c r="W308">
        <f>(AVERAGE(B308:D308)-1)/4</f>
        <v/>
      </c>
      <c r="X308">
        <f>(AVERAGE(E308:G308)-1)/4</f>
        <v/>
      </c>
      <c r="Y308">
        <f>(AVERAGE(H308:J308)-1)/4</f>
        <v/>
      </c>
      <c r="Z308">
        <f>(AVERAGE(K308:M308)-1)/4</f>
        <v/>
      </c>
      <c r="AA308">
        <f>(AVERAGE(N308:P308)-1)/4</f>
        <v/>
      </c>
      <c r="AB308">
        <f>(AVERAGE(Q308:S308)-1)/4</f>
        <v/>
      </c>
      <c r="AC308">
        <f>(AVERAGE(T308:V308)-1)/4</f>
        <v/>
      </c>
      <c r="AD308">
        <f>AVERAGE(W308:AA308)</f>
        <v/>
      </c>
      <c r="AE308">
        <f>MIN(W308:AA308)</f>
        <v/>
      </c>
      <c r="AF308">
        <f>1-alpha*MAX(0,delta-AE308)</f>
        <v/>
      </c>
      <c r="AG308">
        <f>AD308*AF308</f>
        <v/>
      </c>
      <c r="AH308">
        <f>1+COUNTIF(bounds,"&lt;"&amp;ROUND(AD308,12))</f>
        <v/>
      </c>
      <c r="AI308">
        <f>1+COUNTIF(bounds,"&lt;"&amp;ROUND(AG308,12))</f>
        <v/>
      </c>
      <c r="AJ308">
        <f>IF(AF308&lt;1,1,0)</f>
        <v/>
      </c>
      <c r="AK308">
        <f>IF(AH308&lt;&gt;AI308,1,0)</f>
        <v/>
      </c>
      <c r="AL308">
        <f>IF(AND(AI308&gt;=3,AB308&lt;=0.2),1,0)</f>
        <v/>
      </c>
      <c r="AM308">
        <f>AVERAGE(W308:AB308)</f>
        <v/>
      </c>
      <c r="AN308">
        <f>1+COUNTIF(bounds,"&lt;"&amp;ROUND(AM308,12))</f>
        <v/>
      </c>
      <c r="AO308">
        <f>IF(AK308=1,AD308,NA())</f>
        <v/>
      </c>
      <c r="AP308">
        <f>IF(AK308=0,AD308,NA())</f>
        <v/>
      </c>
    </row>
    <row r="309">
      <c r="A309" t="n">
        <v>301</v>
      </c>
      <c r="B309" t="n">
        <v>4</v>
      </c>
      <c r="C309" t="n">
        <v>5</v>
      </c>
      <c r="D309" t="n">
        <v>3</v>
      </c>
      <c r="E309" t="n">
        <v>1</v>
      </c>
      <c r="F309" t="n">
        <v>3</v>
      </c>
      <c r="G309" t="n">
        <v>5</v>
      </c>
      <c r="H309" t="n">
        <v>1</v>
      </c>
      <c r="I309" t="n">
        <v>4</v>
      </c>
      <c r="J309" t="n">
        <v>1</v>
      </c>
      <c r="K309" t="n">
        <v>1</v>
      </c>
      <c r="L309" t="n">
        <v>4</v>
      </c>
      <c r="M309" t="n">
        <v>5</v>
      </c>
      <c r="N309" t="n">
        <v>1</v>
      </c>
      <c r="O309" t="n">
        <v>5</v>
      </c>
      <c r="P309" t="n">
        <v>2</v>
      </c>
      <c r="Q309" t="n">
        <v>3</v>
      </c>
      <c r="R309" t="n">
        <v>3</v>
      </c>
      <c r="S309" t="n">
        <v>2</v>
      </c>
      <c r="T309" t="n">
        <v>3</v>
      </c>
      <c r="U309" t="n">
        <v>4</v>
      </c>
      <c r="V309" t="n">
        <v>4</v>
      </c>
      <c r="W309">
        <f>(AVERAGE(B309:D309)-1)/4</f>
        <v/>
      </c>
      <c r="X309">
        <f>(AVERAGE(E309:G309)-1)/4</f>
        <v/>
      </c>
      <c r="Y309">
        <f>(AVERAGE(H309:J309)-1)/4</f>
        <v/>
      </c>
      <c r="Z309">
        <f>(AVERAGE(K309:M309)-1)/4</f>
        <v/>
      </c>
      <c r="AA309">
        <f>(AVERAGE(N309:P309)-1)/4</f>
        <v/>
      </c>
      <c r="AB309">
        <f>(AVERAGE(Q309:S309)-1)/4</f>
        <v/>
      </c>
      <c r="AC309">
        <f>(AVERAGE(T309:V309)-1)/4</f>
        <v/>
      </c>
      <c r="AD309">
        <f>AVERAGE(W309:AA309)</f>
        <v/>
      </c>
      <c r="AE309">
        <f>MIN(W309:AA309)</f>
        <v/>
      </c>
      <c r="AF309">
        <f>1-alpha*MAX(0,delta-AE309)</f>
        <v/>
      </c>
      <c r="AG309">
        <f>AD309*AF309</f>
        <v/>
      </c>
      <c r="AH309">
        <f>1+COUNTIF(bounds,"&lt;"&amp;ROUND(AD309,12))</f>
        <v/>
      </c>
      <c r="AI309">
        <f>1+COUNTIF(bounds,"&lt;"&amp;ROUND(AG309,12))</f>
        <v/>
      </c>
      <c r="AJ309">
        <f>IF(AF309&lt;1,1,0)</f>
        <v/>
      </c>
      <c r="AK309">
        <f>IF(AH309&lt;&gt;AI309,1,0)</f>
        <v/>
      </c>
      <c r="AL309">
        <f>IF(AND(AI309&gt;=3,AB309&lt;=0.2),1,0)</f>
        <v/>
      </c>
      <c r="AM309">
        <f>AVERAGE(W309:AB309)</f>
        <v/>
      </c>
      <c r="AN309">
        <f>1+COUNTIF(bounds,"&lt;"&amp;ROUND(AM309,12))</f>
        <v/>
      </c>
      <c r="AO309">
        <f>IF(AK309=1,AD309,NA())</f>
        <v/>
      </c>
      <c r="AP309">
        <f>IF(AK309=0,AD309,NA())</f>
        <v/>
      </c>
    </row>
    <row r="310">
      <c r="A310" t="n">
        <v>302</v>
      </c>
      <c r="B310" t="n">
        <v>2</v>
      </c>
      <c r="C310" t="n">
        <v>1</v>
      </c>
      <c r="D310" t="n">
        <v>5</v>
      </c>
      <c r="E310" t="n">
        <v>5</v>
      </c>
      <c r="F310" t="n">
        <v>4</v>
      </c>
      <c r="G310" t="n">
        <v>1</v>
      </c>
      <c r="H310" t="n">
        <v>1</v>
      </c>
      <c r="I310" t="n">
        <v>4</v>
      </c>
      <c r="J310" t="n">
        <v>3</v>
      </c>
      <c r="K310" t="n">
        <v>4</v>
      </c>
      <c r="L310" t="n">
        <v>4</v>
      </c>
      <c r="M310" t="n">
        <v>1</v>
      </c>
      <c r="N310" t="n">
        <v>2</v>
      </c>
      <c r="O310" t="n">
        <v>2</v>
      </c>
      <c r="P310" t="n">
        <v>3</v>
      </c>
      <c r="Q310" t="n">
        <v>4</v>
      </c>
      <c r="R310" t="n">
        <v>1</v>
      </c>
      <c r="S310" t="n">
        <v>5</v>
      </c>
      <c r="T310" t="n">
        <v>5</v>
      </c>
      <c r="U310" t="n">
        <v>3</v>
      </c>
      <c r="V310" t="n">
        <v>3</v>
      </c>
      <c r="W310">
        <f>(AVERAGE(B310:D310)-1)/4</f>
        <v/>
      </c>
      <c r="X310">
        <f>(AVERAGE(E310:G310)-1)/4</f>
        <v/>
      </c>
      <c r="Y310">
        <f>(AVERAGE(H310:J310)-1)/4</f>
        <v/>
      </c>
      <c r="Z310">
        <f>(AVERAGE(K310:M310)-1)/4</f>
        <v/>
      </c>
      <c r="AA310">
        <f>(AVERAGE(N310:P310)-1)/4</f>
        <v/>
      </c>
      <c r="AB310">
        <f>(AVERAGE(Q310:S310)-1)/4</f>
        <v/>
      </c>
      <c r="AC310">
        <f>(AVERAGE(T310:V310)-1)/4</f>
        <v/>
      </c>
      <c r="AD310">
        <f>AVERAGE(W310:AA310)</f>
        <v/>
      </c>
      <c r="AE310">
        <f>MIN(W310:AA310)</f>
        <v/>
      </c>
      <c r="AF310">
        <f>1-alpha*MAX(0,delta-AE310)</f>
        <v/>
      </c>
      <c r="AG310">
        <f>AD310*AF310</f>
        <v/>
      </c>
      <c r="AH310">
        <f>1+COUNTIF(bounds,"&lt;"&amp;ROUND(AD310,12))</f>
        <v/>
      </c>
      <c r="AI310">
        <f>1+COUNTIF(bounds,"&lt;"&amp;ROUND(AG310,12))</f>
        <v/>
      </c>
      <c r="AJ310">
        <f>IF(AF310&lt;1,1,0)</f>
        <v/>
      </c>
      <c r="AK310">
        <f>IF(AH310&lt;&gt;AI310,1,0)</f>
        <v/>
      </c>
      <c r="AL310">
        <f>IF(AND(AI310&gt;=3,AB310&lt;=0.2),1,0)</f>
        <v/>
      </c>
      <c r="AM310">
        <f>AVERAGE(W310:AB310)</f>
        <v/>
      </c>
      <c r="AN310">
        <f>1+COUNTIF(bounds,"&lt;"&amp;ROUND(AM310,12))</f>
        <v/>
      </c>
      <c r="AO310">
        <f>IF(AK310=1,AD310,NA())</f>
        <v/>
      </c>
      <c r="AP310">
        <f>IF(AK310=0,AD310,NA())</f>
        <v/>
      </c>
    </row>
    <row r="311">
      <c r="A311" t="n">
        <v>303</v>
      </c>
      <c r="B311" t="n">
        <v>1</v>
      </c>
      <c r="C311" t="n">
        <v>5</v>
      </c>
      <c r="D311" t="n">
        <v>2</v>
      </c>
      <c r="E311" t="n">
        <v>4</v>
      </c>
      <c r="F311" t="n">
        <v>2</v>
      </c>
      <c r="G311" t="n">
        <v>4</v>
      </c>
      <c r="H311" t="n">
        <v>2</v>
      </c>
      <c r="I311" t="n">
        <v>5</v>
      </c>
      <c r="J311" t="n">
        <v>5</v>
      </c>
      <c r="K311" t="n">
        <v>5</v>
      </c>
      <c r="L311" t="n">
        <v>4</v>
      </c>
      <c r="M311" t="n">
        <v>3</v>
      </c>
      <c r="N311" t="n">
        <v>4</v>
      </c>
      <c r="O311" t="n">
        <v>3</v>
      </c>
      <c r="P311" t="n">
        <v>1</v>
      </c>
      <c r="Q311" t="n">
        <v>1</v>
      </c>
      <c r="R311" t="n">
        <v>5</v>
      </c>
      <c r="S311" t="n">
        <v>1</v>
      </c>
      <c r="T311" t="n">
        <v>1</v>
      </c>
      <c r="U311" t="n">
        <v>5</v>
      </c>
      <c r="V311" t="n">
        <v>3</v>
      </c>
      <c r="W311">
        <f>(AVERAGE(B311:D311)-1)/4</f>
        <v/>
      </c>
      <c r="X311">
        <f>(AVERAGE(E311:G311)-1)/4</f>
        <v/>
      </c>
      <c r="Y311">
        <f>(AVERAGE(H311:J311)-1)/4</f>
        <v/>
      </c>
      <c r="Z311">
        <f>(AVERAGE(K311:M311)-1)/4</f>
        <v/>
      </c>
      <c r="AA311">
        <f>(AVERAGE(N311:P311)-1)/4</f>
        <v/>
      </c>
      <c r="AB311">
        <f>(AVERAGE(Q311:S311)-1)/4</f>
        <v/>
      </c>
      <c r="AC311">
        <f>(AVERAGE(T311:V311)-1)/4</f>
        <v/>
      </c>
      <c r="AD311">
        <f>AVERAGE(W311:AA311)</f>
        <v/>
      </c>
      <c r="AE311">
        <f>MIN(W311:AA311)</f>
        <v/>
      </c>
      <c r="AF311">
        <f>1-alpha*MAX(0,delta-AE311)</f>
        <v/>
      </c>
      <c r="AG311">
        <f>AD311*AF311</f>
        <v/>
      </c>
      <c r="AH311">
        <f>1+COUNTIF(bounds,"&lt;"&amp;ROUND(AD311,12))</f>
        <v/>
      </c>
      <c r="AI311">
        <f>1+COUNTIF(bounds,"&lt;"&amp;ROUND(AG311,12))</f>
        <v/>
      </c>
      <c r="AJ311">
        <f>IF(AF311&lt;1,1,0)</f>
        <v/>
      </c>
      <c r="AK311">
        <f>IF(AH311&lt;&gt;AI311,1,0)</f>
        <v/>
      </c>
      <c r="AL311">
        <f>IF(AND(AI311&gt;=3,AB311&lt;=0.2),1,0)</f>
        <v/>
      </c>
      <c r="AM311">
        <f>AVERAGE(W311:AB311)</f>
        <v/>
      </c>
      <c r="AN311">
        <f>1+COUNTIF(bounds,"&lt;"&amp;ROUND(AM311,12))</f>
        <v/>
      </c>
      <c r="AO311">
        <f>IF(AK311=1,AD311,NA())</f>
        <v/>
      </c>
      <c r="AP311">
        <f>IF(AK311=0,AD311,NA())</f>
        <v/>
      </c>
    </row>
    <row r="312">
      <c r="A312" t="n">
        <v>304</v>
      </c>
      <c r="B312" t="n">
        <v>5</v>
      </c>
      <c r="C312" t="n">
        <v>1</v>
      </c>
      <c r="D312" t="n">
        <v>2</v>
      </c>
      <c r="E312" t="n">
        <v>4</v>
      </c>
      <c r="F312" t="n">
        <v>2</v>
      </c>
      <c r="G312" t="n">
        <v>3</v>
      </c>
      <c r="H312" t="n">
        <v>5</v>
      </c>
      <c r="I312" t="n">
        <v>1</v>
      </c>
      <c r="J312" t="n">
        <v>3</v>
      </c>
      <c r="K312" t="n">
        <v>3</v>
      </c>
      <c r="L312" t="n">
        <v>4</v>
      </c>
      <c r="M312" t="n">
        <v>1</v>
      </c>
      <c r="N312" t="n">
        <v>1</v>
      </c>
      <c r="O312" t="n">
        <v>2</v>
      </c>
      <c r="P312" t="n">
        <v>2</v>
      </c>
      <c r="Q312" t="n">
        <v>3</v>
      </c>
      <c r="R312" t="n">
        <v>5</v>
      </c>
      <c r="S312" t="n">
        <v>2</v>
      </c>
      <c r="T312" t="n">
        <v>2</v>
      </c>
      <c r="U312" t="n">
        <v>4</v>
      </c>
      <c r="V312" t="n">
        <v>1</v>
      </c>
      <c r="W312">
        <f>(AVERAGE(B312:D312)-1)/4</f>
        <v/>
      </c>
      <c r="X312">
        <f>(AVERAGE(E312:G312)-1)/4</f>
        <v/>
      </c>
      <c r="Y312">
        <f>(AVERAGE(H312:J312)-1)/4</f>
        <v/>
      </c>
      <c r="Z312">
        <f>(AVERAGE(K312:M312)-1)/4</f>
        <v/>
      </c>
      <c r="AA312">
        <f>(AVERAGE(N312:P312)-1)/4</f>
        <v/>
      </c>
      <c r="AB312">
        <f>(AVERAGE(Q312:S312)-1)/4</f>
        <v/>
      </c>
      <c r="AC312">
        <f>(AVERAGE(T312:V312)-1)/4</f>
        <v/>
      </c>
      <c r="AD312">
        <f>AVERAGE(W312:AA312)</f>
        <v/>
      </c>
      <c r="AE312">
        <f>MIN(W312:AA312)</f>
        <v/>
      </c>
      <c r="AF312">
        <f>1-alpha*MAX(0,delta-AE312)</f>
        <v/>
      </c>
      <c r="AG312">
        <f>AD312*AF312</f>
        <v/>
      </c>
      <c r="AH312">
        <f>1+COUNTIF(bounds,"&lt;"&amp;ROUND(AD312,12))</f>
        <v/>
      </c>
      <c r="AI312">
        <f>1+COUNTIF(bounds,"&lt;"&amp;ROUND(AG312,12))</f>
        <v/>
      </c>
      <c r="AJ312">
        <f>IF(AF312&lt;1,1,0)</f>
        <v/>
      </c>
      <c r="AK312">
        <f>IF(AH312&lt;&gt;AI312,1,0)</f>
        <v/>
      </c>
      <c r="AL312">
        <f>IF(AND(AI312&gt;=3,AB312&lt;=0.2),1,0)</f>
        <v/>
      </c>
      <c r="AM312">
        <f>AVERAGE(W312:AB312)</f>
        <v/>
      </c>
      <c r="AN312">
        <f>1+COUNTIF(bounds,"&lt;"&amp;ROUND(AM312,12))</f>
        <v/>
      </c>
      <c r="AO312">
        <f>IF(AK312=1,AD312,NA())</f>
        <v/>
      </c>
      <c r="AP312">
        <f>IF(AK312=0,AD312,NA())</f>
        <v/>
      </c>
    </row>
    <row r="313">
      <c r="A313" t="n">
        <v>305</v>
      </c>
      <c r="B313" t="n">
        <v>4</v>
      </c>
      <c r="C313" t="n">
        <v>2</v>
      </c>
      <c r="D313" t="n">
        <v>3</v>
      </c>
      <c r="E313" t="n">
        <v>1</v>
      </c>
      <c r="F313" t="n">
        <v>5</v>
      </c>
      <c r="G313" t="n">
        <v>5</v>
      </c>
      <c r="H313" t="n">
        <v>3</v>
      </c>
      <c r="I313" t="n">
        <v>1</v>
      </c>
      <c r="J313" t="n">
        <v>2</v>
      </c>
      <c r="K313" t="n">
        <v>3</v>
      </c>
      <c r="L313" t="n">
        <v>2</v>
      </c>
      <c r="M313" t="n">
        <v>2</v>
      </c>
      <c r="N313" t="n">
        <v>1</v>
      </c>
      <c r="O313" t="n">
        <v>2</v>
      </c>
      <c r="P313" t="n">
        <v>4</v>
      </c>
      <c r="Q313" t="n">
        <v>4</v>
      </c>
      <c r="R313" t="n">
        <v>2</v>
      </c>
      <c r="S313" t="n">
        <v>3</v>
      </c>
      <c r="T313" t="n">
        <v>2</v>
      </c>
      <c r="U313" t="n">
        <v>3</v>
      </c>
      <c r="V313" t="n">
        <v>5</v>
      </c>
      <c r="W313">
        <f>(AVERAGE(B313:D313)-1)/4</f>
        <v/>
      </c>
      <c r="X313">
        <f>(AVERAGE(E313:G313)-1)/4</f>
        <v/>
      </c>
      <c r="Y313">
        <f>(AVERAGE(H313:J313)-1)/4</f>
        <v/>
      </c>
      <c r="Z313">
        <f>(AVERAGE(K313:M313)-1)/4</f>
        <v/>
      </c>
      <c r="AA313">
        <f>(AVERAGE(N313:P313)-1)/4</f>
        <v/>
      </c>
      <c r="AB313">
        <f>(AVERAGE(Q313:S313)-1)/4</f>
        <v/>
      </c>
      <c r="AC313">
        <f>(AVERAGE(T313:V313)-1)/4</f>
        <v/>
      </c>
      <c r="AD313">
        <f>AVERAGE(W313:AA313)</f>
        <v/>
      </c>
      <c r="AE313">
        <f>MIN(W313:AA313)</f>
        <v/>
      </c>
      <c r="AF313">
        <f>1-alpha*MAX(0,delta-AE313)</f>
        <v/>
      </c>
      <c r="AG313">
        <f>AD313*AF313</f>
        <v/>
      </c>
      <c r="AH313">
        <f>1+COUNTIF(bounds,"&lt;"&amp;ROUND(AD313,12))</f>
        <v/>
      </c>
      <c r="AI313">
        <f>1+COUNTIF(bounds,"&lt;"&amp;ROUND(AG313,12))</f>
        <v/>
      </c>
      <c r="AJ313">
        <f>IF(AF313&lt;1,1,0)</f>
        <v/>
      </c>
      <c r="AK313">
        <f>IF(AH313&lt;&gt;AI313,1,0)</f>
        <v/>
      </c>
      <c r="AL313">
        <f>IF(AND(AI313&gt;=3,AB313&lt;=0.2),1,0)</f>
        <v/>
      </c>
      <c r="AM313">
        <f>AVERAGE(W313:AB313)</f>
        <v/>
      </c>
      <c r="AN313">
        <f>1+COUNTIF(bounds,"&lt;"&amp;ROUND(AM313,12))</f>
        <v/>
      </c>
      <c r="AO313">
        <f>IF(AK313=1,AD313,NA())</f>
        <v/>
      </c>
      <c r="AP313">
        <f>IF(AK313=0,AD313,NA())</f>
        <v/>
      </c>
    </row>
    <row r="314">
      <c r="A314" t="n">
        <v>306</v>
      </c>
      <c r="B314" t="n">
        <v>2</v>
      </c>
      <c r="C314" t="n">
        <v>1</v>
      </c>
      <c r="D314" t="n">
        <v>5</v>
      </c>
      <c r="E314" t="n">
        <v>4</v>
      </c>
      <c r="F314" t="n">
        <v>4</v>
      </c>
      <c r="G314" t="n">
        <v>4</v>
      </c>
      <c r="H314" t="n">
        <v>5</v>
      </c>
      <c r="I314" t="n">
        <v>1</v>
      </c>
      <c r="J314" t="n">
        <v>1</v>
      </c>
      <c r="K314" t="n">
        <v>3</v>
      </c>
      <c r="L314" t="n">
        <v>5</v>
      </c>
      <c r="M314" t="n">
        <v>2</v>
      </c>
      <c r="N314" t="n">
        <v>1</v>
      </c>
      <c r="O314" t="n">
        <v>3</v>
      </c>
      <c r="P314" t="n">
        <v>2</v>
      </c>
      <c r="Q314" t="n">
        <v>4</v>
      </c>
      <c r="R314" t="n">
        <v>5</v>
      </c>
      <c r="S314" t="n">
        <v>4</v>
      </c>
      <c r="T314" t="n">
        <v>4</v>
      </c>
      <c r="U314" t="n">
        <v>3</v>
      </c>
      <c r="V314" t="n">
        <v>4</v>
      </c>
      <c r="W314">
        <f>(AVERAGE(B314:D314)-1)/4</f>
        <v/>
      </c>
      <c r="X314">
        <f>(AVERAGE(E314:G314)-1)/4</f>
        <v/>
      </c>
      <c r="Y314">
        <f>(AVERAGE(H314:J314)-1)/4</f>
        <v/>
      </c>
      <c r="Z314">
        <f>(AVERAGE(K314:M314)-1)/4</f>
        <v/>
      </c>
      <c r="AA314">
        <f>(AVERAGE(N314:P314)-1)/4</f>
        <v/>
      </c>
      <c r="AB314">
        <f>(AVERAGE(Q314:S314)-1)/4</f>
        <v/>
      </c>
      <c r="AC314">
        <f>(AVERAGE(T314:V314)-1)/4</f>
        <v/>
      </c>
      <c r="AD314">
        <f>AVERAGE(W314:AA314)</f>
        <v/>
      </c>
      <c r="AE314">
        <f>MIN(W314:AA314)</f>
        <v/>
      </c>
      <c r="AF314">
        <f>1-alpha*MAX(0,delta-AE314)</f>
        <v/>
      </c>
      <c r="AG314">
        <f>AD314*AF314</f>
        <v/>
      </c>
      <c r="AH314">
        <f>1+COUNTIF(bounds,"&lt;"&amp;ROUND(AD314,12))</f>
        <v/>
      </c>
      <c r="AI314">
        <f>1+COUNTIF(bounds,"&lt;"&amp;ROUND(AG314,12))</f>
        <v/>
      </c>
      <c r="AJ314">
        <f>IF(AF314&lt;1,1,0)</f>
        <v/>
      </c>
      <c r="AK314">
        <f>IF(AH314&lt;&gt;AI314,1,0)</f>
        <v/>
      </c>
      <c r="AL314">
        <f>IF(AND(AI314&gt;=3,AB314&lt;=0.2),1,0)</f>
        <v/>
      </c>
      <c r="AM314">
        <f>AVERAGE(W314:AB314)</f>
        <v/>
      </c>
      <c r="AN314">
        <f>1+COUNTIF(bounds,"&lt;"&amp;ROUND(AM314,12))</f>
        <v/>
      </c>
      <c r="AO314">
        <f>IF(AK314=1,AD314,NA())</f>
        <v/>
      </c>
      <c r="AP314">
        <f>IF(AK314=0,AD314,NA())</f>
        <v/>
      </c>
    </row>
    <row r="315">
      <c r="A315" t="n">
        <v>307</v>
      </c>
      <c r="B315" t="n">
        <v>3</v>
      </c>
      <c r="C315" t="n">
        <v>4</v>
      </c>
      <c r="D315" t="n">
        <v>2</v>
      </c>
      <c r="E315" t="n">
        <v>3</v>
      </c>
      <c r="F315" t="n">
        <v>2</v>
      </c>
      <c r="G315" t="n">
        <v>3</v>
      </c>
      <c r="H315" t="n">
        <v>3</v>
      </c>
      <c r="I315" t="n">
        <v>2</v>
      </c>
      <c r="J315" t="n">
        <v>5</v>
      </c>
      <c r="K315" t="n">
        <v>4</v>
      </c>
      <c r="L315" t="n">
        <v>2</v>
      </c>
      <c r="M315" t="n">
        <v>1</v>
      </c>
      <c r="N315" t="n">
        <v>1</v>
      </c>
      <c r="O315" t="n">
        <v>2</v>
      </c>
      <c r="P315" t="n">
        <v>4</v>
      </c>
      <c r="Q315" t="n">
        <v>1</v>
      </c>
      <c r="R315" t="n">
        <v>5</v>
      </c>
      <c r="S315" t="n">
        <v>5</v>
      </c>
      <c r="T315" t="n">
        <v>4</v>
      </c>
      <c r="U315" t="n">
        <v>2</v>
      </c>
      <c r="V315" t="n">
        <v>3</v>
      </c>
      <c r="W315">
        <f>(AVERAGE(B315:D315)-1)/4</f>
        <v/>
      </c>
      <c r="X315">
        <f>(AVERAGE(E315:G315)-1)/4</f>
        <v/>
      </c>
      <c r="Y315">
        <f>(AVERAGE(H315:J315)-1)/4</f>
        <v/>
      </c>
      <c r="Z315">
        <f>(AVERAGE(K315:M315)-1)/4</f>
        <v/>
      </c>
      <c r="AA315">
        <f>(AVERAGE(N315:P315)-1)/4</f>
        <v/>
      </c>
      <c r="AB315">
        <f>(AVERAGE(Q315:S315)-1)/4</f>
        <v/>
      </c>
      <c r="AC315">
        <f>(AVERAGE(T315:V315)-1)/4</f>
        <v/>
      </c>
      <c r="AD315">
        <f>AVERAGE(W315:AA315)</f>
        <v/>
      </c>
      <c r="AE315">
        <f>MIN(W315:AA315)</f>
        <v/>
      </c>
      <c r="AF315">
        <f>1-alpha*MAX(0,delta-AE315)</f>
        <v/>
      </c>
      <c r="AG315">
        <f>AD315*AF315</f>
        <v/>
      </c>
      <c r="AH315">
        <f>1+COUNTIF(bounds,"&lt;"&amp;ROUND(AD315,12))</f>
        <v/>
      </c>
      <c r="AI315">
        <f>1+COUNTIF(bounds,"&lt;"&amp;ROUND(AG315,12))</f>
        <v/>
      </c>
      <c r="AJ315">
        <f>IF(AF315&lt;1,1,0)</f>
        <v/>
      </c>
      <c r="AK315">
        <f>IF(AH315&lt;&gt;AI315,1,0)</f>
        <v/>
      </c>
      <c r="AL315">
        <f>IF(AND(AI315&gt;=3,AB315&lt;=0.2),1,0)</f>
        <v/>
      </c>
      <c r="AM315">
        <f>AVERAGE(W315:AB315)</f>
        <v/>
      </c>
      <c r="AN315">
        <f>1+COUNTIF(bounds,"&lt;"&amp;ROUND(AM315,12))</f>
        <v/>
      </c>
      <c r="AO315">
        <f>IF(AK315=1,AD315,NA())</f>
        <v/>
      </c>
      <c r="AP315">
        <f>IF(AK315=0,AD315,NA())</f>
        <v/>
      </c>
    </row>
    <row r="316">
      <c r="A316" t="n">
        <v>308</v>
      </c>
      <c r="B316" t="n">
        <v>3</v>
      </c>
      <c r="C316" t="n">
        <v>5</v>
      </c>
      <c r="D316" t="n">
        <v>5</v>
      </c>
      <c r="E316" t="n">
        <v>5</v>
      </c>
      <c r="F316" t="n">
        <v>1</v>
      </c>
      <c r="G316" t="n">
        <v>1</v>
      </c>
      <c r="H316" t="n">
        <v>2</v>
      </c>
      <c r="I316" t="n">
        <v>3</v>
      </c>
      <c r="J316" t="n">
        <v>2</v>
      </c>
      <c r="K316" t="n">
        <v>3</v>
      </c>
      <c r="L316" t="n">
        <v>4</v>
      </c>
      <c r="M316" t="n">
        <v>5</v>
      </c>
      <c r="N316" t="n">
        <v>5</v>
      </c>
      <c r="O316" t="n">
        <v>2</v>
      </c>
      <c r="P316" t="n">
        <v>1</v>
      </c>
      <c r="Q316" t="n">
        <v>4</v>
      </c>
      <c r="R316" t="n">
        <v>3</v>
      </c>
      <c r="S316" t="n">
        <v>3</v>
      </c>
      <c r="T316" t="n">
        <v>4</v>
      </c>
      <c r="U316" t="n">
        <v>3</v>
      </c>
      <c r="V316" t="n">
        <v>1</v>
      </c>
      <c r="W316">
        <f>(AVERAGE(B316:D316)-1)/4</f>
        <v/>
      </c>
      <c r="X316">
        <f>(AVERAGE(E316:G316)-1)/4</f>
        <v/>
      </c>
      <c r="Y316">
        <f>(AVERAGE(H316:J316)-1)/4</f>
        <v/>
      </c>
      <c r="Z316">
        <f>(AVERAGE(K316:M316)-1)/4</f>
        <v/>
      </c>
      <c r="AA316">
        <f>(AVERAGE(N316:P316)-1)/4</f>
        <v/>
      </c>
      <c r="AB316">
        <f>(AVERAGE(Q316:S316)-1)/4</f>
        <v/>
      </c>
      <c r="AC316">
        <f>(AVERAGE(T316:V316)-1)/4</f>
        <v/>
      </c>
      <c r="AD316">
        <f>AVERAGE(W316:AA316)</f>
        <v/>
      </c>
      <c r="AE316">
        <f>MIN(W316:AA316)</f>
        <v/>
      </c>
      <c r="AF316">
        <f>1-alpha*MAX(0,delta-AE316)</f>
        <v/>
      </c>
      <c r="AG316">
        <f>AD316*AF316</f>
        <v/>
      </c>
      <c r="AH316">
        <f>1+COUNTIF(bounds,"&lt;"&amp;ROUND(AD316,12))</f>
        <v/>
      </c>
      <c r="AI316">
        <f>1+COUNTIF(bounds,"&lt;"&amp;ROUND(AG316,12))</f>
        <v/>
      </c>
      <c r="AJ316">
        <f>IF(AF316&lt;1,1,0)</f>
        <v/>
      </c>
      <c r="AK316">
        <f>IF(AH316&lt;&gt;AI316,1,0)</f>
        <v/>
      </c>
      <c r="AL316">
        <f>IF(AND(AI316&gt;=3,AB316&lt;=0.2),1,0)</f>
        <v/>
      </c>
      <c r="AM316">
        <f>AVERAGE(W316:AB316)</f>
        <v/>
      </c>
      <c r="AN316">
        <f>1+COUNTIF(bounds,"&lt;"&amp;ROUND(AM316,12))</f>
        <v/>
      </c>
      <c r="AO316">
        <f>IF(AK316=1,AD316,NA())</f>
        <v/>
      </c>
      <c r="AP316">
        <f>IF(AK316=0,AD316,NA())</f>
        <v/>
      </c>
    </row>
    <row r="317">
      <c r="A317" t="n">
        <v>309</v>
      </c>
      <c r="B317" t="n">
        <v>3</v>
      </c>
      <c r="C317" t="n">
        <v>4</v>
      </c>
      <c r="D317" t="n">
        <v>1</v>
      </c>
      <c r="E317" t="n">
        <v>1</v>
      </c>
      <c r="F317" t="n">
        <v>3</v>
      </c>
      <c r="G317" t="n">
        <v>3</v>
      </c>
      <c r="H317" t="n">
        <v>3</v>
      </c>
      <c r="I317" t="n">
        <v>3</v>
      </c>
      <c r="J317" t="n">
        <v>5</v>
      </c>
      <c r="K317" t="n">
        <v>4</v>
      </c>
      <c r="L317" t="n">
        <v>5</v>
      </c>
      <c r="M317" t="n">
        <v>2</v>
      </c>
      <c r="N317" t="n">
        <v>4</v>
      </c>
      <c r="O317" t="n">
        <v>2</v>
      </c>
      <c r="P317" t="n">
        <v>2</v>
      </c>
      <c r="Q317" t="n">
        <v>3</v>
      </c>
      <c r="R317" t="n">
        <v>3</v>
      </c>
      <c r="S317" t="n">
        <v>1</v>
      </c>
      <c r="T317" t="n">
        <v>2</v>
      </c>
      <c r="U317" t="n">
        <v>4</v>
      </c>
      <c r="V317" t="n">
        <v>2</v>
      </c>
      <c r="W317">
        <f>(AVERAGE(B317:D317)-1)/4</f>
        <v/>
      </c>
      <c r="X317">
        <f>(AVERAGE(E317:G317)-1)/4</f>
        <v/>
      </c>
      <c r="Y317">
        <f>(AVERAGE(H317:J317)-1)/4</f>
        <v/>
      </c>
      <c r="Z317">
        <f>(AVERAGE(K317:M317)-1)/4</f>
        <v/>
      </c>
      <c r="AA317">
        <f>(AVERAGE(N317:P317)-1)/4</f>
        <v/>
      </c>
      <c r="AB317">
        <f>(AVERAGE(Q317:S317)-1)/4</f>
        <v/>
      </c>
      <c r="AC317">
        <f>(AVERAGE(T317:V317)-1)/4</f>
        <v/>
      </c>
      <c r="AD317">
        <f>AVERAGE(W317:AA317)</f>
        <v/>
      </c>
      <c r="AE317">
        <f>MIN(W317:AA317)</f>
        <v/>
      </c>
      <c r="AF317">
        <f>1-alpha*MAX(0,delta-AE317)</f>
        <v/>
      </c>
      <c r="AG317">
        <f>AD317*AF317</f>
        <v/>
      </c>
      <c r="AH317">
        <f>1+COUNTIF(bounds,"&lt;"&amp;ROUND(AD317,12))</f>
        <v/>
      </c>
      <c r="AI317">
        <f>1+COUNTIF(bounds,"&lt;"&amp;ROUND(AG317,12))</f>
        <v/>
      </c>
      <c r="AJ317">
        <f>IF(AF317&lt;1,1,0)</f>
        <v/>
      </c>
      <c r="AK317">
        <f>IF(AH317&lt;&gt;AI317,1,0)</f>
        <v/>
      </c>
      <c r="AL317">
        <f>IF(AND(AI317&gt;=3,AB317&lt;=0.2),1,0)</f>
        <v/>
      </c>
      <c r="AM317">
        <f>AVERAGE(W317:AB317)</f>
        <v/>
      </c>
      <c r="AN317">
        <f>1+COUNTIF(bounds,"&lt;"&amp;ROUND(AM317,12))</f>
        <v/>
      </c>
      <c r="AO317">
        <f>IF(AK317=1,AD317,NA())</f>
        <v/>
      </c>
      <c r="AP317">
        <f>IF(AK317=0,AD317,NA())</f>
        <v/>
      </c>
    </row>
    <row r="318">
      <c r="A318" t="n">
        <v>310</v>
      </c>
      <c r="B318" t="n">
        <v>2</v>
      </c>
      <c r="C318" t="n">
        <v>3</v>
      </c>
      <c r="D318" t="n">
        <v>3</v>
      </c>
      <c r="E318" t="n">
        <v>5</v>
      </c>
      <c r="F318" t="n">
        <v>2</v>
      </c>
      <c r="G318" t="n">
        <v>5</v>
      </c>
      <c r="H318" t="n">
        <v>4</v>
      </c>
      <c r="I318" t="n">
        <v>3</v>
      </c>
      <c r="J318" t="n">
        <v>2</v>
      </c>
      <c r="K318" t="n">
        <v>5</v>
      </c>
      <c r="L318" t="n">
        <v>2</v>
      </c>
      <c r="M318" t="n">
        <v>2</v>
      </c>
      <c r="N318" t="n">
        <v>1</v>
      </c>
      <c r="O318" t="n">
        <v>1</v>
      </c>
      <c r="P318" t="n">
        <v>3</v>
      </c>
      <c r="Q318" t="n">
        <v>3</v>
      </c>
      <c r="R318" t="n">
        <v>5</v>
      </c>
      <c r="S318" t="n">
        <v>4</v>
      </c>
      <c r="T318" t="n">
        <v>2</v>
      </c>
      <c r="U318" t="n">
        <v>1</v>
      </c>
      <c r="V318" t="n">
        <v>2</v>
      </c>
      <c r="W318">
        <f>(AVERAGE(B318:D318)-1)/4</f>
        <v/>
      </c>
      <c r="X318">
        <f>(AVERAGE(E318:G318)-1)/4</f>
        <v/>
      </c>
      <c r="Y318">
        <f>(AVERAGE(H318:J318)-1)/4</f>
        <v/>
      </c>
      <c r="Z318">
        <f>(AVERAGE(K318:M318)-1)/4</f>
        <v/>
      </c>
      <c r="AA318">
        <f>(AVERAGE(N318:P318)-1)/4</f>
        <v/>
      </c>
      <c r="AB318">
        <f>(AVERAGE(Q318:S318)-1)/4</f>
        <v/>
      </c>
      <c r="AC318">
        <f>(AVERAGE(T318:V318)-1)/4</f>
        <v/>
      </c>
      <c r="AD318">
        <f>AVERAGE(W318:AA318)</f>
        <v/>
      </c>
      <c r="AE318">
        <f>MIN(W318:AA318)</f>
        <v/>
      </c>
      <c r="AF318">
        <f>1-alpha*MAX(0,delta-AE318)</f>
        <v/>
      </c>
      <c r="AG318">
        <f>AD318*AF318</f>
        <v/>
      </c>
      <c r="AH318">
        <f>1+COUNTIF(bounds,"&lt;"&amp;ROUND(AD318,12))</f>
        <v/>
      </c>
      <c r="AI318">
        <f>1+COUNTIF(bounds,"&lt;"&amp;ROUND(AG318,12))</f>
        <v/>
      </c>
      <c r="AJ318">
        <f>IF(AF318&lt;1,1,0)</f>
        <v/>
      </c>
      <c r="AK318">
        <f>IF(AH318&lt;&gt;AI318,1,0)</f>
        <v/>
      </c>
      <c r="AL318">
        <f>IF(AND(AI318&gt;=3,AB318&lt;=0.2),1,0)</f>
        <v/>
      </c>
      <c r="AM318">
        <f>AVERAGE(W318:AB318)</f>
        <v/>
      </c>
      <c r="AN318">
        <f>1+COUNTIF(bounds,"&lt;"&amp;ROUND(AM318,12))</f>
        <v/>
      </c>
      <c r="AO318">
        <f>IF(AK318=1,AD318,NA())</f>
        <v/>
      </c>
      <c r="AP318">
        <f>IF(AK318=0,AD318,NA())</f>
        <v/>
      </c>
    </row>
    <row r="319">
      <c r="A319" t="n">
        <v>311</v>
      </c>
      <c r="B319" t="n">
        <v>2</v>
      </c>
      <c r="C319" t="n">
        <v>4</v>
      </c>
      <c r="D319" t="n">
        <v>2</v>
      </c>
      <c r="E319" t="n">
        <v>4</v>
      </c>
      <c r="F319" t="n">
        <v>4</v>
      </c>
      <c r="G319" t="n">
        <v>5</v>
      </c>
      <c r="H319" t="n">
        <v>4</v>
      </c>
      <c r="I319" t="n">
        <v>2</v>
      </c>
      <c r="J319" t="n">
        <v>4</v>
      </c>
      <c r="K319" t="n">
        <v>3</v>
      </c>
      <c r="L319" t="n">
        <v>3</v>
      </c>
      <c r="M319" t="n">
        <v>4</v>
      </c>
      <c r="N319" t="n">
        <v>2</v>
      </c>
      <c r="O319" t="n">
        <v>4</v>
      </c>
      <c r="P319" t="n">
        <v>2</v>
      </c>
      <c r="Q319" t="n">
        <v>3</v>
      </c>
      <c r="R319" t="n">
        <v>1</v>
      </c>
      <c r="S319" t="n">
        <v>2</v>
      </c>
      <c r="T319" t="n">
        <v>4</v>
      </c>
      <c r="U319" t="n">
        <v>2</v>
      </c>
      <c r="V319" t="n">
        <v>3</v>
      </c>
      <c r="W319">
        <f>(AVERAGE(B319:D319)-1)/4</f>
        <v/>
      </c>
      <c r="X319">
        <f>(AVERAGE(E319:G319)-1)/4</f>
        <v/>
      </c>
      <c r="Y319">
        <f>(AVERAGE(H319:J319)-1)/4</f>
        <v/>
      </c>
      <c r="Z319">
        <f>(AVERAGE(K319:M319)-1)/4</f>
        <v/>
      </c>
      <c r="AA319">
        <f>(AVERAGE(N319:P319)-1)/4</f>
        <v/>
      </c>
      <c r="AB319">
        <f>(AVERAGE(Q319:S319)-1)/4</f>
        <v/>
      </c>
      <c r="AC319">
        <f>(AVERAGE(T319:V319)-1)/4</f>
        <v/>
      </c>
      <c r="AD319">
        <f>AVERAGE(W319:AA319)</f>
        <v/>
      </c>
      <c r="AE319">
        <f>MIN(W319:AA319)</f>
        <v/>
      </c>
      <c r="AF319">
        <f>1-alpha*MAX(0,delta-AE319)</f>
        <v/>
      </c>
      <c r="AG319">
        <f>AD319*AF319</f>
        <v/>
      </c>
      <c r="AH319">
        <f>1+COUNTIF(bounds,"&lt;"&amp;ROUND(AD319,12))</f>
        <v/>
      </c>
      <c r="AI319">
        <f>1+COUNTIF(bounds,"&lt;"&amp;ROUND(AG319,12))</f>
        <v/>
      </c>
      <c r="AJ319">
        <f>IF(AF319&lt;1,1,0)</f>
        <v/>
      </c>
      <c r="AK319">
        <f>IF(AH319&lt;&gt;AI319,1,0)</f>
        <v/>
      </c>
      <c r="AL319">
        <f>IF(AND(AI319&gt;=3,AB319&lt;=0.2),1,0)</f>
        <v/>
      </c>
      <c r="AM319">
        <f>AVERAGE(W319:AB319)</f>
        <v/>
      </c>
      <c r="AN319">
        <f>1+COUNTIF(bounds,"&lt;"&amp;ROUND(AM319,12))</f>
        <v/>
      </c>
      <c r="AO319">
        <f>IF(AK319=1,AD319,NA())</f>
        <v/>
      </c>
      <c r="AP319">
        <f>IF(AK319=0,AD319,NA())</f>
        <v/>
      </c>
    </row>
    <row r="320">
      <c r="A320" t="n">
        <v>312</v>
      </c>
      <c r="B320" t="n">
        <v>5</v>
      </c>
      <c r="C320" t="n">
        <v>2</v>
      </c>
      <c r="D320" t="n">
        <v>4</v>
      </c>
      <c r="E320" t="n">
        <v>2</v>
      </c>
      <c r="F320" t="n">
        <v>1</v>
      </c>
      <c r="G320" t="n">
        <v>1</v>
      </c>
      <c r="H320" t="n">
        <v>4</v>
      </c>
      <c r="I320" t="n">
        <v>2</v>
      </c>
      <c r="J320" t="n">
        <v>2</v>
      </c>
      <c r="K320" t="n">
        <v>3</v>
      </c>
      <c r="L320" t="n">
        <v>2</v>
      </c>
      <c r="M320" t="n">
        <v>3</v>
      </c>
      <c r="N320" t="n">
        <v>5</v>
      </c>
      <c r="O320" t="n">
        <v>2</v>
      </c>
      <c r="P320" t="n">
        <v>3</v>
      </c>
      <c r="Q320" t="n">
        <v>3</v>
      </c>
      <c r="R320" t="n">
        <v>1</v>
      </c>
      <c r="S320" t="n">
        <v>4</v>
      </c>
      <c r="T320" t="n">
        <v>5</v>
      </c>
      <c r="U320" t="n">
        <v>1</v>
      </c>
      <c r="V320" t="n">
        <v>3</v>
      </c>
      <c r="W320">
        <f>(AVERAGE(B320:D320)-1)/4</f>
        <v/>
      </c>
      <c r="X320">
        <f>(AVERAGE(E320:G320)-1)/4</f>
        <v/>
      </c>
      <c r="Y320">
        <f>(AVERAGE(H320:J320)-1)/4</f>
        <v/>
      </c>
      <c r="Z320">
        <f>(AVERAGE(K320:M320)-1)/4</f>
        <v/>
      </c>
      <c r="AA320">
        <f>(AVERAGE(N320:P320)-1)/4</f>
        <v/>
      </c>
      <c r="AB320">
        <f>(AVERAGE(Q320:S320)-1)/4</f>
        <v/>
      </c>
      <c r="AC320">
        <f>(AVERAGE(T320:V320)-1)/4</f>
        <v/>
      </c>
      <c r="AD320">
        <f>AVERAGE(W320:AA320)</f>
        <v/>
      </c>
      <c r="AE320">
        <f>MIN(W320:AA320)</f>
        <v/>
      </c>
      <c r="AF320">
        <f>1-alpha*MAX(0,delta-AE320)</f>
        <v/>
      </c>
      <c r="AG320">
        <f>AD320*AF320</f>
        <v/>
      </c>
      <c r="AH320">
        <f>1+COUNTIF(bounds,"&lt;"&amp;ROUND(AD320,12))</f>
        <v/>
      </c>
      <c r="AI320">
        <f>1+COUNTIF(bounds,"&lt;"&amp;ROUND(AG320,12))</f>
        <v/>
      </c>
      <c r="AJ320">
        <f>IF(AF320&lt;1,1,0)</f>
        <v/>
      </c>
      <c r="AK320">
        <f>IF(AH320&lt;&gt;AI320,1,0)</f>
        <v/>
      </c>
      <c r="AL320">
        <f>IF(AND(AI320&gt;=3,AB320&lt;=0.2),1,0)</f>
        <v/>
      </c>
      <c r="AM320">
        <f>AVERAGE(W320:AB320)</f>
        <v/>
      </c>
      <c r="AN320">
        <f>1+COUNTIF(bounds,"&lt;"&amp;ROUND(AM320,12))</f>
        <v/>
      </c>
      <c r="AO320">
        <f>IF(AK320=1,AD320,NA())</f>
        <v/>
      </c>
      <c r="AP320">
        <f>IF(AK320=0,AD320,NA())</f>
        <v/>
      </c>
    </row>
    <row r="321">
      <c r="A321" t="n">
        <v>313</v>
      </c>
      <c r="B321" t="n">
        <v>3</v>
      </c>
      <c r="C321" t="n">
        <v>4</v>
      </c>
      <c r="D321" t="n">
        <v>3</v>
      </c>
      <c r="E321" t="n">
        <v>1</v>
      </c>
      <c r="F321" t="n">
        <v>1</v>
      </c>
      <c r="G321" t="n">
        <v>2</v>
      </c>
      <c r="H321" t="n">
        <v>3</v>
      </c>
      <c r="I321" t="n">
        <v>3</v>
      </c>
      <c r="J321" t="n">
        <v>4</v>
      </c>
      <c r="K321" t="n">
        <v>5</v>
      </c>
      <c r="L321" t="n">
        <v>1</v>
      </c>
      <c r="M321" t="n">
        <v>3</v>
      </c>
      <c r="N321" t="n">
        <v>3</v>
      </c>
      <c r="O321" t="n">
        <v>4</v>
      </c>
      <c r="P321" t="n">
        <v>2</v>
      </c>
      <c r="Q321" t="n">
        <v>5</v>
      </c>
      <c r="R321" t="n">
        <v>4</v>
      </c>
      <c r="S321" t="n">
        <v>3</v>
      </c>
      <c r="T321" t="n">
        <v>2</v>
      </c>
      <c r="U321" t="n">
        <v>1</v>
      </c>
      <c r="V321" t="n">
        <v>1</v>
      </c>
      <c r="W321">
        <f>(AVERAGE(B321:D321)-1)/4</f>
        <v/>
      </c>
      <c r="X321">
        <f>(AVERAGE(E321:G321)-1)/4</f>
        <v/>
      </c>
      <c r="Y321">
        <f>(AVERAGE(H321:J321)-1)/4</f>
        <v/>
      </c>
      <c r="Z321">
        <f>(AVERAGE(K321:M321)-1)/4</f>
        <v/>
      </c>
      <c r="AA321">
        <f>(AVERAGE(N321:P321)-1)/4</f>
        <v/>
      </c>
      <c r="AB321">
        <f>(AVERAGE(Q321:S321)-1)/4</f>
        <v/>
      </c>
      <c r="AC321">
        <f>(AVERAGE(T321:V321)-1)/4</f>
        <v/>
      </c>
      <c r="AD321">
        <f>AVERAGE(W321:AA321)</f>
        <v/>
      </c>
      <c r="AE321">
        <f>MIN(W321:AA321)</f>
        <v/>
      </c>
      <c r="AF321">
        <f>1-alpha*MAX(0,delta-AE321)</f>
        <v/>
      </c>
      <c r="AG321">
        <f>AD321*AF321</f>
        <v/>
      </c>
      <c r="AH321">
        <f>1+COUNTIF(bounds,"&lt;"&amp;ROUND(AD321,12))</f>
        <v/>
      </c>
      <c r="AI321">
        <f>1+COUNTIF(bounds,"&lt;"&amp;ROUND(AG321,12))</f>
        <v/>
      </c>
      <c r="AJ321">
        <f>IF(AF321&lt;1,1,0)</f>
        <v/>
      </c>
      <c r="AK321">
        <f>IF(AH321&lt;&gt;AI321,1,0)</f>
        <v/>
      </c>
      <c r="AL321">
        <f>IF(AND(AI321&gt;=3,AB321&lt;=0.2),1,0)</f>
        <v/>
      </c>
      <c r="AM321">
        <f>AVERAGE(W321:AB321)</f>
        <v/>
      </c>
      <c r="AN321">
        <f>1+COUNTIF(bounds,"&lt;"&amp;ROUND(AM321,12))</f>
        <v/>
      </c>
      <c r="AO321">
        <f>IF(AK321=1,AD321,NA())</f>
        <v/>
      </c>
      <c r="AP321">
        <f>IF(AK321=0,AD321,NA())</f>
        <v/>
      </c>
    </row>
    <row r="322">
      <c r="A322" t="n">
        <v>314</v>
      </c>
      <c r="B322" t="n">
        <v>2</v>
      </c>
      <c r="C322" t="n">
        <v>4</v>
      </c>
      <c r="D322" t="n">
        <v>5</v>
      </c>
      <c r="E322" t="n">
        <v>4</v>
      </c>
      <c r="F322" t="n">
        <v>1</v>
      </c>
      <c r="G322" t="n">
        <v>4</v>
      </c>
      <c r="H322" t="n">
        <v>3</v>
      </c>
      <c r="I322" t="n">
        <v>5</v>
      </c>
      <c r="J322" t="n">
        <v>4</v>
      </c>
      <c r="K322" t="n">
        <v>4</v>
      </c>
      <c r="L322" t="n">
        <v>5</v>
      </c>
      <c r="M322" t="n">
        <v>2</v>
      </c>
      <c r="N322" t="n">
        <v>3</v>
      </c>
      <c r="O322" t="n">
        <v>4</v>
      </c>
      <c r="P322" t="n">
        <v>2</v>
      </c>
      <c r="Q322" t="n">
        <v>2</v>
      </c>
      <c r="R322" t="n">
        <v>4</v>
      </c>
      <c r="S322" t="n">
        <v>1</v>
      </c>
      <c r="T322" t="n">
        <v>4</v>
      </c>
      <c r="U322" t="n">
        <v>3</v>
      </c>
      <c r="V322" t="n">
        <v>3</v>
      </c>
      <c r="W322">
        <f>(AVERAGE(B322:D322)-1)/4</f>
        <v/>
      </c>
      <c r="X322">
        <f>(AVERAGE(E322:G322)-1)/4</f>
        <v/>
      </c>
      <c r="Y322">
        <f>(AVERAGE(H322:J322)-1)/4</f>
        <v/>
      </c>
      <c r="Z322">
        <f>(AVERAGE(K322:M322)-1)/4</f>
        <v/>
      </c>
      <c r="AA322">
        <f>(AVERAGE(N322:P322)-1)/4</f>
        <v/>
      </c>
      <c r="AB322">
        <f>(AVERAGE(Q322:S322)-1)/4</f>
        <v/>
      </c>
      <c r="AC322">
        <f>(AVERAGE(T322:V322)-1)/4</f>
        <v/>
      </c>
      <c r="AD322">
        <f>AVERAGE(W322:AA322)</f>
        <v/>
      </c>
      <c r="AE322">
        <f>MIN(W322:AA322)</f>
        <v/>
      </c>
      <c r="AF322">
        <f>1-alpha*MAX(0,delta-AE322)</f>
        <v/>
      </c>
      <c r="AG322">
        <f>AD322*AF322</f>
        <v/>
      </c>
      <c r="AH322">
        <f>1+COUNTIF(bounds,"&lt;"&amp;ROUND(AD322,12))</f>
        <v/>
      </c>
      <c r="AI322">
        <f>1+COUNTIF(bounds,"&lt;"&amp;ROUND(AG322,12))</f>
        <v/>
      </c>
      <c r="AJ322">
        <f>IF(AF322&lt;1,1,0)</f>
        <v/>
      </c>
      <c r="AK322">
        <f>IF(AH322&lt;&gt;AI322,1,0)</f>
        <v/>
      </c>
      <c r="AL322">
        <f>IF(AND(AI322&gt;=3,AB322&lt;=0.2),1,0)</f>
        <v/>
      </c>
      <c r="AM322">
        <f>AVERAGE(W322:AB322)</f>
        <v/>
      </c>
      <c r="AN322">
        <f>1+COUNTIF(bounds,"&lt;"&amp;ROUND(AM322,12))</f>
        <v/>
      </c>
      <c r="AO322">
        <f>IF(AK322=1,AD322,NA())</f>
        <v/>
      </c>
      <c r="AP322">
        <f>IF(AK322=0,AD322,NA())</f>
        <v/>
      </c>
    </row>
    <row r="323">
      <c r="A323" t="n">
        <v>315</v>
      </c>
      <c r="B323" t="n">
        <v>4</v>
      </c>
      <c r="C323" t="n">
        <v>1</v>
      </c>
      <c r="D323" t="n">
        <v>1</v>
      </c>
      <c r="E323" t="n">
        <v>1</v>
      </c>
      <c r="F323" t="n">
        <v>5</v>
      </c>
      <c r="G323" t="n">
        <v>4</v>
      </c>
      <c r="H323" t="n">
        <v>1</v>
      </c>
      <c r="I323" t="n">
        <v>5</v>
      </c>
      <c r="J323" t="n">
        <v>2</v>
      </c>
      <c r="K323" t="n">
        <v>1</v>
      </c>
      <c r="L323" t="n">
        <v>1</v>
      </c>
      <c r="M323" t="n">
        <v>1</v>
      </c>
      <c r="N323" t="n">
        <v>5</v>
      </c>
      <c r="O323" t="n">
        <v>2</v>
      </c>
      <c r="P323" t="n">
        <v>5</v>
      </c>
      <c r="Q323" t="n">
        <v>3</v>
      </c>
      <c r="R323" t="n">
        <v>1</v>
      </c>
      <c r="S323" t="n">
        <v>1</v>
      </c>
      <c r="T323" t="n">
        <v>3</v>
      </c>
      <c r="U323" t="n">
        <v>3</v>
      </c>
      <c r="V323" t="n">
        <v>5</v>
      </c>
      <c r="W323">
        <f>(AVERAGE(B323:D323)-1)/4</f>
        <v/>
      </c>
      <c r="X323">
        <f>(AVERAGE(E323:G323)-1)/4</f>
        <v/>
      </c>
      <c r="Y323">
        <f>(AVERAGE(H323:J323)-1)/4</f>
        <v/>
      </c>
      <c r="Z323">
        <f>(AVERAGE(K323:M323)-1)/4</f>
        <v/>
      </c>
      <c r="AA323">
        <f>(AVERAGE(N323:P323)-1)/4</f>
        <v/>
      </c>
      <c r="AB323">
        <f>(AVERAGE(Q323:S323)-1)/4</f>
        <v/>
      </c>
      <c r="AC323">
        <f>(AVERAGE(T323:V323)-1)/4</f>
        <v/>
      </c>
      <c r="AD323">
        <f>AVERAGE(W323:AA323)</f>
        <v/>
      </c>
      <c r="AE323">
        <f>MIN(W323:AA323)</f>
        <v/>
      </c>
      <c r="AF323">
        <f>1-alpha*MAX(0,delta-AE323)</f>
        <v/>
      </c>
      <c r="AG323">
        <f>AD323*AF323</f>
        <v/>
      </c>
      <c r="AH323">
        <f>1+COUNTIF(bounds,"&lt;"&amp;ROUND(AD323,12))</f>
        <v/>
      </c>
      <c r="AI323">
        <f>1+COUNTIF(bounds,"&lt;"&amp;ROUND(AG323,12))</f>
        <v/>
      </c>
      <c r="AJ323">
        <f>IF(AF323&lt;1,1,0)</f>
        <v/>
      </c>
      <c r="AK323">
        <f>IF(AH323&lt;&gt;AI323,1,0)</f>
        <v/>
      </c>
      <c r="AL323">
        <f>IF(AND(AI323&gt;=3,AB323&lt;=0.2),1,0)</f>
        <v/>
      </c>
      <c r="AM323">
        <f>AVERAGE(W323:AB323)</f>
        <v/>
      </c>
      <c r="AN323">
        <f>1+COUNTIF(bounds,"&lt;"&amp;ROUND(AM323,12))</f>
        <v/>
      </c>
      <c r="AO323">
        <f>IF(AK323=1,AD323,NA())</f>
        <v/>
      </c>
      <c r="AP323">
        <f>IF(AK323=0,AD323,NA())</f>
        <v/>
      </c>
    </row>
    <row r="324">
      <c r="A324" t="n">
        <v>316</v>
      </c>
      <c r="B324" t="n">
        <v>2</v>
      </c>
      <c r="C324" t="n">
        <v>2</v>
      </c>
      <c r="D324" t="n">
        <v>1</v>
      </c>
      <c r="E324" t="n">
        <v>1</v>
      </c>
      <c r="F324" t="n">
        <v>2</v>
      </c>
      <c r="G324" t="n">
        <v>3</v>
      </c>
      <c r="H324" t="n">
        <v>4</v>
      </c>
      <c r="I324" t="n">
        <v>4</v>
      </c>
      <c r="J324" t="n">
        <v>3</v>
      </c>
      <c r="K324" t="n">
        <v>5</v>
      </c>
      <c r="L324" t="n">
        <v>3</v>
      </c>
      <c r="M324" t="n">
        <v>5</v>
      </c>
      <c r="N324" t="n">
        <v>2</v>
      </c>
      <c r="O324" t="n">
        <v>1</v>
      </c>
      <c r="P324" t="n">
        <v>3</v>
      </c>
      <c r="Q324" t="n">
        <v>4</v>
      </c>
      <c r="R324" t="n">
        <v>2</v>
      </c>
      <c r="S324" t="n">
        <v>4</v>
      </c>
      <c r="T324" t="n">
        <v>3</v>
      </c>
      <c r="U324" t="n">
        <v>5</v>
      </c>
      <c r="V324" t="n">
        <v>2</v>
      </c>
      <c r="W324">
        <f>(AVERAGE(B324:D324)-1)/4</f>
        <v/>
      </c>
      <c r="X324">
        <f>(AVERAGE(E324:G324)-1)/4</f>
        <v/>
      </c>
      <c r="Y324">
        <f>(AVERAGE(H324:J324)-1)/4</f>
        <v/>
      </c>
      <c r="Z324">
        <f>(AVERAGE(K324:M324)-1)/4</f>
        <v/>
      </c>
      <c r="AA324">
        <f>(AVERAGE(N324:P324)-1)/4</f>
        <v/>
      </c>
      <c r="AB324">
        <f>(AVERAGE(Q324:S324)-1)/4</f>
        <v/>
      </c>
      <c r="AC324">
        <f>(AVERAGE(T324:V324)-1)/4</f>
        <v/>
      </c>
      <c r="AD324">
        <f>AVERAGE(W324:AA324)</f>
        <v/>
      </c>
      <c r="AE324">
        <f>MIN(W324:AA324)</f>
        <v/>
      </c>
      <c r="AF324">
        <f>1-alpha*MAX(0,delta-AE324)</f>
        <v/>
      </c>
      <c r="AG324">
        <f>AD324*AF324</f>
        <v/>
      </c>
      <c r="AH324">
        <f>1+COUNTIF(bounds,"&lt;"&amp;ROUND(AD324,12))</f>
        <v/>
      </c>
      <c r="AI324">
        <f>1+COUNTIF(bounds,"&lt;"&amp;ROUND(AG324,12))</f>
        <v/>
      </c>
      <c r="AJ324">
        <f>IF(AF324&lt;1,1,0)</f>
        <v/>
      </c>
      <c r="AK324">
        <f>IF(AH324&lt;&gt;AI324,1,0)</f>
        <v/>
      </c>
      <c r="AL324">
        <f>IF(AND(AI324&gt;=3,AB324&lt;=0.2),1,0)</f>
        <v/>
      </c>
      <c r="AM324">
        <f>AVERAGE(W324:AB324)</f>
        <v/>
      </c>
      <c r="AN324">
        <f>1+COUNTIF(bounds,"&lt;"&amp;ROUND(AM324,12))</f>
        <v/>
      </c>
      <c r="AO324">
        <f>IF(AK324=1,AD324,NA())</f>
        <v/>
      </c>
      <c r="AP324">
        <f>IF(AK324=0,AD324,NA())</f>
        <v/>
      </c>
    </row>
    <row r="325">
      <c r="A325" t="n">
        <v>317</v>
      </c>
      <c r="B325" t="n">
        <v>5</v>
      </c>
      <c r="C325" t="n">
        <v>2</v>
      </c>
      <c r="D325" t="n">
        <v>3</v>
      </c>
      <c r="E325" t="n">
        <v>1</v>
      </c>
      <c r="F325" t="n">
        <v>1</v>
      </c>
      <c r="G325" t="n">
        <v>4</v>
      </c>
      <c r="H325" t="n">
        <v>5</v>
      </c>
      <c r="I325" t="n">
        <v>2</v>
      </c>
      <c r="J325" t="n">
        <v>1</v>
      </c>
      <c r="K325" t="n">
        <v>4</v>
      </c>
      <c r="L325" t="n">
        <v>1</v>
      </c>
      <c r="M325" t="n">
        <v>4</v>
      </c>
      <c r="N325" t="n">
        <v>3</v>
      </c>
      <c r="O325" t="n">
        <v>5</v>
      </c>
      <c r="P325" t="n">
        <v>1</v>
      </c>
      <c r="Q325" t="n">
        <v>3</v>
      </c>
      <c r="R325" t="n">
        <v>5</v>
      </c>
      <c r="S325" t="n">
        <v>3</v>
      </c>
      <c r="T325" t="n">
        <v>3</v>
      </c>
      <c r="U325" t="n">
        <v>5</v>
      </c>
      <c r="V325" t="n">
        <v>3</v>
      </c>
      <c r="W325">
        <f>(AVERAGE(B325:D325)-1)/4</f>
        <v/>
      </c>
      <c r="X325">
        <f>(AVERAGE(E325:G325)-1)/4</f>
        <v/>
      </c>
      <c r="Y325">
        <f>(AVERAGE(H325:J325)-1)/4</f>
        <v/>
      </c>
      <c r="Z325">
        <f>(AVERAGE(K325:M325)-1)/4</f>
        <v/>
      </c>
      <c r="AA325">
        <f>(AVERAGE(N325:P325)-1)/4</f>
        <v/>
      </c>
      <c r="AB325">
        <f>(AVERAGE(Q325:S325)-1)/4</f>
        <v/>
      </c>
      <c r="AC325">
        <f>(AVERAGE(T325:V325)-1)/4</f>
        <v/>
      </c>
      <c r="AD325">
        <f>AVERAGE(W325:AA325)</f>
        <v/>
      </c>
      <c r="AE325">
        <f>MIN(W325:AA325)</f>
        <v/>
      </c>
      <c r="AF325">
        <f>1-alpha*MAX(0,delta-AE325)</f>
        <v/>
      </c>
      <c r="AG325">
        <f>AD325*AF325</f>
        <v/>
      </c>
      <c r="AH325">
        <f>1+COUNTIF(bounds,"&lt;"&amp;ROUND(AD325,12))</f>
        <v/>
      </c>
      <c r="AI325">
        <f>1+COUNTIF(bounds,"&lt;"&amp;ROUND(AG325,12))</f>
        <v/>
      </c>
      <c r="AJ325">
        <f>IF(AF325&lt;1,1,0)</f>
        <v/>
      </c>
      <c r="AK325">
        <f>IF(AH325&lt;&gt;AI325,1,0)</f>
        <v/>
      </c>
      <c r="AL325">
        <f>IF(AND(AI325&gt;=3,AB325&lt;=0.2),1,0)</f>
        <v/>
      </c>
      <c r="AM325">
        <f>AVERAGE(W325:AB325)</f>
        <v/>
      </c>
      <c r="AN325">
        <f>1+COUNTIF(bounds,"&lt;"&amp;ROUND(AM325,12))</f>
        <v/>
      </c>
      <c r="AO325">
        <f>IF(AK325=1,AD325,NA())</f>
        <v/>
      </c>
      <c r="AP325">
        <f>IF(AK325=0,AD325,NA())</f>
        <v/>
      </c>
    </row>
    <row r="326">
      <c r="A326" t="n">
        <v>318</v>
      </c>
      <c r="B326" t="n">
        <v>1</v>
      </c>
      <c r="C326" t="n">
        <v>2</v>
      </c>
      <c r="D326" t="n">
        <v>3</v>
      </c>
      <c r="E326" t="n">
        <v>3</v>
      </c>
      <c r="F326" t="n">
        <v>4</v>
      </c>
      <c r="G326" t="n">
        <v>4</v>
      </c>
      <c r="H326" t="n">
        <v>1</v>
      </c>
      <c r="I326" t="n">
        <v>3</v>
      </c>
      <c r="J326" t="n">
        <v>2</v>
      </c>
      <c r="K326" t="n">
        <v>4</v>
      </c>
      <c r="L326" t="n">
        <v>1</v>
      </c>
      <c r="M326" t="n">
        <v>2</v>
      </c>
      <c r="N326" t="n">
        <v>5</v>
      </c>
      <c r="O326" t="n">
        <v>4</v>
      </c>
      <c r="P326" t="n">
        <v>1</v>
      </c>
      <c r="Q326" t="n">
        <v>1</v>
      </c>
      <c r="R326" t="n">
        <v>4</v>
      </c>
      <c r="S326" t="n">
        <v>5</v>
      </c>
      <c r="T326" t="n">
        <v>1</v>
      </c>
      <c r="U326" t="n">
        <v>2</v>
      </c>
      <c r="V326" t="n">
        <v>4</v>
      </c>
      <c r="W326">
        <f>(AVERAGE(B326:D326)-1)/4</f>
        <v/>
      </c>
      <c r="X326">
        <f>(AVERAGE(E326:G326)-1)/4</f>
        <v/>
      </c>
      <c r="Y326">
        <f>(AVERAGE(H326:J326)-1)/4</f>
        <v/>
      </c>
      <c r="Z326">
        <f>(AVERAGE(K326:M326)-1)/4</f>
        <v/>
      </c>
      <c r="AA326">
        <f>(AVERAGE(N326:P326)-1)/4</f>
        <v/>
      </c>
      <c r="AB326">
        <f>(AVERAGE(Q326:S326)-1)/4</f>
        <v/>
      </c>
      <c r="AC326">
        <f>(AVERAGE(T326:V326)-1)/4</f>
        <v/>
      </c>
      <c r="AD326">
        <f>AVERAGE(W326:AA326)</f>
        <v/>
      </c>
      <c r="AE326">
        <f>MIN(W326:AA326)</f>
        <v/>
      </c>
      <c r="AF326">
        <f>1-alpha*MAX(0,delta-AE326)</f>
        <v/>
      </c>
      <c r="AG326">
        <f>AD326*AF326</f>
        <v/>
      </c>
      <c r="AH326">
        <f>1+COUNTIF(bounds,"&lt;"&amp;ROUND(AD326,12))</f>
        <v/>
      </c>
      <c r="AI326">
        <f>1+COUNTIF(bounds,"&lt;"&amp;ROUND(AG326,12))</f>
        <v/>
      </c>
      <c r="AJ326">
        <f>IF(AF326&lt;1,1,0)</f>
        <v/>
      </c>
      <c r="AK326">
        <f>IF(AH326&lt;&gt;AI326,1,0)</f>
        <v/>
      </c>
      <c r="AL326">
        <f>IF(AND(AI326&gt;=3,AB326&lt;=0.2),1,0)</f>
        <v/>
      </c>
      <c r="AM326">
        <f>AVERAGE(W326:AB326)</f>
        <v/>
      </c>
      <c r="AN326">
        <f>1+COUNTIF(bounds,"&lt;"&amp;ROUND(AM326,12))</f>
        <v/>
      </c>
      <c r="AO326">
        <f>IF(AK326=1,AD326,NA())</f>
        <v/>
      </c>
      <c r="AP326">
        <f>IF(AK326=0,AD326,NA())</f>
        <v/>
      </c>
    </row>
    <row r="327">
      <c r="A327" t="n">
        <v>319</v>
      </c>
      <c r="B327" t="n">
        <v>3</v>
      </c>
      <c r="C327" t="n">
        <v>1</v>
      </c>
      <c r="D327" t="n">
        <v>4</v>
      </c>
      <c r="E327" t="n">
        <v>5</v>
      </c>
      <c r="F327" t="n">
        <v>3</v>
      </c>
      <c r="G327" t="n">
        <v>2</v>
      </c>
      <c r="H327" t="n">
        <v>4</v>
      </c>
      <c r="I327" t="n">
        <v>1</v>
      </c>
      <c r="J327" t="n">
        <v>2</v>
      </c>
      <c r="K327" t="n">
        <v>4</v>
      </c>
      <c r="L327" t="n">
        <v>2</v>
      </c>
      <c r="M327" t="n">
        <v>3</v>
      </c>
      <c r="N327" t="n">
        <v>4</v>
      </c>
      <c r="O327" t="n">
        <v>3</v>
      </c>
      <c r="P327" t="n">
        <v>5</v>
      </c>
      <c r="Q327" t="n">
        <v>5</v>
      </c>
      <c r="R327" t="n">
        <v>3</v>
      </c>
      <c r="S327" t="n">
        <v>4</v>
      </c>
      <c r="T327" t="n">
        <v>1</v>
      </c>
      <c r="U327" t="n">
        <v>3</v>
      </c>
      <c r="V327" t="n">
        <v>5</v>
      </c>
      <c r="W327">
        <f>(AVERAGE(B327:D327)-1)/4</f>
        <v/>
      </c>
      <c r="X327">
        <f>(AVERAGE(E327:G327)-1)/4</f>
        <v/>
      </c>
      <c r="Y327">
        <f>(AVERAGE(H327:J327)-1)/4</f>
        <v/>
      </c>
      <c r="Z327">
        <f>(AVERAGE(K327:M327)-1)/4</f>
        <v/>
      </c>
      <c r="AA327">
        <f>(AVERAGE(N327:P327)-1)/4</f>
        <v/>
      </c>
      <c r="AB327">
        <f>(AVERAGE(Q327:S327)-1)/4</f>
        <v/>
      </c>
      <c r="AC327">
        <f>(AVERAGE(T327:V327)-1)/4</f>
        <v/>
      </c>
      <c r="AD327">
        <f>AVERAGE(W327:AA327)</f>
        <v/>
      </c>
      <c r="AE327">
        <f>MIN(W327:AA327)</f>
        <v/>
      </c>
      <c r="AF327">
        <f>1-alpha*MAX(0,delta-AE327)</f>
        <v/>
      </c>
      <c r="AG327">
        <f>AD327*AF327</f>
        <v/>
      </c>
      <c r="AH327">
        <f>1+COUNTIF(bounds,"&lt;"&amp;ROUND(AD327,12))</f>
        <v/>
      </c>
      <c r="AI327">
        <f>1+COUNTIF(bounds,"&lt;"&amp;ROUND(AG327,12))</f>
        <v/>
      </c>
      <c r="AJ327">
        <f>IF(AF327&lt;1,1,0)</f>
        <v/>
      </c>
      <c r="AK327">
        <f>IF(AH327&lt;&gt;AI327,1,0)</f>
        <v/>
      </c>
      <c r="AL327">
        <f>IF(AND(AI327&gt;=3,AB327&lt;=0.2),1,0)</f>
        <v/>
      </c>
      <c r="AM327">
        <f>AVERAGE(W327:AB327)</f>
        <v/>
      </c>
      <c r="AN327">
        <f>1+COUNTIF(bounds,"&lt;"&amp;ROUND(AM327,12))</f>
        <v/>
      </c>
      <c r="AO327">
        <f>IF(AK327=1,AD327,NA())</f>
        <v/>
      </c>
      <c r="AP327">
        <f>IF(AK327=0,AD327,NA())</f>
        <v/>
      </c>
    </row>
    <row r="328">
      <c r="A328" t="n">
        <v>320</v>
      </c>
      <c r="B328" t="n">
        <v>5</v>
      </c>
      <c r="C328" t="n">
        <v>2</v>
      </c>
      <c r="D328" t="n">
        <v>2</v>
      </c>
      <c r="E328" t="n">
        <v>3</v>
      </c>
      <c r="F328" t="n">
        <v>1</v>
      </c>
      <c r="G328" t="n">
        <v>4</v>
      </c>
      <c r="H328" t="n">
        <v>5</v>
      </c>
      <c r="I328" t="n">
        <v>2</v>
      </c>
      <c r="J328" t="n">
        <v>2</v>
      </c>
      <c r="K328" t="n">
        <v>5</v>
      </c>
      <c r="L328" t="n">
        <v>3</v>
      </c>
      <c r="M328" t="n">
        <v>4</v>
      </c>
      <c r="N328" t="n">
        <v>4</v>
      </c>
      <c r="O328" t="n">
        <v>3</v>
      </c>
      <c r="P328" t="n">
        <v>2</v>
      </c>
      <c r="Q328" t="n">
        <v>4</v>
      </c>
      <c r="R328" t="n">
        <v>4</v>
      </c>
      <c r="S328" t="n">
        <v>4</v>
      </c>
      <c r="T328" t="n">
        <v>4</v>
      </c>
      <c r="U328" t="n">
        <v>5</v>
      </c>
      <c r="V328" t="n">
        <v>3</v>
      </c>
      <c r="W328">
        <f>(AVERAGE(B328:D328)-1)/4</f>
        <v/>
      </c>
      <c r="X328">
        <f>(AVERAGE(E328:G328)-1)/4</f>
        <v/>
      </c>
      <c r="Y328">
        <f>(AVERAGE(H328:J328)-1)/4</f>
        <v/>
      </c>
      <c r="Z328">
        <f>(AVERAGE(K328:M328)-1)/4</f>
        <v/>
      </c>
      <c r="AA328">
        <f>(AVERAGE(N328:P328)-1)/4</f>
        <v/>
      </c>
      <c r="AB328">
        <f>(AVERAGE(Q328:S328)-1)/4</f>
        <v/>
      </c>
      <c r="AC328">
        <f>(AVERAGE(T328:V328)-1)/4</f>
        <v/>
      </c>
      <c r="AD328">
        <f>AVERAGE(W328:AA328)</f>
        <v/>
      </c>
      <c r="AE328">
        <f>MIN(W328:AA328)</f>
        <v/>
      </c>
      <c r="AF328">
        <f>1-alpha*MAX(0,delta-AE328)</f>
        <v/>
      </c>
      <c r="AG328">
        <f>AD328*AF328</f>
        <v/>
      </c>
      <c r="AH328">
        <f>1+COUNTIF(bounds,"&lt;"&amp;ROUND(AD328,12))</f>
        <v/>
      </c>
      <c r="AI328">
        <f>1+COUNTIF(bounds,"&lt;"&amp;ROUND(AG328,12))</f>
        <v/>
      </c>
      <c r="AJ328">
        <f>IF(AF328&lt;1,1,0)</f>
        <v/>
      </c>
      <c r="AK328">
        <f>IF(AH328&lt;&gt;AI328,1,0)</f>
        <v/>
      </c>
      <c r="AL328">
        <f>IF(AND(AI328&gt;=3,AB328&lt;=0.2),1,0)</f>
        <v/>
      </c>
      <c r="AM328">
        <f>AVERAGE(W328:AB328)</f>
        <v/>
      </c>
      <c r="AN328">
        <f>1+COUNTIF(bounds,"&lt;"&amp;ROUND(AM328,12))</f>
        <v/>
      </c>
      <c r="AO328">
        <f>IF(AK328=1,AD328,NA())</f>
        <v/>
      </c>
      <c r="AP328">
        <f>IF(AK328=0,AD328,NA())</f>
        <v/>
      </c>
    </row>
    <row r="329">
      <c r="A329" t="n">
        <v>321</v>
      </c>
      <c r="B329" t="n">
        <v>4</v>
      </c>
      <c r="C329" t="n">
        <v>3</v>
      </c>
      <c r="D329" t="n">
        <v>1</v>
      </c>
      <c r="E329" t="n">
        <v>4</v>
      </c>
      <c r="F329" t="n">
        <v>5</v>
      </c>
      <c r="G329" t="n">
        <v>1</v>
      </c>
      <c r="H329" t="n">
        <v>4</v>
      </c>
      <c r="I329" t="n">
        <v>2</v>
      </c>
      <c r="J329" t="n">
        <v>1</v>
      </c>
      <c r="K329" t="n">
        <v>4</v>
      </c>
      <c r="L329" t="n">
        <v>1</v>
      </c>
      <c r="M329" t="n">
        <v>4</v>
      </c>
      <c r="N329" t="n">
        <v>5</v>
      </c>
      <c r="O329" t="n">
        <v>2</v>
      </c>
      <c r="P329" t="n">
        <v>1</v>
      </c>
      <c r="Q329" t="n">
        <v>2</v>
      </c>
      <c r="R329" t="n">
        <v>4</v>
      </c>
      <c r="S329" t="n">
        <v>5</v>
      </c>
      <c r="T329" t="n">
        <v>5</v>
      </c>
      <c r="U329" t="n">
        <v>3</v>
      </c>
      <c r="V329" t="n">
        <v>4</v>
      </c>
      <c r="W329">
        <f>(AVERAGE(B329:D329)-1)/4</f>
        <v/>
      </c>
      <c r="X329">
        <f>(AVERAGE(E329:G329)-1)/4</f>
        <v/>
      </c>
      <c r="Y329">
        <f>(AVERAGE(H329:J329)-1)/4</f>
        <v/>
      </c>
      <c r="Z329">
        <f>(AVERAGE(K329:M329)-1)/4</f>
        <v/>
      </c>
      <c r="AA329">
        <f>(AVERAGE(N329:P329)-1)/4</f>
        <v/>
      </c>
      <c r="AB329">
        <f>(AVERAGE(Q329:S329)-1)/4</f>
        <v/>
      </c>
      <c r="AC329">
        <f>(AVERAGE(T329:V329)-1)/4</f>
        <v/>
      </c>
      <c r="AD329">
        <f>AVERAGE(W329:AA329)</f>
        <v/>
      </c>
      <c r="AE329">
        <f>MIN(W329:AA329)</f>
        <v/>
      </c>
      <c r="AF329">
        <f>1-alpha*MAX(0,delta-AE329)</f>
        <v/>
      </c>
      <c r="AG329">
        <f>AD329*AF329</f>
        <v/>
      </c>
      <c r="AH329">
        <f>1+COUNTIF(bounds,"&lt;"&amp;ROUND(AD329,12))</f>
        <v/>
      </c>
      <c r="AI329">
        <f>1+COUNTIF(bounds,"&lt;"&amp;ROUND(AG329,12))</f>
        <v/>
      </c>
      <c r="AJ329">
        <f>IF(AF329&lt;1,1,0)</f>
        <v/>
      </c>
      <c r="AK329">
        <f>IF(AH329&lt;&gt;AI329,1,0)</f>
        <v/>
      </c>
      <c r="AL329">
        <f>IF(AND(AI329&gt;=3,AB329&lt;=0.2),1,0)</f>
        <v/>
      </c>
      <c r="AM329">
        <f>AVERAGE(W329:AB329)</f>
        <v/>
      </c>
      <c r="AN329">
        <f>1+COUNTIF(bounds,"&lt;"&amp;ROUND(AM329,12))</f>
        <v/>
      </c>
      <c r="AO329">
        <f>IF(AK329=1,AD329,NA())</f>
        <v/>
      </c>
      <c r="AP329">
        <f>IF(AK329=0,AD329,NA())</f>
        <v/>
      </c>
    </row>
    <row r="330">
      <c r="A330" t="n">
        <v>322</v>
      </c>
      <c r="B330" t="n">
        <v>1</v>
      </c>
      <c r="C330" t="n">
        <v>5</v>
      </c>
      <c r="D330" t="n">
        <v>4</v>
      </c>
      <c r="E330" t="n">
        <v>5</v>
      </c>
      <c r="F330" t="n">
        <v>3</v>
      </c>
      <c r="G330" t="n">
        <v>4</v>
      </c>
      <c r="H330" t="n">
        <v>2</v>
      </c>
      <c r="I330" t="n">
        <v>3</v>
      </c>
      <c r="J330" t="n">
        <v>3</v>
      </c>
      <c r="K330" t="n">
        <v>5</v>
      </c>
      <c r="L330" t="n">
        <v>4</v>
      </c>
      <c r="M330" t="n">
        <v>1</v>
      </c>
      <c r="N330" t="n">
        <v>5</v>
      </c>
      <c r="O330" t="n">
        <v>5</v>
      </c>
      <c r="P330" t="n">
        <v>3</v>
      </c>
      <c r="Q330" t="n">
        <v>3</v>
      </c>
      <c r="R330" t="n">
        <v>3</v>
      </c>
      <c r="S330" t="n">
        <v>2</v>
      </c>
      <c r="T330" t="n">
        <v>5</v>
      </c>
      <c r="U330" t="n">
        <v>3</v>
      </c>
      <c r="V330" t="n">
        <v>5</v>
      </c>
      <c r="W330">
        <f>(AVERAGE(B330:D330)-1)/4</f>
        <v/>
      </c>
      <c r="X330">
        <f>(AVERAGE(E330:G330)-1)/4</f>
        <v/>
      </c>
      <c r="Y330">
        <f>(AVERAGE(H330:J330)-1)/4</f>
        <v/>
      </c>
      <c r="Z330">
        <f>(AVERAGE(K330:M330)-1)/4</f>
        <v/>
      </c>
      <c r="AA330">
        <f>(AVERAGE(N330:P330)-1)/4</f>
        <v/>
      </c>
      <c r="AB330">
        <f>(AVERAGE(Q330:S330)-1)/4</f>
        <v/>
      </c>
      <c r="AC330">
        <f>(AVERAGE(T330:V330)-1)/4</f>
        <v/>
      </c>
      <c r="AD330">
        <f>AVERAGE(W330:AA330)</f>
        <v/>
      </c>
      <c r="AE330">
        <f>MIN(W330:AA330)</f>
        <v/>
      </c>
      <c r="AF330">
        <f>1-alpha*MAX(0,delta-AE330)</f>
        <v/>
      </c>
      <c r="AG330">
        <f>AD330*AF330</f>
        <v/>
      </c>
      <c r="AH330">
        <f>1+COUNTIF(bounds,"&lt;"&amp;ROUND(AD330,12))</f>
        <v/>
      </c>
      <c r="AI330">
        <f>1+COUNTIF(bounds,"&lt;"&amp;ROUND(AG330,12))</f>
        <v/>
      </c>
      <c r="AJ330">
        <f>IF(AF330&lt;1,1,0)</f>
        <v/>
      </c>
      <c r="AK330">
        <f>IF(AH330&lt;&gt;AI330,1,0)</f>
        <v/>
      </c>
      <c r="AL330">
        <f>IF(AND(AI330&gt;=3,AB330&lt;=0.2),1,0)</f>
        <v/>
      </c>
      <c r="AM330">
        <f>AVERAGE(W330:AB330)</f>
        <v/>
      </c>
      <c r="AN330">
        <f>1+COUNTIF(bounds,"&lt;"&amp;ROUND(AM330,12))</f>
        <v/>
      </c>
      <c r="AO330">
        <f>IF(AK330=1,AD330,NA())</f>
        <v/>
      </c>
      <c r="AP330">
        <f>IF(AK330=0,AD330,NA())</f>
        <v/>
      </c>
    </row>
    <row r="331">
      <c r="A331" t="n">
        <v>323</v>
      </c>
      <c r="B331" t="n">
        <v>3</v>
      </c>
      <c r="C331" t="n">
        <v>1</v>
      </c>
      <c r="D331" t="n">
        <v>5</v>
      </c>
      <c r="E331" t="n">
        <v>1</v>
      </c>
      <c r="F331" t="n">
        <v>3</v>
      </c>
      <c r="G331" t="n">
        <v>3</v>
      </c>
      <c r="H331" t="n">
        <v>3</v>
      </c>
      <c r="I331" t="n">
        <v>3</v>
      </c>
      <c r="J331" t="n">
        <v>3</v>
      </c>
      <c r="K331" t="n">
        <v>2</v>
      </c>
      <c r="L331" t="n">
        <v>1</v>
      </c>
      <c r="M331" t="n">
        <v>1</v>
      </c>
      <c r="N331" t="n">
        <v>1</v>
      </c>
      <c r="O331" t="n">
        <v>1</v>
      </c>
      <c r="P331" t="n">
        <v>5</v>
      </c>
      <c r="Q331" t="n">
        <v>3</v>
      </c>
      <c r="R331" t="n">
        <v>4</v>
      </c>
      <c r="S331" t="n">
        <v>2</v>
      </c>
      <c r="T331" t="n">
        <v>2</v>
      </c>
      <c r="U331" t="n">
        <v>3</v>
      </c>
      <c r="V331" t="n">
        <v>4</v>
      </c>
      <c r="W331">
        <f>(AVERAGE(B331:D331)-1)/4</f>
        <v/>
      </c>
      <c r="X331">
        <f>(AVERAGE(E331:G331)-1)/4</f>
        <v/>
      </c>
      <c r="Y331">
        <f>(AVERAGE(H331:J331)-1)/4</f>
        <v/>
      </c>
      <c r="Z331">
        <f>(AVERAGE(K331:M331)-1)/4</f>
        <v/>
      </c>
      <c r="AA331">
        <f>(AVERAGE(N331:P331)-1)/4</f>
        <v/>
      </c>
      <c r="AB331">
        <f>(AVERAGE(Q331:S331)-1)/4</f>
        <v/>
      </c>
      <c r="AC331">
        <f>(AVERAGE(T331:V331)-1)/4</f>
        <v/>
      </c>
      <c r="AD331">
        <f>AVERAGE(W331:AA331)</f>
        <v/>
      </c>
      <c r="AE331">
        <f>MIN(W331:AA331)</f>
        <v/>
      </c>
      <c r="AF331">
        <f>1-alpha*MAX(0,delta-AE331)</f>
        <v/>
      </c>
      <c r="AG331">
        <f>AD331*AF331</f>
        <v/>
      </c>
      <c r="AH331">
        <f>1+COUNTIF(bounds,"&lt;"&amp;ROUND(AD331,12))</f>
        <v/>
      </c>
      <c r="AI331">
        <f>1+COUNTIF(bounds,"&lt;"&amp;ROUND(AG331,12))</f>
        <v/>
      </c>
      <c r="AJ331">
        <f>IF(AF331&lt;1,1,0)</f>
        <v/>
      </c>
      <c r="AK331">
        <f>IF(AH331&lt;&gt;AI331,1,0)</f>
        <v/>
      </c>
      <c r="AL331">
        <f>IF(AND(AI331&gt;=3,AB331&lt;=0.2),1,0)</f>
        <v/>
      </c>
      <c r="AM331">
        <f>AVERAGE(W331:AB331)</f>
        <v/>
      </c>
      <c r="AN331">
        <f>1+COUNTIF(bounds,"&lt;"&amp;ROUND(AM331,12))</f>
        <v/>
      </c>
      <c r="AO331">
        <f>IF(AK331=1,AD331,NA())</f>
        <v/>
      </c>
      <c r="AP331">
        <f>IF(AK331=0,AD331,NA())</f>
        <v/>
      </c>
    </row>
    <row r="332">
      <c r="A332" t="n">
        <v>324</v>
      </c>
      <c r="B332" t="n">
        <v>2</v>
      </c>
      <c r="C332" t="n">
        <v>2</v>
      </c>
      <c r="D332" t="n">
        <v>4</v>
      </c>
      <c r="E332" t="n">
        <v>5</v>
      </c>
      <c r="F332" t="n">
        <v>1</v>
      </c>
      <c r="G332" t="n">
        <v>3</v>
      </c>
      <c r="H332" t="n">
        <v>1</v>
      </c>
      <c r="I332" t="n">
        <v>2</v>
      </c>
      <c r="J332" t="n">
        <v>2</v>
      </c>
      <c r="K332" t="n">
        <v>1</v>
      </c>
      <c r="L332" t="n">
        <v>5</v>
      </c>
      <c r="M332" t="n">
        <v>3</v>
      </c>
      <c r="N332" t="n">
        <v>4</v>
      </c>
      <c r="O332" t="n">
        <v>5</v>
      </c>
      <c r="P332" t="n">
        <v>3</v>
      </c>
      <c r="Q332" t="n">
        <v>2</v>
      </c>
      <c r="R332" t="n">
        <v>1</v>
      </c>
      <c r="S332" t="n">
        <v>3</v>
      </c>
      <c r="T332" t="n">
        <v>3</v>
      </c>
      <c r="U332" t="n">
        <v>4</v>
      </c>
      <c r="V332" t="n">
        <v>1</v>
      </c>
      <c r="W332">
        <f>(AVERAGE(B332:D332)-1)/4</f>
        <v/>
      </c>
      <c r="X332">
        <f>(AVERAGE(E332:G332)-1)/4</f>
        <v/>
      </c>
      <c r="Y332">
        <f>(AVERAGE(H332:J332)-1)/4</f>
        <v/>
      </c>
      <c r="Z332">
        <f>(AVERAGE(K332:M332)-1)/4</f>
        <v/>
      </c>
      <c r="AA332">
        <f>(AVERAGE(N332:P332)-1)/4</f>
        <v/>
      </c>
      <c r="AB332">
        <f>(AVERAGE(Q332:S332)-1)/4</f>
        <v/>
      </c>
      <c r="AC332">
        <f>(AVERAGE(T332:V332)-1)/4</f>
        <v/>
      </c>
      <c r="AD332">
        <f>AVERAGE(W332:AA332)</f>
        <v/>
      </c>
      <c r="AE332">
        <f>MIN(W332:AA332)</f>
        <v/>
      </c>
      <c r="AF332">
        <f>1-alpha*MAX(0,delta-AE332)</f>
        <v/>
      </c>
      <c r="AG332">
        <f>AD332*AF332</f>
        <v/>
      </c>
      <c r="AH332">
        <f>1+COUNTIF(bounds,"&lt;"&amp;ROUND(AD332,12))</f>
        <v/>
      </c>
      <c r="AI332">
        <f>1+COUNTIF(bounds,"&lt;"&amp;ROUND(AG332,12))</f>
        <v/>
      </c>
      <c r="AJ332">
        <f>IF(AF332&lt;1,1,0)</f>
        <v/>
      </c>
      <c r="AK332">
        <f>IF(AH332&lt;&gt;AI332,1,0)</f>
        <v/>
      </c>
      <c r="AL332">
        <f>IF(AND(AI332&gt;=3,AB332&lt;=0.2),1,0)</f>
        <v/>
      </c>
      <c r="AM332">
        <f>AVERAGE(W332:AB332)</f>
        <v/>
      </c>
      <c r="AN332">
        <f>1+COUNTIF(bounds,"&lt;"&amp;ROUND(AM332,12))</f>
        <v/>
      </c>
      <c r="AO332">
        <f>IF(AK332=1,AD332,NA())</f>
        <v/>
      </c>
      <c r="AP332">
        <f>IF(AK332=0,AD332,NA())</f>
        <v/>
      </c>
    </row>
    <row r="333">
      <c r="A333" t="n">
        <v>325</v>
      </c>
      <c r="B333" t="n">
        <v>5</v>
      </c>
      <c r="C333" t="n">
        <v>1</v>
      </c>
      <c r="D333" t="n">
        <v>3</v>
      </c>
      <c r="E333" t="n">
        <v>3</v>
      </c>
      <c r="F333" t="n">
        <v>4</v>
      </c>
      <c r="G333" t="n">
        <v>4</v>
      </c>
      <c r="H333" t="n">
        <v>3</v>
      </c>
      <c r="I333" t="n">
        <v>4</v>
      </c>
      <c r="J333" t="n">
        <v>5</v>
      </c>
      <c r="K333" t="n">
        <v>1</v>
      </c>
      <c r="L333" t="n">
        <v>3</v>
      </c>
      <c r="M333" t="n">
        <v>1</v>
      </c>
      <c r="N333" t="n">
        <v>4</v>
      </c>
      <c r="O333" t="n">
        <v>3</v>
      </c>
      <c r="P333" t="n">
        <v>2</v>
      </c>
      <c r="Q333" t="n">
        <v>3</v>
      </c>
      <c r="R333" t="n">
        <v>2</v>
      </c>
      <c r="S333" t="n">
        <v>1</v>
      </c>
      <c r="T333" t="n">
        <v>5</v>
      </c>
      <c r="U333" t="n">
        <v>1</v>
      </c>
      <c r="V333" t="n">
        <v>2</v>
      </c>
      <c r="W333">
        <f>(AVERAGE(B333:D333)-1)/4</f>
        <v/>
      </c>
      <c r="X333">
        <f>(AVERAGE(E333:G333)-1)/4</f>
        <v/>
      </c>
      <c r="Y333">
        <f>(AVERAGE(H333:J333)-1)/4</f>
        <v/>
      </c>
      <c r="Z333">
        <f>(AVERAGE(K333:M333)-1)/4</f>
        <v/>
      </c>
      <c r="AA333">
        <f>(AVERAGE(N333:P333)-1)/4</f>
        <v/>
      </c>
      <c r="AB333">
        <f>(AVERAGE(Q333:S333)-1)/4</f>
        <v/>
      </c>
      <c r="AC333">
        <f>(AVERAGE(T333:V333)-1)/4</f>
        <v/>
      </c>
      <c r="AD333">
        <f>AVERAGE(W333:AA333)</f>
        <v/>
      </c>
      <c r="AE333">
        <f>MIN(W333:AA333)</f>
        <v/>
      </c>
      <c r="AF333">
        <f>1-alpha*MAX(0,delta-AE333)</f>
        <v/>
      </c>
      <c r="AG333">
        <f>AD333*AF333</f>
        <v/>
      </c>
      <c r="AH333">
        <f>1+COUNTIF(bounds,"&lt;"&amp;ROUND(AD333,12))</f>
        <v/>
      </c>
      <c r="AI333">
        <f>1+COUNTIF(bounds,"&lt;"&amp;ROUND(AG333,12))</f>
        <v/>
      </c>
      <c r="AJ333">
        <f>IF(AF333&lt;1,1,0)</f>
        <v/>
      </c>
      <c r="AK333">
        <f>IF(AH333&lt;&gt;AI333,1,0)</f>
        <v/>
      </c>
      <c r="AL333">
        <f>IF(AND(AI333&gt;=3,AB333&lt;=0.2),1,0)</f>
        <v/>
      </c>
      <c r="AM333">
        <f>AVERAGE(W333:AB333)</f>
        <v/>
      </c>
      <c r="AN333">
        <f>1+COUNTIF(bounds,"&lt;"&amp;ROUND(AM333,12))</f>
        <v/>
      </c>
      <c r="AO333">
        <f>IF(AK333=1,AD333,NA())</f>
        <v/>
      </c>
      <c r="AP333">
        <f>IF(AK333=0,AD333,NA())</f>
        <v/>
      </c>
    </row>
    <row r="334">
      <c r="A334" t="n">
        <v>326</v>
      </c>
      <c r="B334" t="n">
        <v>2</v>
      </c>
      <c r="C334" t="n">
        <v>5</v>
      </c>
      <c r="D334" t="n">
        <v>2</v>
      </c>
      <c r="E334" t="n">
        <v>4</v>
      </c>
      <c r="F334" t="n">
        <v>4</v>
      </c>
      <c r="G334" t="n">
        <v>1</v>
      </c>
      <c r="H334" t="n">
        <v>3</v>
      </c>
      <c r="I334" t="n">
        <v>5</v>
      </c>
      <c r="J334" t="n">
        <v>5</v>
      </c>
      <c r="K334" t="n">
        <v>1</v>
      </c>
      <c r="L334" t="n">
        <v>1</v>
      </c>
      <c r="M334" t="n">
        <v>3</v>
      </c>
      <c r="N334" t="n">
        <v>2</v>
      </c>
      <c r="O334" t="n">
        <v>5</v>
      </c>
      <c r="P334" t="n">
        <v>1</v>
      </c>
      <c r="Q334" t="n">
        <v>5</v>
      </c>
      <c r="R334" t="n">
        <v>5</v>
      </c>
      <c r="S334" t="n">
        <v>4</v>
      </c>
      <c r="T334" t="n">
        <v>2</v>
      </c>
      <c r="U334" t="n">
        <v>3</v>
      </c>
      <c r="V334" t="n">
        <v>2</v>
      </c>
      <c r="W334">
        <f>(AVERAGE(B334:D334)-1)/4</f>
        <v/>
      </c>
      <c r="X334">
        <f>(AVERAGE(E334:G334)-1)/4</f>
        <v/>
      </c>
      <c r="Y334">
        <f>(AVERAGE(H334:J334)-1)/4</f>
        <v/>
      </c>
      <c r="Z334">
        <f>(AVERAGE(K334:M334)-1)/4</f>
        <v/>
      </c>
      <c r="AA334">
        <f>(AVERAGE(N334:P334)-1)/4</f>
        <v/>
      </c>
      <c r="AB334">
        <f>(AVERAGE(Q334:S334)-1)/4</f>
        <v/>
      </c>
      <c r="AC334">
        <f>(AVERAGE(T334:V334)-1)/4</f>
        <v/>
      </c>
      <c r="AD334">
        <f>AVERAGE(W334:AA334)</f>
        <v/>
      </c>
      <c r="AE334">
        <f>MIN(W334:AA334)</f>
        <v/>
      </c>
      <c r="AF334">
        <f>1-alpha*MAX(0,delta-AE334)</f>
        <v/>
      </c>
      <c r="AG334">
        <f>AD334*AF334</f>
        <v/>
      </c>
      <c r="AH334">
        <f>1+COUNTIF(bounds,"&lt;"&amp;ROUND(AD334,12))</f>
        <v/>
      </c>
      <c r="AI334">
        <f>1+COUNTIF(bounds,"&lt;"&amp;ROUND(AG334,12))</f>
        <v/>
      </c>
      <c r="AJ334">
        <f>IF(AF334&lt;1,1,0)</f>
        <v/>
      </c>
      <c r="AK334">
        <f>IF(AH334&lt;&gt;AI334,1,0)</f>
        <v/>
      </c>
      <c r="AL334">
        <f>IF(AND(AI334&gt;=3,AB334&lt;=0.2),1,0)</f>
        <v/>
      </c>
      <c r="AM334">
        <f>AVERAGE(W334:AB334)</f>
        <v/>
      </c>
      <c r="AN334">
        <f>1+COUNTIF(bounds,"&lt;"&amp;ROUND(AM334,12))</f>
        <v/>
      </c>
      <c r="AO334">
        <f>IF(AK334=1,AD334,NA())</f>
        <v/>
      </c>
      <c r="AP334">
        <f>IF(AK334=0,AD334,NA())</f>
        <v/>
      </c>
    </row>
    <row r="335">
      <c r="A335" t="n">
        <v>327</v>
      </c>
      <c r="B335" t="n">
        <v>2</v>
      </c>
      <c r="C335" t="n">
        <v>4</v>
      </c>
      <c r="D335" t="n">
        <v>5</v>
      </c>
      <c r="E335" t="n">
        <v>3</v>
      </c>
      <c r="F335" t="n">
        <v>2</v>
      </c>
      <c r="G335" t="n">
        <v>5</v>
      </c>
      <c r="H335" t="n">
        <v>4</v>
      </c>
      <c r="I335" t="n">
        <v>4</v>
      </c>
      <c r="J335" t="n">
        <v>5</v>
      </c>
      <c r="K335" t="n">
        <v>4</v>
      </c>
      <c r="L335" t="n">
        <v>5</v>
      </c>
      <c r="M335" t="n">
        <v>4</v>
      </c>
      <c r="N335" t="n">
        <v>5</v>
      </c>
      <c r="O335" t="n">
        <v>5</v>
      </c>
      <c r="P335" t="n">
        <v>1</v>
      </c>
      <c r="Q335" t="n">
        <v>5</v>
      </c>
      <c r="R335" t="n">
        <v>5</v>
      </c>
      <c r="S335" t="n">
        <v>1</v>
      </c>
      <c r="T335" t="n">
        <v>3</v>
      </c>
      <c r="U335" t="n">
        <v>1</v>
      </c>
      <c r="V335" t="n">
        <v>4</v>
      </c>
      <c r="W335">
        <f>(AVERAGE(B335:D335)-1)/4</f>
        <v/>
      </c>
      <c r="X335">
        <f>(AVERAGE(E335:G335)-1)/4</f>
        <v/>
      </c>
      <c r="Y335">
        <f>(AVERAGE(H335:J335)-1)/4</f>
        <v/>
      </c>
      <c r="Z335">
        <f>(AVERAGE(K335:M335)-1)/4</f>
        <v/>
      </c>
      <c r="AA335">
        <f>(AVERAGE(N335:P335)-1)/4</f>
        <v/>
      </c>
      <c r="AB335">
        <f>(AVERAGE(Q335:S335)-1)/4</f>
        <v/>
      </c>
      <c r="AC335">
        <f>(AVERAGE(T335:V335)-1)/4</f>
        <v/>
      </c>
      <c r="AD335">
        <f>AVERAGE(W335:AA335)</f>
        <v/>
      </c>
      <c r="AE335">
        <f>MIN(W335:AA335)</f>
        <v/>
      </c>
      <c r="AF335">
        <f>1-alpha*MAX(0,delta-AE335)</f>
        <v/>
      </c>
      <c r="AG335">
        <f>AD335*AF335</f>
        <v/>
      </c>
      <c r="AH335">
        <f>1+COUNTIF(bounds,"&lt;"&amp;ROUND(AD335,12))</f>
        <v/>
      </c>
      <c r="AI335">
        <f>1+COUNTIF(bounds,"&lt;"&amp;ROUND(AG335,12))</f>
        <v/>
      </c>
      <c r="AJ335">
        <f>IF(AF335&lt;1,1,0)</f>
        <v/>
      </c>
      <c r="AK335">
        <f>IF(AH335&lt;&gt;AI335,1,0)</f>
        <v/>
      </c>
      <c r="AL335">
        <f>IF(AND(AI335&gt;=3,AB335&lt;=0.2),1,0)</f>
        <v/>
      </c>
      <c r="AM335">
        <f>AVERAGE(W335:AB335)</f>
        <v/>
      </c>
      <c r="AN335">
        <f>1+COUNTIF(bounds,"&lt;"&amp;ROUND(AM335,12))</f>
        <v/>
      </c>
      <c r="AO335">
        <f>IF(AK335=1,AD335,NA())</f>
        <v/>
      </c>
      <c r="AP335">
        <f>IF(AK335=0,AD335,NA())</f>
        <v/>
      </c>
    </row>
    <row r="336">
      <c r="A336" t="n">
        <v>328</v>
      </c>
      <c r="B336" t="n">
        <v>4</v>
      </c>
      <c r="C336" t="n">
        <v>3</v>
      </c>
      <c r="D336" t="n">
        <v>1</v>
      </c>
      <c r="E336" t="n">
        <v>2</v>
      </c>
      <c r="F336" t="n">
        <v>2</v>
      </c>
      <c r="G336" t="n">
        <v>5</v>
      </c>
      <c r="H336" t="n">
        <v>2</v>
      </c>
      <c r="I336" t="n">
        <v>4</v>
      </c>
      <c r="J336" t="n">
        <v>4</v>
      </c>
      <c r="K336" t="n">
        <v>5</v>
      </c>
      <c r="L336" t="n">
        <v>4</v>
      </c>
      <c r="M336" t="n">
        <v>4</v>
      </c>
      <c r="N336" t="n">
        <v>4</v>
      </c>
      <c r="O336" t="n">
        <v>5</v>
      </c>
      <c r="P336" t="n">
        <v>2</v>
      </c>
      <c r="Q336" t="n">
        <v>1</v>
      </c>
      <c r="R336" t="n">
        <v>5</v>
      </c>
      <c r="S336" t="n">
        <v>4</v>
      </c>
      <c r="T336" t="n">
        <v>5</v>
      </c>
      <c r="U336" t="n">
        <v>2</v>
      </c>
      <c r="V336" t="n">
        <v>5</v>
      </c>
      <c r="W336">
        <f>(AVERAGE(B336:D336)-1)/4</f>
        <v/>
      </c>
      <c r="X336">
        <f>(AVERAGE(E336:G336)-1)/4</f>
        <v/>
      </c>
      <c r="Y336">
        <f>(AVERAGE(H336:J336)-1)/4</f>
        <v/>
      </c>
      <c r="Z336">
        <f>(AVERAGE(K336:M336)-1)/4</f>
        <v/>
      </c>
      <c r="AA336">
        <f>(AVERAGE(N336:P336)-1)/4</f>
        <v/>
      </c>
      <c r="AB336">
        <f>(AVERAGE(Q336:S336)-1)/4</f>
        <v/>
      </c>
      <c r="AC336">
        <f>(AVERAGE(T336:V336)-1)/4</f>
        <v/>
      </c>
      <c r="AD336">
        <f>AVERAGE(W336:AA336)</f>
        <v/>
      </c>
      <c r="AE336">
        <f>MIN(W336:AA336)</f>
        <v/>
      </c>
      <c r="AF336">
        <f>1-alpha*MAX(0,delta-AE336)</f>
        <v/>
      </c>
      <c r="AG336">
        <f>AD336*AF336</f>
        <v/>
      </c>
      <c r="AH336">
        <f>1+COUNTIF(bounds,"&lt;"&amp;ROUND(AD336,12))</f>
        <v/>
      </c>
      <c r="AI336">
        <f>1+COUNTIF(bounds,"&lt;"&amp;ROUND(AG336,12))</f>
        <v/>
      </c>
      <c r="AJ336">
        <f>IF(AF336&lt;1,1,0)</f>
        <v/>
      </c>
      <c r="AK336">
        <f>IF(AH336&lt;&gt;AI336,1,0)</f>
        <v/>
      </c>
      <c r="AL336">
        <f>IF(AND(AI336&gt;=3,AB336&lt;=0.2),1,0)</f>
        <v/>
      </c>
      <c r="AM336">
        <f>AVERAGE(W336:AB336)</f>
        <v/>
      </c>
      <c r="AN336">
        <f>1+COUNTIF(bounds,"&lt;"&amp;ROUND(AM336,12))</f>
        <v/>
      </c>
      <c r="AO336">
        <f>IF(AK336=1,AD336,NA())</f>
        <v/>
      </c>
      <c r="AP336">
        <f>IF(AK336=0,AD336,NA())</f>
        <v/>
      </c>
    </row>
    <row r="337">
      <c r="A337" t="n">
        <v>329</v>
      </c>
      <c r="B337" t="n">
        <v>2</v>
      </c>
      <c r="C337" t="n">
        <v>4</v>
      </c>
      <c r="D337" t="n">
        <v>1</v>
      </c>
      <c r="E337" t="n">
        <v>4</v>
      </c>
      <c r="F337" t="n">
        <v>1</v>
      </c>
      <c r="G337" t="n">
        <v>2</v>
      </c>
      <c r="H337" t="n">
        <v>5</v>
      </c>
      <c r="I337" t="n">
        <v>4</v>
      </c>
      <c r="J337" t="n">
        <v>1</v>
      </c>
      <c r="K337" t="n">
        <v>3</v>
      </c>
      <c r="L337" t="n">
        <v>1</v>
      </c>
      <c r="M337" t="n">
        <v>5</v>
      </c>
      <c r="N337" t="n">
        <v>3</v>
      </c>
      <c r="O337" t="n">
        <v>3</v>
      </c>
      <c r="P337" t="n">
        <v>1</v>
      </c>
      <c r="Q337" t="n">
        <v>3</v>
      </c>
      <c r="R337" t="n">
        <v>5</v>
      </c>
      <c r="S337" t="n">
        <v>5</v>
      </c>
      <c r="T337" t="n">
        <v>3</v>
      </c>
      <c r="U337" t="n">
        <v>2</v>
      </c>
      <c r="V337" t="n">
        <v>2</v>
      </c>
      <c r="W337">
        <f>(AVERAGE(B337:D337)-1)/4</f>
        <v/>
      </c>
      <c r="X337">
        <f>(AVERAGE(E337:G337)-1)/4</f>
        <v/>
      </c>
      <c r="Y337">
        <f>(AVERAGE(H337:J337)-1)/4</f>
        <v/>
      </c>
      <c r="Z337">
        <f>(AVERAGE(K337:M337)-1)/4</f>
        <v/>
      </c>
      <c r="AA337">
        <f>(AVERAGE(N337:P337)-1)/4</f>
        <v/>
      </c>
      <c r="AB337">
        <f>(AVERAGE(Q337:S337)-1)/4</f>
        <v/>
      </c>
      <c r="AC337">
        <f>(AVERAGE(T337:V337)-1)/4</f>
        <v/>
      </c>
      <c r="AD337">
        <f>AVERAGE(W337:AA337)</f>
        <v/>
      </c>
      <c r="AE337">
        <f>MIN(W337:AA337)</f>
        <v/>
      </c>
      <c r="AF337">
        <f>1-alpha*MAX(0,delta-AE337)</f>
        <v/>
      </c>
      <c r="AG337">
        <f>AD337*AF337</f>
        <v/>
      </c>
      <c r="AH337">
        <f>1+COUNTIF(bounds,"&lt;"&amp;ROUND(AD337,12))</f>
        <v/>
      </c>
      <c r="AI337">
        <f>1+COUNTIF(bounds,"&lt;"&amp;ROUND(AG337,12))</f>
        <v/>
      </c>
      <c r="AJ337">
        <f>IF(AF337&lt;1,1,0)</f>
        <v/>
      </c>
      <c r="AK337">
        <f>IF(AH337&lt;&gt;AI337,1,0)</f>
        <v/>
      </c>
      <c r="AL337">
        <f>IF(AND(AI337&gt;=3,AB337&lt;=0.2),1,0)</f>
        <v/>
      </c>
      <c r="AM337">
        <f>AVERAGE(W337:AB337)</f>
        <v/>
      </c>
      <c r="AN337">
        <f>1+COUNTIF(bounds,"&lt;"&amp;ROUND(AM337,12))</f>
        <v/>
      </c>
      <c r="AO337">
        <f>IF(AK337=1,AD337,NA())</f>
        <v/>
      </c>
      <c r="AP337">
        <f>IF(AK337=0,AD337,NA())</f>
        <v/>
      </c>
    </row>
    <row r="338">
      <c r="A338" t="n">
        <v>330</v>
      </c>
      <c r="B338" t="n">
        <v>5</v>
      </c>
      <c r="C338" t="n">
        <v>5</v>
      </c>
      <c r="D338" t="n">
        <v>4</v>
      </c>
      <c r="E338" t="n">
        <v>1</v>
      </c>
      <c r="F338" t="n">
        <v>1</v>
      </c>
      <c r="G338" t="n">
        <v>5</v>
      </c>
      <c r="H338" t="n">
        <v>4</v>
      </c>
      <c r="I338" t="n">
        <v>1</v>
      </c>
      <c r="J338" t="n">
        <v>5</v>
      </c>
      <c r="K338" t="n">
        <v>5</v>
      </c>
      <c r="L338" t="n">
        <v>3</v>
      </c>
      <c r="M338" t="n">
        <v>4</v>
      </c>
      <c r="N338" t="n">
        <v>2</v>
      </c>
      <c r="O338" t="n">
        <v>1</v>
      </c>
      <c r="P338" t="n">
        <v>5</v>
      </c>
      <c r="Q338" t="n">
        <v>3</v>
      </c>
      <c r="R338" t="n">
        <v>1</v>
      </c>
      <c r="S338" t="n">
        <v>2</v>
      </c>
      <c r="T338" t="n">
        <v>4</v>
      </c>
      <c r="U338" t="n">
        <v>5</v>
      </c>
      <c r="V338" t="n">
        <v>3</v>
      </c>
      <c r="W338">
        <f>(AVERAGE(B338:D338)-1)/4</f>
        <v/>
      </c>
      <c r="X338">
        <f>(AVERAGE(E338:G338)-1)/4</f>
        <v/>
      </c>
      <c r="Y338">
        <f>(AVERAGE(H338:J338)-1)/4</f>
        <v/>
      </c>
      <c r="Z338">
        <f>(AVERAGE(K338:M338)-1)/4</f>
        <v/>
      </c>
      <c r="AA338">
        <f>(AVERAGE(N338:P338)-1)/4</f>
        <v/>
      </c>
      <c r="AB338">
        <f>(AVERAGE(Q338:S338)-1)/4</f>
        <v/>
      </c>
      <c r="AC338">
        <f>(AVERAGE(T338:V338)-1)/4</f>
        <v/>
      </c>
      <c r="AD338">
        <f>AVERAGE(W338:AA338)</f>
        <v/>
      </c>
      <c r="AE338">
        <f>MIN(W338:AA338)</f>
        <v/>
      </c>
      <c r="AF338">
        <f>1-alpha*MAX(0,delta-AE338)</f>
        <v/>
      </c>
      <c r="AG338">
        <f>AD338*AF338</f>
        <v/>
      </c>
      <c r="AH338">
        <f>1+COUNTIF(bounds,"&lt;"&amp;ROUND(AD338,12))</f>
        <v/>
      </c>
      <c r="AI338">
        <f>1+COUNTIF(bounds,"&lt;"&amp;ROUND(AG338,12))</f>
        <v/>
      </c>
      <c r="AJ338">
        <f>IF(AF338&lt;1,1,0)</f>
        <v/>
      </c>
      <c r="AK338">
        <f>IF(AH338&lt;&gt;AI338,1,0)</f>
        <v/>
      </c>
      <c r="AL338">
        <f>IF(AND(AI338&gt;=3,AB338&lt;=0.2),1,0)</f>
        <v/>
      </c>
      <c r="AM338">
        <f>AVERAGE(W338:AB338)</f>
        <v/>
      </c>
      <c r="AN338">
        <f>1+COUNTIF(bounds,"&lt;"&amp;ROUND(AM338,12))</f>
        <v/>
      </c>
      <c r="AO338">
        <f>IF(AK338=1,AD338,NA())</f>
        <v/>
      </c>
      <c r="AP338">
        <f>IF(AK338=0,AD338,NA())</f>
        <v/>
      </c>
    </row>
    <row r="339">
      <c r="A339" t="n">
        <v>331</v>
      </c>
      <c r="B339" t="n">
        <v>2</v>
      </c>
      <c r="C339" t="n">
        <v>5</v>
      </c>
      <c r="D339" t="n">
        <v>4</v>
      </c>
      <c r="E339" t="n">
        <v>4</v>
      </c>
      <c r="F339" t="n">
        <v>5</v>
      </c>
      <c r="G339" t="n">
        <v>3</v>
      </c>
      <c r="H339" t="n">
        <v>5</v>
      </c>
      <c r="I339" t="n">
        <v>4</v>
      </c>
      <c r="J339" t="n">
        <v>5</v>
      </c>
      <c r="K339" t="n">
        <v>4</v>
      </c>
      <c r="L339" t="n">
        <v>1</v>
      </c>
      <c r="M339" t="n">
        <v>4</v>
      </c>
      <c r="N339" t="n">
        <v>3</v>
      </c>
      <c r="O339" t="n">
        <v>2</v>
      </c>
      <c r="P339" t="n">
        <v>4</v>
      </c>
      <c r="Q339" t="n">
        <v>2</v>
      </c>
      <c r="R339" t="n">
        <v>1</v>
      </c>
      <c r="S339" t="n">
        <v>4</v>
      </c>
      <c r="T339" t="n">
        <v>4</v>
      </c>
      <c r="U339" t="n">
        <v>5</v>
      </c>
      <c r="V339" t="n">
        <v>2</v>
      </c>
      <c r="W339">
        <f>(AVERAGE(B339:D339)-1)/4</f>
        <v/>
      </c>
      <c r="X339">
        <f>(AVERAGE(E339:G339)-1)/4</f>
        <v/>
      </c>
      <c r="Y339">
        <f>(AVERAGE(H339:J339)-1)/4</f>
        <v/>
      </c>
      <c r="Z339">
        <f>(AVERAGE(K339:M339)-1)/4</f>
        <v/>
      </c>
      <c r="AA339">
        <f>(AVERAGE(N339:P339)-1)/4</f>
        <v/>
      </c>
      <c r="AB339">
        <f>(AVERAGE(Q339:S339)-1)/4</f>
        <v/>
      </c>
      <c r="AC339">
        <f>(AVERAGE(T339:V339)-1)/4</f>
        <v/>
      </c>
      <c r="AD339">
        <f>AVERAGE(W339:AA339)</f>
        <v/>
      </c>
      <c r="AE339">
        <f>MIN(W339:AA339)</f>
        <v/>
      </c>
      <c r="AF339">
        <f>1-alpha*MAX(0,delta-AE339)</f>
        <v/>
      </c>
      <c r="AG339">
        <f>AD339*AF339</f>
        <v/>
      </c>
      <c r="AH339">
        <f>1+COUNTIF(bounds,"&lt;"&amp;ROUND(AD339,12))</f>
        <v/>
      </c>
      <c r="AI339">
        <f>1+COUNTIF(bounds,"&lt;"&amp;ROUND(AG339,12))</f>
        <v/>
      </c>
      <c r="AJ339">
        <f>IF(AF339&lt;1,1,0)</f>
        <v/>
      </c>
      <c r="AK339">
        <f>IF(AH339&lt;&gt;AI339,1,0)</f>
        <v/>
      </c>
      <c r="AL339">
        <f>IF(AND(AI339&gt;=3,AB339&lt;=0.2),1,0)</f>
        <v/>
      </c>
      <c r="AM339">
        <f>AVERAGE(W339:AB339)</f>
        <v/>
      </c>
      <c r="AN339">
        <f>1+COUNTIF(bounds,"&lt;"&amp;ROUND(AM339,12))</f>
        <v/>
      </c>
      <c r="AO339">
        <f>IF(AK339=1,AD339,NA())</f>
        <v/>
      </c>
      <c r="AP339">
        <f>IF(AK339=0,AD339,NA())</f>
        <v/>
      </c>
    </row>
    <row r="340">
      <c r="A340" t="n">
        <v>332</v>
      </c>
      <c r="B340" t="n">
        <v>4</v>
      </c>
      <c r="C340" t="n">
        <v>1</v>
      </c>
      <c r="D340" t="n">
        <v>4</v>
      </c>
      <c r="E340" t="n">
        <v>2</v>
      </c>
      <c r="F340" t="n">
        <v>5</v>
      </c>
      <c r="G340" t="n">
        <v>4</v>
      </c>
      <c r="H340" t="n">
        <v>5</v>
      </c>
      <c r="I340" t="n">
        <v>1</v>
      </c>
      <c r="J340" t="n">
        <v>2</v>
      </c>
      <c r="K340" t="n">
        <v>5</v>
      </c>
      <c r="L340" t="n">
        <v>2</v>
      </c>
      <c r="M340" t="n">
        <v>5</v>
      </c>
      <c r="N340" t="n">
        <v>5</v>
      </c>
      <c r="O340" t="n">
        <v>3</v>
      </c>
      <c r="P340" t="n">
        <v>2</v>
      </c>
      <c r="Q340" t="n">
        <v>4</v>
      </c>
      <c r="R340" t="n">
        <v>1</v>
      </c>
      <c r="S340" t="n">
        <v>3</v>
      </c>
      <c r="T340" t="n">
        <v>5</v>
      </c>
      <c r="U340" t="n">
        <v>1</v>
      </c>
      <c r="V340" t="n">
        <v>4</v>
      </c>
      <c r="W340">
        <f>(AVERAGE(B340:D340)-1)/4</f>
        <v/>
      </c>
      <c r="X340">
        <f>(AVERAGE(E340:G340)-1)/4</f>
        <v/>
      </c>
      <c r="Y340">
        <f>(AVERAGE(H340:J340)-1)/4</f>
        <v/>
      </c>
      <c r="Z340">
        <f>(AVERAGE(K340:M340)-1)/4</f>
        <v/>
      </c>
      <c r="AA340">
        <f>(AVERAGE(N340:P340)-1)/4</f>
        <v/>
      </c>
      <c r="AB340">
        <f>(AVERAGE(Q340:S340)-1)/4</f>
        <v/>
      </c>
      <c r="AC340">
        <f>(AVERAGE(T340:V340)-1)/4</f>
        <v/>
      </c>
      <c r="AD340">
        <f>AVERAGE(W340:AA340)</f>
        <v/>
      </c>
      <c r="AE340">
        <f>MIN(W340:AA340)</f>
        <v/>
      </c>
      <c r="AF340">
        <f>1-alpha*MAX(0,delta-AE340)</f>
        <v/>
      </c>
      <c r="AG340">
        <f>AD340*AF340</f>
        <v/>
      </c>
      <c r="AH340">
        <f>1+COUNTIF(bounds,"&lt;"&amp;ROUND(AD340,12))</f>
        <v/>
      </c>
      <c r="AI340">
        <f>1+COUNTIF(bounds,"&lt;"&amp;ROUND(AG340,12))</f>
        <v/>
      </c>
      <c r="AJ340">
        <f>IF(AF340&lt;1,1,0)</f>
        <v/>
      </c>
      <c r="AK340">
        <f>IF(AH340&lt;&gt;AI340,1,0)</f>
        <v/>
      </c>
      <c r="AL340">
        <f>IF(AND(AI340&gt;=3,AB340&lt;=0.2),1,0)</f>
        <v/>
      </c>
      <c r="AM340">
        <f>AVERAGE(W340:AB340)</f>
        <v/>
      </c>
      <c r="AN340">
        <f>1+COUNTIF(bounds,"&lt;"&amp;ROUND(AM340,12))</f>
        <v/>
      </c>
      <c r="AO340">
        <f>IF(AK340=1,AD340,NA())</f>
        <v/>
      </c>
      <c r="AP340">
        <f>IF(AK340=0,AD340,NA())</f>
        <v/>
      </c>
    </row>
    <row r="341">
      <c r="A341" t="n">
        <v>333</v>
      </c>
      <c r="B341" t="n">
        <v>5</v>
      </c>
      <c r="C341" t="n">
        <v>2</v>
      </c>
      <c r="D341" t="n">
        <v>2</v>
      </c>
      <c r="E341" t="n">
        <v>3</v>
      </c>
      <c r="F341" t="n">
        <v>4</v>
      </c>
      <c r="G341" t="n">
        <v>4</v>
      </c>
      <c r="H341" t="n">
        <v>5</v>
      </c>
      <c r="I341" t="n">
        <v>4</v>
      </c>
      <c r="J341" t="n">
        <v>5</v>
      </c>
      <c r="K341" t="n">
        <v>1</v>
      </c>
      <c r="L341" t="n">
        <v>1</v>
      </c>
      <c r="M341" t="n">
        <v>1</v>
      </c>
      <c r="N341" t="n">
        <v>4</v>
      </c>
      <c r="O341" t="n">
        <v>2</v>
      </c>
      <c r="P341" t="n">
        <v>2</v>
      </c>
      <c r="Q341" t="n">
        <v>1</v>
      </c>
      <c r="R341" t="n">
        <v>5</v>
      </c>
      <c r="S341" t="n">
        <v>2</v>
      </c>
      <c r="T341" t="n">
        <v>1</v>
      </c>
      <c r="U341" t="n">
        <v>3</v>
      </c>
      <c r="V341" t="n">
        <v>1</v>
      </c>
      <c r="W341">
        <f>(AVERAGE(B341:D341)-1)/4</f>
        <v/>
      </c>
      <c r="X341">
        <f>(AVERAGE(E341:G341)-1)/4</f>
        <v/>
      </c>
      <c r="Y341">
        <f>(AVERAGE(H341:J341)-1)/4</f>
        <v/>
      </c>
      <c r="Z341">
        <f>(AVERAGE(K341:M341)-1)/4</f>
        <v/>
      </c>
      <c r="AA341">
        <f>(AVERAGE(N341:P341)-1)/4</f>
        <v/>
      </c>
      <c r="AB341">
        <f>(AVERAGE(Q341:S341)-1)/4</f>
        <v/>
      </c>
      <c r="AC341">
        <f>(AVERAGE(T341:V341)-1)/4</f>
        <v/>
      </c>
      <c r="AD341">
        <f>AVERAGE(W341:AA341)</f>
        <v/>
      </c>
      <c r="AE341">
        <f>MIN(W341:AA341)</f>
        <v/>
      </c>
      <c r="AF341">
        <f>1-alpha*MAX(0,delta-AE341)</f>
        <v/>
      </c>
      <c r="AG341">
        <f>AD341*AF341</f>
        <v/>
      </c>
      <c r="AH341">
        <f>1+COUNTIF(bounds,"&lt;"&amp;ROUND(AD341,12))</f>
        <v/>
      </c>
      <c r="AI341">
        <f>1+COUNTIF(bounds,"&lt;"&amp;ROUND(AG341,12))</f>
        <v/>
      </c>
      <c r="AJ341">
        <f>IF(AF341&lt;1,1,0)</f>
        <v/>
      </c>
      <c r="AK341">
        <f>IF(AH341&lt;&gt;AI341,1,0)</f>
        <v/>
      </c>
      <c r="AL341">
        <f>IF(AND(AI341&gt;=3,AB341&lt;=0.2),1,0)</f>
        <v/>
      </c>
      <c r="AM341">
        <f>AVERAGE(W341:AB341)</f>
        <v/>
      </c>
      <c r="AN341">
        <f>1+COUNTIF(bounds,"&lt;"&amp;ROUND(AM341,12))</f>
        <v/>
      </c>
      <c r="AO341">
        <f>IF(AK341=1,AD341,NA())</f>
        <v/>
      </c>
      <c r="AP341">
        <f>IF(AK341=0,AD341,NA())</f>
        <v/>
      </c>
    </row>
    <row r="342">
      <c r="A342" t="n">
        <v>334</v>
      </c>
      <c r="B342" t="n">
        <v>3</v>
      </c>
      <c r="C342" t="n">
        <v>5</v>
      </c>
      <c r="D342" t="n">
        <v>1</v>
      </c>
      <c r="E342" t="n">
        <v>1</v>
      </c>
      <c r="F342" t="n">
        <v>2</v>
      </c>
      <c r="G342" t="n">
        <v>2</v>
      </c>
      <c r="H342" t="n">
        <v>5</v>
      </c>
      <c r="I342" t="n">
        <v>2</v>
      </c>
      <c r="J342" t="n">
        <v>4</v>
      </c>
      <c r="K342" t="n">
        <v>4</v>
      </c>
      <c r="L342" t="n">
        <v>1</v>
      </c>
      <c r="M342" t="n">
        <v>5</v>
      </c>
      <c r="N342" t="n">
        <v>1</v>
      </c>
      <c r="O342" t="n">
        <v>1</v>
      </c>
      <c r="P342" t="n">
        <v>5</v>
      </c>
      <c r="Q342" t="n">
        <v>2</v>
      </c>
      <c r="R342" t="n">
        <v>4</v>
      </c>
      <c r="S342" t="n">
        <v>2</v>
      </c>
      <c r="T342" t="n">
        <v>2</v>
      </c>
      <c r="U342" t="n">
        <v>4</v>
      </c>
      <c r="V342" t="n">
        <v>5</v>
      </c>
      <c r="W342">
        <f>(AVERAGE(B342:D342)-1)/4</f>
        <v/>
      </c>
      <c r="X342">
        <f>(AVERAGE(E342:G342)-1)/4</f>
        <v/>
      </c>
      <c r="Y342">
        <f>(AVERAGE(H342:J342)-1)/4</f>
        <v/>
      </c>
      <c r="Z342">
        <f>(AVERAGE(K342:M342)-1)/4</f>
        <v/>
      </c>
      <c r="AA342">
        <f>(AVERAGE(N342:P342)-1)/4</f>
        <v/>
      </c>
      <c r="AB342">
        <f>(AVERAGE(Q342:S342)-1)/4</f>
        <v/>
      </c>
      <c r="AC342">
        <f>(AVERAGE(T342:V342)-1)/4</f>
        <v/>
      </c>
      <c r="AD342">
        <f>AVERAGE(W342:AA342)</f>
        <v/>
      </c>
      <c r="AE342">
        <f>MIN(W342:AA342)</f>
        <v/>
      </c>
      <c r="AF342">
        <f>1-alpha*MAX(0,delta-AE342)</f>
        <v/>
      </c>
      <c r="AG342">
        <f>AD342*AF342</f>
        <v/>
      </c>
      <c r="AH342">
        <f>1+COUNTIF(bounds,"&lt;"&amp;ROUND(AD342,12))</f>
        <v/>
      </c>
      <c r="AI342">
        <f>1+COUNTIF(bounds,"&lt;"&amp;ROUND(AG342,12))</f>
        <v/>
      </c>
      <c r="AJ342">
        <f>IF(AF342&lt;1,1,0)</f>
        <v/>
      </c>
      <c r="AK342">
        <f>IF(AH342&lt;&gt;AI342,1,0)</f>
        <v/>
      </c>
      <c r="AL342">
        <f>IF(AND(AI342&gt;=3,AB342&lt;=0.2),1,0)</f>
        <v/>
      </c>
      <c r="AM342">
        <f>AVERAGE(W342:AB342)</f>
        <v/>
      </c>
      <c r="AN342">
        <f>1+COUNTIF(bounds,"&lt;"&amp;ROUND(AM342,12))</f>
        <v/>
      </c>
      <c r="AO342">
        <f>IF(AK342=1,AD342,NA())</f>
        <v/>
      </c>
      <c r="AP342">
        <f>IF(AK342=0,AD342,NA())</f>
        <v/>
      </c>
    </row>
    <row r="343">
      <c r="A343" t="n">
        <v>335</v>
      </c>
      <c r="B343" t="n">
        <v>4</v>
      </c>
      <c r="C343" t="n">
        <v>3</v>
      </c>
      <c r="D343" t="n">
        <v>4</v>
      </c>
      <c r="E343" t="n">
        <v>2</v>
      </c>
      <c r="F343" t="n">
        <v>1</v>
      </c>
      <c r="G343" t="n">
        <v>1</v>
      </c>
      <c r="H343" t="n">
        <v>4</v>
      </c>
      <c r="I343" t="n">
        <v>5</v>
      </c>
      <c r="J343" t="n">
        <v>3</v>
      </c>
      <c r="K343" t="n">
        <v>1</v>
      </c>
      <c r="L343" t="n">
        <v>3</v>
      </c>
      <c r="M343" t="n">
        <v>3</v>
      </c>
      <c r="N343" t="n">
        <v>5</v>
      </c>
      <c r="O343" t="n">
        <v>1</v>
      </c>
      <c r="P343" t="n">
        <v>2</v>
      </c>
      <c r="Q343" t="n">
        <v>2</v>
      </c>
      <c r="R343" t="n">
        <v>1</v>
      </c>
      <c r="S343" t="n">
        <v>5</v>
      </c>
      <c r="T343" t="n">
        <v>4</v>
      </c>
      <c r="U343" t="n">
        <v>3</v>
      </c>
      <c r="V343" t="n">
        <v>4</v>
      </c>
      <c r="W343">
        <f>(AVERAGE(B343:D343)-1)/4</f>
        <v/>
      </c>
      <c r="X343">
        <f>(AVERAGE(E343:G343)-1)/4</f>
        <v/>
      </c>
      <c r="Y343">
        <f>(AVERAGE(H343:J343)-1)/4</f>
        <v/>
      </c>
      <c r="Z343">
        <f>(AVERAGE(K343:M343)-1)/4</f>
        <v/>
      </c>
      <c r="AA343">
        <f>(AVERAGE(N343:P343)-1)/4</f>
        <v/>
      </c>
      <c r="AB343">
        <f>(AVERAGE(Q343:S343)-1)/4</f>
        <v/>
      </c>
      <c r="AC343">
        <f>(AVERAGE(T343:V343)-1)/4</f>
        <v/>
      </c>
      <c r="AD343">
        <f>AVERAGE(W343:AA343)</f>
        <v/>
      </c>
      <c r="AE343">
        <f>MIN(W343:AA343)</f>
        <v/>
      </c>
      <c r="AF343">
        <f>1-alpha*MAX(0,delta-AE343)</f>
        <v/>
      </c>
      <c r="AG343">
        <f>AD343*AF343</f>
        <v/>
      </c>
      <c r="AH343">
        <f>1+COUNTIF(bounds,"&lt;"&amp;ROUND(AD343,12))</f>
        <v/>
      </c>
      <c r="AI343">
        <f>1+COUNTIF(bounds,"&lt;"&amp;ROUND(AG343,12))</f>
        <v/>
      </c>
      <c r="AJ343">
        <f>IF(AF343&lt;1,1,0)</f>
        <v/>
      </c>
      <c r="AK343">
        <f>IF(AH343&lt;&gt;AI343,1,0)</f>
        <v/>
      </c>
      <c r="AL343">
        <f>IF(AND(AI343&gt;=3,AB343&lt;=0.2),1,0)</f>
        <v/>
      </c>
      <c r="AM343">
        <f>AVERAGE(W343:AB343)</f>
        <v/>
      </c>
      <c r="AN343">
        <f>1+COUNTIF(bounds,"&lt;"&amp;ROUND(AM343,12))</f>
        <v/>
      </c>
      <c r="AO343">
        <f>IF(AK343=1,AD343,NA())</f>
        <v/>
      </c>
      <c r="AP343">
        <f>IF(AK343=0,AD343,NA())</f>
        <v/>
      </c>
    </row>
    <row r="344">
      <c r="A344" t="n">
        <v>336</v>
      </c>
      <c r="B344" t="n">
        <v>1</v>
      </c>
      <c r="C344" t="n">
        <v>5</v>
      </c>
      <c r="D344" t="n">
        <v>1</v>
      </c>
      <c r="E344" t="n">
        <v>1</v>
      </c>
      <c r="F344" t="n">
        <v>4</v>
      </c>
      <c r="G344" t="n">
        <v>1</v>
      </c>
      <c r="H344" t="n">
        <v>5</v>
      </c>
      <c r="I344" t="n">
        <v>1</v>
      </c>
      <c r="J344" t="n">
        <v>5</v>
      </c>
      <c r="K344" t="n">
        <v>5</v>
      </c>
      <c r="L344" t="n">
        <v>3</v>
      </c>
      <c r="M344" t="n">
        <v>1</v>
      </c>
      <c r="N344" t="n">
        <v>4</v>
      </c>
      <c r="O344" t="n">
        <v>3</v>
      </c>
      <c r="P344" t="n">
        <v>4</v>
      </c>
      <c r="Q344" t="n">
        <v>2</v>
      </c>
      <c r="R344" t="n">
        <v>5</v>
      </c>
      <c r="S344" t="n">
        <v>4</v>
      </c>
      <c r="T344" t="n">
        <v>3</v>
      </c>
      <c r="U344" t="n">
        <v>3</v>
      </c>
      <c r="V344" t="n">
        <v>3</v>
      </c>
      <c r="W344">
        <f>(AVERAGE(B344:D344)-1)/4</f>
        <v/>
      </c>
      <c r="X344">
        <f>(AVERAGE(E344:G344)-1)/4</f>
        <v/>
      </c>
      <c r="Y344">
        <f>(AVERAGE(H344:J344)-1)/4</f>
        <v/>
      </c>
      <c r="Z344">
        <f>(AVERAGE(K344:M344)-1)/4</f>
        <v/>
      </c>
      <c r="AA344">
        <f>(AVERAGE(N344:P344)-1)/4</f>
        <v/>
      </c>
      <c r="AB344">
        <f>(AVERAGE(Q344:S344)-1)/4</f>
        <v/>
      </c>
      <c r="AC344">
        <f>(AVERAGE(T344:V344)-1)/4</f>
        <v/>
      </c>
      <c r="AD344">
        <f>AVERAGE(W344:AA344)</f>
        <v/>
      </c>
      <c r="AE344">
        <f>MIN(W344:AA344)</f>
        <v/>
      </c>
      <c r="AF344">
        <f>1-alpha*MAX(0,delta-AE344)</f>
        <v/>
      </c>
      <c r="AG344">
        <f>AD344*AF344</f>
        <v/>
      </c>
      <c r="AH344">
        <f>1+COUNTIF(bounds,"&lt;"&amp;ROUND(AD344,12))</f>
        <v/>
      </c>
      <c r="AI344">
        <f>1+COUNTIF(bounds,"&lt;"&amp;ROUND(AG344,12))</f>
        <v/>
      </c>
      <c r="AJ344">
        <f>IF(AF344&lt;1,1,0)</f>
        <v/>
      </c>
      <c r="AK344">
        <f>IF(AH344&lt;&gt;AI344,1,0)</f>
        <v/>
      </c>
      <c r="AL344">
        <f>IF(AND(AI344&gt;=3,AB344&lt;=0.2),1,0)</f>
        <v/>
      </c>
      <c r="AM344">
        <f>AVERAGE(W344:AB344)</f>
        <v/>
      </c>
      <c r="AN344">
        <f>1+COUNTIF(bounds,"&lt;"&amp;ROUND(AM344,12))</f>
        <v/>
      </c>
      <c r="AO344">
        <f>IF(AK344=1,AD344,NA())</f>
        <v/>
      </c>
      <c r="AP344">
        <f>IF(AK344=0,AD344,NA())</f>
        <v/>
      </c>
    </row>
    <row r="345">
      <c r="A345" t="n">
        <v>337</v>
      </c>
      <c r="B345" t="n">
        <v>5</v>
      </c>
      <c r="C345" t="n">
        <v>1</v>
      </c>
      <c r="D345" t="n">
        <v>4</v>
      </c>
      <c r="E345" t="n">
        <v>2</v>
      </c>
      <c r="F345" t="n">
        <v>4</v>
      </c>
      <c r="G345" t="n">
        <v>3</v>
      </c>
      <c r="H345" t="n">
        <v>3</v>
      </c>
      <c r="I345" t="n">
        <v>2</v>
      </c>
      <c r="J345" t="n">
        <v>1</v>
      </c>
      <c r="K345" t="n">
        <v>1</v>
      </c>
      <c r="L345" t="n">
        <v>1</v>
      </c>
      <c r="M345" t="n">
        <v>4</v>
      </c>
      <c r="N345" t="n">
        <v>4</v>
      </c>
      <c r="O345" t="n">
        <v>5</v>
      </c>
      <c r="P345" t="n">
        <v>2</v>
      </c>
      <c r="Q345" t="n">
        <v>4</v>
      </c>
      <c r="R345" t="n">
        <v>1</v>
      </c>
      <c r="S345" t="n">
        <v>5</v>
      </c>
      <c r="T345" t="n">
        <v>3</v>
      </c>
      <c r="U345" t="n">
        <v>3</v>
      </c>
      <c r="V345" t="n">
        <v>1</v>
      </c>
      <c r="W345">
        <f>(AVERAGE(B345:D345)-1)/4</f>
        <v/>
      </c>
      <c r="X345">
        <f>(AVERAGE(E345:G345)-1)/4</f>
        <v/>
      </c>
      <c r="Y345">
        <f>(AVERAGE(H345:J345)-1)/4</f>
        <v/>
      </c>
      <c r="Z345">
        <f>(AVERAGE(K345:M345)-1)/4</f>
        <v/>
      </c>
      <c r="AA345">
        <f>(AVERAGE(N345:P345)-1)/4</f>
        <v/>
      </c>
      <c r="AB345">
        <f>(AVERAGE(Q345:S345)-1)/4</f>
        <v/>
      </c>
      <c r="AC345">
        <f>(AVERAGE(T345:V345)-1)/4</f>
        <v/>
      </c>
      <c r="AD345">
        <f>AVERAGE(W345:AA345)</f>
        <v/>
      </c>
      <c r="AE345">
        <f>MIN(W345:AA345)</f>
        <v/>
      </c>
      <c r="AF345">
        <f>1-alpha*MAX(0,delta-AE345)</f>
        <v/>
      </c>
      <c r="AG345">
        <f>AD345*AF345</f>
        <v/>
      </c>
      <c r="AH345">
        <f>1+COUNTIF(bounds,"&lt;"&amp;ROUND(AD345,12))</f>
        <v/>
      </c>
      <c r="AI345">
        <f>1+COUNTIF(bounds,"&lt;"&amp;ROUND(AG345,12))</f>
        <v/>
      </c>
      <c r="AJ345">
        <f>IF(AF345&lt;1,1,0)</f>
        <v/>
      </c>
      <c r="AK345">
        <f>IF(AH345&lt;&gt;AI345,1,0)</f>
        <v/>
      </c>
      <c r="AL345">
        <f>IF(AND(AI345&gt;=3,AB345&lt;=0.2),1,0)</f>
        <v/>
      </c>
      <c r="AM345">
        <f>AVERAGE(W345:AB345)</f>
        <v/>
      </c>
      <c r="AN345">
        <f>1+COUNTIF(bounds,"&lt;"&amp;ROUND(AM345,12))</f>
        <v/>
      </c>
      <c r="AO345">
        <f>IF(AK345=1,AD345,NA())</f>
        <v/>
      </c>
      <c r="AP345">
        <f>IF(AK345=0,AD345,NA())</f>
        <v/>
      </c>
    </row>
    <row r="346">
      <c r="A346" t="n">
        <v>338</v>
      </c>
      <c r="B346" t="n">
        <v>2</v>
      </c>
      <c r="C346" t="n">
        <v>2</v>
      </c>
      <c r="D346" t="n">
        <v>5</v>
      </c>
      <c r="E346" t="n">
        <v>2</v>
      </c>
      <c r="F346" t="n">
        <v>1</v>
      </c>
      <c r="G346" t="n">
        <v>1</v>
      </c>
      <c r="H346" t="n">
        <v>4</v>
      </c>
      <c r="I346" t="n">
        <v>3</v>
      </c>
      <c r="J346" t="n">
        <v>2</v>
      </c>
      <c r="K346" t="n">
        <v>5</v>
      </c>
      <c r="L346" t="n">
        <v>2</v>
      </c>
      <c r="M346" t="n">
        <v>3</v>
      </c>
      <c r="N346" t="n">
        <v>3</v>
      </c>
      <c r="O346" t="n">
        <v>4</v>
      </c>
      <c r="P346" t="n">
        <v>1</v>
      </c>
      <c r="Q346" t="n">
        <v>2</v>
      </c>
      <c r="R346" t="n">
        <v>4</v>
      </c>
      <c r="S346" t="n">
        <v>2</v>
      </c>
      <c r="T346" t="n">
        <v>3</v>
      </c>
      <c r="U346" t="n">
        <v>2</v>
      </c>
      <c r="V346" t="n">
        <v>4</v>
      </c>
      <c r="W346">
        <f>(AVERAGE(B346:D346)-1)/4</f>
        <v/>
      </c>
      <c r="X346">
        <f>(AVERAGE(E346:G346)-1)/4</f>
        <v/>
      </c>
      <c r="Y346">
        <f>(AVERAGE(H346:J346)-1)/4</f>
        <v/>
      </c>
      <c r="Z346">
        <f>(AVERAGE(K346:M346)-1)/4</f>
        <v/>
      </c>
      <c r="AA346">
        <f>(AVERAGE(N346:P346)-1)/4</f>
        <v/>
      </c>
      <c r="AB346">
        <f>(AVERAGE(Q346:S346)-1)/4</f>
        <v/>
      </c>
      <c r="AC346">
        <f>(AVERAGE(T346:V346)-1)/4</f>
        <v/>
      </c>
      <c r="AD346">
        <f>AVERAGE(W346:AA346)</f>
        <v/>
      </c>
      <c r="AE346">
        <f>MIN(W346:AA346)</f>
        <v/>
      </c>
      <c r="AF346">
        <f>1-alpha*MAX(0,delta-AE346)</f>
        <v/>
      </c>
      <c r="AG346">
        <f>AD346*AF346</f>
        <v/>
      </c>
      <c r="AH346">
        <f>1+COUNTIF(bounds,"&lt;"&amp;ROUND(AD346,12))</f>
        <v/>
      </c>
      <c r="AI346">
        <f>1+COUNTIF(bounds,"&lt;"&amp;ROUND(AG346,12))</f>
        <v/>
      </c>
      <c r="AJ346">
        <f>IF(AF346&lt;1,1,0)</f>
        <v/>
      </c>
      <c r="AK346">
        <f>IF(AH346&lt;&gt;AI346,1,0)</f>
        <v/>
      </c>
      <c r="AL346">
        <f>IF(AND(AI346&gt;=3,AB346&lt;=0.2),1,0)</f>
        <v/>
      </c>
      <c r="AM346">
        <f>AVERAGE(W346:AB346)</f>
        <v/>
      </c>
      <c r="AN346">
        <f>1+COUNTIF(bounds,"&lt;"&amp;ROUND(AM346,12))</f>
        <v/>
      </c>
      <c r="AO346">
        <f>IF(AK346=1,AD346,NA())</f>
        <v/>
      </c>
      <c r="AP346">
        <f>IF(AK346=0,AD346,NA())</f>
        <v/>
      </c>
    </row>
    <row r="347">
      <c r="A347" t="n">
        <v>339</v>
      </c>
      <c r="B347" t="n">
        <v>2</v>
      </c>
      <c r="C347" t="n">
        <v>3</v>
      </c>
      <c r="D347" t="n">
        <v>4</v>
      </c>
      <c r="E347" t="n">
        <v>4</v>
      </c>
      <c r="F347" t="n">
        <v>2</v>
      </c>
      <c r="G347" t="n">
        <v>2</v>
      </c>
      <c r="H347" t="n">
        <v>2</v>
      </c>
      <c r="I347" t="n">
        <v>3</v>
      </c>
      <c r="J347" t="n">
        <v>1</v>
      </c>
      <c r="K347" t="n">
        <v>4</v>
      </c>
      <c r="L347" t="n">
        <v>3</v>
      </c>
      <c r="M347" t="n">
        <v>1</v>
      </c>
      <c r="N347" t="n">
        <v>5</v>
      </c>
      <c r="O347" t="n">
        <v>3</v>
      </c>
      <c r="P347" t="n">
        <v>2</v>
      </c>
      <c r="Q347" t="n">
        <v>5</v>
      </c>
      <c r="R347" t="n">
        <v>5</v>
      </c>
      <c r="S347" t="n">
        <v>3</v>
      </c>
      <c r="T347" t="n">
        <v>3</v>
      </c>
      <c r="U347" t="n">
        <v>3</v>
      </c>
      <c r="V347" t="n">
        <v>4</v>
      </c>
      <c r="W347">
        <f>(AVERAGE(B347:D347)-1)/4</f>
        <v/>
      </c>
      <c r="X347">
        <f>(AVERAGE(E347:G347)-1)/4</f>
        <v/>
      </c>
      <c r="Y347">
        <f>(AVERAGE(H347:J347)-1)/4</f>
        <v/>
      </c>
      <c r="Z347">
        <f>(AVERAGE(K347:M347)-1)/4</f>
        <v/>
      </c>
      <c r="AA347">
        <f>(AVERAGE(N347:P347)-1)/4</f>
        <v/>
      </c>
      <c r="AB347">
        <f>(AVERAGE(Q347:S347)-1)/4</f>
        <v/>
      </c>
      <c r="AC347">
        <f>(AVERAGE(T347:V347)-1)/4</f>
        <v/>
      </c>
      <c r="AD347">
        <f>AVERAGE(W347:AA347)</f>
        <v/>
      </c>
      <c r="AE347">
        <f>MIN(W347:AA347)</f>
        <v/>
      </c>
      <c r="AF347">
        <f>1-alpha*MAX(0,delta-AE347)</f>
        <v/>
      </c>
      <c r="AG347">
        <f>AD347*AF347</f>
        <v/>
      </c>
      <c r="AH347">
        <f>1+COUNTIF(bounds,"&lt;"&amp;ROUND(AD347,12))</f>
        <v/>
      </c>
      <c r="AI347">
        <f>1+COUNTIF(bounds,"&lt;"&amp;ROUND(AG347,12))</f>
        <v/>
      </c>
      <c r="AJ347">
        <f>IF(AF347&lt;1,1,0)</f>
        <v/>
      </c>
      <c r="AK347">
        <f>IF(AH347&lt;&gt;AI347,1,0)</f>
        <v/>
      </c>
      <c r="AL347">
        <f>IF(AND(AI347&gt;=3,AB347&lt;=0.2),1,0)</f>
        <v/>
      </c>
      <c r="AM347">
        <f>AVERAGE(W347:AB347)</f>
        <v/>
      </c>
      <c r="AN347">
        <f>1+COUNTIF(bounds,"&lt;"&amp;ROUND(AM347,12))</f>
        <v/>
      </c>
      <c r="AO347">
        <f>IF(AK347=1,AD347,NA())</f>
        <v/>
      </c>
      <c r="AP347">
        <f>IF(AK347=0,AD347,NA())</f>
        <v/>
      </c>
    </row>
    <row r="348">
      <c r="A348" t="n">
        <v>340</v>
      </c>
      <c r="B348" t="n">
        <v>1</v>
      </c>
      <c r="C348" t="n">
        <v>4</v>
      </c>
      <c r="D348" t="n">
        <v>5</v>
      </c>
      <c r="E348" t="n">
        <v>3</v>
      </c>
      <c r="F348" t="n">
        <v>5</v>
      </c>
      <c r="G348" t="n">
        <v>2</v>
      </c>
      <c r="H348" t="n">
        <v>5</v>
      </c>
      <c r="I348" t="n">
        <v>5</v>
      </c>
      <c r="J348" t="n">
        <v>5</v>
      </c>
      <c r="K348" t="n">
        <v>3</v>
      </c>
      <c r="L348" t="n">
        <v>2</v>
      </c>
      <c r="M348" t="n">
        <v>1</v>
      </c>
      <c r="N348" t="n">
        <v>4</v>
      </c>
      <c r="O348" t="n">
        <v>5</v>
      </c>
      <c r="P348" t="n">
        <v>4</v>
      </c>
      <c r="Q348" t="n">
        <v>3</v>
      </c>
      <c r="R348" t="n">
        <v>1</v>
      </c>
      <c r="S348" t="n">
        <v>4</v>
      </c>
      <c r="T348" t="n">
        <v>2</v>
      </c>
      <c r="U348" t="n">
        <v>3</v>
      </c>
      <c r="V348" t="n">
        <v>4</v>
      </c>
      <c r="W348">
        <f>(AVERAGE(B348:D348)-1)/4</f>
        <v/>
      </c>
      <c r="X348">
        <f>(AVERAGE(E348:G348)-1)/4</f>
        <v/>
      </c>
      <c r="Y348">
        <f>(AVERAGE(H348:J348)-1)/4</f>
        <v/>
      </c>
      <c r="Z348">
        <f>(AVERAGE(K348:M348)-1)/4</f>
        <v/>
      </c>
      <c r="AA348">
        <f>(AVERAGE(N348:P348)-1)/4</f>
        <v/>
      </c>
      <c r="AB348">
        <f>(AVERAGE(Q348:S348)-1)/4</f>
        <v/>
      </c>
      <c r="AC348">
        <f>(AVERAGE(T348:V348)-1)/4</f>
        <v/>
      </c>
      <c r="AD348">
        <f>AVERAGE(W348:AA348)</f>
        <v/>
      </c>
      <c r="AE348">
        <f>MIN(W348:AA348)</f>
        <v/>
      </c>
      <c r="AF348">
        <f>1-alpha*MAX(0,delta-AE348)</f>
        <v/>
      </c>
      <c r="AG348">
        <f>AD348*AF348</f>
        <v/>
      </c>
      <c r="AH348">
        <f>1+COUNTIF(bounds,"&lt;"&amp;ROUND(AD348,12))</f>
        <v/>
      </c>
      <c r="AI348">
        <f>1+COUNTIF(bounds,"&lt;"&amp;ROUND(AG348,12))</f>
        <v/>
      </c>
      <c r="AJ348">
        <f>IF(AF348&lt;1,1,0)</f>
        <v/>
      </c>
      <c r="AK348">
        <f>IF(AH348&lt;&gt;AI348,1,0)</f>
        <v/>
      </c>
      <c r="AL348">
        <f>IF(AND(AI348&gt;=3,AB348&lt;=0.2),1,0)</f>
        <v/>
      </c>
      <c r="AM348">
        <f>AVERAGE(W348:AB348)</f>
        <v/>
      </c>
      <c r="AN348">
        <f>1+COUNTIF(bounds,"&lt;"&amp;ROUND(AM348,12))</f>
        <v/>
      </c>
      <c r="AO348">
        <f>IF(AK348=1,AD348,NA())</f>
        <v/>
      </c>
      <c r="AP348">
        <f>IF(AK348=0,AD348,NA())</f>
        <v/>
      </c>
    </row>
    <row r="349">
      <c r="A349" t="n">
        <v>341</v>
      </c>
      <c r="B349" t="n">
        <v>3</v>
      </c>
      <c r="C349" t="n">
        <v>5</v>
      </c>
      <c r="D349" t="n">
        <v>2</v>
      </c>
      <c r="E349" t="n">
        <v>2</v>
      </c>
      <c r="F349" t="n">
        <v>4</v>
      </c>
      <c r="G349" t="n">
        <v>3</v>
      </c>
      <c r="H349" t="n">
        <v>4</v>
      </c>
      <c r="I349" t="n">
        <v>4</v>
      </c>
      <c r="J349" t="n">
        <v>4</v>
      </c>
      <c r="K349" t="n">
        <v>1</v>
      </c>
      <c r="L349" t="n">
        <v>2</v>
      </c>
      <c r="M349" t="n">
        <v>3</v>
      </c>
      <c r="N349" t="n">
        <v>5</v>
      </c>
      <c r="O349" t="n">
        <v>5</v>
      </c>
      <c r="P349" t="n">
        <v>1</v>
      </c>
      <c r="Q349" t="n">
        <v>2</v>
      </c>
      <c r="R349" t="n">
        <v>1</v>
      </c>
      <c r="S349" t="n">
        <v>3</v>
      </c>
      <c r="T349" t="n">
        <v>5</v>
      </c>
      <c r="U349" t="n">
        <v>5</v>
      </c>
      <c r="V349" t="n">
        <v>4</v>
      </c>
      <c r="W349">
        <f>(AVERAGE(B349:D349)-1)/4</f>
        <v/>
      </c>
      <c r="X349">
        <f>(AVERAGE(E349:G349)-1)/4</f>
        <v/>
      </c>
      <c r="Y349">
        <f>(AVERAGE(H349:J349)-1)/4</f>
        <v/>
      </c>
      <c r="Z349">
        <f>(AVERAGE(K349:M349)-1)/4</f>
        <v/>
      </c>
      <c r="AA349">
        <f>(AVERAGE(N349:P349)-1)/4</f>
        <v/>
      </c>
      <c r="AB349">
        <f>(AVERAGE(Q349:S349)-1)/4</f>
        <v/>
      </c>
      <c r="AC349">
        <f>(AVERAGE(T349:V349)-1)/4</f>
        <v/>
      </c>
      <c r="AD349">
        <f>AVERAGE(W349:AA349)</f>
        <v/>
      </c>
      <c r="AE349">
        <f>MIN(W349:AA349)</f>
        <v/>
      </c>
      <c r="AF349">
        <f>1-alpha*MAX(0,delta-AE349)</f>
        <v/>
      </c>
      <c r="AG349">
        <f>AD349*AF349</f>
        <v/>
      </c>
      <c r="AH349">
        <f>1+COUNTIF(bounds,"&lt;"&amp;ROUND(AD349,12))</f>
        <v/>
      </c>
      <c r="AI349">
        <f>1+COUNTIF(bounds,"&lt;"&amp;ROUND(AG349,12))</f>
        <v/>
      </c>
      <c r="AJ349">
        <f>IF(AF349&lt;1,1,0)</f>
        <v/>
      </c>
      <c r="AK349">
        <f>IF(AH349&lt;&gt;AI349,1,0)</f>
        <v/>
      </c>
      <c r="AL349">
        <f>IF(AND(AI349&gt;=3,AB349&lt;=0.2),1,0)</f>
        <v/>
      </c>
      <c r="AM349">
        <f>AVERAGE(W349:AB349)</f>
        <v/>
      </c>
      <c r="AN349">
        <f>1+COUNTIF(bounds,"&lt;"&amp;ROUND(AM349,12))</f>
        <v/>
      </c>
      <c r="AO349">
        <f>IF(AK349=1,AD349,NA())</f>
        <v/>
      </c>
      <c r="AP349">
        <f>IF(AK349=0,AD349,NA())</f>
        <v/>
      </c>
    </row>
    <row r="350">
      <c r="A350" t="n">
        <v>342</v>
      </c>
      <c r="B350" t="n">
        <v>3</v>
      </c>
      <c r="C350" t="n">
        <v>2</v>
      </c>
      <c r="D350" t="n">
        <v>2</v>
      </c>
      <c r="E350" t="n">
        <v>1</v>
      </c>
      <c r="F350" t="n">
        <v>1</v>
      </c>
      <c r="G350" t="n">
        <v>2</v>
      </c>
      <c r="H350" t="n">
        <v>1</v>
      </c>
      <c r="I350" t="n">
        <v>5</v>
      </c>
      <c r="J350" t="n">
        <v>3</v>
      </c>
      <c r="K350" t="n">
        <v>3</v>
      </c>
      <c r="L350" t="n">
        <v>5</v>
      </c>
      <c r="M350" t="n">
        <v>3</v>
      </c>
      <c r="N350" t="n">
        <v>3</v>
      </c>
      <c r="O350" t="n">
        <v>1</v>
      </c>
      <c r="P350" t="n">
        <v>2</v>
      </c>
      <c r="Q350" t="n">
        <v>4</v>
      </c>
      <c r="R350" t="n">
        <v>2</v>
      </c>
      <c r="S350" t="n">
        <v>1</v>
      </c>
      <c r="T350" t="n">
        <v>4</v>
      </c>
      <c r="U350" t="n">
        <v>4</v>
      </c>
      <c r="V350" t="n">
        <v>1</v>
      </c>
      <c r="W350">
        <f>(AVERAGE(B350:D350)-1)/4</f>
        <v/>
      </c>
      <c r="X350">
        <f>(AVERAGE(E350:G350)-1)/4</f>
        <v/>
      </c>
      <c r="Y350">
        <f>(AVERAGE(H350:J350)-1)/4</f>
        <v/>
      </c>
      <c r="Z350">
        <f>(AVERAGE(K350:M350)-1)/4</f>
        <v/>
      </c>
      <c r="AA350">
        <f>(AVERAGE(N350:P350)-1)/4</f>
        <v/>
      </c>
      <c r="AB350">
        <f>(AVERAGE(Q350:S350)-1)/4</f>
        <v/>
      </c>
      <c r="AC350">
        <f>(AVERAGE(T350:V350)-1)/4</f>
        <v/>
      </c>
      <c r="AD350">
        <f>AVERAGE(W350:AA350)</f>
        <v/>
      </c>
      <c r="AE350">
        <f>MIN(W350:AA350)</f>
        <v/>
      </c>
      <c r="AF350">
        <f>1-alpha*MAX(0,delta-AE350)</f>
        <v/>
      </c>
      <c r="AG350">
        <f>AD350*AF350</f>
        <v/>
      </c>
      <c r="AH350">
        <f>1+COUNTIF(bounds,"&lt;"&amp;ROUND(AD350,12))</f>
        <v/>
      </c>
      <c r="AI350">
        <f>1+COUNTIF(bounds,"&lt;"&amp;ROUND(AG350,12))</f>
        <v/>
      </c>
      <c r="AJ350">
        <f>IF(AF350&lt;1,1,0)</f>
        <v/>
      </c>
      <c r="AK350">
        <f>IF(AH350&lt;&gt;AI350,1,0)</f>
        <v/>
      </c>
      <c r="AL350">
        <f>IF(AND(AI350&gt;=3,AB350&lt;=0.2),1,0)</f>
        <v/>
      </c>
      <c r="AM350">
        <f>AVERAGE(W350:AB350)</f>
        <v/>
      </c>
      <c r="AN350">
        <f>1+COUNTIF(bounds,"&lt;"&amp;ROUND(AM350,12))</f>
        <v/>
      </c>
      <c r="AO350">
        <f>IF(AK350=1,AD350,NA())</f>
        <v/>
      </c>
      <c r="AP350">
        <f>IF(AK350=0,AD350,NA())</f>
        <v/>
      </c>
    </row>
    <row r="351">
      <c r="A351" t="n">
        <v>343</v>
      </c>
      <c r="B351" t="n">
        <v>4</v>
      </c>
      <c r="C351" t="n">
        <v>1</v>
      </c>
      <c r="D351" t="n">
        <v>5</v>
      </c>
      <c r="E351" t="n">
        <v>4</v>
      </c>
      <c r="F351" t="n">
        <v>4</v>
      </c>
      <c r="G351" t="n">
        <v>4</v>
      </c>
      <c r="H351" t="n">
        <v>2</v>
      </c>
      <c r="I351" t="n">
        <v>1</v>
      </c>
      <c r="J351" t="n">
        <v>1</v>
      </c>
      <c r="K351" t="n">
        <v>1</v>
      </c>
      <c r="L351" t="n">
        <v>3</v>
      </c>
      <c r="M351" t="n">
        <v>1</v>
      </c>
      <c r="N351" t="n">
        <v>2</v>
      </c>
      <c r="O351" t="n">
        <v>3</v>
      </c>
      <c r="P351" t="n">
        <v>3</v>
      </c>
      <c r="Q351" t="n">
        <v>5</v>
      </c>
      <c r="R351" t="n">
        <v>5</v>
      </c>
      <c r="S351" t="n">
        <v>5</v>
      </c>
      <c r="T351" t="n">
        <v>4</v>
      </c>
      <c r="U351" t="n">
        <v>3</v>
      </c>
      <c r="V351" t="n">
        <v>4</v>
      </c>
      <c r="W351">
        <f>(AVERAGE(B351:D351)-1)/4</f>
        <v/>
      </c>
      <c r="X351">
        <f>(AVERAGE(E351:G351)-1)/4</f>
        <v/>
      </c>
      <c r="Y351">
        <f>(AVERAGE(H351:J351)-1)/4</f>
        <v/>
      </c>
      <c r="Z351">
        <f>(AVERAGE(K351:M351)-1)/4</f>
        <v/>
      </c>
      <c r="AA351">
        <f>(AVERAGE(N351:P351)-1)/4</f>
        <v/>
      </c>
      <c r="AB351">
        <f>(AVERAGE(Q351:S351)-1)/4</f>
        <v/>
      </c>
      <c r="AC351">
        <f>(AVERAGE(T351:V351)-1)/4</f>
        <v/>
      </c>
      <c r="AD351">
        <f>AVERAGE(W351:AA351)</f>
        <v/>
      </c>
      <c r="AE351">
        <f>MIN(W351:AA351)</f>
        <v/>
      </c>
      <c r="AF351">
        <f>1-alpha*MAX(0,delta-AE351)</f>
        <v/>
      </c>
      <c r="AG351">
        <f>AD351*AF351</f>
        <v/>
      </c>
      <c r="AH351">
        <f>1+COUNTIF(bounds,"&lt;"&amp;ROUND(AD351,12))</f>
        <v/>
      </c>
      <c r="AI351">
        <f>1+COUNTIF(bounds,"&lt;"&amp;ROUND(AG351,12))</f>
        <v/>
      </c>
      <c r="AJ351">
        <f>IF(AF351&lt;1,1,0)</f>
        <v/>
      </c>
      <c r="AK351">
        <f>IF(AH351&lt;&gt;AI351,1,0)</f>
        <v/>
      </c>
      <c r="AL351">
        <f>IF(AND(AI351&gt;=3,AB351&lt;=0.2),1,0)</f>
        <v/>
      </c>
      <c r="AM351">
        <f>AVERAGE(W351:AB351)</f>
        <v/>
      </c>
      <c r="AN351">
        <f>1+COUNTIF(bounds,"&lt;"&amp;ROUND(AM351,12))</f>
        <v/>
      </c>
      <c r="AO351">
        <f>IF(AK351=1,AD351,NA())</f>
        <v/>
      </c>
      <c r="AP351">
        <f>IF(AK351=0,AD351,NA())</f>
        <v/>
      </c>
    </row>
    <row r="352">
      <c r="A352" t="n">
        <v>344</v>
      </c>
      <c r="B352" t="n">
        <v>4</v>
      </c>
      <c r="C352" t="n">
        <v>2</v>
      </c>
      <c r="D352" t="n">
        <v>4</v>
      </c>
      <c r="E352" t="n">
        <v>1</v>
      </c>
      <c r="F352" t="n">
        <v>1</v>
      </c>
      <c r="G352" t="n">
        <v>4</v>
      </c>
      <c r="H352" t="n">
        <v>1</v>
      </c>
      <c r="I352" t="n">
        <v>4</v>
      </c>
      <c r="J352" t="n">
        <v>4</v>
      </c>
      <c r="K352" t="n">
        <v>1</v>
      </c>
      <c r="L352" t="n">
        <v>4</v>
      </c>
      <c r="M352" t="n">
        <v>4</v>
      </c>
      <c r="N352" t="n">
        <v>1</v>
      </c>
      <c r="O352" t="n">
        <v>1</v>
      </c>
      <c r="P352" t="n">
        <v>5</v>
      </c>
      <c r="Q352" t="n">
        <v>3</v>
      </c>
      <c r="R352" t="n">
        <v>4</v>
      </c>
      <c r="S352" t="n">
        <v>4</v>
      </c>
      <c r="T352" t="n">
        <v>1</v>
      </c>
      <c r="U352" t="n">
        <v>5</v>
      </c>
      <c r="V352" t="n">
        <v>5</v>
      </c>
      <c r="W352">
        <f>(AVERAGE(B352:D352)-1)/4</f>
        <v/>
      </c>
      <c r="X352">
        <f>(AVERAGE(E352:G352)-1)/4</f>
        <v/>
      </c>
      <c r="Y352">
        <f>(AVERAGE(H352:J352)-1)/4</f>
        <v/>
      </c>
      <c r="Z352">
        <f>(AVERAGE(K352:M352)-1)/4</f>
        <v/>
      </c>
      <c r="AA352">
        <f>(AVERAGE(N352:P352)-1)/4</f>
        <v/>
      </c>
      <c r="AB352">
        <f>(AVERAGE(Q352:S352)-1)/4</f>
        <v/>
      </c>
      <c r="AC352">
        <f>(AVERAGE(T352:V352)-1)/4</f>
        <v/>
      </c>
      <c r="AD352">
        <f>AVERAGE(W352:AA352)</f>
        <v/>
      </c>
      <c r="AE352">
        <f>MIN(W352:AA352)</f>
        <v/>
      </c>
      <c r="AF352">
        <f>1-alpha*MAX(0,delta-AE352)</f>
        <v/>
      </c>
      <c r="AG352">
        <f>AD352*AF352</f>
        <v/>
      </c>
      <c r="AH352">
        <f>1+COUNTIF(bounds,"&lt;"&amp;ROUND(AD352,12))</f>
        <v/>
      </c>
      <c r="AI352">
        <f>1+COUNTIF(bounds,"&lt;"&amp;ROUND(AG352,12))</f>
        <v/>
      </c>
      <c r="AJ352">
        <f>IF(AF352&lt;1,1,0)</f>
        <v/>
      </c>
      <c r="AK352">
        <f>IF(AH352&lt;&gt;AI352,1,0)</f>
        <v/>
      </c>
      <c r="AL352">
        <f>IF(AND(AI352&gt;=3,AB352&lt;=0.2),1,0)</f>
        <v/>
      </c>
      <c r="AM352">
        <f>AVERAGE(W352:AB352)</f>
        <v/>
      </c>
      <c r="AN352">
        <f>1+COUNTIF(bounds,"&lt;"&amp;ROUND(AM352,12))</f>
        <v/>
      </c>
      <c r="AO352">
        <f>IF(AK352=1,AD352,NA())</f>
        <v/>
      </c>
      <c r="AP352">
        <f>IF(AK352=0,AD352,NA())</f>
        <v/>
      </c>
    </row>
    <row r="353">
      <c r="A353" t="n">
        <v>345</v>
      </c>
      <c r="B353" t="n">
        <v>1</v>
      </c>
      <c r="C353" t="n">
        <v>4</v>
      </c>
      <c r="D353" t="n">
        <v>5</v>
      </c>
      <c r="E353" t="n">
        <v>2</v>
      </c>
      <c r="F353" t="n">
        <v>3</v>
      </c>
      <c r="G353" t="n">
        <v>1</v>
      </c>
      <c r="H353" t="n">
        <v>3</v>
      </c>
      <c r="I353" t="n">
        <v>5</v>
      </c>
      <c r="J353" t="n">
        <v>4</v>
      </c>
      <c r="K353" t="n">
        <v>4</v>
      </c>
      <c r="L353" t="n">
        <v>3</v>
      </c>
      <c r="M353" t="n">
        <v>4</v>
      </c>
      <c r="N353" t="n">
        <v>4</v>
      </c>
      <c r="O353" t="n">
        <v>1</v>
      </c>
      <c r="P353" t="n">
        <v>2</v>
      </c>
      <c r="Q353" t="n">
        <v>2</v>
      </c>
      <c r="R353" t="n">
        <v>2</v>
      </c>
      <c r="S353" t="n">
        <v>3</v>
      </c>
      <c r="T353" t="n">
        <v>3</v>
      </c>
      <c r="U353" t="n">
        <v>5</v>
      </c>
      <c r="V353" t="n">
        <v>4</v>
      </c>
      <c r="W353">
        <f>(AVERAGE(B353:D353)-1)/4</f>
        <v/>
      </c>
      <c r="X353">
        <f>(AVERAGE(E353:G353)-1)/4</f>
        <v/>
      </c>
      <c r="Y353">
        <f>(AVERAGE(H353:J353)-1)/4</f>
        <v/>
      </c>
      <c r="Z353">
        <f>(AVERAGE(K353:M353)-1)/4</f>
        <v/>
      </c>
      <c r="AA353">
        <f>(AVERAGE(N353:P353)-1)/4</f>
        <v/>
      </c>
      <c r="AB353">
        <f>(AVERAGE(Q353:S353)-1)/4</f>
        <v/>
      </c>
      <c r="AC353">
        <f>(AVERAGE(T353:V353)-1)/4</f>
        <v/>
      </c>
      <c r="AD353">
        <f>AVERAGE(W353:AA353)</f>
        <v/>
      </c>
      <c r="AE353">
        <f>MIN(W353:AA353)</f>
        <v/>
      </c>
      <c r="AF353">
        <f>1-alpha*MAX(0,delta-AE353)</f>
        <v/>
      </c>
      <c r="AG353">
        <f>AD353*AF353</f>
        <v/>
      </c>
      <c r="AH353">
        <f>1+COUNTIF(bounds,"&lt;"&amp;ROUND(AD353,12))</f>
        <v/>
      </c>
      <c r="AI353">
        <f>1+COUNTIF(bounds,"&lt;"&amp;ROUND(AG353,12))</f>
        <v/>
      </c>
      <c r="AJ353">
        <f>IF(AF353&lt;1,1,0)</f>
        <v/>
      </c>
      <c r="AK353">
        <f>IF(AH353&lt;&gt;AI353,1,0)</f>
        <v/>
      </c>
      <c r="AL353">
        <f>IF(AND(AI353&gt;=3,AB353&lt;=0.2),1,0)</f>
        <v/>
      </c>
      <c r="AM353">
        <f>AVERAGE(W353:AB353)</f>
        <v/>
      </c>
      <c r="AN353">
        <f>1+COUNTIF(bounds,"&lt;"&amp;ROUND(AM353,12))</f>
        <v/>
      </c>
      <c r="AO353">
        <f>IF(AK353=1,AD353,NA())</f>
        <v/>
      </c>
      <c r="AP353">
        <f>IF(AK353=0,AD353,NA())</f>
        <v/>
      </c>
    </row>
    <row r="354">
      <c r="A354" t="n">
        <v>346</v>
      </c>
      <c r="B354" t="n">
        <v>5</v>
      </c>
      <c r="C354" t="n">
        <v>1</v>
      </c>
      <c r="D354" t="n">
        <v>1</v>
      </c>
      <c r="E354" t="n">
        <v>2</v>
      </c>
      <c r="F354" t="n">
        <v>4</v>
      </c>
      <c r="G354" t="n">
        <v>5</v>
      </c>
      <c r="H354" t="n">
        <v>5</v>
      </c>
      <c r="I354" t="n">
        <v>1</v>
      </c>
      <c r="J354" t="n">
        <v>1</v>
      </c>
      <c r="K354" t="n">
        <v>2</v>
      </c>
      <c r="L354" t="n">
        <v>5</v>
      </c>
      <c r="M354" t="n">
        <v>2</v>
      </c>
      <c r="N354" t="n">
        <v>1</v>
      </c>
      <c r="O354" t="n">
        <v>4</v>
      </c>
      <c r="P354" t="n">
        <v>4</v>
      </c>
      <c r="Q354" t="n">
        <v>3</v>
      </c>
      <c r="R354" t="n">
        <v>5</v>
      </c>
      <c r="S354" t="n">
        <v>4</v>
      </c>
      <c r="T354" t="n">
        <v>1</v>
      </c>
      <c r="U354" t="n">
        <v>1</v>
      </c>
      <c r="V354" t="n">
        <v>3</v>
      </c>
      <c r="W354">
        <f>(AVERAGE(B354:D354)-1)/4</f>
        <v/>
      </c>
      <c r="X354">
        <f>(AVERAGE(E354:G354)-1)/4</f>
        <v/>
      </c>
      <c r="Y354">
        <f>(AVERAGE(H354:J354)-1)/4</f>
        <v/>
      </c>
      <c r="Z354">
        <f>(AVERAGE(K354:M354)-1)/4</f>
        <v/>
      </c>
      <c r="AA354">
        <f>(AVERAGE(N354:P354)-1)/4</f>
        <v/>
      </c>
      <c r="AB354">
        <f>(AVERAGE(Q354:S354)-1)/4</f>
        <v/>
      </c>
      <c r="AC354">
        <f>(AVERAGE(T354:V354)-1)/4</f>
        <v/>
      </c>
      <c r="AD354">
        <f>AVERAGE(W354:AA354)</f>
        <v/>
      </c>
      <c r="AE354">
        <f>MIN(W354:AA354)</f>
        <v/>
      </c>
      <c r="AF354">
        <f>1-alpha*MAX(0,delta-AE354)</f>
        <v/>
      </c>
      <c r="AG354">
        <f>AD354*AF354</f>
        <v/>
      </c>
      <c r="AH354">
        <f>1+COUNTIF(bounds,"&lt;"&amp;ROUND(AD354,12))</f>
        <v/>
      </c>
      <c r="AI354">
        <f>1+COUNTIF(bounds,"&lt;"&amp;ROUND(AG354,12))</f>
        <v/>
      </c>
      <c r="AJ354">
        <f>IF(AF354&lt;1,1,0)</f>
        <v/>
      </c>
      <c r="AK354">
        <f>IF(AH354&lt;&gt;AI354,1,0)</f>
        <v/>
      </c>
      <c r="AL354">
        <f>IF(AND(AI354&gt;=3,AB354&lt;=0.2),1,0)</f>
        <v/>
      </c>
      <c r="AM354">
        <f>AVERAGE(W354:AB354)</f>
        <v/>
      </c>
      <c r="AN354">
        <f>1+COUNTIF(bounds,"&lt;"&amp;ROUND(AM354,12))</f>
        <v/>
      </c>
      <c r="AO354">
        <f>IF(AK354=1,AD354,NA())</f>
        <v/>
      </c>
      <c r="AP354">
        <f>IF(AK354=0,AD354,NA())</f>
        <v/>
      </c>
    </row>
    <row r="355">
      <c r="A355" t="n">
        <v>347</v>
      </c>
      <c r="B355" t="n">
        <v>4</v>
      </c>
      <c r="C355" t="n">
        <v>2</v>
      </c>
      <c r="D355" t="n">
        <v>5</v>
      </c>
      <c r="E355" t="n">
        <v>4</v>
      </c>
      <c r="F355" t="n">
        <v>2</v>
      </c>
      <c r="G355" t="n">
        <v>4</v>
      </c>
      <c r="H355" t="n">
        <v>3</v>
      </c>
      <c r="I355" t="n">
        <v>2</v>
      </c>
      <c r="J355" t="n">
        <v>5</v>
      </c>
      <c r="K355" t="n">
        <v>2</v>
      </c>
      <c r="L355" t="n">
        <v>4</v>
      </c>
      <c r="M355" t="n">
        <v>2</v>
      </c>
      <c r="N355" t="n">
        <v>1</v>
      </c>
      <c r="O355" t="n">
        <v>1</v>
      </c>
      <c r="P355" t="n">
        <v>2</v>
      </c>
      <c r="Q355" t="n">
        <v>3</v>
      </c>
      <c r="R355" t="n">
        <v>5</v>
      </c>
      <c r="S355" t="n">
        <v>4</v>
      </c>
      <c r="T355" t="n">
        <v>2</v>
      </c>
      <c r="U355" t="n">
        <v>5</v>
      </c>
      <c r="V355" t="n">
        <v>2</v>
      </c>
      <c r="W355">
        <f>(AVERAGE(B355:D355)-1)/4</f>
        <v/>
      </c>
      <c r="X355">
        <f>(AVERAGE(E355:G355)-1)/4</f>
        <v/>
      </c>
      <c r="Y355">
        <f>(AVERAGE(H355:J355)-1)/4</f>
        <v/>
      </c>
      <c r="Z355">
        <f>(AVERAGE(K355:M355)-1)/4</f>
        <v/>
      </c>
      <c r="AA355">
        <f>(AVERAGE(N355:P355)-1)/4</f>
        <v/>
      </c>
      <c r="AB355">
        <f>(AVERAGE(Q355:S355)-1)/4</f>
        <v/>
      </c>
      <c r="AC355">
        <f>(AVERAGE(T355:V355)-1)/4</f>
        <v/>
      </c>
      <c r="AD355">
        <f>AVERAGE(W355:AA355)</f>
        <v/>
      </c>
      <c r="AE355">
        <f>MIN(W355:AA355)</f>
        <v/>
      </c>
      <c r="AF355">
        <f>1-alpha*MAX(0,delta-AE355)</f>
        <v/>
      </c>
      <c r="AG355">
        <f>AD355*AF355</f>
        <v/>
      </c>
      <c r="AH355">
        <f>1+COUNTIF(bounds,"&lt;"&amp;ROUND(AD355,12))</f>
        <v/>
      </c>
      <c r="AI355">
        <f>1+COUNTIF(bounds,"&lt;"&amp;ROUND(AG355,12))</f>
        <v/>
      </c>
      <c r="AJ355">
        <f>IF(AF355&lt;1,1,0)</f>
        <v/>
      </c>
      <c r="AK355">
        <f>IF(AH355&lt;&gt;AI355,1,0)</f>
        <v/>
      </c>
      <c r="AL355">
        <f>IF(AND(AI355&gt;=3,AB355&lt;=0.2),1,0)</f>
        <v/>
      </c>
      <c r="AM355">
        <f>AVERAGE(W355:AB355)</f>
        <v/>
      </c>
      <c r="AN355">
        <f>1+COUNTIF(bounds,"&lt;"&amp;ROUND(AM355,12))</f>
        <v/>
      </c>
      <c r="AO355">
        <f>IF(AK355=1,AD355,NA())</f>
        <v/>
      </c>
      <c r="AP355">
        <f>IF(AK355=0,AD355,NA())</f>
        <v/>
      </c>
    </row>
    <row r="356">
      <c r="A356" t="n">
        <v>348</v>
      </c>
      <c r="B356" t="n">
        <v>3</v>
      </c>
      <c r="C356" t="n">
        <v>3</v>
      </c>
      <c r="D356" t="n">
        <v>4</v>
      </c>
      <c r="E356" t="n">
        <v>2</v>
      </c>
      <c r="F356" t="n">
        <v>3</v>
      </c>
      <c r="G356" t="n">
        <v>4</v>
      </c>
      <c r="H356" t="n">
        <v>5</v>
      </c>
      <c r="I356" t="n">
        <v>1</v>
      </c>
      <c r="J356" t="n">
        <v>4</v>
      </c>
      <c r="K356" t="n">
        <v>1</v>
      </c>
      <c r="L356" t="n">
        <v>2</v>
      </c>
      <c r="M356" t="n">
        <v>4</v>
      </c>
      <c r="N356" t="n">
        <v>4</v>
      </c>
      <c r="O356" t="n">
        <v>4</v>
      </c>
      <c r="P356" t="n">
        <v>4</v>
      </c>
      <c r="Q356" t="n">
        <v>2</v>
      </c>
      <c r="R356" t="n">
        <v>1</v>
      </c>
      <c r="S356" t="n">
        <v>3</v>
      </c>
      <c r="T356" t="n">
        <v>2</v>
      </c>
      <c r="U356" t="n">
        <v>5</v>
      </c>
      <c r="V356" t="n">
        <v>3</v>
      </c>
      <c r="W356">
        <f>(AVERAGE(B356:D356)-1)/4</f>
        <v/>
      </c>
      <c r="X356">
        <f>(AVERAGE(E356:G356)-1)/4</f>
        <v/>
      </c>
      <c r="Y356">
        <f>(AVERAGE(H356:J356)-1)/4</f>
        <v/>
      </c>
      <c r="Z356">
        <f>(AVERAGE(K356:M356)-1)/4</f>
        <v/>
      </c>
      <c r="AA356">
        <f>(AVERAGE(N356:P356)-1)/4</f>
        <v/>
      </c>
      <c r="AB356">
        <f>(AVERAGE(Q356:S356)-1)/4</f>
        <v/>
      </c>
      <c r="AC356">
        <f>(AVERAGE(T356:V356)-1)/4</f>
        <v/>
      </c>
      <c r="AD356">
        <f>AVERAGE(W356:AA356)</f>
        <v/>
      </c>
      <c r="AE356">
        <f>MIN(W356:AA356)</f>
        <v/>
      </c>
      <c r="AF356">
        <f>1-alpha*MAX(0,delta-AE356)</f>
        <v/>
      </c>
      <c r="AG356">
        <f>AD356*AF356</f>
        <v/>
      </c>
      <c r="AH356">
        <f>1+COUNTIF(bounds,"&lt;"&amp;ROUND(AD356,12))</f>
        <v/>
      </c>
      <c r="AI356">
        <f>1+COUNTIF(bounds,"&lt;"&amp;ROUND(AG356,12))</f>
        <v/>
      </c>
      <c r="AJ356">
        <f>IF(AF356&lt;1,1,0)</f>
        <v/>
      </c>
      <c r="AK356">
        <f>IF(AH356&lt;&gt;AI356,1,0)</f>
        <v/>
      </c>
      <c r="AL356">
        <f>IF(AND(AI356&gt;=3,AB356&lt;=0.2),1,0)</f>
        <v/>
      </c>
      <c r="AM356">
        <f>AVERAGE(W356:AB356)</f>
        <v/>
      </c>
      <c r="AN356">
        <f>1+COUNTIF(bounds,"&lt;"&amp;ROUND(AM356,12))</f>
        <v/>
      </c>
      <c r="AO356">
        <f>IF(AK356=1,AD356,NA())</f>
        <v/>
      </c>
      <c r="AP356">
        <f>IF(AK356=0,AD356,NA())</f>
        <v/>
      </c>
    </row>
    <row r="357">
      <c r="A357" t="n">
        <v>349</v>
      </c>
      <c r="B357" t="n">
        <v>5</v>
      </c>
      <c r="C357" t="n">
        <v>3</v>
      </c>
      <c r="D357" t="n">
        <v>3</v>
      </c>
      <c r="E357" t="n">
        <v>5</v>
      </c>
      <c r="F357" t="n">
        <v>2</v>
      </c>
      <c r="G357" t="n">
        <v>2</v>
      </c>
      <c r="H357" t="n">
        <v>2</v>
      </c>
      <c r="I357" t="n">
        <v>2</v>
      </c>
      <c r="J357" t="n">
        <v>1</v>
      </c>
      <c r="K357" t="n">
        <v>3</v>
      </c>
      <c r="L357" t="n">
        <v>4</v>
      </c>
      <c r="M357" t="n">
        <v>4</v>
      </c>
      <c r="N357" t="n">
        <v>3</v>
      </c>
      <c r="O357" t="n">
        <v>4</v>
      </c>
      <c r="P357" t="n">
        <v>3</v>
      </c>
      <c r="Q357" t="n">
        <v>4</v>
      </c>
      <c r="R357" t="n">
        <v>2</v>
      </c>
      <c r="S357" t="n">
        <v>3</v>
      </c>
      <c r="T357" t="n">
        <v>3</v>
      </c>
      <c r="U357" t="n">
        <v>5</v>
      </c>
      <c r="V357" t="n">
        <v>2</v>
      </c>
      <c r="W357">
        <f>(AVERAGE(B357:D357)-1)/4</f>
        <v/>
      </c>
      <c r="X357">
        <f>(AVERAGE(E357:G357)-1)/4</f>
        <v/>
      </c>
      <c r="Y357">
        <f>(AVERAGE(H357:J357)-1)/4</f>
        <v/>
      </c>
      <c r="Z357">
        <f>(AVERAGE(K357:M357)-1)/4</f>
        <v/>
      </c>
      <c r="AA357">
        <f>(AVERAGE(N357:P357)-1)/4</f>
        <v/>
      </c>
      <c r="AB357">
        <f>(AVERAGE(Q357:S357)-1)/4</f>
        <v/>
      </c>
      <c r="AC357">
        <f>(AVERAGE(T357:V357)-1)/4</f>
        <v/>
      </c>
      <c r="AD357">
        <f>AVERAGE(W357:AA357)</f>
        <v/>
      </c>
      <c r="AE357">
        <f>MIN(W357:AA357)</f>
        <v/>
      </c>
      <c r="AF357">
        <f>1-alpha*MAX(0,delta-AE357)</f>
        <v/>
      </c>
      <c r="AG357">
        <f>AD357*AF357</f>
        <v/>
      </c>
      <c r="AH357">
        <f>1+COUNTIF(bounds,"&lt;"&amp;ROUND(AD357,12))</f>
        <v/>
      </c>
      <c r="AI357">
        <f>1+COUNTIF(bounds,"&lt;"&amp;ROUND(AG357,12))</f>
        <v/>
      </c>
      <c r="AJ357">
        <f>IF(AF357&lt;1,1,0)</f>
        <v/>
      </c>
      <c r="AK357">
        <f>IF(AH357&lt;&gt;AI357,1,0)</f>
        <v/>
      </c>
      <c r="AL357">
        <f>IF(AND(AI357&gt;=3,AB357&lt;=0.2),1,0)</f>
        <v/>
      </c>
      <c r="AM357">
        <f>AVERAGE(W357:AB357)</f>
        <v/>
      </c>
      <c r="AN357">
        <f>1+COUNTIF(bounds,"&lt;"&amp;ROUND(AM357,12))</f>
        <v/>
      </c>
      <c r="AO357">
        <f>IF(AK357=1,AD357,NA())</f>
        <v/>
      </c>
      <c r="AP357">
        <f>IF(AK357=0,AD357,NA())</f>
        <v/>
      </c>
    </row>
    <row r="358">
      <c r="A358" t="n">
        <v>350</v>
      </c>
      <c r="B358" t="n">
        <v>1</v>
      </c>
      <c r="C358" t="n">
        <v>5</v>
      </c>
      <c r="D358" t="n">
        <v>5</v>
      </c>
      <c r="E358" t="n">
        <v>2</v>
      </c>
      <c r="F358" t="n">
        <v>1</v>
      </c>
      <c r="G358" t="n">
        <v>4</v>
      </c>
      <c r="H358" t="n">
        <v>4</v>
      </c>
      <c r="I358" t="n">
        <v>5</v>
      </c>
      <c r="J358" t="n">
        <v>2</v>
      </c>
      <c r="K358" t="n">
        <v>2</v>
      </c>
      <c r="L358" t="n">
        <v>5</v>
      </c>
      <c r="M358" t="n">
        <v>5</v>
      </c>
      <c r="N358" t="n">
        <v>1</v>
      </c>
      <c r="O358" t="n">
        <v>5</v>
      </c>
      <c r="P358" t="n">
        <v>5</v>
      </c>
      <c r="Q358" t="n">
        <v>1</v>
      </c>
      <c r="R358" t="n">
        <v>5</v>
      </c>
      <c r="S358" t="n">
        <v>5</v>
      </c>
      <c r="T358" t="n">
        <v>2</v>
      </c>
      <c r="U358" t="n">
        <v>2</v>
      </c>
      <c r="V358" t="n">
        <v>1</v>
      </c>
      <c r="W358">
        <f>(AVERAGE(B358:D358)-1)/4</f>
        <v/>
      </c>
      <c r="X358">
        <f>(AVERAGE(E358:G358)-1)/4</f>
        <v/>
      </c>
      <c r="Y358">
        <f>(AVERAGE(H358:J358)-1)/4</f>
        <v/>
      </c>
      <c r="Z358">
        <f>(AVERAGE(K358:M358)-1)/4</f>
        <v/>
      </c>
      <c r="AA358">
        <f>(AVERAGE(N358:P358)-1)/4</f>
        <v/>
      </c>
      <c r="AB358">
        <f>(AVERAGE(Q358:S358)-1)/4</f>
        <v/>
      </c>
      <c r="AC358">
        <f>(AVERAGE(T358:V358)-1)/4</f>
        <v/>
      </c>
      <c r="AD358">
        <f>AVERAGE(W358:AA358)</f>
        <v/>
      </c>
      <c r="AE358">
        <f>MIN(W358:AA358)</f>
        <v/>
      </c>
      <c r="AF358">
        <f>1-alpha*MAX(0,delta-AE358)</f>
        <v/>
      </c>
      <c r="AG358">
        <f>AD358*AF358</f>
        <v/>
      </c>
      <c r="AH358">
        <f>1+COUNTIF(bounds,"&lt;"&amp;ROUND(AD358,12))</f>
        <v/>
      </c>
      <c r="AI358">
        <f>1+COUNTIF(bounds,"&lt;"&amp;ROUND(AG358,12))</f>
        <v/>
      </c>
      <c r="AJ358">
        <f>IF(AF358&lt;1,1,0)</f>
        <v/>
      </c>
      <c r="AK358">
        <f>IF(AH358&lt;&gt;AI358,1,0)</f>
        <v/>
      </c>
      <c r="AL358">
        <f>IF(AND(AI358&gt;=3,AB358&lt;=0.2),1,0)</f>
        <v/>
      </c>
      <c r="AM358">
        <f>AVERAGE(W358:AB358)</f>
        <v/>
      </c>
      <c r="AN358">
        <f>1+COUNTIF(bounds,"&lt;"&amp;ROUND(AM358,12))</f>
        <v/>
      </c>
      <c r="AO358">
        <f>IF(AK358=1,AD358,NA())</f>
        <v/>
      </c>
      <c r="AP358">
        <f>IF(AK358=0,AD358,NA())</f>
        <v/>
      </c>
    </row>
    <row r="359">
      <c r="A359" t="n">
        <v>351</v>
      </c>
      <c r="B359" t="n">
        <v>1</v>
      </c>
      <c r="C359" t="n">
        <v>2</v>
      </c>
      <c r="D359" t="n">
        <v>5</v>
      </c>
      <c r="E359" t="n">
        <v>3</v>
      </c>
      <c r="F359" t="n">
        <v>3</v>
      </c>
      <c r="G359" t="n">
        <v>4</v>
      </c>
      <c r="H359" t="n">
        <v>2</v>
      </c>
      <c r="I359" t="n">
        <v>3</v>
      </c>
      <c r="J359" t="n">
        <v>1</v>
      </c>
      <c r="K359" t="n">
        <v>1</v>
      </c>
      <c r="L359" t="n">
        <v>3</v>
      </c>
      <c r="M359" t="n">
        <v>1</v>
      </c>
      <c r="N359" t="n">
        <v>1</v>
      </c>
      <c r="O359" t="n">
        <v>2</v>
      </c>
      <c r="P359" t="n">
        <v>2</v>
      </c>
      <c r="Q359" t="n">
        <v>1</v>
      </c>
      <c r="R359" t="n">
        <v>5</v>
      </c>
      <c r="S359" t="n">
        <v>1</v>
      </c>
      <c r="T359" t="n">
        <v>5</v>
      </c>
      <c r="U359" t="n">
        <v>4</v>
      </c>
      <c r="V359" t="n">
        <v>4</v>
      </c>
      <c r="W359">
        <f>(AVERAGE(B359:D359)-1)/4</f>
        <v/>
      </c>
      <c r="X359">
        <f>(AVERAGE(E359:G359)-1)/4</f>
        <v/>
      </c>
      <c r="Y359">
        <f>(AVERAGE(H359:J359)-1)/4</f>
        <v/>
      </c>
      <c r="Z359">
        <f>(AVERAGE(K359:M359)-1)/4</f>
        <v/>
      </c>
      <c r="AA359">
        <f>(AVERAGE(N359:P359)-1)/4</f>
        <v/>
      </c>
      <c r="AB359">
        <f>(AVERAGE(Q359:S359)-1)/4</f>
        <v/>
      </c>
      <c r="AC359">
        <f>(AVERAGE(T359:V359)-1)/4</f>
        <v/>
      </c>
      <c r="AD359">
        <f>AVERAGE(W359:AA359)</f>
        <v/>
      </c>
      <c r="AE359">
        <f>MIN(W359:AA359)</f>
        <v/>
      </c>
      <c r="AF359">
        <f>1-alpha*MAX(0,delta-AE359)</f>
        <v/>
      </c>
      <c r="AG359">
        <f>AD359*AF359</f>
        <v/>
      </c>
      <c r="AH359">
        <f>1+COUNTIF(bounds,"&lt;"&amp;ROUND(AD359,12))</f>
        <v/>
      </c>
      <c r="AI359">
        <f>1+COUNTIF(bounds,"&lt;"&amp;ROUND(AG359,12))</f>
        <v/>
      </c>
      <c r="AJ359">
        <f>IF(AF359&lt;1,1,0)</f>
        <v/>
      </c>
      <c r="AK359">
        <f>IF(AH359&lt;&gt;AI359,1,0)</f>
        <v/>
      </c>
      <c r="AL359">
        <f>IF(AND(AI359&gt;=3,AB359&lt;=0.2),1,0)</f>
        <v/>
      </c>
      <c r="AM359">
        <f>AVERAGE(W359:AB359)</f>
        <v/>
      </c>
      <c r="AN359">
        <f>1+COUNTIF(bounds,"&lt;"&amp;ROUND(AM359,12))</f>
        <v/>
      </c>
      <c r="AO359">
        <f>IF(AK359=1,AD359,NA())</f>
        <v/>
      </c>
      <c r="AP359">
        <f>IF(AK359=0,AD359,NA())</f>
        <v/>
      </c>
    </row>
    <row r="360">
      <c r="A360" t="n">
        <v>352</v>
      </c>
      <c r="B360" t="n">
        <v>3</v>
      </c>
      <c r="C360" t="n">
        <v>2</v>
      </c>
      <c r="D360" t="n">
        <v>2</v>
      </c>
      <c r="E360" t="n">
        <v>3</v>
      </c>
      <c r="F360" t="n">
        <v>5</v>
      </c>
      <c r="G360" t="n">
        <v>4</v>
      </c>
      <c r="H360" t="n">
        <v>5</v>
      </c>
      <c r="I360" t="n">
        <v>2</v>
      </c>
      <c r="J360" t="n">
        <v>2</v>
      </c>
      <c r="K360" t="n">
        <v>4</v>
      </c>
      <c r="L360" t="n">
        <v>1</v>
      </c>
      <c r="M360" t="n">
        <v>4</v>
      </c>
      <c r="N360" t="n">
        <v>1</v>
      </c>
      <c r="O360" t="n">
        <v>3</v>
      </c>
      <c r="P360" t="n">
        <v>4</v>
      </c>
      <c r="Q360" t="n">
        <v>4</v>
      </c>
      <c r="R360" t="n">
        <v>2</v>
      </c>
      <c r="S360" t="n">
        <v>2</v>
      </c>
      <c r="T360" t="n">
        <v>2</v>
      </c>
      <c r="U360" t="n">
        <v>4</v>
      </c>
      <c r="V360" t="n">
        <v>5</v>
      </c>
      <c r="W360">
        <f>(AVERAGE(B360:D360)-1)/4</f>
        <v/>
      </c>
      <c r="X360">
        <f>(AVERAGE(E360:G360)-1)/4</f>
        <v/>
      </c>
      <c r="Y360">
        <f>(AVERAGE(H360:J360)-1)/4</f>
        <v/>
      </c>
      <c r="Z360">
        <f>(AVERAGE(K360:M360)-1)/4</f>
        <v/>
      </c>
      <c r="AA360">
        <f>(AVERAGE(N360:P360)-1)/4</f>
        <v/>
      </c>
      <c r="AB360">
        <f>(AVERAGE(Q360:S360)-1)/4</f>
        <v/>
      </c>
      <c r="AC360">
        <f>(AVERAGE(T360:V360)-1)/4</f>
        <v/>
      </c>
      <c r="AD360">
        <f>AVERAGE(W360:AA360)</f>
        <v/>
      </c>
      <c r="AE360">
        <f>MIN(W360:AA360)</f>
        <v/>
      </c>
      <c r="AF360">
        <f>1-alpha*MAX(0,delta-AE360)</f>
        <v/>
      </c>
      <c r="AG360">
        <f>AD360*AF360</f>
        <v/>
      </c>
      <c r="AH360">
        <f>1+COUNTIF(bounds,"&lt;"&amp;ROUND(AD360,12))</f>
        <v/>
      </c>
      <c r="AI360">
        <f>1+COUNTIF(bounds,"&lt;"&amp;ROUND(AG360,12))</f>
        <v/>
      </c>
      <c r="AJ360">
        <f>IF(AF360&lt;1,1,0)</f>
        <v/>
      </c>
      <c r="AK360">
        <f>IF(AH360&lt;&gt;AI360,1,0)</f>
        <v/>
      </c>
      <c r="AL360">
        <f>IF(AND(AI360&gt;=3,AB360&lt;=0.2),1,0)</f>
        <v/>
      </c>
      <c r="AM360">
        <f>AVERAGE(W360:AB360)</f>
        <v/>
      </c>
      <c r="AN360">
        <f>1+COUNTIF(bounds,"&lt;"&amp;ROUND(AM360,12))</f>
        <v/>
      </c>
      <c r="AO360">
        <f>IF(AK360=1,AD360,NA())</f>
        <v/>
      </c>
      <c r="AP360">
        <f>IF(AK360=0,AD360,NA())</f>
        <v/>
      </c>
    </row>
    <row r="361">
      <c r="A361" t="n">
        <v>353</v>
      </c>
      <c r="B361" t="n">
        <v>4</v>
      </c>
      <c r="C361" t="n">
        <v>4</v>
      </c>
      <c r="D361" t="n">
        <v>1</v>
      </c>
      <c r="E361" t="n">
        <v>2</v>
      </c>
      <c r="F361" t="n">
        <v>3</v>
      </c>
      <c r="G361" t="n">
        <v>2</v>
      </c>
      <c r="H361" t="n">
        <v>1</v>
      </c>
      <c r="I361" t="n">
        <v>4</v>
      </c>
      <c r="J361" t="n">
        <v>2</v>
      </c>
      <c r="K361" t="n">
        <v>3</v>
      </c>
      <c r="L361" t="n">
        <v>5</v>
      </c>
      <c r="M361" t="n">
        <v>1</v>
      </c>
      <c r="N361" t="n">
        <v>5</v>
      </c>
      <c r="O361" t="n">
        <v>5</v>
      </c>
      <c r="P361" t="n">
        <v>4</v>
      </c>
      <c r="Q361" t="n">
        <v>4</v>
      </c>
      <c r="R361" t="n">
        <v>1</v>
      </c>
      <c r="S361" t="n">
        <v>1</v>
      </c>
      <c r="T361" t="n">
        <v>3</v>
      </c>
      <c r="U361" t="n">
        <v>3</v>
      </c>
      <c r="V361" t="n">
        <v>1</v>
      </c>
      <c r="W361">
        <f>(AVERAGE(B361:D361)-1)/4</f>
        <v/>
      </c>
      <c r="X361">
        <f>(AVERAGE(E361:G361)-1)/4</f>
        <v/>
      </c>
      <c r="Y361">
        <f>(AVERAGE(H361:J361)-1)/4</f>
        <v/>
      </c>
      <c r="Z361">
        <f>(AVERAGE(K361:M361)-1)/4</f>
        <v/>
      </c>
      <c r="AA361">
        <f>(AVERAGE(N361:P361)-1)/4</f>
        <v/>
      </c>
      <c r="AB361">
        <f>(AVERAGE(Q361:S361)-1)/4</f>
        <v/>
      </c>
      <c r="AC361">
        <f>(AVERAGE(T361:V361)-1)/4</f>
        <v/>
      </c>
      <c r="AD361">
        <f>AVERAGE(W361:AA361)</f>
        <v/>
      </c>
      <c r="AE361">
        <f>MIN(W361:AA361)</f>
        <v/>
      </c>
      <c r="AF361">
        <f>1-alpha*MAX(0,delta-AE361)</f>
        <v/>
      </c>
      <c r="AG361">
        <f>AD361*AF361</f>
        <v/>
      </c>
      <c r="AH361">
        <f>1+COUNTIF(bounds,"&lt;"&amp;ROUND(AD361,12))</f>
        <v/>
      </c>
      <c r="AI361">
        <f>1+COUNTIF(bounds,"&lt;"&amp;ROUND(AG361,12))</f>
        <v/>
      </c>
      <c r="AJ361">
        <f>IF(AF361&lt;1,1,0)</f>
        <v/>
      </c>
      <c r="AK361">
        <f>IF(AH361&lt;&gt;AI361,1,0)</f>
        <v/>
      </c>
      <c r="AL361">
        <f>IF(AND(AI361&gt;=3,AB361&lt;=0.2),1,0)</f>
        <v/>
      </c>
      <c r="AM361">
        <f>AVERAGE(W361:AB361)</f>
        <v/>
      </c>
      <c r="AN361">
        <f>1+COUNTIF(bounds,"&lt;"&amp;ROUND(AM361,12))</f>
        <v/>
      </c>
      <c r="AO361">
        <f>IF(AK361=1,AD361,NA())</f>
        <v/>
      </c>
      <c r="AP361">
        <f>IF(AK361=0,AD361,NA())</f>
        <v/>
      </c>
    </row>
    <row r="362">
      <c r="A362" t="n">
        <v>354</v>
      </c>
      <c r="B362" t="n">
        <v>3</v>
      </c>
      <c r="C362" t="n">
        <v>5</v>
      </c>
      <c r="D362" t="n">
        <v>5</v>
      </c>
      <c r="E362" t="n">
        <v>2</v>
      </c>
      <c r="F362" t="n">
        <v>2</v>
      </c>
      <c r="G362" t="n">
        <v>2</v>
      </c>
      <c r="H362" t="n">
        <v>5</v>
      </c>
      <c r="I362" t="n">
        <v>5</v>
      </c>
      <c r="J362" t="n">
        <v>4</v>
      </c>
      <c r="K362" t="n">
        <v>5</v>
      </c>
      <c r="L362" t="n">
        <v>5</v>
      </c>
      <c r="M362" t="n">
        <v>5</v>
      </c>
      <c r="N362" t="n">
        <v>1</v>
      </c>
      <c r="O362" t="n">
        <v>3</v>
      </c>
      <c r="P362" t="n">
        <v>5</v>
      </c>
      <c r="Q362" t="n">
        <v>2</v>
      </c>
      <c r="R362" t="n">
        <v>1</v>
      </c>
      <c r="S362" t="n">
        <v>2</v>
      </c>
      <c r="T362" t="n">
        <v>4</v>
      </c>
      <c r="U362" t="n">
        <v>1</v>
      </c>
      <c r="V362" t="n">
        <v>5</v>
      </c>
      <c r="W362">
        <f>(AVERAGE(B362:D362)-1)/4</f>
        <v/>
      </c>
      <c r="X362">
        <f>(AVERAGE(E362:G362)-1)/4</f>
        <v/>
      </c>
      <c r="Y362">
        <f>(AVERAGE(H362:J362)-1)/4</f>
        <v/>
      </c>
      <c r="Z362">
        <f>(AVERAGE(K362:M362)-1)/4</f>
        <v/>
      </c>
      <c r="AA362">
        <f>(AVERAGE(N362:P362)-1)/4</f>
        <v/>
      </c>
      <c r="AB362">
        <f>(AVERAGE(Q362:S362)-1)/4</f>
        <v/>
      </c>
      <c r="AC362">
        <f>(AVERAGE(T362:V362)-1)/4</f>
        <v/>
      </c>
      <c r="AD362">
        <f>AVERAGE(W362:AA362)</f>
        <v/>
      </c>
      <c r="AE362">
        <f>MIN(W362:AA362)</f>
        <v/>
      </c>
      <c r="AF362">
        <f>1-alpha*MAX(0,delta-AE362)</f>
        <v/>
      </c>
      <c r="AG362">
        <f>AD362*AF362</f>
        <v/>
      </c>
      <c r="AH362">
        <f>1+COUNTIF(bounds,"&lt;"&amp;ROUND(AD362,12))</f>
        <v/>
      </c>
      <c r="AI362">
        <f>1+COUNTIF(bounds,"&lt;"&amp;ROUND(AG362,12))</f>
        <v/>
      </c>
      <c r="AJ362">
        <f>IF(AF362&lt;1,1,0)</f>
        <v/>
      </c>
      <c r="AK362">
        <f>IF(AH362&lt;&gt;AI362,1,0)</f>
        <v/>
      </c>
      <c r="AL362">
        <f>IF(AND(AI362&gt;=3,AB362&lt;=0.2),1,0)</f>
        <v/>
      </c>
      <c r="AM362">
        <f>AVERAGE(W362:AB362)</f>
        <v/>
      </c>
      <c r="AN362">
        <f>1+COUNTIF(bounds,"&lt;"&amp;ROUND(AM362,12))</f>
        <v/>
      </c>
      <c r="AO362">
        <f>IF(AK362=1,AD362,NA())</f>
        <v/>
      </c>
      <c r="AP362">
        <f>IF(AK362=0,AD362,NA())</f>
        <v/>
      </c>
    </row>
    <row r="363">
      <c r="A363" t="n">
        <v>355</v>
      </c>
      <c r="B363" t="n">
        <v>4</v>
      </c>
      <c r="C363" t="n">
        <v>5</v>
      </c>
      <c r="D363" t="n">
        <v>4</v>
      </c>
      <c r="E363" t="n">
        <v>4</v>
      </c>
      <c r="F363" t="n">
        <v>2</v>
      </c>
      <c r="G363" t="n">
        <v>5</v>
      </c>
      <c r="H363" t="n">
        <v>5</v>
      </c>
      <c r="I363" t="n">
        <v>3</v>
      </c>
      <c r="J363" t="n">
        <v>1</v>
      </c>
      <c r="K363" t="n">
        <v>2</v>
      </c>
      <c r="L363" t="n">
        <v>5</v>
      </c>
      <c r="M363" t="n">
        <v>4</v>
      </c>
      <c r="N363" t="n">
        <v>4</v>
      </c>
      <c r="O363" t="n">
        <v>3</v>
      </c>
      <c r="P363" t="n">
        <v>2</v>
      </c>
      <c r="Q363" t="n">
        <v>4</v>
      </c>
      <c r="R363" t="n">
        <v>1</v>
      </c>
      <c r="S363" t="n">
        <v>2</v>
      </c>
      <c r="T363" t="n">
        <v>2</v>
      </c>
      <c r="U363" t="n">
        <v>4</v>
      </c>
      <c r="V363" t="n">
        <v>2</v>
      </c>
      <c r="W363">
        <f>(AVERAGE(B363:D363)-1)/4</f>
        <v/>
      </c>
      <c r="X363">
        <f>(AVERAGE(E363:G363)-1)/4</f>
        <v/>
      </c>
      <c r="Y363">
        <f>(AVERAGE(H363:J363)-1)/4</f>
        <v/>
      </c>
      <c r="Z363">
        <f>(AVERAGE(K363:M363)-1)/4</f>
        <v/>
      </c>
      <c r="AA363">
        <f>(AVERAGE(N363:P363)-1)/4</f>
        <v/>
      </c>
      <c r="AB363">
        <f>(AVERAGE(Q363:S363)-1)/4</f>
        <v/>
      </c>
      <c r="AC363">
        <f>(AVERAGE(T363:V363)-1)/4</f>
        <v/>
      </c>
      <c r="AD363">
        <f>AVERAGE(W363:AA363)</f>
        <v/>
      </c>
      <c r="AE363">
        <f>MIN(W363:AA363)</f>
        <v/>
      </c>
      <c r="AF363">
        <f>1-alpha*MAX(0,delta-AE363)</f>
        <v/>
      </c>
      <c r="AG363">
        <f>AD363*AF363</f>
        <v/>
      </c>
      <c r="AH363">
        <f>1+COUNTIF(bounds,"&lt;"&amp;ROUND(AD363,12))</f>
        <v/>
      </c>
      <c r="AI363">
        <f>1+COUNTIF(bounds,"&lt;"&amp;ROUND(AG363,12))</f>
        <v/>
      </c>
      <c r="AJ363">
        <f>IF(AF363&lt;1,1,0)</f>
        <v/>
      </c>
      <c r="AK363">
        <f>IF(AH363&lt;&gt;AI363,1,0)</f>
        <v/>
      </c>
      <c r="AL363">
        <f>IF(AND(AI363&gt;=3,AB363&lt;=0.2),1,0)</f>
        <v/>
      </c>
      <c r="AM363">
        <f>AVERAGE(W363:AB363)</f>
        <v/>
      </c>
      <c r="AN363">
        <f>1+COUNTIF(bounds,"&lt;"&amp;ROUND(AM363,12))</f>
        <v/>
      </c>
      <c r="AO363">
        <f>IF(AK363=1,AD363,NA())</f>
        <v/>
      </c>
      <c r="AP363">
        <f>IF(AK363=0,AD363,NA())</f>
        <v/>
      </c>
    </row>
    <row r="364">
      <c r="A364" t="n">
        <v>356</v>
      </c>
      <c r="B364" t="n">
        <v>5</v>
      </c>
      <c r="C364" t="n">
        <v>2</v>
      </c>
      <c r="D364" t="n">
        <v>1</v>
      </c>
      <c r="E364" t="n">
        <v>4</v>
      </c>
      <c r="F364" t="n">
        <v>1</v>
      </c>
      <c r="G364" t="n">
        <v>4</v>
      </c>
      <c r="H364" t="n">
        <v>3</v>
      </c>
      <c r="I364" t="n">
        <v>1</v>
      </c>
      <c r="J364" t="n">
        <v>5</v>
      </c>
      <c r="K364" t="n">
        <v>3</v>
      </c>
      <c r="L364" t="n">
        <v>3</v>
      </c>
      <c r="M364" t="n">
        <v>4</v>
      </c>
      <c r="N364" t="n">
        <v>1</v>
      </c>
      <c r="O364" t="n">
        <v>2</v>
      </c>
      <c r="P364" t="n">
        <v>3</v>
      </c>
      <c r="Q364" t="n">
        <v>2</v>
      </c>
      <c r="R364" t="n">
        <v>1</v>
      </c>
      <c r="S364" t="n">
        <v>4</v>
      </c>
      <c r="T364" t="n">
        <v>3</v>
      </c>
      <c r="U364" t="n">
        <v>5</v>
      </c>
      <c r="V364" t="n">
        <v>4</v>
      </c>
      <c r="W364">
        <f>(AVERAGE(B364:D364)-1)/4</f>
        <v/>
      </c>
      <c r="X364">
        <f>(AVERAGE(E364:G364)-1)/4</f>
        <v/>
      </c>
      <c r="Y364">
        <f>(AVERAGE(H364:J364)-1)/4</f>
        <v/>
      </c>
      <c r="Z364">
        <f>(AVERAGE(K364:M364)-1)/4</f>
        <v/>
      </c>
      <c r="AA364">
        <f>(AVERAGE(N364:P364)-1)/4</f>
        <v/>
      </c>
      <c r="AB364">
        <f>(AVERAGE(Q364:S364)-1)/4</f>
        <v/>
      </c>
      <c r="AC364">
        <f>(AVERAGE(T364:V364)-1)/4</f>
        <v/>
      </c>
      <c r="AD364">
        <f>AVERAGE(W364:AA364)</f>
        <v/>
      </c>
      <c r="AE364">
        <f>MIN(W364:AA364)</f>
        <v/>
      </c>
      <c r="AF364">
        <f>1-alpha*MAX(0,delta-AE364)</f>
        <v/>
      </c>
      <c r="AG364">
        <f>AD364*AF364</f>
        <v/>
      </c>
      <c r="AH364">
        <f>1+COUNTIF(bounds,"&lt;"&amp;ROUND(AD364,12))</f>
        <v/>
      </c>
      <c r="AI364">
        <f>1+COUNTIF(bounds,"&lt;"&amp;ROUND(AG364,12))</f>
        <v/>
      </c>
      <c r="AJ364">
        <f>IF(AF364&lt;1,1,0)</f>
        <v/>
      </c>
      <c r="AK364">
        <f>IF(AH364&lt;&gt;AI364,1,0)</f>
        <v/>
      </c>
      <c r="AL364">
        <f>IF(AND(AI364&gt;=3,AB364&lt;=0.2),1,0)</f>
        <v/>
      </c>
      <c r="AM364">
        <f>AVERAGE(W364:AB364)</f>
        <v/>
      </c>
      <c r="AN364">
        <f>1+COUNTIF(bounds,"&lt;"&amp;ROUND(AM364,12))</f>
        <v/>
      </c>
      <c r="AO364">
        <f>IF(AK364=1,AD364,NA())</f>
        <v/>
      </c>
      <c r="AP364">
        <f>IF(AK364=0,AD364,NA())</f>
        <v/>
      </c>
    </row>
    <row r="365">
      <c r="A365" t="n">
        <v>357</v>
      </c>
      <c r="B365" t="n">
        <v>1</v>
      </c>
      <c r="C365" t="n">
        <v>3</v>
      </c>
      <c r="D365" t="n">
        <v>1</v>
      </c>
      <c r="E365" t="n">
        <v>3</v>
      </c>
      <c r="F365" t="n">
        <v>1</v>
      </c>
      <c r="G365" t="n">
        <v>2</v>
      </c>
      <c r="H365" t="n">
        <v>1</v>
      </c>
      <c r="I365" t="n">
        <v>4</v>
      </c>
      <c r="J365" t="n">
        <v>1</v>
      </c>
      <c r="K365" t="n">
        <v>2</v>
      </c>
      <c r="L365" t="n">
        <v>3</v>
      </c>
      <c r="M365" t="n">
        <v>2</v>
      </c>
      <c r="N365" t="n">
        <v>1</v>
      </c>
      <c r="O365" t="n">
        <v>1</v>
      </c>
      <c r="P365" t="n">
        <v>3</v>
      </c>
      <c r="Q365" t="n">
        <v>1</v>
      </c>
      <c r="R365" t="n">
        <v>5</v>
      </c>
      <c r="S365" t="n">
        <v>2</v>
      </c>
      <c r="T365" t="n">
        <v>2</v>
      </c>
      <c r="U365" t="n">
        <v>2</v>
      </c>
      <c r="V365" t="n">
        <v>2</v>
      </c>
      <c r="W365">
        <f>(AVERAGE(B365:D365)-1)/4</f>
        <v/>
      </c>
      <c r="X365">
        <f>(AVERAGE(E365:G365)-1)/4</f>
        <v/>
      </c>
      <c r="Y365">
        <f>(AVERAGE(H365:J365)-1)/4</f>
        <v/>
      </c>
      <c r="Z365">
        <f>(AVERAGE(K365:M365)-1)/4</f>
        <v/>
      </c>
      <c r="AA365">
        <f>(AVERAGE(N365:P365)-1)/4</f>
        <v/>
      </c>
      <c r="AB365">
        <f>(AVERAGE(Q365:S365)-1)/4</f>
        <v/>
      </c>
      <c r="AC365">
        <f>(AVERAGE(T365:V365)-1)/4</f>
        <v/>
      </c>
      <c r="AD365">
        <f>AVERAGE(W365:AA365)</f>
        <v/>
      </c>
      <c r="AE365">
        <f>MIN(W365:AA365)</f>
        <v/>
      </c>
      <c r="AF365">
        <f>1-alpha*MAX(0,delta-AE365)</f>
        <v/>
      </c>
      <c r="AG365">
        <f>AD365*AF365</f>
        <v/>
      </c>
      <c r="AH365">
        <f>1+COUNTIF(bounds,"&lt;"&amp;ROUND(AD365,12))</f>
        <v/>
      </c>
      <c r="AI365">
        <f>1+COUNTIF(bounds,"&lt;"&amp;ROUND(AG365,12))</f>
        <v/>
      </c>
      <c r="AJ365">
        <f>IF(AF365&lt;1,1,0)</f>
        <v/>
      </c>
      <c r="AK365">
        <f>IF(AH365&lt;&gt;AI365,1,0)</f>
        <v/>
      </c>
      <c r="AL365">
        <f>IF(AND(AI365&gt;=3,AB365&lt;=0.2),1,0)</f>
        <v/>
      </c>
      <c r="AM365">
        <f>AVERAGE(W365:AB365)</f>
        <v/>
      </c>
      <c r="AN365">
        <f>1+COUNTIF(bounds,"&lt;"&amp;ROUND(AM365,12))</f>
        <v/>
      </c>
      <c r="AO365">
        <f>IF(AK365=1,AD365,NA())</f>
        <v/>
      </c>
      <c r="AP365">
        <f>IF(AK365=0,AD365,NA())</f>
        <v/>
      </c>
    </row>
    <row r="366">
      <c r="A366" t="n">
        <v>358</v>
      </c>
      <c r="B366" t="n">
        <v>5</v>
      </c>
      <c r="C366" t="n">
        <v>1</v>
      </c>
      <c r="D366" t="n">
        <v>5</v>
      </c>
      <c r="E366" t="n">
        <v>2</v>
      </c>
      <c r="F366" t="n">
        <v>2</v>
      </c>
      <c r="G366" t="n">
        <v>2</v>
      </c>
      <c r="H366" t="n">
        <v>1</v>
      </c>
      <c r="I366" t="n">
        <v>3</v>
      </c>
      <c r="J366" t="n">
        <v>1</v>
      </c>
      <c r="K366" t="n">
        <v>1</v>
      </c>
      <c r="L366" t="n">
        <v>5</v>
      </c>
      <c r="M366" t="n">
        <v>4</v>
      </c>
      <c r="N366" t="n">
        <v>2</v>
      </c>
      <c r="O366" t="n">
        <v>4</v>
      </c>
      <c r="P366" t="n">
        <v>5</v>
      </c>
      <c r="Q366" t="n">
        <v>5</v>
      </c>
      <c r="R366" t="n">
        <v>2</v>
      </c>
      <c r="S366" t="n">
        <v>2</v>
      </c>
      <c r="T366" t="n">
        <v>1</v>
      </c>
      <c r="U366" t="n">
        <v>1</v>
      </c>
      <c r="V366" t="n">
        <v>5</v>
      </c>
      <c r="W366">
        <f>(AVERAGE(B366:D366)-1)/4</f>
        <v/>
      </c>
      <c r="X366">
        <f>(AVERAGE(E366:G366)-1)/4</f>
        <v/>
      </c>
      <c r="Y366">
        <f>(AVERAGE(H366:J366)-1)/4</f>
        <v/>
      </c>
      <c r="Z366">
        <f>(AVERAGE(K366:M366)-1)/4</f>
        <v/>
      </c>
      <c r="AA366">
        <f>(AVERAGE(N366:P366)-1)/4</f>
        <v/>
      </c>
      <c r="AB366">
        <f>(AVERAGE(Q366:S366)-1)/4</f>
        <v/>
      </c>
      <c r="AC366">
        <f>(AVERAGE(T366:V366)-1)/4</f>
        <v/>
      </c>
      <c r="AD366">
        <f>AVERAGE(W366:AA366)</f>
        <v/>
      </c>
      <c r="AE366">
        <f>MIN(W366:AA366)</f>
        <v/>
      </c>
      <c r="AF366">
        <f>1-alpha*MAX(0,delta-AE366)</f>
        <v/>
      </c>
      <c r="AG366">
        <f>AD366*AF366</f>
        <v/>
      </c>
      <c r="AH366">
        <f>1+COUNTIF(bounds,"&lt;"&amp;ROUND(AD366,12))</f>
        <v/>
      </c>
      <c r="AI366">
        <f>1+COUNTIF(bounds,"&lt;"&amp;ROUND(AG366,12))</f>
        <v/>
      </c>
      <c r="AJ366">
        <f>IF(AF366&lt;1,1,0)</f>
        <v/>
      </c>
      <c r="AK366">
        <f>IF(AH366&lt;&gt;AI366,1,0)</f>
        <v/>
      </c>
      <c r="AL366">
        <f>IF(AND(AI366&gt;=3,AB366&lt;=0.2),1,0)</f>
        <v/>
      </c>
      <c r="AM366">
        <f>AVERAGE(W366:AB366)</f>
        <v/>
      </c>
      <c r="AN366">
        <f>1+COUNTIF(bounds,"&lt;"&amp;ROUND(AM366,12))</f>
        <v/>
      </c>
      <c r="AO366">
        <f>IF(AK366=1,AD366,NA())</f>
        <v/>
      </c>
      <c r="AP366">
        <f>IF(AK366=0,AD366,NA())</f>
        <v/>
      </c>
    </row>
    <row r="367">
      <c r="A367" t="n">
        <v>359</v>
      </c>
      <c r="B367" t="n">
        <v>2</v>
      </c>
      <c r="C367" t="n">
        <v>1</v>
      </c>
      <c r="D367" t="n">
        <v>2</v>
      </c>
      <c r="E367" t="n">
        <v>2</v>
      </c>
      <c r="F367" t="n">
        <v>3</v>
      </c>
      <c r="G367" t="n">
        <v>2</v>
      </c>
      <c r="H367" t="n">
        <v>2</v>
      </c>
      <c r="I367" t="n">
        <v>3</v>
      </c>
      <c r="J367" t="n">
        <v>1</v>
      </c>
      <c r="K367" t="n">
        <v>2</v>
      </c>
      <c r="L367" t="n">
        <v>1</v>
      </c>
      <c r="M367" t="n">
        <v>2</v>
      </c>
      <c r="N367" t="n">
        <v>3</v>
      </c>
      <c r="O367" t="n">
        <v>1</v>
      </c>
      <c r="P367" t="n">
        <v>2</v>
      </c>
      <c r="Q367" t="n">
        <v>3</v>
      </c>
      <c r="R367" t="n">
        <v>2</v>
      </c>
      <c r="S367" t="n">
        <v>2</v>
      </c>
      <c r="T367" t="n">
        <v>4</v>
      </c>
      <c r="U367" t="n">
        <v>4</v>
      </c>
      <c r="V367" t="n">
        <v>1</v>
      </c>
      <c r="W367">
        <f>(AVERAGE(B367:D367)-1)/4</f>
        <v/>
      </c>
      <c r="X367">
        <f>(AVERAGE(E367:G367)-1)/4</f>
        <v/>
      </c>
      <c r="Y367">
        <f>(AVERAGE(H367:J367)-1)/4</f>
        <v/>
      </c>
      <c r="Z367">
        <f>(AVERAGE(K367:M367)-1)/4</f>
        <v/>
      </c>
      <c r="AA367">
        <f>(AVERAGE(N367:P367)-1)/4</f>
        <v/>
      </c>
      <c r="AB367">
        <f>(AVERAGE(Q367:S367)-1)/4</f>
        <v/>
      </c>
      <c r="AC367">
        <f>(AVERAGE(T367:V367)-1)/4</f>
        <v/>
      </c>
      <c r="AD367">
        <f>AVERAGE(W367:AA367)</f>
        <v/>
      </c>
      <c r="AE367">
        <f>MIN(W367:AA367)</f>
        <v/>
      </c>
      <c r="AF367">
        <f>1-alpha*MAX(0,delta-AE367)</f>
        <v/>
      </c>
      <c r="AG367">
        <f>AD367*AF367</f>
        <v/>
      </c>
      <c r="AH367">
        <f>1+COUNTIF(bounds,"&lt;"&amp;ROUND(AD367,12))</f>
        <v/>
      </c>
      <c r="AI367">
        <f>1+COUNTIF(bounds,"&lt;"&amp;ROUND(AG367,12))</f>
        <v/>
      </c>
      <c r="AJ367">
        <f>IF(AF367&lt;1,1,0)</f>
        <v/>
      </c>
      <c r="AK367">
        <f>IF(AH367&lt;&gt;AI367,1,0)</f>
        <v/>
      </c>
      <c r="AL367">
        <f>IF(AND(AI367&gt;=3,AB367&lt;=0.2),1,0)</f>
        <v/>
      </c>
      <c r="AM367">
        <f>AVERAGE(W367:AB367)</f>
        <v/>
      </c>
      <c r="AN367">
        <f>1+COUNTIF(bounds,"&lt;"&amp;ROUND(AM367,12))</f>
        <v/>
      </c>
      <c r="AO367">
        <f>IF(AK367=1,AD367,NA())</f>
        <v/>
      </c>
      <c r="AP367">
        <f>IF(AK367=0,AD367,NA())</f>
        <v/>
      </c>
    </row>
    <row r="368">
      <c r="A368" t="n">
        <v>360</v>
      </c>
      <c r="B368" t="n">
        <v>1</v>
      </c>
      <c r="C368" t="n">
        <v>2</v>
      </c>
      <c r="D368" t="n">
        <v>1</v>
      </c>
      <c r="E368" t="n">
        <v>2</v>
      </c>
      <c r="F368" t="n">
        <v>5</v>
      </c>
      <c r="G368" t="n">
        <v>1</v>
      </c>
      <c r="H368" t="n">
        <v>5</v>
      </c>
      <c r="I368" t="n">
        <v>2</v>
      </c>
      <c r="J368" t="n">
        <v>3</v>
      </c>
      <c r="K368" t="n">
        <v>5</v>
      </c>
      <c r="L368" t="n">
        <v>2</v>
      </c>
      <c r="M368" t="n">
        <v>3</v>
      </c>
      <c r="N368" t="n">
        <v>4</v>
      </c>
      <c r="O368" t="n">
        <v>1</v>
      </c>
      <c r="P368" t="n">
        <v>1</v>
      </c>
      <c r="Q368" t="n">
        <v>2</v>
      </c>
      <c r="R368" t="n">
        <v>4</v>
      </c>
      <c r="S368" t="n">
        <v>4</v>
      </c>
      <c r="T368" t="n">
        <v>2</v>
      </c>
      <c r="U368" t="n">
        <v>5</v>
      </c>
      <c r="V368" t="n">
        <v>3</v>
      </c>
      <c r="W368">
        <f>(AVERAGE(B368:D368)-1)/4</f>
        <v/>
      </c>
      <c r="X368">
        <f>(AVERAGE(E368:G368)-1)/4</f>
        <v/>
      </c>
      <c r="Y368">
        <f>(AVERAGE(H368:J368)-1)/4</f>
        <v/>
      </c>
      <c r="Z368">
        <f>(AVERAGE(K368:M368)-1)/4</f>
        <v/>
      </c>
      <c r="AA368">
        <f>(AVERAGE(N368:P368)-1)/4</f>
        <v/>
      </c>
      <c r="AB368">
        <f>(AVERAGE(Q368:S368)-1)/4</f>
        <v/>
      </c>
      <c r="AC368">
        <f>(AVERAGE(T368:V368)-1)/4</f>
        <v/>
      </c>
      <c r="AD368">
        <f>AVERAGE(W368:AA368)</f>
        <v/>
      </c>
      <c r="AE368">
        <f>MIN(W368:AA368)</f>
        <v/>
      </c>
      <c r="AF368">
        <f>1-alpha*MAX(0,delta-AE368)</f>
        <v/>
      </c>
      <c r="AG368">
        <f>AD368*AF368</f>
        <v/>
      </c>
      <c r="AH368">
        <f>1+COUNTIF(bounds,"&lt;"&amp;ROUND(AD368,12))</f>
        <v/>
      </c>
      <c r="AI368">
        <f>1+COUNTIF(bounds,"&lt;"&amp;ROUND(AG368,12))</f>
        <v/>
      </c>
      <c r="AJ368">
        <f>IF(AF368&lt;1,1,0)</f>
        <v/>
      </c>
      <c r="AK368">
        <f>IF(AH368&lt;&gt;AI368,1,0)</f>
        <v/>
      </c>
      <c r="AL368">
        <f>IF(AND(AI368&gt;=3,AB368&lt;=0.2),1,0)</f>
        <v/>
      </c>
      <c r="AM368">
        <f>AVERAGE(W368:AB368)</f>
        <v/>
      </c>
      <c r="AN368">
        <f>1+COUNTIF(bounds,"&lt;"&amp;ROUND(AM368,12))</f>
        <v/>
      </c>
      <c r="AO368">
        <f>IF(AK368=1,AD368,NA())</f>
        <v/>
      </c>
      <c r="AP368">
        <f>IF(AK368=0,AD368,NA())</f>
        <v/>
      </c>
    </row>
    <row r="369">
      <c r="A369" t="n">
        <v>361</v>
      </c>
      <c r="B369" t="n">
        <v>5</v>
      </c>
      <c r="C369" t="n">
        <v>3</v>
      </c>
      <c r="D369" t="n">
        <v>3</v>
      </c>
      <c r="E369" t="n">
        <v>4</v>
      </c>
      <c r="F369" t="n">
        <v>3</v>
      </c>
      <c r="G369" t="n">
        <v>2</v>
      </c>
      <c r="H369" t="n">
        <v>3</v>
      </c>
      <c r="I369" t="n">
        <v>4</v>
      </c>
      <c r="J369" t="n">
        <v>3</v>
      </c>
      <c r="K369" t="n">
        <v>1</v>
      </c>
      <c r="L369" t="n">
        <v>1</v>
      </c>
      <c r="M369" t="n">
        <v>1</v>
      </c>
      <c r="N369" t="n">
        <v>2</v>
      </c>
      <c r="O369" t="n">
        <v>5</v>
      </c>
      <c r="P369" t="n">
        <v>3</v>
      </c>
      <c r="Q369" t="n">
        <v>4</v>
      </c>
      <c r="R369" t="n">
        <v>1</v>
      </c>
      <c r="S369" t="n">
        <v>5</v>
      </c>
      <c r="T369" t="n">
        <v>5</v>
      </c>
      <c r="U369" t="n">
        <v>2</v>
      </c>
      <c r="V369" t="n">
        <v>4</v>
      </c>
      <c r="W369">
        <f>(AVERAGE(B369:D369)-1)/4</f>
        <v/>
      </c>
      <c r="X369">
        <f>(AVERAGE(E369:G369)-1)/4</f>
        <v/>
      </c>
      <c r="Y369">
        <f>(AVERAGE(H369:J369)-1)/4</f>
        <v/>
      </c>
      <c r="Z369">
        <f>(AVERAGE(K369:M369)-1)/4</f>
        <v/>
      </c>
      <c r="AA369">
        <f>(AVERAGE(N369:P369)-1)/4</f>
        <v/>
      </c>
      <c r="AB369">
        <f>(AVERAGE(Q369:S369)-1)/4</f>
        <v/>
      </c>
      <c r="AC369">
        <f>(AVERAGE(T369:V369)-1)/4</f>
        <v/>
      </c>
      <c r="AD369">
        <f>AVERAGE(W369:AA369)</f>
        <v/>
      </c>
      <c r="AE369">
        <f>MIN(W369:AA369)</f>
        <v/>
      </c>
      <c r="AF369">
        <f>1-alpha*MAX(0,delta-AE369)</f>
        <v/>
      </c>
      <c r="AG369">
        <f>AD369*AF369</f>
        <v/>
      </c>
      <c r="AH369">
        <f>1+COUNTIF(bounds,"&lt;"&amp;ROUND(AD369,12))</f>
        <v/>
      </c>
      <c r="AI369">
        <f>1+COUNTIF(bounds,"&lt;"&amp;ROUND(AG369,12))</f>
        <v/>
      </c>
      <c r="AJ369">
        <f>IF(AF369&lt;1,1,0)</f>
        <v/>
      </c>
      <c r="AK369">
        <f>IF(AH369&lt;&gt;AI369,1,0)</f>
        <v/>
      </c>
      <c r="AL369">
        <f>IF(AND(AI369&gt;=3,AB369&lt;=0.2),1,0)</f>
        <v/>
      </c>
      <c r="AM369">
        <f>AVERAGE(W369:AB369)</f>
        <v/>
      </c>
      <c r="AN369">
        <f>1+COUNTIF(bounds,"&lt;"&amp;ROUND(AM369,12))</f>
        <v/>
      </c>
      <c r="AO369">
        <f>IF(AK369=1,AD369,NA())</f>
        <v/>
      </c>
      <c r="AP369">
        <f>IF(AK369=0,AD369,NA())</f>
        <v/>
      </c>
    </row>
    <row r="370">
      <c r="A370" t="n">
        <v>362</v>
      </c>
      <c r="B370" t="n">
        <v>1</v>
      </c>
      <c r="C370" t="n">
        <v>1</v>
      </c>
      <c r="D370" t="n">
        <v>4</v>
      </c>
      <c r="E370" t="n">
        <v>1</v>
      </c>
      <c r="F370" t="n">
        <v>3</v>
      </c>
      <c r="G370" t="n">
        <v>1</v>
      </c>
      <c r="H370" t="n">
        <v>4</v>
      </c>
      <c r="I370" t="n">
        <v>1</v>
      </c>
      <c r="J370" t="n">
        <v>5</v>
      </c>
      <c r="K370" t="n">
        <v>4</v>
      </c>
      <c r="L370" t="n">
        <v>5</v>
      </c>
      <c r="M370" t="n">
        <v>2</v>
      </c>
      <c r="N370" t="n">
        <v>5</v>
      </c>
      <c r="O370" t="n">
        <v>3</v>
      </c>
      <c r="P370" t="n">
        <v>5</v>
      </c>
      <c r="Q370" t="n">
        <v>3</v>
      </c>
      <c r="R370" t="n">
        <v>4</v>
      </c>
      <c r="S370" t="n">
        <v>5</v>
      </c>
      <c r="T370" t="n">
        <v>5</v>
      </c>
      <c r="U370" t="n">
        <v>3</v>
      </c>
      <c r="V370" t="n">
        <v>2</v>
      </c>
      <c r="W370">
        <f>(AVERAGE(B370:D370)-1)/4</f>
        <v/>
      </c>
      <c r="X370">
        <f>(AVERAGE(E370:G370)-1)/4</f>
        <v/>
      </c>
      <c r="Y370">
        <f>(AVERAGE(H370:J370)-1)/4</f>
        <v/>
      </c>
      <c r="Z370">
        <f>(AVERAGE(K370:M370)-1)/4</f>
        <v/>
      </c>
      <c r="AA370">
        <f>(AVERAGE(N370:P370)-1)/4</f>
        <v/>
      </c>
      <c r="AB370">
        <f>(AVERAGE(Q370:S370)-1)/4</f>
        <v/>
      </c>
      <c r="AC370">
        <f>(AVERAGE(T370:V370)-1)/4</f>
        <v/>
      </c>
      <c r="AD370">
        <f>AVERAGE(W370:AA370)</f>
        <v/>
      </c>
      <c r="AE370">
        <f>MIN(W370:AA370)</f>
        <v/>
      </c>
      <c r="AF370">
        <f>1-alpha*MAX(0,delta-AE370)</f>
        <v/>
      </c>
      <c r="AG370">
        <f>AD370*AF370</f>
        <v/>
      </c>
      <c r="AH370">
        <f>1+COUNTIF(bounds,"&lt;"&amp;ROUND(AD370,12))</f>
        <v/>
      </c>
      <c r="AI370">
        <f>1+COUNTIF(bounds,"&lt;"&amp;ROUND(AG370,12))</f>
        <v/>
      </c>
      <c r="AJ370">
        <f>IF(AF370&lt;1,1,0)</f>
        <v/>
      </c>
      <c r="AK370">
        <f>IF(AH370&lt;&gt;AI370,1,0)</f>
        <v/>
      </c>
      <c r="AL370">
        <f>IF(AND(AI370&gt;=3,AB370&lt;=0.2),1,0)</f>
        <v/>
      </c>
      <c r="AM370">
        <f>AVERAGE(W370:AB370)</f>
        <v/>
      </c>
      <c r="AN370">
        <f>1+COUNTIF(bounds,"&lt;"&amp;ROUND(AM370,12))</f>
        <v/>
      </c>
      <c r="AO370">
        <f>IF(AK370=1,AD370,NA())</f>
        <v/>
      </c>
      <c r="AP370">
        <f>IF(AK370=0,AD370,NA())</f>
        <v/>
      </c>
    </row>
    <row r="371">
      <c r="A371" t="n">
        <v>363</v>
      </c>
      <c r="B371" t="n">
        <v>2</v>
      </c>
      <c r="C371" t="n">
        <v>2</v>
      </c>
      <c r="D371" t="n">
        <v>1</v>
      </c>
      <c r="E371" t="n">
        <v>4</v>
      </c>
      <c r="F371" t="n">
        <v>3</v>
      </c>
      <c r="G371" t="n">
        <v>1</v>
      </c>
      <c r="H371" t="n">
        <v>5</v>
      </c>
      <c r="I371" t="n">
        <v>5</v>
      </c>
      <c r="J371" t="n">
        <v>3</v>
      </c>
      <c r="K371" t="n">
        <v>3</v>
      </c>
      <c r="L371" t="n">
        <v>5</v>
      </c>
      <c r="M371" t="n">
        <v>2</v>
      </c>
      <c r="N371" t="n">
        <v>4</v>
      </c>
      <c r="O371" t="n">
        <v>5</v>
      </c>
      <c r="P371" t="n">
        <v>1</v>
      </c>
      <c r="Q371" t="n">
        <v>3</v>
      </c>
      <c r="R371" t="n">
        <v>3</v>
      </c>
      <c r="S371" t="n">
        <v>2</v>
      </c>
      <c r="T371" t="n">
        <v>4</v>
      </c>
      <c r="U371" t="n">
        <v>3</v>
      </c>
      <c r="V371" t="n">
        <v>1</v>
      </c>
      <c r="W371">
        <f>(AVERAGE(B371:D371)-1)/4</f>
        <v/>
      </c>
      <c r="X371">
        <f>(AVERAGE(E371:G371)-1)/4</f>
        <v/>
      </c>
      <c r="Y371">
        <f>(AVERAGE(H371:J371)-1)/4</f>
        <v/>
      </c>
      <c r="Z371">
        <f>(AVERAGE(K371:M371)-1)/4</f>
        <v/>
      </c>
      <c r="AA371">
        <f>(AVERAGE(N371:P371)-1)/4</f>
        <v/>
      </c>
      <c r="AB371">
        <f>(AVERAGE(Q371:S371)-1)/4</f>
        <v/>
      </c>
      <c r="AC371">
        <f>(AVERAGE(T371:V371)-1)/4</f>
        <v/>
      </c>
      <c r="AD371">
        <f>AVERAGE(W371:AA371)</f>
        <v/>
      </c>
      <c r="AE371">
        <f>MIN(W371:AA371)</f>
        <v/>
      </c>
      <c r="AF371">
        <f>1-alpha*MAX(0,delta-AE371)</f>
        <v/>
      </c>
      <c r="AG371">
        <f>AD371*AF371</f>
        <v/>
      </c>
      <c r="AH371">
        <f>1+COUNTIF(bounds,"&lt;"&amp;ROUND(AD371,12))</f>
        <v/>
      </c>
      <c r="AI371">
        <f>1+COUNTIF(bounds,"&lt;"&amp;ROUND(AG371,12))</f>
        <v/>
      </c>
      <c r="AJ371">
        <f>IF(AF371&lt;1,1,0)</f>
        <v/>
      </c>
      <c r="AK371">
        <f>IF(AH371&lt;&gt;AI371,1,0)</f>
        <v/>
      </c>
      <c r="AL371">
        <f>IF(AND(AI371&gt;=3,AB371&lt;=0.2),1,0)</f>
        <v/>
      </c>
      <c r="AM371">
        <f>AVERAGE(W371:AB371)</f>
        <v/>
      </c>
      <c r="AN371">
        <f>1+COUNTIF(bounds,"&lt;"&amp;ROUND(AM371,12))</f>
        <v/>
      </c>
      <c r="AO371">
        <f>IF(AK371=1,AD371,NA())</f>
        <v/>
      </c>
      <c r="AP371">
        <f>IF(AK371=0,AD371,NA())</f>
        <v/>
      </c>
    </row>
    <row r="372">
      <c r="A372" t="n">
        <v>364</v>
      </c>
      <c r="B372" t="n">
        <v>4</v>
      </c>
      <c r="C372" t="n">
        <v>5</v>
      </c>
      <c r="D372" t="n">
        <v>2</v>
      </c>
      <c r="E372" t="n">
        <v>1</v>
      </c>
      <c r="F372" t="n">
        <v>4</v>
      </c>
      <c r="G372" t="n">
        <v>3</v>
      </c>
      <c r="H372" t="n">
        <v>3</v>
      </c>
      <c r="I372" t="n">
        <v>2</v>
      </c>
      <c r="J372" t="n">
        <v>2</v>
      </c>
      <c r="K372" t="n">
        <v>1</v>
      </c>
      <c r="L372" t="n">
        <v>2</v>
      </c>
      <c r="M372" t="n">
        <v>3</v>
      </c>
      <c r="N372" t="n">
        <v>3</v>
      </c>
      <c r="O372" t="n">
        <v>3</v>
      </c>
      <c r="P372" t="n">
        <v>4</v>
      </c>
      <c r="Q372" t="n">
        <v>2</v>
      </c>
      <c r="R372" t="n">
        <v>5</v>
      </c>
      <c r="S372" t="n">
        <v>5</v>
      </c>
      <c r="T372" t="n">
        <v>5</v>
      </c>
      <c r="U372" t="n">
        <v>5</v>
      </c>
      <c r="V372" t="n">
        <v>2</v>
      </c>
      <c r="W372">
        <f>(AVERAGE(B372:D372)-1)/4</f>
        <v/>
      </c>
      <c r="X372">
        <f>(AVERAGE(E372:G372)-1)/4</f>
        <v/>
      </c>
      <c r="Y372">
        <f>(AVERAGE(H372:J372)-1)/4</f>
        <v/>
      </c>
      <c r="Z372">
        <f>(AVERAGE(K372:M372)-1)/4</f>
        <v/>
      </c>
      <c r="AA372">
        <f>(AVERAGE(N372:P372)-1)/4</f>
        <v/>
      </c>
      <c r="AB372">
        <f>(AVERAGE(Q372:S372)-1)/4</f>
        <v/>
      </c>
      <c r="AC372">
        <f>(AVERAGE(T372:V372)-1)/4</f>
        <v/>
      </c>
      <c r="AD372">
        <f>AVERAGE(W372:AA372)</f>
        <v/>
      </c>
      <c r="AE372">
        <f>MIN(W372:AA372)</f>
        <v/>
      </c>
      <c r="AF372">
        <f>1-alpha*MAX(0,delta-AE372)</f>
        <v/>
      </c>
      <c r="AG372">
        <f>AD372*AF372</f>
        <v/>
      </c>
      <c r="AH372">
        <f>1+COUNTIF(bounds,"&lt;"&amp;ROUND(AD372,12))</f>
        <v/>
      </c>
      <c r="AI372">
        <f>1+COUNTIF(bounds,"&lt;"&amp;ROUND(AG372,12))</f>
        <v/>
      </c>
      <c r="AJ372">
        <f>IF(AF372&lt;1,1,0)</f>
        <v/>
      </c>
      <c r="AK372">
        <f>IF(AH372&lt;&gt;AI372,1,0)</f>
        <v/>
      </c>
      <c r="AL372">
        <f>IF(AND(AI372&gt;=3,AB372&lt;=0.2),1,0)</f>
        <v/>
      </c>
      <c r="AM372">
        <f>AVERAGE(W372:AB372)</f>
        <v/>
      </c>
      <c r="AN372">
        <f>1+COUNTIF(bounds,"&lt;"&amp;ROUND(AM372,12))</f>
        <v/>
      </c>
      <c r="AO372">
        <f>IF(AK372=1,AD372,NA())</f>
        <v/>
      </c>
      <c r="AP372">
        <f>IF(AK372=0,AD372,NA())</f>
        <v/>
      </c>
    </row>
    <row r="373">
      <c r="A373" t="n">
        <v>365</v>
      </c>
      <c r="B373" t="n">
        <v>2</v>
      </c>
      <c r="C373" t="n">
        <v>2</v>
      </c>
      <c r="D373" t="n">
        <v>1</v>
      </c>
      <c r="E373" t="n">
        <v>3</v>
      </c>
      <c r="F373" t="n">
        <v>3</v>
      </c>
      <c r="G373" t="n">
        <v>4</v>
      </c>
      <c r="H373" t="n">
        <v>2</v>
      </c>
      <c r="I373" t="n">
        <v>5</v>
      </c>
      <c r="J373" t="n">
        <v>5</v>
      </c>
      <c r="K373" t="n">
        <v>4</v>
      </c>
      <c r="L373" t="n">
        <v>4</v>
      </c>
      <c r="M373" t="n">
        <v>3</v>
      </c>
      <c r="N373" t="n">
        <v>4</v>
      </c>
      <c r="O373" t="n">
        <v>5</v>
      </c>
      <c r="P373" t="n">
        <v>4</v>
      </c>
      <c r="Q373" t="n">
        <v>5</v>
      </c>
      <c r="R373" t="n">
        <v>1</v>
      </c>
      <c r="S373" t="n">
        <v>5</v>
      </c>
      <c r="T373" t="n">
        <v>4</v>
      </c>
      <c r="U373" t="n">
        <v>3</v>
      </c>
      <c r="V373" t="n">
        <v>2</v>
      </c>
      <c r="W373">
        <f>(AVERAGE(B373:D373)-1)/4</f>
        <v/>
      </c>
      <c r="X373">
        <f>(AVERAGE(E373:G373)-1)/4</f>
        <v/>
      </c>
      <c r="Y373">
        <f>(AVERAGE(H373:J373)-1)/4</f>
        <v/>
      </c>
      <c r="Z373">
        <f>(AVERAGE(K373:M373)-1)/4</f>
        <v/>
      </c>
      <c r="AA373">
        <f>(AVERAGE(N373:P373)-1)/4</f>
        <v/>
      </c>
      <c r="AB373">
        <f>(AVERAGE(Q373:S373)-1)/4</f>
        <v/>
      </c>
      <c r="AC373">
        <f>(AVERAGE(T373:V373)-1)/4</f>
        <v/>
      </c>
      <c r="AD373">
        <f>AVERAGE(W373:AA373)</f>
        <v/>
      </c>
      <c r="AE373">
        <f>MIN(W373:AA373)</f>
        <v/>
      </c>
      <c r="AF373">
        <f>1-alpha*MAX(0,delta-AE373)</f>
        <v/>
      </c>
      <c r="AG373">
        <f>AD373*AF373</f>
        <v/>
      </c>
      <c r="AH373">
        <f>1+COUNTIF(bounds,"&lt;"&amp;ROUND(AD373,12))</f>
        <v/>
      </c>
      <c r="AI373">
        <f>1+COUNTIF(bounds,"&lt;"&amp;ROUND(AG373,12))</f>
        <v/>
      </c>
      <c r="AJ373">
        <f>IF(AF373&lt;1,1,0)</f>
        <v/>
      </c>
      <c r="AK373">
        <f>IF(AH373&lt;&gt;AI373,1,0)</f>
        <v/>
      </c>
      <c r="AL373">
        <f>IF(AND(AI373&gt;=3,AB373&lt;=0.2),1,0)</f>
        <v/>
      </c>
      <c r="AM373">
        <f>AVERAGE(W373:AB373)</f>
        <v/>
      </c>
      <c r="AN373">
        <f>1+COUNTIF(bounds,"&lt;"&amp;ROUND(AM373,12))</f>
        <v/>
      </c>
      <c r="AO373">
        <f>IF(AK373=1,AD373,NA())</f>
        <v/>
      </c>
      <c r="AP373">
        <f>IF(AK373=0,AD373,NA())</f>
        <v/>
      </c>
    </row>
    <row r="374">
      <c r="A374" t="n">
        <v>366</v>
      </c>
      <c r="B374" t="n">
        <v>2</v>
      </c>
      <c r="C374" t="n">
        <v>5</v>
      </c>
      <c r="D374" t="n">
        <v>1</v>
      </c>
      <c r="E374" t="n">
        <v>3</v>
      </c>
      <c r="F374" t="n">
        <v>3</v>
      </c>
      <c r="G374" t="n">
        <v>2</v>
      </c>
      <c r="H374" t="n">
        <v>5</v>
      </c>
      <c r="I374" t="n">
        <v>2</v>
      </c>
      <c r="J374" t="n">
        <v>2</v>
      </c>
      <c r="K374" t="n">
        <v>2</v>
      </c>
      <c r="L374" t="n">
        <v>3</v>
      </c>
      <c r="M374" t="n">
        <v>5</v>
      </c>
      <c r="N374" t="n">
        <v>1</v>
      </c>
      <c r="O374" t="n">
        <v>1</v>
      </c>
      <c r="P374" t="n">
        <v>1</v>
      </c>
      <c r="Q374" t="n">
        <v>1</v>
      </c>
      <c r="R374" t="n">
        <v>3</v>
      </c>
      <c r="S374" t="n">
        <v>4</v>
      </c>
      <c r="T374" t="n">
        <v>5</v>
      </c>
      <c r="U374" t="n">
        <v>5</v>
      </c>
      <c r="V374" t="n">
        <v>1</v>
      </c>
      <c r="W374">
        <f>(AVERAGE(B374:D374)-1)/4</f>
        <v/>
      </c>
      <c r="X374">
        <f>(AVERAGE(E374:G374)-1)/4</f>
        <v/>
      </c>
      <c r="Y374">
        <f>(AVERAGE(H374:J374)-1)/4</f>
        <v/>
      </c>
      <c r="Z374">
        <f>(AVERAGE(K374:M374)-1)/4</f>
        <v/>
      </c>
      <c r="AA374">
        <f>(AVERAGE(N374:P374)-1)/4</f>
        <v/>
      </c>
      <c r="AB374">
        <f>(AVERAGE(Q374:S374)-1)/4</f>
        <v/>
      </c>
      <c r="AC374">
        <f>(AVERAGE(T374:V374)-1)/4</f>
        <v/>
      </c>
      <c r="AD374">
        <f>AVERAGE(W374:AA374)</f>
        <v/>
      </c>
      <c r="AE374">
        <f>MIN(W374:AA374)</f>
        <v/>
      </c>
      <c r="AF374">
        <f>1-alpha*MAX(0,delta-AE374)</f>
        <v/>
      </c>
      <c r="AG374">
        <f>AD374*AF374</f>
        <v/>
      </c>
      <c r="AH374">
        <f>1+COUNTIF(bounds,"&lt;"&amp;ROUND(AD374,12))</f>
        <v/>
      </c>
      <c r="AI374">
        <f>1+COUNTIF(bounds,"&lt;"&amp;ROUND(AG374,12))</f>
        <v/>
      </c>
      <c r="AJ374">
        <f>IF(AF374&lt;1,1,0)</f>
        <v/>
      </c>
      <c r="AK374">
        <f>IF(AH374&lt;&gt;AI374,1,0)</f>
        <v/>
      </c>
      <c r="AL374">
        <f>IF(AND(AI374&gt;=3,AB374&lt;=0.2),1,0)</f>
        <v/>
      </c>
      <c r="AM374">
        <f>AVERAGE(W374:AB374)</f>
        <v/>
      </c>
      <c r="AN374">
        <f>1+COUNTIF(bounds,"&lt;"&amp;ROUND(AM374,12))</f>
        <v/>
      </c>
      <c r="AO374">
        <f>IF(AK374=1,AD374,NA())</f>
        <v/>
      </c>
      <c r="AP374">
        <f>IF(AK374=0,AD374,NA())</f>
        <v/>
      </c>
    </row>
    <row r="375">
      <c r="A375" t="n">
        <v>367</v>
      </c>
      <c r="B375" t="n">
        <v>5</v>
      </c>
      <c r="C375" t="n">
        <v>1</v>
      </c>
      <c r="D375" t="n">
        <v>3</v>
      </c>
      <c r="E375" t="n">
        <v>3</v>
      </c>
      <c r="F375" t="n">
        <v>5</v>
      </c>
      <c r="G375" t="n">
        <v>2</v>
      </c>
      <c r="H375" t="n">
        <v>2</v>
      </c>
      <c r="I375" t="n">
        <v>3</v>
      </c>
      <c r="J375" t="n">
        <v>3</v>
      </c>
      <c r="K375" t="n">
        <v>3</v>
      </c>
      <c r="L375" t="n">
        <v>3</v>
      </c>
      <c r="M375" t="n">
        <v>2</v>
      </c>
      <c r="N375" t="n">
        <v>4</v>
      </c>
      <c r="O375" t="n">
        <v>2</v>
      </c>
      <c r="P375" t="n">
        <v>3</v>
      </c>
      <c r="Q375" t="n">
        <v>2</v>
      </c>
      <c r="R375" t="n">
        <v>2</v>
      </c>
      <c r="S375" t="n">
        <v>3</v>
      </c>
      <c r="T375" t="n">
        <v>5</v>
      </c>
      <c r="U375" t="n">
        <v>4</v>
      </c>
      <c r="V375" t="n">
        <v>2</v>
      </c>
      <c r="W375">
        <f>(AVERAGE(B375:D375)-1)/4</f>
        <v/>
      </c>
      <c r="X375">
        <f>(AVERAGE(E375:G375)-1)/4</f>
        <v/>
      </c>
      <c r="Y375">
        <f>(AVERAGE(H375:J375)-1)/4</f>
        <v/>
      </c>
      <c r="Z375">
        <f>(AVERAGE(K375:M375)-1)/4</f>
        <v/>
      </c>
      <c r="AA375">
        <f>(AVERAGE(N375:P375)-1)/4</f>
        <v/>
      </c>
      <c r="AB375">
        <f>(AVERAGE(Q375:S375)-1)/4</f>
        <v/>
      </c>
      <c r="AC375">
        <f>(AVERAGE(T375:V375)-1)/4</f>
        <v/>
      </c>
      <c r="AD375">
        <f>AVERAGE(W375:AA375)</f>
        <v/>
      </c>
      <c r="AE375">
        <f>MIN(W375:AA375)</f>
        <v/>
      </c>
      <c r="AF375">
        <f>1-alpha*MAX(0,delta-AE375)</f>
        <v/>
      </c>
      <c r="AG375">
        <f>AD375*AF375</f>
        <v/>
      </c>
      <c r="AH375">
        <f>1+COUNTIF(bounds,"&lt;"&amp;ROUND(AD375,12))</f>
        <v/>
      </c>
      <c r="AI375">
        <f>1+COUNTIF(bounds,"&lt;"&amp;ROUND(AG375,12))</f>
        <v/>
      </c>
      <c r="AJ375">
        <f>IF(AF375&lt;1,1,0)</f>
        <v/>
      </c>
      <c r="AK375">
        <f>IF(AH375&lt;&gt;AI375,1,0)</f>
        <v/>
      </c>
      <c r="AL375">
        <f>IF(AND(AI375&gt;=3,AB375&lt;=0.2),1,0)</f>
        <v/>
      </c>
      <c r="AM375">
        <f>AVERAGE(W375:AB375)</f>
        <v/>
      </c>
      <c r="AN375">
        <f>1+COUNTIF(bounds,"&lt;"&amp;ROUND(AM375,12))</f>
        <v/>
      </c>
      <c r="AO375">
        <f>IF(AK375=1,AD375,NA())</f>
        <v/>
      </c>
      <c r="AP375">
        <f>IF(AK375=0,AD375,NA())</f>
        <v/>
      </c>
    </row>
    <row r="376">
      <c r="A376" t="n">
        <v>368</v>
      </c>
      <c r="B376" t="n">
        <v>4</v>
      </c>
      <c r="C376" t="n">
        <v>2</v>
      </c>
      <c r="D376" t="n">
        <v>5</v>
      </c>
      <c r="E376" t="n">
        <v>1</v>
      </c>
      <c r="F376" t="n">
        <v>1</v>
      </c>
      <c r="G376" t="n">
        <v>2</v>
      </c>
      <c r="H376" t="n">
        <v>5</v>
      </c>
      <c r="I376" t="n">
        <v>5</v>
      </c>
      <c r="J376" t="n">
        <v>5</v>
      </c>
      <c r="K376" t="n">
        <v>3</v>
      </c>
      <c r="L376" t="n">
        <v>3</v>
      </c>
      <c r="M376" t="n">
        <v>4</v>
      </c>
      <c r="N376" t="n">
        <v>1</v>
      </c>
      <c r="O376" t="n">
        <v>1</v>
      </c>
      <c r="P376" t="n">
        <v>4</v>
      </c>
      <c r="Q376" t="n">
        <v>3</v>
      </c>
      <c r="R376" t="n">
        <v>5</v>
      </c>
      <c r="S376" t="n">
        <v>1</v>
      </c>
      <c r="T376" t="n">
        <v>4</v>
      </c>
      <c r="U376" t="n">
        <v>2</v>
      </c>
      <c r="V376" t="n">
        <v>2</v>
      </c>
      <c r="W376">
        <f>(AVERAGE(B376:D376)-1)/4</f>
        <v/>
      </c>
      <c r="X376">
        <f>(AVERAGE(E376:G376)-1)/4</f>
        <v/>
      </c>
      <c r="Y376">
        <f>(AVERAGE(H376:J376)-1)/4</f>
        <v/>
      </c>
      <c r="Z376">
        <f>(AVERAGE(K376:M376)-1)/4</f>
        <v/>
      </c>
      <c r="AA376">
        <f>(AVERAGE(N376:P376)-1)/4</f>
        <v/>
      </c>
      <c r="AB376">
        <f>(AVERAGE(Q376:S376)-1)/4</f>
        <v/>
      </c>
      <c r="AC376">
        <f>(AVERAGE(T376:V376)-1)/4</f>
        <v/>
      </c>
      <c r="AD376">
        <f>AVERAGE(W376:AA376)</f>
        <v/>
      </c>
      <c r="AE376">
        <f>MIN(W376:AA376)</f>
        <v/>
      </c>
      <c r="AF376">
        <f>1-alpha*MAX(0,delta-AE376)</f>
        <v/>
      </c>
      <c r="AG376">
        <f>AD376*AF376</f>
        <v/>
      </c>
      <c r="AH376">
        <f>1+COUNTIF(bounds,"&lt;"&amp;ROUND(AD376,12))</f>
        <v/>
      </c>
      <c r="AI376">
        <f>1+COUNTIF(bounds,"&lt;"&amp;ROUND(AG376,12))</f>
        <v/>
      </c>
      <c r="AJ376">
        <f>IF(AF376&lt;1,1,0)</f>
        <v/>
      </c>
      <c r="AK376">
        <f>IF(AH376&lt;&gt;AI376,1,0)</f>
        <v/>
      </c>
      <c r="AL376">
        <f>IF(AND(AI376&gt;=3,AB376&lt;=0.2),1,0)</f>
        <v/>
      </c>
      <c r="AM376">
        <f>AVERAGE(W376:AB376)</f>
        <v/>
      </c>
      <c r="AN376">
        <f>1+COUNTIF(bounds,"&lt;"&amp;ROUND(AM376,12))</f>
        <v/>
      </c>
      <c r="AO376">
        <f>IF(AK376=1,AD376,NA())</f>
        <v/>
      </c>
      <c r="AP376">
        <f>IF(AK376=0,AD376,NA())</f>
        <v/>
      </c>
    </row>
    <row r="377">
      <c r="A377" t="n">
        <v>369</v>
      </c>
      <c r="B377" t="n">
        <v>4</v>
      </c>
      <c r="C377" t="n">
        <v>4</v>
      </c>
      <c r="D377" t="n">
        <v>2</v>
      </c>
      <c r="E377" t="n">
        <v>4</v>
      </c>
      <c r="F377" t="n">
        <v>4</v>
      </c>
      <c r="G377" t="n">
        <v>1</v>
      </c>
      <c r="H377" t="n">
        <v>4</v>
      </c>
      <c r="I377" t="n">
        <v>5</v>
      </c>
      <c r="J377" t="n">
        <v>2</v>
      </c>
      <c r="K377" t="n">
        <v>2</v>
      </c>
      <c r="L377" t="n">
        <v>3</v>
      </c>
      <c r="M377" t="n">
        <v>1</v>
      </c>
      <c r="N377" t="n">
        <v>5</v>
      </c>
      <c r="O377" t="n">
        <v>2</v>
      </c>
      <c r="P377" t="n">
        <v>1</v>
      </c>
      <c r="Q377" t="n">
        <v>4</v>
      </c>
      <c r="R377" t="n">
        <v>5</v>
      </c>
      <c r="S377" t="n">
        <v>5</v>
      </c>
      <c r="T377" t="n">
        <v>5</v>
      </c>
      <c r="U377" t="n">
        <v>3</v>
      </c>
      <c r="V377" t="n">
        <v>1</v>
      </c>
      <c r="W377">
        <f>(AVERAGE(B377:D377)-1)/4</f>
        <v/>
      </c>
      <c r="X377">
        <f>(AVERAGE(E377:G377)-1)/4</f>
        <v/>
      </c>
      <c r="Y377">
        <f>(AVERAGE(H377:J377)-1)/4</f>
        <v/>
      </c>
      <c r="Z377">
        <f>(AVERAGE(K377:M377)-1)/4</f>
        <v/>
      </c>
      <c r="AA377">
        <f>(AVERAGE(N377:P377)-1)/4</f>
        <v/>
      </c>
      <c r="AB377">
        <f>(AVERAGE(Q377:S377)-1)/4</f>
        <v/>
      </c>
      <c r="AC377">
        <f>(AVERAGE(T377:V377)-1)/4</f>
        <v/>
      </c>
      <c r="AD377">
        <f>AVERAGE(W377:AA377)</f>
        <v/>
      </c>
      <c r="AE377">
        <f>MIN(W377:AA377)</f>
        <v/>
      </c>
      <c r="AF377">
        <f>1-alpha*MAX(0,delta-AE377)</f>
        <v/>
      </c>
      <c r="AG377">
        <f>AD377*AF377</f>
        <v/>
      </c>
      <c r="AH377">
        <f>1+COUNTIF(bounds,"&lt;"&amp;ROUND(AD377,12))</f>
        <v/>
      </c>
      <c r="AI377">
        <f>1+COUNTIF(bounds,"&lt;"&amp;ROUND(AG377,12))</f>
        <v/>
      </c>
      <c r="AJ377">
        <f>IF(AF377&lt;1,1,0)</f>
        <v/>
      </c>
      <c r="AK377">
        <f>IF(AH377&lt;&gt;AI377,1,0)</f>
        <v/>
      </c>
      <c r="AL377">
        <f>IF(AND(AI377&gt;=3,AB377&lt;=0.2),1,0)</f>
        <v/>
      </c>
      <c r="AM377">
        <f>AVERAGE(W377:AB377)</f>
        <v/>
      </c>
      <c r="AN377">
        <f>1+COUNTIF(bounds,"&lt;"&amp;ROUND(AM377,12))</f>
        <v/>
      </c>
      <c r="AO377">
        <f>IF(AK377=1,AD377,NA())</f>
        <v/>
      </c>
      <c r="AP377">
        <f>IF(AK377=0,AD377,NA())</f>
        <v/>
      </c>
    </row>
    <row r="378">
      <c r="A378" t="n">
        <v>370</v>
      </c>
      <c r="B378" t="n">
        <v>1</v>
      </c>
      <c r="C378" t="n">
        <v>3</v>
      </c>
      <c r="D378" t="n">
        <v>2</v>
      </c>
      <c r="E378" t="n">
        <v>3</v>
      </c>
      <c r="F378" t="n">
        <v>1</v>
      </c>
      <c r="G378" t="n">
        <v>2</v>
      </c>
      <c r="H378" t="n">
        <v>2</v>
      </c>
      <c r="I378" t="n">
        <v>2</v>
      </c>
      <c r="J378" t="n">
        <v>5</v>
      </c>
      <c r="K378" t="n">
        <v>3</v>
      </c>
      <c r="L378" t="n">
        <v>2</v>
      </c>
      <c r="M378" t="n">
        <v>4</v>
      </c>
      <c r="N378" t="n">
        <v>2</v>
      </c>
      <c r="O378" t="n">
        <v>4</v>
      </c>
      <c r="P378" t="n">
        <v>5</v>
      </c>
      <c r="Q378" t="n">
        <v>2</v>
      </c>
      <c r="R378" t="n">
        <v>2</v>
      </c>
      <c r="S378" t="n">
        <v>1</v>
      </c>
      <c r="T378" t="n">
        <v>3</v>
      </c>
      <c r="U378" t="n">
        <v>5</v>
      </c>
      <c r="V378" t="n">
        <v>5</v>
      </c>
      <c r="W378">
        <f>(AVERAGE(B378:D378)-1)/4</f>
        <v/>
      </c>
      <c r="X378">
        <f>(AVERAGE(E378:G378)-1)/4</f>
        <v/>
      </c>
      <c r="Y378">
        <f>(AVERAGE(H378:J378)-1)/4</f>
        <v/>
      </c>
      <c r="Z378">
        <f>(AVERAGE(K378:M378)-1)/4</f>
        <v/>
      </c>
      <c r="AA378">
        <f>(AVERAGE(N378:P378)-1)/4</f>
        <v/>
      </c>
      <c r="AB378">
        <f>(AVERAGE(Q378:S378)-1)/4</f>
        <v/>
      </c>
      <c r="AC378">
        <f>(AVERAGE(T378:V378)-1)/4</f>
        <v/>
      </c>
      <c r="AD378">
        <f>AVERAGE(W378:AA378)</f>
        <v/>
      </c>
      <c r="AE378">
        <f>MIN(W378:AA378)</f>
        <v/>
      </c>
      <c r="AF378">
        <f>1-alpha*MAX(0,delta-AE378)</f>
        <v/>
      </c>
      <c r="AG378">
        <f>AD378*AF378</f>
        <v/>
      </c>
      <c r="AH378">
        <f>1+COUNTIF(bounds,"&lt;"&amp;ROUND(AD378,12))</f>
        <v/>
      </c>
      <c r="AI378">
        <f>1+COUNTIF(bounds,"&lt;"&amp;ROUND(AG378,12))</f>
        <v/>
      </c>
      <c r="AJ378">
        <f>IF(AF378&lt;1,1,0)</f>
        <v/>
      </c>
      <c r="AK378">
        <f>IF(AH378&lt;&gt;AI378,1,0)</f>
        <v/>
      </c>
      <c r="AL378">
        <f>IF(AND(AI378&gt;=3,AB378&lt;=0.2),1,0)</f>
        <v/>
      </c>
      <c r="AM378">
        <f>AVERAGE(W378:AB378)</f>
        <v/>
      </c>
      <c r="AN378">
        <f>1+COUNTIF(bounds,"&lt;"&amp;ROUND(AM378,12))</f>
        <v/>
      </c>
      <c r="AO378">
        <f>IF(AK378=1,AD378,NA())</f>
        <v/>
      </c>
      <c r="AP378">
        <f>IF(AK378=0,AD378,NA())</f>
        <v/>
      </c>
    </row>
    <row r="379">
      <c r="A379" t="n">
        <v>371</v>
      </c>
      <c r="B379" t="n">
        <v>5</v>
      </c>
      <c r="C379" t="n">
        <v>5</v>
      </c>
      <c r="D379" t="n">
        <v>3</v>
      </c>
      <c r="E379" t="n">
        <v>1</v>
      </c>
      <c r="F379" t="n">
        <v>3</v>
      </c>
      <c r="G379" t="n">
        <v>5</v>
      </c>
      <c r="H379" t="n">
        <v>2</v>
      </c>
      <c r="I379" t="n">
        <v>4</v>
      </c>
      <c r="J379" t="n">
        <v>5</v>
      </c>
      <c r="K379" t="n">
        <v>2</v>
      </c>
      <c r="L379" t="n">
        <v>5</v>
      </c>
      <c r="M379" t="n">
        <v>2</v>
      </c>
      <c r="N379" t="n">
        <v>4</v>
      </c>
      <c r="O379" t="n">
        <v>5</v>
      </c>
      <c r="P379" t="n">
        <v>2</v>
      </c>
      <c r="Q379" t="n">
        <v>5</v>
      </c>
      <c r="R379" t="n">
        <v>3</v>
      </c>
      <c r="S379" t="n">
        <v>1</v>
      </c>
      <c r="T379" t="n">
        <v>2</v>
      </c>
      <c r="U379" t="n">
        <v>2</v>
      </c>
      <c r="V379" t="n">
        <v>4</v>
      </c>
      <c r="W379">
        <f>(AVERAGE(B379:D379)-1)/4</f>
        <v/>
      </c>
      <c r="X379">
        <f>(AVERAGE(E379:G379)-1)/4</f>
        <v/>
      </c>
      <c r="Y379">
        <f>(AVERAGE(H379:J379)-1)/4</f>
        <v/>
      </c>
      <c r="Z379">
        <f>(AVERAGE(K379:M379)-1)/4</f>
        <v/>
      </c>
      <c r="AA379">
        <f>(AVERAGE(N379:P379)-1)/4</f>
        <v/>
      </c>
      <c r="AB379">
        <f>(AVERAGE(Q379:S379)-1)/4</f>
        <v/>
      </c>
      <c r="AC379">
        <f>(AVERAGE(T379:V379)-1)/4</f>
        <v/>
      </c>
      <c r="AD379">
        <f>AVERAGE(W379:AA379)</f>
        <v/>
      </c>
      <c r="AE379">
        <f>MIN(W379:AA379)</f>
        <v/>
      </c>
      <c r="AF379">
        <f>1-alpha*MAX(0,delta-AE379)</f>
        <v/>
      </c>
      <c r="AG379">
        <f>AD379*AF379</f>
        <v/>
      </c>
      <c r="AH379">
        <f>1+COUNTIF(bounds,"&lt;"&amp;ROUND(AD379,12))</f>
        <v/>
      </c>
      <c r="AI379">
        <f>1+COUNTIF(bounds,"&lt;"&amp;ROUND(AG379,12))</f>
        <v/>
      </c>
      <c r="AJ379">
        <f>IF(AF379&lt;1,1,0)</f>
        <v/>
      </c>
      <c r="AK379">
        <f>IF(AH379&lt;&gt;AI379,1,0)</f>
        <v/>
      </c>
      <c r="AL379">
        <f>IF(AND(AI379&gt;=3,AB379&lt;=0.2),1,0)</f>
        <v/>
      </c>
      <c r="AM379">
        <f>AVERAGE(W379:AB379)</f>
        <v/>
      </c>
      <c r="AN379">
        <f>1+COUNTIF(bounds,"&lt;"&amp;ROUND(AM379,12))</f>
        <v/>
      </c>
      <c r="AO379">
        <f>IF(AK379=1,AD379,NA())</f>
        <v/>
      </c>
      <c r="AP379">
        <f>IF(AK379=0,AD379,NA())</f>
        <v/>
      </c>
    </row>
    <row r="380">
      <c r="A380" t="n">
        <v>372</v>
      </c>
      <c r="B380" t="n">
        <v>4</v>
      </c>
      <c r="C380" t="n">
        <v>4</v>
      </c>
      <c r="D380" t="n">
        <v>2</v>
      </c>
      <c r="E380" t="n">
        <v>4</v>
      </c>
      <c r="F380" t="n">
        <v>5</v>
      </c>
      <c r="G380" t="n">
        <v>4</v>
      </c>
      <c r="H380" t="n">
        <v>1</v>
      </c>
      <c r="I380" t="n">
        <v>4</v>
      </c>
      <c r="J380" t="n">
        <v>4</v>
      </c>
      <c r="K380" t="n">
        <v>3</v>
      </c>
      <c r="L380" t="n">
        <v>2</v>
      </c>
      <c r="M380" t="n">
        <v>4</v>
      </c>
      <c r="N380" t="n">
        <v>4</v>
      </c>
      <c r="O380" t="n">
        <v>4</v>
      </c>
      <c r="P380" t="n">
        <v>5</v>
      </c>
      <c r="Q380" t="n">
        <v>4</v>
      </c>
      <c r="R380" t="n">
        <v>3</v>
      </c>
      <c r="S380" t="n">
        <v>5</v>
      </c>
      <c r="T380" t="n">
        <v>4</v>
      </c>
      <c r="U380" t="n">
        <v>4</v>
      </c>
      <c r="V380" t="n">
        <v>2</v>
      </c>
      <c r="W380">
        <f>(AVERAGE(B380:D380)-1)/4</f>
        <v/>
      </c>
      <c r="X380">
        <f>(AVERAGE(E380:G380)-1)/4</f>
        <v/>
      </c>
      <c r="Y380">
        <f>(AVERAGE(H380:J380)-1)/4</f>
        <v/>
      </c>
      <c r="Z380">
        <f>(AVERAGE(K380:M380)-1)/4</f>
        <v/>
      </c>
      <c r="AA380">
        <f>(AVERAGE(N380:P380)-1)/4</f>
        <v/>
      </c>
      <c r="AB380">
        <f>(AVERAGE(Q380:S380)-1)/4</f>
        <v/>
      </c>
      <c r="AC380">
        <f>(AVERAGE(T380:V380)-1)/4</f>
        <v/>
      </c>
      <c r="AD380">
        <f>AVERAGE(W380:AA380)</f>
        <v/>
      </c>
      <c r="AE380">
        <f>MIN(W380:AA380)</f>
        <v/>
      </c>
      <c r="AF380">
        <f>1-alpha*MAX(0,delta-AE380)</f>
        <v/>
      </c>
      <c r="AG380">
        <f>AD380*AF380</f>
        <v/>
      </c>
      <c r="AH380">
        <f>1+COUNTIF(bounds,"&lt;"&amp;ROUND(AD380,12))</f>
        <v/>
      </c>
      <c r="AI380">
        <f>1+COUNTIF(bounds,"&lt;"&amp;ROUND(AG380,12))</f>
        <v/>
      </c>
      <c r="AJ380">
        <f>IF(AF380&lt;1,1,0)</f>
        <v/>
      </c>
      <c r="AK380">
        <f>IF(AH380&lt;&gt;AI380,1,0)</f>
        <v/>
      </c>
      <c r="AL380">
        <f>IF(AND(AI380&gt;=3,AB380&lt;=0.2),1,0)</f>
        <v/>
      </c>
      <c r="AM380">
        <f>AVERAGE(W380:AB380)</f>
        <v/>
      </c>
      <c r="AN380">
        <f>1+COUNTIF(bounds,"&lt;"&amp;ROUND(AM380,12))</f>
        <v/>
      </c>
      <c r="AO380">
        <f>IF(AK380=1,AD380,NA())</f>
        <v/>
      </c>
      <c r="AP380">
        <f>IF(AK380=0,AD380,NA())</f>
        <v/>
      </c>
    </row>
    <row r="381">
      <c r="A381" t="n">
        <v>373</v>
      </c>
      <c r="B381" t="n">
        <v>1</v>
      </c>
      <c r="C381" t="n">
        <v>3</v>
      </c>
      <c r="D381" t="n">
        <v>3</v>
      </c>
      <c r="E381" t="n">
        <v>3</v>
      </c>
      <c r="F381" t="n">
        <v>1</v>
      </c>
      <c r="G381" t="n">
        <v>2</v>
      </c>
      <c r="H381" t="n">
        <v>1</v>
      </c>
      <c r="I381" t="n">
        <v>4</v>
      </c>
      <c r="J381" t="n">
        <v>3</v>
      </c>
      <c r="K381" t="n">
        <v>1</v>
      </c>
      <c r="L381" t="n">
        <v>2</v>
      </c>
      <c r="M381" t="n">
        <v>5</v>
      </c>
      <c r="N381" t="n">
        <v>1</v>
      </c>
      <c r="O381" t="n">
        <v>3</v>
      </c>
      <c r="P381" t="n">
        <v>1</v>
      </c>
      <c r="Q381" t="n">
        <v>3</v>
      </c>
      <c r="R381" t="n">
        <v>4</v>
      </c>
      <c r="S381" t="n">
        <v>3</v>
      </c>
      <c r="T381" t="n">
        <v>3</v>
      </c>
      <c r="U381" t="n">
        <v>1</v>
      </c>
      <c r="V381" t="n">
        <v>5</v>
      </c>
      <c r="W381">
        <f>(AVERAGE(B381:D381)-1)/4</f>
        <v/>
      </c>
      <c r="X381">
        <f>(AVERAGE(E381:G381)-1)/4</f>
        <v/>
      </c>
      <c r="Y381">
        <f>(AVERAGE(H381:J381)-1)/4</f>
        <v/>
      </c>
      <c r="Z381">
        <f>(AVERAGE(K381:M381)-1)/4</f>
        <v/>
      </c>
      <c r="AA381">
        <f>(AVERAGE(N381:P381)-1)/4</f>
        <v/>
      </c>
      <c r="AB381">
        <f>(AVERAGE(Q381:S381)-1)/4</f>
        <v/>
      </c>
      <c r="AC381">
        <f>(AVERAGE(T381:V381)-1)/4</f>
        <v/>
      </c>
      <c r="AD381">
        <f>AVERAGE(W381:AA381)</f>
        <v/>
      </c>
      <c r="AE381">
        <f>MIN(W381:AA381)</f>
        <v/>
      </c>
      <c r="AF381">
        <f>1-alpha*MAX(0,delta-AE381)</f>
        <v/>
      </c>
      <c r="AG381">
        <f>AD381*AF381</f>
        <v/>
      </c>
      <c r="AH381">
        <f>1+COUNTIF(bounds,"&lt;"&amp;ROUND(AD381,12))</f>
        <v/>
      </c>
      <c r="AI381">
        <f>1+COUNTIF(bounds,"&lt;"&amp;ROUND(AG381,12))</f>
        <v/>
      </c>
      <c r="AJ381">
        <f>IF(AF381&lt;1,1,0)</f>
        <v/>
      </c>
      <c r="AK381">
        <f>IF(AH381&lt;&gt;AI381,1,0)</f>
        <v/>
      </c>
      <c r="AL381">
        <f>IF(AND(AI381&gt;=3,AB381&lt;=0.2),1,0)</f>
        <v/>
      </c>
      <c r="AM381">
        <f>AVERAGE(W381:AB381)</f>
        <v/>
      </c>
      <c r="AN381">
        <f>1+COUNTIF(bounds,"&lt;"&amp;ROUND(AM381,12))</f>
        <v/>
      </c>
      <c r="AO381">
        <f>IF(AK381=1,AD381,NA())</f>
        <v/>
      </c>
      <c r="AP381">
        <f>IF(AK381=0,AD381,NA())</f>
        <v/>
      </c>
    </row>
    <row r="382">
      <c r="A382" t="n">
        <v>374</v>
      </c>
      <c r="B382" t="n">
        <v>4</v>
      </c>
      <c r="C382" t="n">
        <v>4</v>
      </c>
      <c r="D382" t="n">
        <v>1</v>
      </c>
      <c r="E382" t="n">
        <v>5</v>
      </c>
      <c r="F382" t="n">
        <v>1</v>
      </c>
      <c r="G382" t="n">
        <v>2</v>
      </c>
      <c r="H382" t="n">
        <v>3</v>
      </c>
      <c r="I382" t="n">
        <v>1</v>
      </c>
      <c r="J382" t="n">
        <v>2</v>
      </c>
      <c r="K382" t="n">
        <v>2</v>
      </c>
      <c r="L382" t="n">
        <v>2</v>
      </c>
      <c r="M382" t="n">
        <v>3</v>
      </c>
      <c r="N382" t="n">
        <v>2</v>
      </c>
      <c r="O382" t="n">
        <v>3</v>
      </c>
      <c r="P382" t="n">
        <v>3</v>
      </c>
      <c r="Q382" t="n">
        <v>1</v>
      </c>
      <c r="R382" t="n">
        <v>5</v>
      </c>
      <c r="S382" t="n">
        <v>4</v>
      </c>
      <c r="T382" t="n">
        <v>5</v>
      </c>
      <c r="U382" t="n">
        <v>1</v>
      </c>
      <c r="V382" t="n">
        <v>5</v>
      </c>
      <c r="W382">
        <f>(AVERAGE(B382:D382)-1)/4</f>
        <v/>
      </c>
      <c r="X382">
        <f>(AVERAGE(E382:G382)-1)/4</f>
        <v/>
      </c>
      <c r="Y382">
        <f>(AVERAGE(H382:J382)-1)/4</f>
        <v/>
      </c>
      <c r="Z382">
        <f>(AVERAGE(K382:M382)-1)/4</f>
        <v/>
      </c>
      <c r="AA382">
        <f>(AVERAGE(N382:P382)-1)/4</f>
        <v/>
      </c>
      <c r="AB382">
        <f>(AVERAGE(Q382:S382)-1)/4</f>
        <v/>
      </c>
      <c r="AC382">
        <f>(AVERAGE(T382:V382)-1)/4</f>
        <v/>
      </c>
      <c r="AD382">
        <f>AVERAGE(W382:AA382)</f>
        <v/>
      </c>
      <c r="AE382">
        <f>MIN(W382:AA382)</f>
        <v/>
      </c>
      <c r="AF382">
        <f>1-alpha*MAX(0,delta-AE382)</f>
        <v/>
      </c>
      <c r="AG382">
        <f>AD382*AF382</f>
        <v/>
      </c>
      <c r="AH382">
        <f>1+COUNTIF(bounds,"&lt;"&amp;ROUND(AD382,12))</f>
        <v/>
      </c>
      <c r="AI382">
        <f>1+COUNTIF(bounds,"&lt;"&amp;ROUND(AG382,12))</f>
        <v/>
      </c>
      <c r="AJ382">
        <f>IF(AF382&lt;1,1,0)</f>
        <v/>
      </c>
      <c r="AK382">
        <f>IF(AH382&lt;&gt;AI382,1,0)</f>
        <v/>
      </c>
      <c r="AL382">
        <f>IF(AND(AI382&gt;=3,AB382&lt;=0.2),1,0)</f>
        <v/>
      </c>
      <c r="AM382">
        <f>AVERAGE(W382:AB382)</f>
        <v/>
      </c>
      <c r="AN382">
        <f>1+COUNTIF(bounds,"&lt;"&amp;ROUND(AM382,12))</f>
        <v/>
      </c>
      <c r="AO382">
        <f>IF(AK382=1,AD382,NA())</f>
        <v/>
      </c>
      <c r="AP382">
        <f>IF(AK382=0,AD382,NA())</f>
        <v/>
      </c>
    </row>
    <row r="383">
      <c r="A383" t="n">
        <v>375</v>
      </c>
      <c r="B383" t="n">
        <v>5</v>
      </c>
      <c r="C383" t="n">
        <v>2</v>
      </c>
      <c r="D383" t="n">
        <v>2</v>
      </c>
      <c r="E383" t="n">
        <v>4</v>
      </c>
      <c r="F383" t="n">
        <v>3</v>
      </c>
      <c r="G383" t="n">
        <v>3</v>
      </c>
      <c r="H383" t="n">
        <v>2</v>
      </c>
      <c r="I383" t="n">
        <v>5</v>
      </c>
      <c r="J383" t="n">
        <v>1</v>
      </c>
      <c r="K383" t="n">
        <v>5</v>
      </c>
      <c r="L383" t="n">
        <v>1</v>
      </c>
      <c r="M383" t="n">
        <v>4</v>
      </c>
      <c r="N383" t="n">
        <v>1</v>
      </c>
      <c r="O383" t="n">
        <v>1</v>
      </c>
      <c r="P383" t="n">
        <v>4</v>
      </c>
      <c r="Q383" t="n">
        <v>2</v>
      </c>
      <c r="R383" t="n">
        <v>3</v>
      </c>
      <c r="S383" t="n">
        <v>2</v>
      </c>
      <c r="T383" t="n">
        <v>1</v>
      </c>
      <c r="U383" t="n">
        <v>3</v>
      </c>
      <c r="V383" t="n">
        <v>1</v>
      </c>
      <c r="W383">
        <f>(AVERAGE(B383:D383)-1)/4</f>
        <v/>
      </c>
      <c r="X383">
        <f>(AVERAGE(E383:G383)-1)/4</f>
        <v/>
      </c>
      <c r="Y383">
        <f>(AVERAGE(H383:J383)-1)/4</f>
        <v/>
      </c>
      <c r="Z383">
        <f>(AVERAGE(K383:M383)-1)/4</f>
        <v/>
      </c>
      <c r="AA383">
        <f>(AVERAGE(N383:P383)-1)/4</f>
        <v/>
      </c>
      <c r="AB383">
        <f>(AVERAGE(Q383:S383)-1)/4</f>
        <v/>
      </c>
      <c r="AC383">
        <f>(AVERAGE(T383:V383)-1)/4</f>
        <v/>
      </c>
      <c r="AD383">
        <f>AVERAGE(W383:AA383)</f>
        <v/>
      </c>
      <c r="AE383">
        <f>MIN(W383:AA383)</f>
        <v/>
      </c>
      <c r="AF383">
        <f>1-alpha*MAX(0,delta-AE383)</f>
        <v/>
      </c>
      <c r="AG383">
        <f>AD383*AF383</f>
        <v/>
      </c>
      <c r="AH383">
        <f>1+COUNTIF(bounds,"&lt;"&amp;ROUND(AD383,12))</f>
        <v/>
      </c>
      <c r="AI383">
        <f>1+COUNTIF(bounds,"&lt;"&amp;ROUND(AG383,12))</f>
        <v/>
      </c>
      <c r="AJ383">
        <f>IF(AF383&lt;1,1,0)</f>
        <v/>
      </c>
      <c r="AK383">
        <f>IF(AH383&lt;&gt;AI383,1,0)</f>
        <v/>
      </c>
      <c r="AL383">
        <f>IF(AND(AI383&gt;=3,AB383&lt;=0.2),1,0)</f>
        <v/>
      </c>
      <c r="AM383">
        <f>AVERAGE(W383:AB383)</f>
        <v/>
      </c>
      <c r="AN383">
        <f>1+COUNTIF(bounds,"&lt;"&amp;ROUND(AM383,12))</f>
        <v/>
      </c>
      <c r="AO383">
        <f>IF(AK383=1,AD383,NA())</f>
        <v/>
      </c>
      <c r="AP383">
        <f>IF(AK383=0,AD383,NA())</f>
        <v/>
      </c>
    </row>
    <row r="384">
      <c r="A384" t="n">
        <v>376</v>
      </c>
      <c r="B384" t="n">
        <v>1</v>
      </c>
      <c r="C384" t="n">
        <v>3</v>
      </c>
      <c r="D384" t="n">
        <v>5</v>
      </c>
      <c r="E384" t="n">
        <v>3</v>
      </c>
      <c r="F384" t="n">
        <v>1</v>
      </c>
      <c r="G384" t="n">
        <v>2</v>
      </c>
      <c r="H384" t="n">
        <v>2</v>
      </c>
      <c r="I384" t="n">
        <v>1</v>
      </c>
      <c r="J384" t="n">
        <v>3</v>
      </c>
      <c r="K384" t="n">
        <v>5</v>
      </c>
      <c r="L384" t="n">
        <v>5</v>
      </c>
      <c r="M384" t="n">
        <v>2</v>
      </c>
      <c r="N384" t="n">
        <v>2</v>
      </c>
      <c r="O384" t="n">
        <v>4</v>
      </c>
      <c r="P384" t="n">
        <v>3</v>
      </c>
      <c r="Q384" t="n">
        <v>3</v>
      </c>
      <c r="R384" t="n">
        <v>2</v>
      </c>
      <c r="S384" t="n">
        <v>3</v>
      </c>
      <c r="T384" t="n">
        <v>4</v>
      </c>
      <c r="U384" t="n">
        <v>3</v>
      </c>
      <c r="V384" t="n">
        <v>5</v>
      </c>
      <c r="W384">
        <f>(AVERAGE(B384:D384)-1)/4</f>
        <v/>
      </c>
      <c r="X384">
        <f>(AVERAGE(E384:G384)-1)/4</f>
        <v/>
      </c>
      <c r="Y384">
        <f>(AVERAGE(H384:J384)-1)/4</f>
        <v/>
      </c>
      <c r="Z384">
        <f>(AVERAGE(K384:M384)-1)/4</f>
        <v/>
      </c>
      <c r="AA384">
        <f>(AVERAGE(N384:P384)-1)/4</f>
        <v/>
      </c>
      <c r="AB384">
        <f>(AVERAGE(Q384:S384)-1)/4</f>
        <v/>
      </c>
      <c r="AC384">
        <f>(AVERAGE(T384:V384)-1)/4</f>
        <v/>
      </c>
      <c r="AD384">
        <f>AVERAGE(W384:AA384)</f>
        <v/>
      </c>
      <c r="AE384">
        <f>MIN(W384:AA384)</f>
        <v/>
      </c>
      <c r="AF384">
        <f>1-alpha*MAX(0,delta-AE384)</f>
        <v/>
      </c>
      <c r="AG384">
        <f>AD384*AF384</f>
        <v/>
      </c>
      <c r="AH384">
        <f>1+COUNTIF(bounds,"&lt;"&amp;ROUND(AD384,12))</f>
        <v/>
      </c>
      <c r="AI384">
        <f>1+COUNTIF(bounds,"&lt;"&amp;ROUND(AG384,12))</f>
        <v/>
      </c>
      <c r="AJ384">
        <f>IF(AF384&lt;1,1,0)</f>
        <v/>
      </c>
      <c r="AK384">
        <f>IF(AH384&lt;&gt;AI384,1,0)</f>
        <v/>
      </c>
      <c r="AL384">
        <f>IF(AND(AI384&gt;=3,AB384&lt;=0.2),1,0)</f>
        <v/>
      </c>
      <c r="AM384">
        <f>AVERAGE(W384:AB384)</f>
        <v/>
      </c>
      <c r="AN384">
        <f>1+COUNTIF(bounds,"&lt;"&amp;ROUND(AM384,12))</f>
        <v/>
      </c>
      <c r="AO384">
        <f>IF(AK384=1,AD384,NA())</f>
        <v/>
      </c>
      <c r="AP384">
        <f>IF(AK384=0,AD384,NA())</f>
        <v/>
      </c>
    </row>
    <row r="385">
      <c r="A385" t="n">
        <v>377</v>
      </c>
      <c r="B385" t="n">
        <v>4</v>
      </c>
      <c r="C385" t="n">
        <v>3</v>
      </c>
      <c r="D385" t="n">
        <v>5</v>
      </c>
      <c r="E385" t="n">
        <v>1</v>
      </c>
      <c r="F385" t="n">
        <v>5</v>
      </c>
      <c r="G385" t="n">
        <v>4</v>
      </c>
      <c r="H385" t="n">
        <v>3</v>
      </c>
      <c r="I385" t="n">
        <v>2</v>
      </c>
      <c r="J385" t="n">
        <v>1</v>
      </c>
      <c r="K385" t="n">
        <v>5</v>
      </c>
      <c r="L385" t="n">
        <v>1</v>
      </c>
      <c r="M385" t="n">
        <v>4</v>
      </c>
      <c r="N385" t="n">
        <v>2</v>
      </c>
      <c r="O385" t="n">
        <v>5</v>
      </c>
      <c r="P385" t="n">
        <v>2</v>
      </c>
      <c r="Q385" t="n">
        <v>1</v>
      </c>
      <c r="R385" t="n">
        <v>2</v>
      </c>
      <c r="S385" t="n">
        <v>2</v>
      </c>
      <c r="T385" t="n">
        <v>5</v>
      </c>
      <c r="U385" t="n">
        <v>2</v>
      </c>
      <c r="V385" t="n">
        <v>5</v>
      </c>
      <c r="W385">
        <f>(AVERAGE(B385:D385)-1)/4</f>
        <v/>
      </c>
      <c r="X385">
        <f>(AVERAGE(E385:G385)-1)/4</f>
        <v/>
      </c>
      <c r="Y385">
        <f>(AVERAGE(H385:J385)-1)/4</f>
        <v/>
      </c>
      <c r="Z385">
        <f>(AVERAGE(K385:M385)-1)/4</f>
        <v/>
      </c>
      <c r="AA385">
        <f>(AVERAGE(N385:P385)-1)/4</f>
        <v/>
      </c>
      <c r="AB385">
        <f>(AVERAGE(Q385:S385)-1)/4</f>
        <v/>
      </c>
      <c r="AC385">
        <f>(AVERAGE(T385:V385)-1)/4</f>
        <v/>
      </c>
      <c r="AD385">
        <f>AVERAGE(W385:AA385)</f>
        <v/>
      </c>
      <c r="AE385">
        <f>MIN(W385:AA385)</f>
        <v/>
      </c>
      <c r="AF385">
        <f>1-alpha*MAX(0,delta-AE385)</f>
        <v/>
      </c>
      <c r="AG385">
        <f>AD385*AF385</f>
        <v/>
      </c>
      <c r="AH385">
        <f>1+COUNTIF(bounds,"&lt;"&amp;ROUND(AD385,12))</f>
        <v/>
      </c>
      <c r="AI385">
        <f>1+COUNTIF(bounds,"&lt;"&amp;ROUND(AG385,12))</f>
        <v/>
      </c>
      <c r="AJ385">
        <f>IF(AF385&lt;1,1,0)</f>
        <v/>
      </c>
      <c r="AK385">
        <f>IF(AH385&lt;&gt;AI385,1,0)</f>
        <v/>
      </c>
      <c r="AL385">
        <f>IF(AND(AI385&gt;=3,AB385&lt;=0.2),1,0)</f>
        <v/>
      </c>
      <c r="AM385">
        <f>AVERAGE(W385:AB385)</f>
        <v/>
      </c>
      <c r="AN385">
        <f>1+COUNTIF(bounds,"&lt;"&amp;ROUND(AM385,12))</f>
        <v/>
      </c>
      <c r="AO385">
        <f>IF(AK385=1,AD385,NA())</f>
        <v/>
      </c>
      <c r="AP385">
        <f>IF(AK385=0,AD385,NA())</f>
        <v/>
      </c>
    </row>
    <row r="386">
      <c r="A386" t="n">
        <v>378</v>
      </c>
      <c r="B386" t="n">
        <v>5</v>
      </c>
      <c r="C386" t="n">
        <v>3</v>
      </c>
      <c r="D386" t="n">
        <v>4</v>
      </c>
      <c r="E386" t="n">
        <v>4</v>
      </c>
      <c r="F386" t="n">
        <v>5</v>
      </c>
      <c r="G386" t="n">
        <v>2</v>
      </c>
      <c r="H386" t="n">
        <v>5</v>
      </c>
      <c r="I386" t="n">
        <v>3</v>
      </c>
      <c r="J386" t="n">
        <v>4</v>
      </c>
      <c r="K386" t="n">
        <v>5</v>
      </c>
      <c r="L386" t="n">
        <v>4</v>
      </c>
      <c r="M386" t="n">
        <v>3</v>
      </c>
      <c r="N386" t="n">
        <v>5</v>
      </c>
      <c r="O386" t="n">
        <v>3</v>
      </c>
      <c r="P386" t="n">
        <v>2</v>
      </c>
      <c r="Q386" t="n">
        <v>1</v>
      </c>
      <c r="R386" t="n">
        <v>4</v>
      </c>
      <c r="S386" t="n">
        <v>2</v>
      </c>
      <c r="T386" t="n">
        <v>3</v>
      </c>
      <c r="U386" t="n">
        <v>1</v>
      </c>
      <c r="V386" t="n">
        <v>3</v>
      </c>
      <c r="W386">
        <f>(AVERAGE(B386:D386)-1)/4</f>
        <v/>
      </c>
      <c r="X386">
        <f>(AVERAGE(E386:G386)-1)/4</f>
        <v/>
      </c>
      <c r="Y386">
        <f>(AVERAGE(H386:J386)-1)/4</f>
        <v/>
      </c>
      <c r="Z386">
        <f>(AVERAGE(K386:M386)-1)/4</f>
        <v/>
      </c>
      <c r="AA386">
        <f>(AVERAGE(N386:P386)-1)/4</f>
        <v/>
      </c>
      <c r="AB386">
        <f>(AVERAGE(Q386:S386)-1)/4</f>
        <v/>
      </c>
      <c r="AC386">
        <f>(AVERAGE(T386:V386)-1)/4</f>
        <v/>
      </c>
      <c r="AD386">
        <f>AVERAGE(W386:AA386)</f>
        <v/>
      </c>
      <c r="AE386">
        <f>MIN(W386:AA386)</f>
        <v/>
      </c>
      <c r="AF386">
        <f>1-alpha*MAX(0,delta-AE386)</f>
        <v/>
      </c>
      <c r="AG386">
        <f>AD386*AF386</f>
        <v/>
      </c>
      <c r="AH386">
        <f>1+COUNTIF(bounds,"&lt;"&amp;ROUND(AD386,12))</f>
        <v/>
      </c>
      <c r="AI386">
        <f>1+COUNTIF(bounds,"&lt;"&amp;ROUND(AG386,12))</f>
        <v/>
      </c>
      <c r="AJ386">
        <f>IF(AF386&lt;1,1,0)</f>
        <v/>
      </c>
      <c r="AK386">
        <f>IF(AH386&lt;&gt;AI386,1,0)</f>
        <v/>
      </c>
      <c r="AL386">
        <f>IF(AND(AI386&gt;=3,AB386&lt;=0.2),1,0)</f>
        <v/>
      </c>
      <c r="AM386">
        <f>AVERAGE(W386:AB386)</f>
        <v/>
      </c>
      <c r="AN386">
        <f>1+COUNTIF(bounds,"&lt;"&amp;ROUND(AM386,12))</f>
        <v/>
      </c>
      <c r="AO386">
        <f>IF(AK386=1,AD386,NA())</f>
        <v/>
      </c>
      <c r="AP386">
        <f>IF(AK386=0,AD386,NA())</f>
        <v/>
      </c>
    </row>
    <row r="387">
      <c r="A387" t="n">
        <v>379</v>
      </c>
      <c r="B387" t="n">
        <v>5</v>
      </c>
      <c r="C387" t="n">
        <v>1</v>
      </c>
      <c r="D387" t="n">
        <v>3</v>
      </c>
      <c r="E387" t="n">
        <v>1</v>
      </c>
      <c r="F387" t="n">
        <v>3</v>
      </c>
      <c r="G387" t="n">
        <v>1</v>
      </c>
      <c r="H387" t="n">
        <v>4</v>
      </c>
      <c r="I387" t="n">
        <v>2</v>
      </c>
      <c r="J387" t="n">
        <v>4</v>
      </c>
      <c r="K387" t="n">
        <v>1</v>
      </c>
      <c r="L387" t="n">
        <v>5</v>
      </c>
      <c r="M387" t="n">
        <v>5</v>
      </c>
      <c r="N387" t="n">
        <v>2</v>
      </c>
      <c r="O387" t="n">
        <v>3</v>
      </c>
      <c r="P387" t="n">
        <v>1</v>
      </c>
      <c r="Q387" t="n">
        <v>4</v>
      </c>
      <c r="R387" t="n">
        <v>4</v>
      </c>
      <c r="S387" t="n">
        <v>3</v>
      </c>
      <c r="T387" t="n">
        <v>1</v>
      </c>
      <c r="U387" t="n">
        <v>3</v>
      </c>
      <c r="V387" t="n">
        <v>4</v>
      </c>
      <c r="W387">
        <f>(AVERAGE(B387:D387)-1)/4</f>
        <v/>
      </c>
      <c r="X387">
        <f>(AVERAGE(E387:G387)-1)/4</f>
        <v/>
      </c>
      <c r="Y387">
        <f>(AVERAGE(H387:J387)-1)/4</f>
        <v/>
      </c>
      <c r="Z387">
        <f>(AVERAGE(K387:M387)-1)/4</f>
        <v/>
      </c>
      <c r="AA387">
        <f>(AVERAGE(N387:P387)-1)/4</f>
        <v/>
      </c>
      <c r="AB387">
        <f>(AVERAGE(Q387:S387)-1)/4</f>
        <v/>
      </c>
      <c r="AC387">
        <f>(AVERAGE(T387:V387)-1)/4</f>
        <v/>
      </c>
      <c r="AD387">
        <f>AVERAGE(W387:AA387)</f>
        <v/>
      </c>
      <c r="AE387">
        <f>MIN(W387:AA387)</f>
        <v/>
      </c>
      <c r="AF387">
        <f>1-alpha*MAX(0,delta-AE387)</f>
        <v/>
      </c>
      <c r="AG387">
        <f>AD387*AF387</f>
        <v/>
      </c>
      <c r="AH387">
        <f>1+COUNTIF(bounds,"&lt;"&amp;ROUND(AD387,12))</f>
        <v/>
      </c>
      <c r="AI387">
        <f>1+COUNTIF(bounds,"&lt;"&amp;ROUND(AG387,12))</f>
        <v/>
      </c>
      <c r="AJ387">
        <f>IF(AF387&lt;1,1,0)</f>
        <v/>
      </c>
      <c r="AK387">
        <f>IF(AH387&lt;&gt;AI387,1,0)</f>
        <v/>
      </c>
      <c r="AL387">
        <f>IF(AND(AI387&gt;=3,AB387&lt;=0.2),1,0)</f>
        <v/>
      </c>
      <c r="AM387">
        <f>AVERAGE(W387:AB387)</f>
        <v/>
      </c>
      <c r="AN387">
        <f>1+COUNTIF(bounds,"&lt;"&amp;ROUND(AM387,12))</f>
        <v/>
      </c>
      <c r="AO387">
        <f>IF(AK387=1,AD387,NA())</f>
        <v/>
      </c>
      <c r="AP387">
        <f>IF(AK387=0,AD387,NA())</f>
        <v/>
      </c>
    </row>
    <row r="388">
      <c r="A388" t="n">
        <v>380</v>
      </c>
      <c r="B388" t="n">
        <v>4</v>
      </c>
      <c r="C388" t="n">
        <v>3</v>
      </c>
      <c r="D388" t="n">
        <v>2</v>
      </c>
      <c r="E388" t="n">
        <v>4</v>
      </c>
      <c r="F388" t="n">
        <v>2</v>
      </c>
      <c r="G388" t="n">
        <v>2</v>
      </c>
      <c r="H388" t="n">
        <v>2</v>
      </c>
      <c r="I388" t="n">
        <v>1</v>
      </c>
      <c r="J388" t="n">
        <v>3</v>
      </c>
      <c r="K388" t="n">
        <v>4</v>
      </c>
      <c r="L388" t="n">
        <v>5</v>
      </c>
      <c r="M388" t="n">
        <v>5</v>
      </c>
      <c r="N388" t="n">
        <v>1</v>
      </c>
      <c r="O388" t="n">
        <v>5</v>
      </c>
      <c r="P388" t="n">
        <v>3</v>
      </c>
      <c r="Q388" t="n">
        <v>3</v>
      </c>
      <c r="R388" t="n">
        <v>1</v>
      </c>
      <c r="S388" t="n">
        <v>3</v>
      </c>
      <c r="T388" t="n">
        <v>3</v>
      </c>
      <c r="U388" t="n">
        <v>3</v>
      </c>
      <c r="V388" t="n">
        <v>1</v>
      </c>
      <c r="W388">
        <f>(AVERAGE(B388:D388)-1)/4</f>
        <v/>
      </c>
      <c r="X388">
        <f>(AVERAGE(E388:G388)-1)/4</f>
        <v/>
      </c>
      <c r="Y388">
        <f>(AVERAGE(H388:J388)-1)/4</f>
        <v/>
      </c>
      <c r="Z388">
        <f>(AVERAGE(K388:M388)-1)/4</f>
        <v/>
      </c>
      <c r="AA388">
        <f>(AVERAGE(N388:P388)-1)/4</f>
        <v/>
      </c>
      <c r="AB388">
        <f>(AVERAGE(Q388:S388)-1)/4</f>
        <v/>
      </c>
      <c r="AC388">
        <f>(AVERAGE(T388:V388)-1)/4</f>
        <v/>
      </c>
      <c r="AD388">
        <f>AVERAGE(W388:AA388)</f>
        <v/>
      </c>
      <c r="AE388">
        <f>MIN(W388:AA388)</f>
        <v/>
      </c>
      <c r="AF388">
        <f>1-alpha*MAX(0,delta-AE388)</f>
        <v/>
      </c>
      <c r="AG388">
        <f>AD388*AF388</f>
        <v/>
      </c>
      <c r="AH388">
        <f>1+COUNTIF(bounds,"&lt;"&amp;ROUND(AD388,12))</f>
        <v/>
      </c>
      <c r="AI388">
        <f>1+COUNTIF(bounds,"&lt;"&amp;ROUND(AG388,12))</f>
        <v/>
      </c>
      <c r="AJ388">
        <f>IF(AF388&lt;1,1,0)</f>
        <v/>
      </c>
      <c r="AK388">
        <f>IF(AH388&lt;&gt;AI388,1,0)</f>
        <v/>
      </c>
      <c r="AL388">
        <f>IF(AND(AI388&gt;=3,AB388&lt;=0.2),1,0)</f>
        <v/>
      </c>
      <c r="AM388">
        <f>AVERAGE(W388:AB388)</f>
        <v/>
      </c>
      <c r="AN388">
        <f>1+COUNTIF(bounds,"&lt;"&amp;ROUND(AM388,12))</f>
        <v/>
      </c>
      <c r="AO388">
        <f>IF(AK388=1,AD388,NA())</f>
        <v/>
      </c>
      <c r="AP388">
        <f>IF(AK388=0,AD388,NA())</f>
        <v/>
      </c>
    </row>
    <row r="389">
      <c r="A389" t="n">
        <v>381</v>
      </c>
      <c r="B389" t="n">
        <v>2</v>
      </c>
      <c r="C389" t="n">
        <v>5</v>
      </c>
      <c r="D389" t="n">
        <v>5</v>
      </c>
      <c r="E389" t="n">
        <v>3</v>
      </c>
      <c r="F389" t="n">
        <v>3</v>
      </c>
      <c r="G389" t="n">
        <v>1</v>
      </c>
      <c r="H389" t="n">
        <v>5</v>
      </c>
      <c r="I389" t="n">
        <v>4</v>
      </c>
      <c r="J389" t="n">
        <v>2</v>
      </c>
      <c r="K389" t="n">
        <v>1</v>
      </c>
      <c r="L389" t="n">
        <v>1</v>
      </c>
      <c r="M389" t="n">
        <v>5</v>
      </c>
      <c r="N389" t="n">
        <v>3</v>
      </c>
      <c r="O389" t="n">
        <v>2</v>
      </c>
      <c r="P389" t="n">
        <v>2</v>
      </c>
      <c r="Q389" t="n">
        <v>1</v>
      </c>
      <c r="R389" t="n">
        <v>5</v>
      </c>
      <c r="S389" t="n">
        <v>3</v>
      </c>
      <c r="T389" t="n">
        <v>3</v>
      </c>
      <c r="U389" t="n">
        <v>1</v>
      </c>
      <c r="V389" t="n">
        <v>2</v>
      </c>
      <c r="W389">
        <f>(AVERAGE(B389:D389)-1)/4</f>
        <v/>
      </c>
      <c r="X389">
        <f>(AVERAGE(E389:G389)-1)/4</f>
        <v/>
      </c>
      <c r="Y389">
        <f>(AVERAGE(H389:J389)-1)/4</f>
        <v/>
      </c>
      <c r="Z389">
        <f>(AVERAGE(K389:M389)-1)/4</f>
        <v/>
      </c>
      <c r="AA389">
        <f>(AVERAGE(N389:P389)-1)/4</f>
        <v/>
      </c>
      <c r="AB389">
        <f>(AVERAGE(Q389:S389)-1)/4</f>
        <v/>
      </c>
      <c r="AC389">
        <f>(AVERAGE(T389:V389)-1)/4</f>
        <v/>
      </c>
      <c r="AD389">
        <f>AVERAGE(W389:AA389)</f>
        <v/>
      </c>
      <c r="AE389">
        <f>MIN(W389:AA389)</f>
        <v/>
      </c>
      <c r="AF389">
        <f>1-alpha*MAX(0,delta-AE389)</f>
        <v/>
      </c>
      <c r="AG389">
        <f>AD389*AF389</f>
        <v/>
      </c>
      <c r="AH389">
        <f>1+COUNTIF(bounds,"&lt;"&amp;ROUND(AD389,12))</f>
        <v/>
      </c>
      <c r="AI389">
        <f>1+COUNTIF(bounds,"&lt;"&amp;ROUND(AG389,12))</f>
        <v/>
      </c>
      <c r="AJ389">
        <f>IF(AF389&lt;1,1,0)</f>
        <v/>
      </c>
      <c r="AK389">
        <f>IF(AH389&lt;&gt;AI389,1,0)</f>
        <v/>
      </c>
      <c r="AL389">
        <f>IF(AND(AI389&gt;=3,AB389&lt;=0.2),1,0)</f>
        <v/>
      </c>
      <c r="AM389">
        <f>AVERAGE(W389:AB389)</f>
        <v/>
      </c>
      <c r="AN389">
        <f>1+COUNTIF(bounds,"&lt;"&amp;ROUND(AM389,12))</f>
        <v/>
      </c>
      <c r="AO389">
        <f>IF(AK389=1,AD389,NA())</f>
        <v/>
      </c>
      <c r="AP389">
        <f>IF(AK389=0,AD389,NA())</f>
        <v/>
      </c>
    </row>
    <row r="390">
      <c r="A390" t="n">
        <v>382</v>
      </c>
      <c r="B390" t="n">
        <v>1</v>
      </c>
      <c r="C390" t="n">
        <v>4</v>
      </c>
      <c r="D390" t="n">
        <v>4</v>
      </c>
      <c r="E390" t="n">
        <v>2</v>
      </c>
      <c r="F390" t="n">
        <v>2</v>
      </c>
      <c r="G390" t="n">
        <v>1</v>
      </c>
      <c r="H390" t="n">
        <v>1</v>
      </c>
      <c r="I390" t="n">
        <v>2</v>
      </c>
      <c r="J390" t="n">
        <v>1</v>
      </c>
      <c r="K390" t="n">
        <v>3</v>
      </c>
      <c r="L390" t="n">
        <v>4</v>
      </c>
      <c r="M390" t="n">
        <v>4</v>
      </c>
      <c r="N390" t="n">
        <v>1</v>
      </c>
      <c r="O390" t="n">
        <v>1</v>
      </c>
      <c r="P390" t="n">
        <v>3</v>
      </c>
      <c r="Q390" t="n">
        <v>4</v>
      </c>
      <c r="R390" t="n">
        <v>4</v>
      </c>
      <c r="S390" t="n">
        <v>2</v>
      </c>
      <c r="T390" t="n">
        <v>1</v>
      </c>
      <c r="U390" t="n">
        <v>2</v>
      </c>
      <c r="V390" t="n">
        <v>2</v>
      </c>
      <c r="W390">
        <f>(AVERAGE(B390:D390)-1)/4</f>
        <v/>
      </c>
      <c r="X390">
        <f>(AVERAGE(E390:G390)-1)/4</f>
        <v/>
      </c>
      <c r="Y390">
        <f>(AVERAGE(H390:J390)-1)/4</f>
        <v/>
      </c>
      <c r="Z390">
        <f>(AVERAGE(K390:M390)-1)/4</f>
        <v/>
      </c>
      <c r="AA390">
        <f>(AVERAGE(N390:P390)-1)/4</f>
        <v/>
      </c>
      <c r="AB390">
        <f>(AVERAGE(Q390:S390)-1)/4</f>
        <v/>
      </c>
      <c r="AC390">
        <f>(AVERAGE(T390:V390)-1)/4</f>
        <v/>
      </c>
      <c r="AD390">
        <f>AVERAGE(W390:AA390)</f>
        <v/>
      </c>
      <c r="AE390">
        <f>MIN(W390:AA390)</f>
        <v/>
      </c>
      <c r="AF390">
        <f>1-alpha*MAX(0,delta-AE390)</f>
        <v/>
      </c>
      <c r="AG390">
        <f>AD390*AF390</f>
        <v/>
      </c>
      <c r="AH390">
        <f>1+COUNTIF(bounds,"&lt;"&amp;ROUND(AD390,12))</f>
        <v/>
      </c>
      <c r="AI390">
        <f>1+COUNTIF(bounds,"&lt;"&amp;ROUND(AG390,12))</f>
        <v/>
      </c>
      <c r="AJ390">
        <f>IF(AF390&lt;1,1,0)</f>
        <v/>
      </c>
      <c r="AK390">
        <f>IF(AH390&lt;&gt;AI390,1,0)</f>
        <v/>
      </c>
      <c r="AL390">
        <f>IF(AND(AI390&gt;=3,AB390&lt;=0.2),1,0)</f>
        <v/>
      </c>
      <c r="AM390">
        <f>AVERAGE(W390:AB390)</f>
        <v/>
      </c>
      <c r="AN390">
        <f>1+COUNTIF(bounds,"&lt;"&amp;ROUND(AM390,12))</f>
        <v/>
      </c>
      <c r="AO390">
        <f>IF(AK390=1,AD390,NA())</f>
        <v/>
      </c>
      <c r="AP390">
        <f>IF(AK390=0,AD390,NA())</f>
        <v/>
      </c>
    </row>
    <row r="391">
      <c r="A391" t="n">
        <v>383</v>
      </c>
      <c r="B391" t="n">
        <v>3</v>
      </c>
      <c r="C391" t="n">
        <v>2</v>
      </c>
      <c r="D391" t="n">
        <v>2</v>
      </c>
      <c r="E391" t="n">
        <v>2</v>
      </c>
      <c r="F391" t="n">
        <v>3</v>
      </c>
      <c r="G391" t="n">
        <v>3</v>
      </c>
      <c r="H391" t="n">
        <v>3</v>
      </c>
      <c r="I391" t="n">
        <v>1</v>
      </c>
      <c r="J391" t="n">
        <v>3</v>
      </c>
      <c r="K391" t="n">
        <v>4</v>
      </c>
      <c r="L391" t="n">
        <v>5</v>
      </c>
      <c r="M391" t="n">
        <v>2</v>
      </c>
      <c r="N391" t="n">
        <v>2</v>
      </c>
      <c r="O391" t="n">
        <v>2</v>
      </c>
      <c r="P391" t="n">
        <v>2</v>
      </c>
      <c r="Q391" t="n">
        <v>1</v>
      </c>
      <c r="R391" t="n">
        <v>4</v>
      </c>
      <c r="S391" t="n">
        <v>4</v>
      </c>
      <c r="T391" t="n">
        <v>5</v>
      </c>
      <c r="U391" t="n">
        <v>1</v>
      </c>
      <c r="V391" t="n">
        <v>4</v>
      </c>
      <c r="W391">
        <f>(AVERAGE(B391:D391)-1)/4</f>
        <v/>
      </c>
      <c r="X391">
        <f>(AVERAGE(E391:G391)-1)/4</f>
        <v/>
      </c>
      <c r="Y391">
        <f>(AVERAGE(H391:J391)-1)/4</f>
        <v/>
      </c>
      <c r="Z391">
        <f>(AVERAGE(K391:M391)-1)/4</f>
        <v/>
      </c>
      <c r="AA391">
        <f>(AVERAGE(N391:P391)-1)/4</f>
        <v/>
      </c>
      <c r="AB391">
        <f>(AVERAGE(Q391:S391)-1)/4</f>
        <v/>
      </c>
      <c r="AC391">
        <f>(AVERAGE(T391:V391)-1)/4</f>
        <v/>
      </c>
      <c r="AD391">
        <f>AVERAGE(W391:AA391)</f>
        <v/>
      </c>
      <c r="AE391">
        <f>MIN(W391:AA391)</f>
        <v/>
      </c>
      <c r="AF391">
        <f>1-alpha*MAX(0,delta-AE391)</f>
        <v/>
      </c>
      <c r="AG391">
        <f>AD391*AF391</f>
        <v/>
      </c>
      <c r="AH391">
        <f>1+COUNTIF(bounds,"&lt;"&amp;ROUND(AD391,12))</f>
        <v/>
      </c>
      <c r="AI391">
        <f>1+COUNTIF(bounds,"&lt;"&amp;ROUND(AG391,12))</f>
        <v/>
      </c>
      <c r="AJ391">
        <f>IF(AF391&lt;1,1,0)</f>
        <v/>
      </c>
      <c r="AK391">
        <f>IF(AH391&lt;&gt;AI391,1,0)</f>
        <v/>
      </c>
      <c r="AL391">
        <f>IF(AND(AI391&gt;=3,AB391&lt;=0.2),1,0)</f>
        <v/>
      </c>
      <c r="AM391">
        <f>AVERAGE(W391:AB391)</f>
        <v/>
      </c>
      <c r="AN391">
        <f>1+COUNTIF(bounds,"&lt;"&amp;ROUND(AM391,12))</f>
        <v/>
      </c>
      <c r="AO391">
        <f>IF(AK391=1,AD391,NA())</f>
        <v/>
      </c>
      <c r="AP391">
        <f>IF(AK391=0,AD391,NA())</f>
        <v/>
      </c>
    </row>
    <row r="392">
      <c r="A392" t="n">
        <v>384</v>
      </c>
      <c r="B392" t="n">
        <v>4</v>
      </c>
      <c r="C392" t="n">
        <v>3</v>
      </c>
      <c r="D392" t="n">
        <v>4</v>
      </c>
      <c r="E392" t="n">
        <v>3</v>
      </c>
      <c r="F392" t="n">
        <v>3</v>
      </c>
      <c r="G392" t="n">
        <v>5</v>
      </c>
      <c r="H392" t="n">
        <v>4</v>
      </c>
      <c r="I392" t="n">
        <v>2</v>
      </c>
      <c r="J392" t="n">
        <v>3</v>
      </c>
      <c r="K392" t="n">
        <v>1</v>
      </c>
      <c r="L392" t="n">
        <v>5</v>
      </c>
      <c r="M392" t="n">
        <v>2</v>
      </c>
      <c r="N392" t="n">
        <v>2</v>
      </c>
      <c r="O392" t="n">
        <v>2</v>
      </c>
      <c r="P392" t="n">
        <v>4</v>
      </c>
      <c r="Q392" t="n">
        <v>4</v>
      </c>
      <c r="R392" t="n">
        <v>3</v>
      </c>
      <c r="S392" t="n">
        <v>2</v>
      </c>
      <c r="T392" t="n">
        <v>1</v>
      </c>
      <c r="U392" t="n">
        <v>1</v>
      </c>
      <c r="V392" t="n">
        <v>3</v>
      </c>
      <c r="W392">
        <f>(AVERAGE(B392:D392)-1)/4</f>
        <v/>
      </c>
      <c r="X392">
        <f>(AVERAGE(E392:G392)-1)/4</f>
        <v/>
      </c>
      <c r="Y392">
        <f>(AVERAGE(H392:J392)-1)/4</f>
        <v/>
      </c>
      <c r="Z392">
        <f>(AVERAGE(K392:M392)-1)/4</f>
        <v/>
      </c>
      <c r="AA392">
        <f>(AVERAGE(N392:P392)-1)/4</f>
        <v/>
      </c>
      <c r="AB392">
        <f>(AVERAGE(Q392:S392)-1)/4</f>
        <v/>
      </c>
      <c r="AC392">
        <f>(AVERAGE(T392:V392)-1)/4</f>
        <v/>
      </c>
      <c r="AD392">
        <f>AVERAGE(W392:AA392)</f>
        <v/>
      </c>
      <c r="AE392">
        <f>MIN(W392:AA392)</f>
        <v/>
      </c>
      <c r="AF392">
        <f>1-alpha*MAX(0,delta-AE392)</f>
        <v/>
      </c>
      <c r="AG392">
        <f>AD392*AF392</f>
        <v/>
      </c>
      <c r="AH392">
        <f>1+COUNTIF(bounds,"&lt;"&amp;ROUND(AD392,12))</f>
        <v/>
      </c>
      <c r="AI392">
        <f>1+COUNTIF(bounds,"&lt;"&amp;ROUND(AG392,12))</f>
        <v/>
      </c>
      <c r="AJ392">
        <f>IF(AF392&lt;1,1,0)</f>
        <v/>
      </c>
      <c r="AK392">
        <f>IF(AH392&lt;&gt;AI392,1,0)</f>
        <v/>
      </c>
      <c r="AL392">
        <f>IF(AND(AI392&gt;=3,AB392&lt;=0.2),1,0)</f>
        <v/>
      </c>
      <c r="AM392">
        <f>AVERAGE(W392:AB392)</f>
        <v/>
      </c>
      <c r="AN392">
        <f>1+COUNTIF(bounds,"&lt;"&amp;ROUND(AM392,12))</f>
        <v/>
      </c>
      <c r="AO392">
        <f>IF(AK392=1,AD392,NA())</f>
        <v/>
      </c>
      <c r="AP392">
        <f>IF(AK392=0,AD392,NA())</f>
        <v/>
      </c>
    </row>
    <row r="393">
      <c r="A393" t="n">
        <v>385</v>
      </c>
      <c r="B393" t="n">
        <v>4</v>
      </c>
      <c r="C393" t="n">
        <v>5</v>
      </c>
      <c r="D393" t="n">
        <v>4</v>
      </c>
      <c r="E393" t="n">
        <v>3</v>
      </c>
      <c r="F393" t="n">
        <v>1</v>
      </c>
      <c r="G393" t="n">
        <v>3</v>
      </c>
      <c r="H393" t="n">
        <v>3</v>
      </c>
      <c r="I393" t="n">
        <v>1</v>
      </c>
      <c r="J393" t="n">
        <v>2</v>
      </c>
      <c r="K393" t="n">
        <v>3</v>
      </c>
      <c r="L393" t="n">
        <v>2</v>
      </c>
      <c r="M393" t="n">
        <v>2</v>
      </c>
      <c r="N393" t="n">
        <v>5</v>
      </c>
      <c r="O393" t="n">
        <v>5</v>
      </c>
      <c r="P393" t="n">
        <v>5</v>
      </c>
      <c r="Q393" t="n">
        <v>2</v>
      </c>
      <c r="R393" t="n">
        <v>4</v>
      </c>
      <c r="S393" t="n">
        <v>3</v>
      </c>
      <c r="T393" t="n">
        <v>2</v>
      </c>
      <c r="U393" t="n">
        <v>2</v>
      </c>
      <c r="V393" t="n">
        <v>4</v>
      </c>
      <c r="W393">
        <f>(AVERAGE(B393:D393)-1)/4</f>
        <v/>
      </c>
      <c r="X393">
        <f>(AVERAGE(E393:G393)-1)/4</f>
        <v/>
      </c>
      <c r="Y393">
        <f>(AVERAGE(H393:J393)-1)/4</f>
        <v/>
      </c>
      <c r="Z393">
        <f>(AVERAGE(K393:M393)-1)/4</f>
        <v/>
      </c>
      <c r="AA393">
        <f>(AVERAGE(N393:P393)-1)/4</f>
        <v/>
      </c>
      <c r="AB393">
        <f>(AVERAGE(Q393:S393)-1)/4</f>
        <v/>
      </c>
      <c r="AC393">
        <f>(AVERAGE(T393:V393)-1)/4</f>
        <v/>
      </c>
      <c r="AD393">
        <f>AVERAGE(W393:AA393)</f>
        <v/>
      </c>
      <c r="AE393">
        <f>MIN(W393:AA393)</f>
        <v/>
      </c>
      <c r="AF393">
        <f>1-alpha*MAX(0,delta-AE393)</f>
        <v/>
      </c>
      <c r="AG393">
        <f>AD393*AF393</f>
        <v/>
      </c>
      <c r="AH393">
        <f>1+COUNTIF(bounds,"&lt;"&amp;ROUND(AD393,12))</f>
        <v/>
      </c>
      <c r="AI393">
        <f>1+COUNTIF(bounds,"&lt;"&amp;ROUND(AG393,12))</f>
        <v/>
      </c>
      <c r="AJ393">
        <f>IF(AF393&lt;1,1,0)</f>
        <v/>
      </c>
      <c r="AK393">
        <f>IF(AH393&lt;&gt;AI393,1,0)</f>
        <v/>
      </c>
      <c r="AL393">
        <f>IF(AND(AI393&gt;=3,AB393&lt;=0.2),1,0)</f>
        <v/>
      </c>
      <c r="AM393">
        <f>AVERAGE(W393:AB393)</f>
        <v/>
      </c>
      <c r="AN393">
        <f>1+COUNTIF(bounds,"&lt;"&amp;ROUND(AM393,12))</f>
        <v/>
      </c>
      <c r="AO393">
        <f>IF(AK393=1,AD393,NA())</f>
        <v/>
      </c>
      <c r="AP393">
        <f>IF(AK393=0,AD393,NA())</f>
        <v/>
      </c>
    </row>
    <row r="394">
      <c r="A394" t="n">
        <v>386</v>
      </c>
      <c r="B394" t="n">
        <v>1</v>
      </c>
      <c r="C394" t="n">
        <v>2</v>
      </c>
      <c r="D394" t="n">
        <v>3</v>
      </c>
      <c r="E394" t="n">
        <v>1</v>
      </c>
      <c r="F394" t="n">
        <v>5</v>
      </c>
      <c r="G394" t="n">
        <v>1</v>
      </c>
      <c r="H394" t="n">
        <v>3</v>
      </c>
      <c r="I394" t="n">
        <v>4</v>
      </c>
      <c r="J394" t="n">
        <v>2</v>
      </c>
      <c r="K394" t="n">
        <v>4</v>
      </c>
      <c r="L394" t="n">
        <v>3</v>
      </c>
      <c r="M394" t="n">
        <v>2</v>
      </c>
      <c r="N394" t="n">
        <v>4</v>
      </c>
      <c r="O394" t="n">
        <v>1</v>
      </c>
      <c r="P394" t="n">
        <v>5</v>
      </c>
      <c r="Q394" t="n">
        <v>5</v>
      </c>
      <c r="R394" t="n">
        <v>4</v>
      </c>
      <c r="S394" t="n">
        <v>3</v>
      </c>
      <c r="T394" t="n">
        <v>4</v>
      </c>
      <c r="U394" t="n">
        <v>5</v>
      </c>
      <c r="V394" t="n">
        <v>2</v>
      </c>
      <c r="W394">
        <f>(AVERAGE(B394:D394)-1)/4</f>
        <v/>
      </c>
      <c r="X394">
        <f>(AVERAGE(E394:G394)-1)/4</f>
        <v/>
      </c>
      <c r="Y394">
        <f>(AVERAGE(H394:J394)-1)/4</f>
        <v/>
      </c>
      <c r="Z394">
        <f>(AVERAGE(K394:M394)-1)/4</f>
        <v/>
      </c>
      <c r="AA394">
        <f>(AVERAGE(N394:P394)-1)/4</f>
        <v/>
      </c>
      <c r="AB394">
        <f>(AVERAGE(Q394:S394)-1)/4</f>
        <v/>
      </c>
      <c r="AC394">
        <f>(AVERAGE(T394:V394)-1)/4</f>
        <v/>
      </c>
      <c r="AD394">
        <f>AVERAGE(W394:AA394)</f>
        <v/>
      </c>
      <c r="AE394">
        <f>MIN(W394:AA394)</f>
        <v/>
      </c>
      <c r="AF394">
        <f>1-alpha*MAX(0,delta-AE394)</f>
        <v/>
      </c>
      <c r="AG394">
        <f>AD394*AF394</f>
        <v/>
      </c>
      <c r="AH394">
        <f>1+COUNTIF(bounds,"&lt;"&amp;ROUND(AD394,12))</f>
        <v/>
      </c>
      <c r="AI394">
        <f>1+COUNTIF(bounds,"&lt;"&amp;ROUND(AG394,12))</f>
        <v/>
      </c>
      <c r="AJ394">
        <f>IF(AF394&lt;1,1,0)</f>
        <v/>
      </c>
      <c r="AK394">
        <f>IF(AH394&lt;&gt;AI394,1,0)</f>
        <v/>
      </c>
      <c r="AL394">
        <f>IF(AND(AI394&gt;=3,AB394&lt;=0.2),1,0)</f>
        <v/>
      </c>
      <c r="AM394">
        <f>AVERAGE(W394:AB394)</f>
        <v/>
      </c>
      <c r="AN394">
        <f>1+COUNTIF(bounds,"&lt;"&amp;ROUND(AM394,12))</f>
        <v/>
      </c>
      <c r="AO394">
        <f>IF(AK394=1,AD394,NA())</f>
        <v/>
      </c>
      <c r="AP394">
        <f>IF(AK394=0,AD394,NA())</f>
        <v/>
      </c>
    </row>
    <row r="395">
      <c r="A395" t="n">
        <v>387</v>
      </c>
      <c r="B395" t="n">
        <v>1</v>
      </c>
      <c r="C395" t="n">
        <v>3</v>
      </c>
      <c r="D395" t="n">
        <v>2</v>
      </c>
      <c r="E395" t="n">
        <v>3</v>
      </c>
      <c r="F395" t="n">
        <v>4</v>
      </c>
      <c r="G395" t="n">
        <v>3</v>
      </c>
      <c r="H395" t="n">
        <v>4</v>
      </c>
      <c r="I395" t="n">
        <v>5</v>
      </c>
      <c r="J395" t="n">
        <v>1</v>
      </c>
      <c r="K395" t="n">
        <v>2</v>
      </c>
      <c r="L395" t="n">
        <v>1</v>
      </c>
      <c r="M395" t="n">
        <v>5</v>
      </c>
      <c r="N395" t="n">
        <v>2</v>
      </c>
      <c r="O395" t="n">
        <v>1</v>
      </c>
      <c r="P395" t="n">
        <v>5</v>
      </c>
      <c r="Q395" t="n">
        <v>4</v>
      </c>
      <c r="R395" t="n">
        <v>5</v>
      </c>
      <c r="S395" t="n">
        <v>4</v>
      </c>
      <c r="T395" t="n">
        <v>1</v>
      </c>
      <c r="U395" t="n">
        <v>3</v>
      </c>
      <c r="V395" t="n">
        <v>1</v>
      </c>
      <c r="W395">
        <f>(AVERAGE(B395:D395)-1)/4</f>
        <v/>
      </c>
      <c r="X395">
        <f>(AVERAGE(E395:G395)-1)/4</f>
        <v/>
      </c>
      <c r="Y395">
        <f>(AVERAGE(H395:J395)-1)/4</f>
        <v/>
      </c>
      <c r="Z395">
        <f>(AVERAGE(K395:M395)-1)/4</f>
        <v/>
      </c>
      <c r="AA395">
        <f>(AVERAGE(N395:P395)-1)/4</f>
        <v/>
      </c>
      <c r="AB395">
        <f>(AVERAGE(Q395:S395)-1)/4</f>
        <v/>
      </c>
      <c r="AC395">
        <f>(AVERAGE(T395:V395)-1)/4</f>
        <v/>
      </c>
      <c r="AD395">
        <f>AVERAGE(W395:AA395)</f>
        <v/>
      </c>
      <c r="AE395">
        <f>MIN(W395:AA395)</f>
        <v/>
      </c>
      <c r="AF395">
        <f>1-alpha*MAX(0,delta-AE395)</f>
        <v/>
      </c>
      <c r="AG395">
        <f>AD395*AF395</f>
        <v/>
      </c>
      <c r="AH395">
        <f>1+COUNTIF(bounds,"&lt;"&amp;ROUND(AD395,12))</f>
        <v/>
      </c>
      <c r="AI395">
        <f>1+COUNTIF(bounds,"&lt;"&amp;ROUND(AG395,12))</f>
        <v/>
      </c>
      <c r="AJ395">
        <f>IF(AF395&lt;1,1,0)</f>
        <v/>
      </c>
      <c r="AK395">
        <f>IF(AH395&lt;&gt;AI395,1,0)</f>
        <v/>
      </c>
      <c r="AL395">
        <f>IF(AND(AI395&gt;=3,AB395&lt;=0.2),1,0)</f>
        <v/>
      </c>
      <c r="AM395">
        <f>AVERAGE(W395:AB395)</f>
        <v/>
      </c>
      <c r="AN395">
        <f>1+COUNTIF(bounds,"&lt;"&amp;ROUND(AM395,12))</f>
        <v/>
      </c>
      <c r="AO395">
        <f>IF(AK395=1,AD395,NA())</f>
        <v/>
      </c>
      <c r="AP395">
        <f>IF(AK395=0,AD395,NA())</f>
        <v/>
      </c>
    </row>
    <row r="396">
      <c r="A396" t="n">
        <v>388</v>
      </c>
      <c r="B396" t="n">
        <v>1</v>
      </c>
      <c r="C396" t="n">
        <v>1</v>
      </c>
      <c r="D396" t="n">
        <v>1</v>
      </c>
      <c r="E396" t="n">
        <v>5</v>
      </c>
      <c r="F396" t="n">
        <v>2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5</v>
      </c>
      <c r="M396" t="n">
        <v>1</v>
      </c>
      <c r="N396" t="n">
        <v>5</v>
      </c>
      <c r="O396" t="n">
        <v>4</v>
      </c>
      <c r="P396" t="n">
        <v>3</v>
      </c>
      <c r="Q396" t="n">
        <v>4</v>
      </c>
      <c r="R396" t="n">
        <v>4</v>
      </c>
      <c r="S396" t="n">
        <v>5</v>
      </c>
      <c r="T396" t="n">
        <v>4</v>
      </c>
      <c r="U396" t="n">
        <v>3</v>
      </c>
      <c r="V396" t="n">
        <v>5</v>
      </c>
      <c r="W396">
        <f>(AVERAGE(B396:D396)-1)/4</f>
        <v/>
      </c>
      <c r="X396">
        <f>(AVERAGE(E396:G396)-1)/4</f>
        <v/>
      </c>
      <c r="Y396">
        <f>(AVERAGE(H396:J396)-1)/4</f>
        <v/>
      </c>
      <c r="Z396">
        <f>(AVERAGE(K396:M396)-1)/4</f>
        <v/>
      </c>
      <c r="AA396">
        <f>(AVERAGE(N396:P396)-1)/4</f>
        <v/>
      </c>
      <c r="AB396">
        <f>(AVERAGE(Q396:S396)-1)/4</f>
        <v/>
      </c>
      <c r="AC396">
        <f>(AVERAGE(T396:V396)-1)/4</f>
        <v/>
      </c>
      <c r="AD396">
        <f>AVERAGE(W396:AA396)</f>
        <v/>
      </c>
      <c r="AE396">
        <f>MIN(W396:AA396)</f>
        <v/>
      </c>
      <c r="AF396">
        <f>1-alpha*MAX(0,delta-AE396)</f>
        <v/>
      </c>
      <c r="AG396">
        <f>AD396*AF396</f>
        <v/>
      </c>
      <c r="AH396">
        <f>1+COUNTIF(bounds,"&lt;"&amp;ROUND(AD396,12))</f>
        <v/>
      </c>
      <c r="AI396">
        <f>1+COUNTIF(bounds,"&lt;"&amp;ROUND(AG396,12))</f>
        <v/>
      </c>
      <c r="AJ396">
        <f>IF(AF396&lt;1,1,0)</f>
        <v/>
      </c>
      <c r="AK396">
        <f>IF(AH396&lt;&gt;AI396,1,0)</f>
        <v/>
      </c>
      <c r="AL396">
        <f>IF(AND(AI396&gt;=3,AB396&lt;=0.2),1,0)</f>
        <v/>
      </c>
      <c r="AM396">
        <f>AVERAGE(W396:AB396)</f>
        <v/>
      </c>
      <c r="AN396">
        <f>1+COUNTIF(bounds,"&lt;"&amp;ROUND(AM396,12))</f>
        <v/>
      </c>
      <c r="AO396">
        <f>IF(AK396=1,AD396,NA())</f>
        <v/>
      </c>
      <c r="AP396">
        <f>IF(AK396=0,AD396,NA())</f>
        <v/>
      </c>
    </row>
    <row r="397">
      <c r="A397" t="n">
        <v>389</v>
      </c>
      <c r="B397" t="n">
        <v>1</v>
      </c>
      <c r="C397" t="n">
        <v>5</v>
      </c>
      <c r="D397" t="n">
        <v>2</v>
      </c>
      <c r="E397" t="n">
        <v>4</v>
      </c>
      <c r="F397" t="n">
        <v>2</v>
      </c>
      <c r="G397" t="n">
        <v>4</v>
      </c>
      <c r="H397" t="n">
        <v>5</v>
      </c>
      <c r="I397" t="n">
        <v>2</v>
      </c>
      <c r="J397" t="n">
        <v>5</v>
      </c>
      <c r="K397" t="n">
        <v>3</v>
      </c>
      <c r="L397" t="n">
        <v>5</v>
      </c>
      <c r="M397" t="n">
        <v>2</v>
      </c>
      <c r="N397" t="n">
        <v>2</v>
      </c>
      <c r="O397" t="n">
        <v>1</v>
      </c>
      <c r="P397" t="n">
        <v>5</v>
      </c>
      <c r="Q397" t="n">
        <v>2</v>
      </c>
      <c r="R397" t="n">
        <v>1</v>
      </c>
      <c r="S397" t="n">
        <v>5</v>
      </c>
      <c r="T397" t="n">
        <v>4</v>
      </c>
      <c r="U397" t="n">
        <v>1</v>
      </c>
      <c r="V397" t="n">
        <v>4</v>
      </c>
      <c r="W397">
        <f>(AVERAGE(B397:D397)-1)/4</f>
        <v/>
      </c>
      <c r="X397">
        <f>(AVERAGE(E397:G397)-1)/4</f>
        <v/>
      </c>
      <c r="Y397">
        <f>(AVERAGE(H397:J397)-1)/4</f>
        <v/>
      </c>
      <c r="Z397">
        <f>(AVERAGE(K397:M397)-1)/4</f>
        <v/>
      </c>
      <c r="AA397">
        <f>(AVERAGE(N397:P397)-1)/4</f>
        <v/>
      </c>
      <c r="AB397">
        <f>(AVERAGE(Q397:S397)-1)/4</f>
        <v/>
      </c>
      <c r="AC397">
        <f>(AVERAGE(T397:V397)-1)/4</f>
        <v/>
      </c>
      <c r="AD397">
        <f>AVERAGE(W397:AA397)</f>
        <v/>
      </c>
      <c r="AE397">
        <f>MIN(W397:AA397)</f>
        <v/>
      </c>
      <c r="AF397">
        <f>1-alpha*MAX(0,delta-AE397)</f>
        <v/>
      </c>
      <c r="AG397">
        <f>AD397*AF397</f>
        <v/>
      </c>
      <c r="AH397">
        <f>1+COUNTIF(bounds,"&lt;"&amp;ROUND(AD397,12))</f>
        <v/>
      </c>
      <c r="AI397">
        <f>1+COUNTIF(bounds,"&lt;"&amp;ROUND(AG397,12))</f>
        <v/>
      </c>
      <c r="AJ397">
        <f>IF(AF397&lt;1,1,0)</f>
        <v/>
      </c>
      <c r="AK397">
        <f>IF(AH397&lt;&gt;AI397,1,0)</f>
        <v/>
      </c>
      <c r="AL397">
        <f>IF(AND(AI397&gt;=3,AB397&lt;=0.2),1,0)</f>
        <v/>
      </c>
      <c r="AM397">
        <f>AVERAGE(W397:AB397)</f>
        <v/>
      </c>
      <c r="AN397">
        <f>1+COUNTIF(bounds,"&lt;"&amp;ROUND(AM397,12))</f>
        <v/>
      </c>
      <c r="AO397">
        <f>IF(AK397=1,AD397,NA())</f>
        <v/>
      </c>
      <c r="AP397">
        <f>IF(AK397=0,AD397,NA())</f>
        <v/>
      </c>
    </row>
    <row r="398">
      <c r="A398" t="n">
        <v>390</v>
      </c>
      <c r="B398" t="n">
        <v>5</v>
      </c>
      <c r="C398" t="n">
        <v>1</v>
      </c>
      <c r="D398" t="n">
        <v>4</v>
      </c>
      <c r="E398" t="n">
        <v>3</v>
      </c>
      <c r="F398" t="n">
        <v>5</v>
      </c>
      <c r="G398" t="n">
        <v>1</v>
      </c>
      <c r="H398" t="n">
        <v>1</v>
      </c>
      <c r="I398" t="n">
        <v>2</v>
      </c>
      <c r="J398" t="n">
        <v>2</v>
      </c>
      <c r="K398" t="n">
        <v>5</v>
      </c>
      <c r="L398" t="n">
        <v>5</v>
      </c>
      <c r="M398" t="n">
        <v>5</v>
      </c>
      <c r="N398" t="n">
        <v>4</v>
      </c>
      <c r="O398" t="n">
        <v>3</v>
      </c>
      <c r="P398" t="n">
        <v>3</v>
      </c>
      <c r="Q398" t="n">
        <v>1</v>
      </c>
      <c r="R398" t="n">
        <v>1</v>
      </c>
      <c r="S398" t="n">
        <v>5</v>
      </c>
      <c r="T398" t="n">
        <v>2</v>
      </c>
      <c r="U398" t="n">
        <v>3</v>
      </c>
      <c r="V398" t="n">
        <v>2</v>
      </c>
      <c r="W398">
        <f>(AVERAGE(B398:D398)-1)/4</f>
        <v/>
      </c>
      <c r="X398">
        <f>(AVERAGE(E398:G398)-1)/4</f>
        <v/>
      </c>
      <c r="Y398">
        <f>(AVERAGE(H398:J398)-1)/4</f>
        <v/>
      </c>
      <c r="Z398">
        <f>(AVERAGE(K398:M398)-1)/4</f>
        <v/>
      </c>
      <c r="AA398">
        <f>(AVERAGE(N398:P398)-1)/4</f>
        <v/>
      </c>
      <c r="AB398">
        <f>(AVERAGE(Q398:S398)-1)/4</f>
        <v/>
      </c>
      <c r="AC398">
        <f>(AVERAGE(T398:V398)-1)/4</f>
        <v/>
      </c>
      <c r="AD398">
        <f>AVERAGE(W398:AA398)</f>
        <v/>
      </c>
      <c r="AE398">
        <f>MIN(W398:AA398)</f>
        <v/>
      </c>
      <c r="AF398">
        <f>1-alpha*MAX(0,delta-AE398)</f>
        <v/>
      </c>
      <c r="AG398">
        <f>AD398*AF398</f>
        <v/>
      </c>
      <c r="AH398">
        <f>1+COUNTIF(bounds,"&lt;"&amp;ROUND(AD398,12))</f>
        <v/>
      </c>
      <c r="AI398">
        <f>1+COUNTIF(bounds,"&lt;"&amp;ROUND(AG398,12))</f>
        <v/>
      </c>
      <c r="AJ398">
        <f>IF(AF398&lt;1,1,0)</f>
        <v/>
      </c>
      <c r="AK398">
        <f>IF(AH398&lt;&gt;AI398,1,0)</f>
        <v/>
      </c>
      <c r="AL398">
        <f>IF(AND(AI398&gt;=3,AB398&lt;=0.2),1,0)</f>
        <v/>
      </c>
      <c r="AM398">
        <f>AVERAGE(W398:AB398)</f>
        <v/>
      </c>
      <c r="AN398">
        <f>1+COUNTIF(bounds,"&lt;"&amp;ROUND(AM398,12))</f>
        <v/>
      </c>
      <c r="AO398">
        <f>IF(AK398=1,AD398,NA())</f>
        <v/>
      </c>
      <c r="AP398">
        <f>IF(AK398=0,AD398,NA())</f>
        <v/>
      </c>
    </row>
    <row r="399">
      <c r="A399" t="n">
        <v>391</v>
      </c>
      <c r="B399" t="n">
        <v>3</v>
      </c>
      <c r="C399" t="n">
        <v>4</v>
      </c>
      <c r="D399" t="n">
        <v>5</v>
      </c>
      <c r="E399" t="n">
        <v>5</v>
      </c>
      <c r="F399" t="n">
        <v>1</v>
      </c>
      <c r="G399" t="n">
        <v>4</v>
      </c>
      <c r="H399" t="n">
        <v>5</v>
      </c>
      <c r="I399" t="n">
        <v>4</v>
      </c>
      <c r="J399" t="n">
        <v>1</v>
      </c>
      <c r="K399" t="n">
        <v>3</v>
      </c>
      <c r="L399" t="n">
        <v>2</v>
      </c>
      <c r="M399" t="n">
        <v>2</v>
      </c>
      <c r="N399" t="n">
        <v>5</v>
      </c>
      <c r="O399" t="n">
        <v>5</v>
      </c>
      <c r="P399" t="n">
        <v>3</v>
      </c>
      <c r="Q399" t="n">
        <v>5</v>
      </c>
      <c r="R399" t="n">
        <v>5</v>
      </c>
      <c r="S399" t="n">
        <v>5</v>
      </c>
      <c r="T399" t="n">
        <v>1</v>
      </c>
      <c r="U399" t="n">
        <v>4</v>
      </c>
      <c r="V399" t="n">
        <v>4</v>
      </c>
      <c r="W399">
        <f>(AVERAGE(B399:D399)-1)/4</f>
        <v/>
      </c>
      <c r="X399">
        <f>(AVERAGE(E399:G399)-1)/4</f>
        <v/>
      </c>
      <c r="Y399">
        <f>(AVERAGE(H399:J399)-1)/4</f>
        <v/>
      </c>
      <c r="Z399">
        <f>(AVERAGE(K399:M399)-1)/4</f>
        <v/>
      </c>
      <c r="AA399">
        <f>(AVERAGE(N399:P399)-1)/4</f>
        <v/>
      </c>
      <c r="AB399">
        <f>(AVERAGE(Q399:S399)-1)/4</f>
        <v/>
      </c>
      <c r="AC399">
        <f>(AVERAGE(T399:V399)-1)/4</f>
        <v/>
      </c>
      <c r="AD399">
        <f>AVERAGE(W399:AA399)</f>
        <v/>
      </c>
      <c r="AE399">
        <f>MIN(W399:AA399)</f>
        <v/>
      </c>
      <c r="AF399">
        <f>1-alpha*MAX(0,delta-AE399)</f>
        <v/>
      </c>
      <c r="AG399">
        <f>AD399*AF399</f>
        <v/>
      </c>
      <c r="AH399">
        <f>1+COUNTIF(bounds,"&lt;"&amp;ROUND(AD399,12))</f>
        <v/>
      </c>
      <c r="AI399">
        <f>1+COUNTIF(bounds,"&lt;"&amp;ROUND(AG399,12))</f>
        <v/>
      </c>
      <c r="AJ399">
        <f>IF(AF399&lt;1,1,0)</f>
        <v/>
      </c>
      <c r="AK399">
        <f>IF(AH399&lt;&gt;AI399,1,0)</f>
        <v/>
      </c>
      <c r="AL399">
        <f>IF(AND(AI399&gt;=3,AB399&lt;=0.2),1,0)</f>
        <v/>
      </c>
      <c r="AM399">
        <f>AVERAGE(W399:AB399)</f>
        <v/>
      </c>
      <c r="AN399">
        <f>1+COUNTIF(bounds,"&lt;"&amp;ROUND(AM399,12))</f>
        <v/>
      </c>
      <c r="AO399">
        <f>IF(AK399=1,AD399,NA())</f>
        <v/>
      </c>
      <c r="AP399">
        <f>IF(AK399=0,AD399,NA())</f>
        <v/>
      </c>
    </row>
    <row r="400">
      <c r="A400" t="n">
        <v>392</v>
      </c>
      <c r="B400" t="n">
        <v>2</v>
      </c>
      <c r="C400" t="n">
        <v>4</v>
      </c>
      <c r="D400" t="n">
        <v>2</v>
      </c>
      <c r="E400" t="n">
        <v>3</v>
      </c>
      <c r="F400" t="n">
        <v>4</v>
      </c>
      <c r="G400" t="n">
        <v>2</v>
      </c>
      <c r="H400" t="n">
        <v>1</v>
      </c>
      <c r="I400" t="n">
        <v>1</v>
      </c>
      <c r="J400" t="n">
        <v>2</v>
      </c>
      <c r="K400" t="n">
        <v>1</v>
      </c>
      <c r="L400" t="n">
        <v>3</v>
      </c>
      <c r="M400" t="n">
        <v>1</v>
      </c>
      <c r="N400" t="n">
        <v>2</v>
      </c>
      <c r="O400" t="n">
        <v>1</v>
      </c>
      <c r="P400" t="n">
        <v>4</v>
      </c>
      <c r="Q400" t="n">
        <v>3</v>
      </c>
      <c r="R400" t="n">
        <v>2</v>
      </c>
      <c r="S400" t="n">
        <v>2</v>
      </c>
      <c r="T400" t="n">
        <v>2</v>
      </c>
      <c r="U400" t="n">
        <v>4</v>
      </c>
      <c r="V400" t="n">
        <v>5</v>
      </c>
      <c r="W400">
        <f>(AVERAGE(B400:D400)-1)/4</f>
        <v/>
      </c>
      <c r="X400">
        <f>(AVERAGE(E400:G400)-1)/4</f>
        <v/>
      </c>
      <c r="Y400">
        <f>(AVERAGE(H400:J400)-1)/4</f>
        <v/>
      </c>
      <c r="Z400">
        <f>(AVERAGE(K400:M400)-1)/4</f>
        <v/>
      </c>
      <c r="AA400">
        <f>(AVERAGE(N400:P400)-1)/4</f>
        <v/>
      </c>
      <c r="AB400">
        <f>(AVERAGE(Q400:S400)-1)/4</f>
        <v/>
      </c>
      <c r="AC400">
        <f>(AVERAGE(T400:V400)-1)/4</f>
        <v/>
      </c>
      <c r="AD400">
        <f>AVERAGE(W400:AA400)</f>
        <v/>
      </c>
      <c r="AE400">
        <f>MIN(W400:AA400)</f>
        <v/>
      </c>
      <c r="AF400">
        <f>1-alpha*MAX(0,delta-AE400)</f>
        <v/>
      </c>
      <c r="AG400">
        <f>AD400*AF400</f>
        <v/>
      </c>
      <c r="AH400">
        <f>1+COUNTIF(bounds,"&lt;"&amp;ROUND(AD400,12))</f>
        <v/>
      </c>
      <c r="AI400">
        <f>1+COUNTIF(bounds,"&lt;"&amp;ROUND(AG400,12))</f>
        <v/>
      </c>
      <c r="AJ400">
        <f>IF(AF400&lt;1,1,0)</f>
        <v/>
      </c>
      <c r="AK400">
        <f>IF(AH400&lt;&gt;AI400,1,0)</f>
        <v/>
      </c>
      <c r="AL400">
        <f>IF(AND(AI400&gt;=3,AB400&lt;=0.2),1,0)</f>
        <v/>
      </c>
      <c r="AM400">
        <f>AVERAGE(W400:AB400)</f>
        <v/>
      </c>
      <c r="AN400">
        <f>1+COUNTIF(bounds,"&lt;"&amp;ROUND(AM400,12))</f>
        <v/>
      </c>
      <c r="AO400">
        <f>IF(AK400=1,AD400,NA())</f>
        <v/>
      </c>
      <c r="AP400">
        <f>IF(AK400=0,AD400,NA())</f>
        <v/>
      </c>
    </row>
    <row r="401">
      <c r="A401" t="n">
        <v>393</v>
      </c>
      <c r="B401" t="n">
        <v>4</v>
      </c>
      <c r="C401" t="n">
        <v>3</v>
      </c>
      <c r="D401" t="n">
        <v>1</v>
      </c>
      <c r="E401" t="n">
        <v>4</v>
      </c>
      <c r="F401" t="n">
        <v>1</v>
      </c>
      <c r="G401" t="n">
        <v>2</v>
      </c>
      <c r="H401" t="n">
        <v>4</v>
      </c>
      <c r="I401" t="n">
        <v>3</v>
      </c>
      <c r="J401" t="n">
        <v>4</v>
      </c>
      <c r="K401" t="n">
        <v>2</v>
      </c>
      <c r="L401" t="n">
        <v>2</v>
      </c>
      <c r="M401" t="n">
        <v>1</v>
      </c>
      <c r="N401" t="n">
        <v>3</v>
      </c>
      <c r="O401" t="n">
        <v>4</v>
      </c>
      <c r="P401" t="n">
        <v>5</v>
      </c>
      <c r="Q401" t="n">
        <v>2</v>
      </c>
      <c r="R401" t="n">
        <v>2</v>
      </c>
      <c r="S401" t="n">
        <v>4</v>
      </c>
      <c r="T401" t="n">
        <v>4</v>
      </c>
      <c r="U401" t="n">
        <v>1</v>
      </c>
      <c r="V401" t="n">
        <v>3</v>
      </c>
      <c r="W401">
        <f>(AVERAGE(B401:D401)-1)/4</f>
        <v/>
      </c>
      <c r="X401">
        <f>(AVERAGE(E401:G401)-1)/4</f>
        <v/>
      </c>
      <c r="Y401">
        <f>(AVERAGE(H401:J401)-1)/4</f>
        <v/>
      </c>
      <c r="Z401">
        <f>(AVERAGE(K401:M401)-1)/4</f>
        <v/>
      </c>
      <c r="AA401">
        <f>(AVERAGE(N401:P401)-1)/4</f>
        <v/>
      </c>
      <c r="AB401">
        <f>(AVERAGE(Q401:S401)-1)/4</f>
        <v/>
      </c>
      <c r="AC401">
        <f>(AVERAGE(T401:V401)-1)/4</f>
        <v/>
      </c>
      <c r="AD401">
        <f>AVERAGE(W401:AA401)</f>
        <v/>
      </c>
      <c r="AE401">
        <f>MIN(W401:AA401)</f>
        <v/>
      </c>
      <c r="AF401">
        <f>1-alpha*MAX(0,delta-AE401)</f>
        <v/>
      </c>
      <c r="AG401">
        <f>AD401*AF401</f>
        <v/>
      </c>
      <c r="AH401">
        <f>1+COUNTIF(bounds,"&lt;"&amp;ROUND(AD401,12))</f>
        <v/>
      </c>
      <c r="AI401">
        <f>1+COUNTIF(bounds,"&lt;"&amp;ROUND(AG401,12))</f>
        <v/>
      </c>
      <c r="AJ401">
        <f>IF(AF401&lt;1,1,0)</f>
        <v/>
      </c>
      <c r="AK401">
        <f>IF(AH401&lt;&gt;AI401,1,0)</f>
        <v/>
      </c>
      <c r="AL401">
        <f>IF(AND(AI401&gt;=3,AB401&lt;=0.2),1,0)</f>
        <v/>
      </c>
      <c r="AM401">
        <f>AVERAGE(W401:AB401)</f>
        <v/>
      </c>
      <c r="AN401">
        <f>1+COUNTIF(bounds,"&lt;"&amp;ROUND(AM401,12))</f>
        <v/>
      </c>
      <c r="AO401">
        <f>IF(AK401=1,AD401,NA())</f>
        <v/>
      </c>
      <c r="AP401">
        <f>IF(AK401=0,AD401,NA())</f>
        <v/>
      </c>
    </row>
    <row r="402">
      <c r="A402" t="n">
        <v>394</v>
      </c>
      <c r="B402" t="n">
        <v>2</v>
      </c>
      <c r="C402" t="n">
        <v>1</v>
      </c>
      <c r="D402" t="n">
        <v>4</v>
      </c>
      <c r="E402" t="n">
        <v>2</v>
      </c>
      <c r="F402" t="n">
        <v>5</v>
      </c>
      <c r="G402" t="n">
        <v>1</v>
      </c>
      <c r="H402" t="n">
        <v>5</v>
      </c>
      <c r="I402" t="n">
        <v>1</v>
      </c>
      <c r="J402" t="n">
        <v>4</v>
      </c>
      <c r="K402" t="n">
        <v>5</v>
      </c>
      <c r="L402" t="n">
        <v>4</v>
      </c>
      <c r="M402" t="n">
        <v>1</v>
      </c>
      <c r="N402" t="n">
        <v>4</v>
      </c>
      <c r="O402" t="n">
        <v>2</v>
      </c>
      <c r="P402" t="n">
        <v>3</v>
      </c>
      <c r="Q402" t="n">
        <v>4</v>
      </c>
      <c r="R402" t="n">
        <v>2</v>
      </c>
      <c r="S402" t="n">
        <v>2</v>
      </c>
      <c r="T402" t="n">
        <v>4</v>
      </c>
      <c r="U402" t="n">
        <v>3</v>
      </c>
      <c r="V402" t="n">
        <v>3</v>
      </c>
      <c r="W402">
        <f>(AVERAGE(B402:D402)-1)/4</f>
        <v/>
      </c>
      <c r="X402">
        <f>(AVERAGE(E402:G402)-1)/4</f>
        <v/>
      </c>
      <c r="Y402">
        <f>(AVERAGE(H402:J402)-1)/4</f>
        <v/>
      </c>
      <c r="Z402">
        <f>(AVERAGE(K402:M402)-1)/4</f>
        <v/>
      </c>
      <c r="AA402">
        <f>(AVERAGE(N402:P402)-1)/4</f>
        <v/>
      </c>
      <c r="AB402">
        <f>(AVERAGE(Q402:S402)-1)/4</f>
        <v/>
      </c>
      <c r="AC402">
        <f>(AVERAGE(T402:V402)-1)/4</f>
        <v/>
      </c>
      <c r="AD402">
        <f>AVERAGE(W402:AA402)</f>
        <v/>
      </c>
      <c r="AE402">
        <f>MIN(W402:AA402)</f>
        <v/>
      </c>
      <c r="AF402">
        <f>1-alpha*MAX(0,delta-AE402)</f>
        <v/>
      </c>
      <c r="AG402">
        <f>AD402*AF402</f>
        <v/>
      </c>
      <c r="AH402">
        <f>1+COUNTIF(bounds,"&lt;"&amp;ROUND(AD402,12))</f>
        <v/>
      </c>
      <c r="AI402">
        <f>1+COUNTIF(bounds,"&lt;"&amp;ROUND(AG402,12))</f>
        <v/>
      </c>
      <c r="AJ402">
        <f>IF(AF402&lt;1,1,0)</f>
        <v/>
      </c>
      <c r="AK402">
        <f>IF(AH402&lt;&gt;AI402,1,0)</f>
        <v/>
      </c>
      <c r="AL402">
        <f>IF(AND(AI402&gt;=3,AB402&lt;=0.2),1,0)</f>
        <v/>
      </c>
      <c r="AM402">
        <f>AVERAGE(W402:AB402)</f>
        <v/>
      </c>
      <c r="AN402">
        <f>1+COUNTIF(bounds,"&lt;"&amp;ROUND(AM402,12))</f>
        <v/>
      </c>
      <c r="AO402">
        <f>IF(AK402=1,AD402,NA())</f>
        <v/>
      </c>
      <c r="AP402">
        <f>IF(AK402=0,AD402,NA())</f>
        <v/>
      </c>
    </row>
    <row r="403">
      <c r="A403" t="n">
        <v>395</v>
      </c>
      <c r="B403" t="n">
        <v>3</v>
      </c>
      <c r="C403" t="n">
        <v>3</v>
      </c>
      <c r="D403" t="n">
        <v>4</v>
      </c>
      <c r="E403" t="n">
        <v>3</v>
      </c>
      <c r="F403" t="n">
        <v>2</v>
      </c>
      <c r="G403" t="n">
        <v>5</v>
      </c>
      <c r="H403" t="n">
        <v>4</v>
      </c>
      <c r="I403" t="n">
        <v>1</v>
      </c>
      <c r="J403" t="n">
        <v>4</v>
      </c>
      <c r="K403" t="n">
        <v>5</v>
      </c>
      <c r="L403" t="n">
        <v>3</v>
      </c>
      <c r="M403" t="n">
        <v>3</v>
      </c>
      <c r="N403" t="n">
        <v>3</v>
      </c>
      <c r="O403" t="n">
        <v>3</v>
      </c>
      <c r="P403" t="n">
        <v>3</v>
      </c>
      <c r="Q403" t="n">
        <v>5</v>
      </c>
      <c r="R403" t="n">
        <v>2</v>
      </c>
      <c r="S403" t="n">
        <v>1</v>
      </c>
      <c r="T403" t="n">
        <v>4</v>
      </c>
      <c r="U403" t="n">
        <v>4</v>
      </c>
      <c r="V403" t="n">
        <v>1</v>
      </c>
      <c r="W403">
        <f>(AVERAGE(B403:D403)-1)/4</f>
        <v/>
      </c>
      <c r="X403">
        <f>(AVERAGE(E403:G403)-1)/4</f>
        <v/>
      </c>
      <c r="Y403">
        <f>(AVERAGE(H403:J403)-1)/4</f>
        <v/>
      </c>
      <c r="Z403">
        <f>(AVERAGE(K403:M403)-1)/4</f>
        <v/>
      </c>
      <c r="AA403">
        <f>(AVERAGE(N403:P403)-1)/4</f>
        <v/>
      </c>
      <c r="AB403">
        <f>(AVERAGE(Q403:S403)-1)/4</f>
        <v/>
      </c>
      <c r="AC403">
        <f>(AVERAGE(T403:V403)-1)/4</f>
        <v/>
      </c>
      <c r="AD403">
        <f>AVERAGE(W403:AA403)</f>
        <v/>
      </c>
      <c r="AE403">
        <f>MIN(W403:AA403)</f>
        <v/>
      </c>
      <c r="AF403">
        <f>1-alpha*MAX(0,delta-AE403)</f>
        <v/>
      </c>
      <c r="AG403">
        <f>AD403*AF403</f>
        <v/>
      </c>
      <c r="AH403">
        <f>1+COUNTIF(bounds,"&lt;"&amp;ROUND(AD403,12))</f>
        <v/>
      </c>
      <c r="AI403">
        <f>1+COUNTIF(bounds,"&lt;"&amp;ROUND(AG403,12))</f>
        <v/>
      </c>
      <c r="AJ403">
        <f>IF(AF403&lt;1,1,0)</f>
        <v/>
      </c>
      <c r="AK403">
        <f>IF(AH403&lt;&gt;AI403,1,0)</f>
        <v/>
      </c>
      <c r="AL403">
        <f>IF(AND(AI403&gt;=3,AB403&lt;=0.2),1,0)</f>
        <v/>
      </c>
      <c r="AM403">
        <f>AVERAGE(W403:AB403)</f>
        <v/>
      </c>
      <c r="AN403">
        <f>1+COUNTIF(bounds,"&lt;"&amp;ROUND(AM403,12))</f>
        <v/>
      </c>
      <c r="AO403">
        <f>IF(AK403=1,AD403,NA())</f>
        <v/>
      </c>
      <c r="AP403">
        <f>IF(AK403=0,AD403,NA())</f>
        <v/>
      </c>
    </row>
    <row r="404">
      <c r="A404" t="n">
        <v>396</v>
      </c>
      <c r="B404" t="n">
        <v>2</v>
      </c>
      <c r="C404" t="n">
        <v>5</v>
      </c>
      <c r="D404" t="n">
        <v>4</v>
      </c>
      <c r="E404" t="n">
        <v>1</v>
      </c>
      <c r="F404" t="n">
        <v>4</v>
      </c>
      <c r="G404" t="n">
        <v>4</v>
      </c>
      <c r="H404" t="n">
        <v>3</v>
      </c>
      <c r="I404" t="n">
        <v>2</v>
      </c>
      <c r="J404" t="n">
        <v>4</v>
      </c>
      <c r="K404" t="n">
        <v>4</v>
      </c>
      <c r="L404" t="n">
        <v>2</v>
      </c>
      <c r="M404" t="n">
        <v>2</v>
      </c>
      <c r="N404" t="n">
        <v>2</v>
      </c>
      <c r="O404" t="n">
        <v>5</v>
      </c>
      <c r="P404" t="n">
        <v>1</v>
      </c>
      <c r="Q404" t="n">
        <v>1</v>
      </c>
      <c r="R404" t="n">
        <v>2</v>
      </c>
      <c r="S404" t="n">
        <v>5</v>
      </c>
      <c r="T404" t="n">
        <v>1</v>
      </c>
      <c r="U404" t="n">
        <v>3</v>
      </c>
      <c r="V404" t="n">
        <v>1</v>
      </c>
      <c r="W404">
        <f>(AVERAGE(B404:D404)-1)/4</f>
        <v/>
      </c>
      <c r="X404">
        <f>(AVERAGE(E404:G404)-1)/4</f>
        <v/>
      </c>
      <c r="Y404">
        <f>(AVERAGE(H404:J404)-1)/4</f>
        <v/>
      </c>
      <c r="Z404">
        <f>(AVERAGE(K404:M404)-1)/4</f>
        <v/>
      </c>
      <c r="AA404">
        <f>(AVERAGE(N404:P404)-1)/4</f>
        <v/>
      </c>
      <c r="AB404">
        <f>(AVERAGE(Q404:S404)-1)/4</f>
        <v/>
      </c>
      <c r="AC404">
        <f>(AVERAGE(T404:V404)-1)/4</f>
        <v/>
      </c>
      <c r="AD404">
        <f>AVERAGE(W404:AA404)</f>
        <v/>
      </c>
      <c r="AE404">
        <f>MIN(W404:AA404)</f>
        <v/>
      </c>
      <c r="AF404">
        <f>1-alpha*MAX(0,delta-AE404)</f>
        <v/>
      </c>
      <c r="AG404">
        <f>AD404*AF404</f>
        <v/>
      </c>
      <c r="AH404">
        <f>1+COUNTIF(bounds,"&lt;"&amp;ROUND(AD404,12))</f>
        <v/>
      </c>
      <c r="AI404">
        <f>1+COUNTIF(bounds,"&lt;"&amp;ROUND(AG404,12))</f>
        <v/>
      </c>
      <c r="AJ404">
        <f>IF(AF404&lt;1,1,0)</f>
        <v/>
      </c>
      <c r="AK404">
        <f>IF(AH404&lt;&gt;AI404,1,0)</f>
        <v/>
      </c>
      <c r="AL404">
        <f>IF(AND(AI404&gt;=3,AB404&lt;=0.2),1,0)</f>
        <v/>
      </c>
      <c r="AM404">
        <f>AVERAGE(W404:AB404)</f>
        <v/>
      </c>
      <c r="AN404">
        <f>1+COUNTIF(bounds,"&lt;"&amp;ROUND(AM404,12))</f>
        <v/>
      </c>
      <c r="AO404">
        <f>IF(AK404=1,AD404,NA())</f>
        <v/>
      </c>
      <c r="AP404">
        <f>IF(AK404=0,AD404,NA())</f>
        <v/>
      </c>
    </row>
    <row r="405">
      <c r="A405" t="n">
        <v>397</v>
      </c>
      <c r="B405" t="n">
        <v>4</v>
      </c>
      <c r="C405" t="n">
        <v>1</v>
      </c>
      <c r="D405" t="n">
        <v>2</v>
      </c>
      <c r="E405" t="n">
        <v>5</v>
      </c>
      <c r="F405" t="n">
        <v>3</v>
      </c>
      <c r="G405" t="n">
        <v>1</v>
      </c>
      <c r="H405" t="n">
        <v>2</v>
      </c>
      <c r="I405" t="n">
        <v>3</v>
      </c>
      <c r="J405" t="n">
        <v>4</v>
      </c>
      <c r="K405" t="n">
        <v>2</v>
      </c>
      <c r="L405" t="n">
        <v>3</v>
      </c>
      <c r="M405" t="n">
        <v>5</v>
      </c>
      <c r="N405" t="n">
        <v>2</v>
      </c>
      <c r="O405" t="n">
        <v>5</v>
      </c>
      <c r="P405" t="n">
        <v>1</v>
      </c>
      <c r="Q405" t="n">
        <v>1</v>
      </c>
      <c r="R405" t="n">
        <v>1</v>
      </c>
      <c r="S405" t="n">
        <v>2</v>
      </c>
      <c r="T405" t="n">
        <v>4</v>
      </c>
      <c r="U405" t="n">
        <v>1</v>
      </c>
      <c r="V405" t="n">
        <v>1</v>
      </c>
      <c r="W405">
        <f>(AVERAGE(B405:D405)-1)/4</f>
        <v/>
      </c>
      <c r="X405">
        <f>(AVERAGE(E405:G405)-1)/4</f>
        <v/>
      </c>
      <c r="Y405">
        <f>(AVERAGE(H405:J405)-1)/4</f>
        <v/>
      </c>
      <c r="Z405">
        <f>(AVERAGE(K405:M405)-1)/4</f>
        <v/>
      </c>
      <c r="AA405">
        <f>(AVERAGE(N405:P405)-1)/4</f>
        <v/>
      </c>
      <c r="AB405">
        <f>(AVERAGE(Q405:S405)-1)/4</f>
        <v/>
      </c>
      <c r="AC405">
        <f>(AVERAGE(T405:V405)-1)/4</f>
        <v/>
      </c>
      <c r="AD405">
        <f>AVERAGE(W405:AA405)</f>
        <v/>
      </c>
      <c r="AE405">
        <f>MIN(W405:AA405)</f>
        <v/>
      </c>
      <c r="AF405">
        <f>1-alpha*MAX(0,delta-AE405)</f>
        <v/>
      </c>
      <c r="AG405">
        <f>AD405*AF405</f>
        <v/>
      </c>
      <c r="AH405">
        <f>1+COUNTIF(bounds,"&lt;"&amp;ROUND(AD405,12))</f>
        <v/>
      </c>
      <c r="AI405">
        <f>1+COUNTIF(bounds,"&lt;"&amp;ROUND(AG405,12))</f>
        <v/>
      </c>
      <c r="AJ405">
        <f>IF(AF405&lt;1,1,0)</f>
        <v/>
      </c>
      <c r="AK405">
        <f>IF(AH405&lt;&gt;AI405,1,0)</f>
        <v/>
      </c>
      <c r="AL405">
        <f>IF(AND(AI405&gt;=3,AB405&lt;=0.2),1,0)</f>
        <v/>
      </c>
      <c r="AM405">
        <f>AVERAGE(W405:AB405)</f>
        <v/>
      </c>
      <c r="AN405">
        <f>1+COUNTIF(bounds,"&lt;"&amp;ROUND(AM405,12))</f>
        <v/>
      </c>
      <c r="AO405">
        <f>IF(AK405=1,AD405,NA())</f>
        <v/>
      </c>
      <c r="AP405">
        <f>IF(AK405=0,AD405,NA())</f>
        <v/>
      </c>
    </row>
    <row r="406">
      <c r="A406" t="n">
        <v>398</v>
      </c>
      <c r="B406" t="n">
        <v>2</v>
      </c>
      <c r="C406" t="n">
        <v>4</v>
      </c>
      <c r="D406" t="n">
        <v>1</v>
      </c>
      <c r="E406" t="n">
        <v>3</v>
      </c>
      <c r="F406" t="n">
        <v>1</v>
      </c>
      <c r="G406" t="n">
        <v>4</v>
      </c>
      <c r="H406" t="n">
        <v>3</v>
      </c>
      <c r="I406" t="n">
        <v>3</v>
      </c>
      <c r="J406" t="n">
        <v>4</v>
      </c>
      <c r="K406" t="n">
        <v>4</v>
      </c>
      <c r="L406" t="n">
        <v>2</v>
      </c>
      <c r="M406" t="n">
        <v>1</v>
      </c>
      <c r="N406" t="n">
        <v>4</v>
      </c>
      <c r="O406" t="n">
        <v>5</v>
      </c>
      <c r="P406" t="n">
        <v>1</v>
      </c>
      <c r="Q406" t="n">
        <v>5</v>
      </c>
      <c r="R406" t="n">
        <v>4</v>
      </c>
      <c r="S406" t="n">
        <v>1</v>
      </c>
      <c r="T406" t="n">
        <v>3</v>
      </c>
      <c r="U406" t="n">
        <v>2</v>
      </c>
      <c r="V406" t="n">
        <v>5</v>
      </c>
      <c r="W406">
        <f>(AVERAGE(B406:D406)-1)/4</f>
        <v/>
      </c>
      <c r="X406">
        <f>(AVERAGE(E406:G406)-1)/4</f>
        <v/>
      </c>
      <c r="Y406">
        <f>(AVERAGE(H406:J406)-1)/4</f>
        <v/>
      </c>
      <c r="Z406">
        <f>(AVERAGE(K406:M406)-1)/4</f>
        <v/>
      </c>
      <c r="AA406">
        <f>(AVERAGE(N406:P406)-1)/4</f>
        <v/>
      </c>
      <c r="AB406">
        <f>(AVERAGE(Q406:S406)-1)/4</f>
        <v/>
      </c>
      <c r="AC406">
        <f>(AVERAGE(T406:V406)-1)/4</f>
        <v/>
      </c>
      <c r="AD406">
        <f>AVERAGE(W406:AA406)</f>
        <v/>
      </c>
      <c r="AE406">
        <f>MIN(W406:AA406)</f>
        <v/>
      </c>
      <c r="AF406">
        <f>1-alpha*MAX(0,delta-AE406)</f>
        <v/>
      </c>
      <c r="AG406">
        <f>AD406*AF406</f>
        <v/>
      </c>
      <c r="AH406">
        <f>1+COUNTIF(bounds,"&lt;"&amp;ROUND(AD406,12))</f>
        <v/>
      </c>
      <c r="AI406">
        <f>1+COUNTIF(bounds,"&lt;"&amp;ROUND(AG406,12))</f>
        <v/>
      </c>
      <c r="AJ406">
        <f>IF(AF406&lt;1,1,0)</f>
        <v/>
      </c>
      <c r="AK406">
        <f>IF(AH406&lt;&gt;AI406,1,0)</f>
        <v/>
      </c>
      <c r="AL406">
        <f>IF(AND(AI406&gt;=3,AB406&lt;=0.2),1,0)</f>
        <v/>
      </c>
      <c r="AM406">
        <f>AVERAGE(W406:AB406)</f>
        <v/>
      </c>
      <c r="AN406">
        <f>1+COUNTIF(bounds,"&lt;"&amp;ROUND(AM406,12))</f>
        <v/>
      </c>
      <c r="AO406">
        <f>IF(AK406=1,AD406,NA())</f>
        <v/>
      </c>
      <c r="AP406">
        <f>IF(AK406=0,AD406,NA())</f>
        <v/>
      </c>
    </row>
    <row r="407">
      <c r="A407" t="n">
        <v>399</v>
      </c>
      <c r="B407" t="n">
        <v>1</v>
      </c>
      <c r="C407" t="n">
        <v>4</v>
      </c>
      <c r="D407" t="n">
        <v>2</v>
      </c>
      <c r="E407" t="n">
        <v>1</v>
      </c>
      <c r="F407" t="n">
        <v>5</v>
      </c>
      <c r="G407" t="n">
        <v>5</v>
      </c>
      <c r="H407" t="n">
        <v>3</v>
      </c>
      <c r="I407" t="n">
        <v>3</v>
      </c>
      <c r="J407" t="n">
        <v>2</v>
      </c>
      <c r="K407" t="n">
        <v>5</v>
      </c>
      <c r="L407" t="n">
        <v>2</v>
      </c>
      <c r="M407" t="n">
        <v>1</v>
      </c>
      <c r="N407" t="n">
        <v>1</v>
      </c>
      <c r="O407" t="n">
        <v>3</v>
      </c>
      <c r="P407" t="n">
        <v>1</v>
      </c>
      <c r="Q407" t="n">
        <v>4</v>
      </c>
      <c r="R407" t="n">
        <v>3</v>
      </c>
      <c r="S407" t="n">
        <v>4</v>
      </c>
      <c r="T407" t="n">
        <v>1</v>
      </c>
      <c r="U407" t="n">
        <v>3</v>
      </c>
      <c r="V407" t="n">
        <v>1</v>
      </c>
      <c r="W407">
        <f>(AVERAGE(B407:D407)-1)/4</f>
        <v/>
      </c>
      <c r="X407">
        <f>(AVERAGE(E407:G407)-1)/4</f>
        <v/>
      </c>
      <c r="Y407">
        <f>(AVERAGE(H407:J407)-1)/4</f>
        <v/>
      </c>
      <c r="Z407">
        <f>(AVERAGE(K407:M407)-1)/4</f>
        <v/>
      </c>
      <c r="AA407">
        <f>(AVERAGE(N407:P407)-1)/4</f>
        <v/>
      </c>
      <c r="AB407">
        <f>(AVERAGE(Q407:S407)-1)/4</f>
        <v/>
      </c>
      <c r="AC407">
        <f>(AVERAGE(T407:V407)-1)/4</f>
        <v/>
      </c>
      <c r="AD407">
        <f>AVERAGE(W407:AA407)</f>
        <v/>
      </c>
      <c r="AE407">
        <f>MIN(W407:AA407)</f>
        <v/>
      </c>
      <c r="AF407">
        <f>1-alpha*MAX(0,delta-AE407)</f>
        <v/>
      </c>
      <c r="AG407">
        <f>AD407*AF407</f>
        <v/>
      </c>
      <c r="AH407">
        <f>1+COUNTIF(bounds,"&lt;"&amp;ROUND(AD407,12))</f>
        <v/>
      </c>
      <c r="AI407">
        <f>1+COUNTIF(bounds,"&lt;"&amp;ROUND(AG407,12))</f>
        <v/>
      </c>
      <c r="AJ407">
        <f>IF(AF407&lt;1,1,0)</f>
        <v/>
      </c>
      <c r="AK407">
        <f>IF(AH407&lt;&gt;AI407,1,0)</f>
        <v/>
      </c>
      <c r="AL407">
        <f>IF(AND(AI407&gt;=3,AB407&lt;=0.2),1,0)</f>
        <v/>
      </c>
      <c r="AM407">
        <f>AVERAGE(W407:AB407)</f>
        <v/>
      </c>
      <c r="AN407">
        <f>1+COUNTIF(bounds,"&lt;"&amp;ROUND(AM407,12))</f>
        <v/>
      </c>
      <c r="AO407">
        <f>IF(AK407=1,AD407,NA())</f>
        <v/>
      </c>
      <c r="AP407">
        <f>IF(AK407=0,AD407,NA())</f>
        <v/>
      </c>
    </row>
    <row r="408">
      <c r="A408" t="n">
        <v>400</v>
      </c>
      <c r="B408" t="n">
        <v>2</v>
      </c>
      <c r="C408" t="n">
        <v>1</v>
      </c>
      <c r="D408" t="n">
        <v>1</v>
      </c>
      <c r="E408" t="n">
        <v>3</v>
      </c>
      <c r="F408" t="n">
        <v>1</v>
      </c>
      <c r="G408" t="n">
        <v>4</v>
      </c>
      <c r="H408" t="n">
        <v>4</v>
      </c>
      <c r="I408" t="n">
        <v>4</v>
      </c>
      <c r="J408" t="n">
        <v>3</v>
      </c>
      <c r="K408" t="n">
        <v>4</v>
      </c>
      <c r="L408" t="n">
        <v>3</v>
      </c>
      <c r="M408" t="n">
        <v>2</v>
      </c>
      <c r="N408" t="n">
        <v>2</v>
      </c>
      <c r="O408" t="n">
        <v>3</v>
      </c>
      <c r="P408" t="n">
        <v>2</v>
      </c>
      <c r="Q408" t="n">
        <v>3</v>
      </c>
      <c r="R408" t="n">
        <v>4</v>
      </c>
      <c r="S408" t="n">
        <v>2</v>
      </c>
      <c r="T408" t="n">
        <v>1</v>
      </c>
      <c r="U408" t="n">
        <v>2</v>
      </c>
      <c r="V408" t="n">
        <v>4</v>
      </c>
      <c r="W408">
        <f>(AVERAGE(B408:D408)-1)/4</f>
        <v/>
      </c>
      <c r="X408">
        <f>(AVERAGE(E408:G408)-1)/4</f>
        <v/>
      </c>
      <c r="Y408">
        <f>(AVERAGE(H408:J408)-1)/4</f>
        <v/>
      </c>
      <c r="Z408">
        <f>(AVERAGE(K408:M408)-1)/4</f>
        <v/>
      </c>
      <c r="AA408">
        <f>(AVERAGE(N408:P408)-1)/4</f>
        <v/>
      </c>
      <c r="AB408">
        <f>(AVERAGE(Q408:S408)-1)/4</f>
        <v/>
      </c>
      <c r="AC408">
        <f>(AVERAGE(T408:V408)-1)/4</f>
        <v/>
      </c>
      <c r="AD408">
        <f>AVERAGE(W408:AA408)</f>
        <v/>
      </c>
      <c r="AE408">
        <f>MIN(W408:AA408)</f>
        <v/>
      </c>
      <c r="AF408">
        <f>1-alpha*MAX(0,delta-AE408)</f>
        <v/>
      </c>
      <c r="AG408">
        <f>AD408*AF408</f>
        <v/>
      </c>
      <c r="AH408">
        <f>1+COUNTIF(bounds,"&lt;"&amp;ROUND(AD408,12))</f>
        <v/>
      </c>
      <c r="AI408">
        <f>1+COUNTIF(bounds,"&lt;"&amp;ROUND(AG408,12))</f>
        <v/>
      </c>
      <c r="AJ408">
        <f>IF(AF408&lt;1,1,0)</f>
        <v/>
      </c>
      <c r="AK408">
        <f>IF(AH408&lt;&gt;AI408,1,0)</f>
        <v/>
      </c>
      <c r="AL408">
        <f>IF(AND(AI408&gt;=3,AB408&lt;=0.2),1,0)</f>
        <v/>
      </c>
      <c r="AM408">
        <f>AVERAGE(W408:AB408)</f>
        <v/>
      </c>
      <c r="AN408">
        <f>1+COUNTIF(bounds,"&lt;"&amp;ROUND(AM408,12))</f>
        <v/>
      </c>
      <c r="AO408">
        <f>IF(AK408=1,AD408,NA())</f>
        <v/>
      </c>
      <c r="AP408">
        <f>IF(AK408=0,AD408,NA())</f>
        <v/>
      </c>
    </row>
    <row r="409">
      <c r="A409" t="n">
        <v>401</v>
      </c>
      <c r="B409" t="n">
        <v>3</v>
      </c>
      <c r="C409" t="n">
        <v>3</v>
      </c>
      <c r="D409" t="n">
        <v>5</v>
      </c>
      <c r="E409" t="n">
        <v>4</v>
      </c>
      <c r="F409" t="n">
        <v>2</v>
      </c>
      <c r="G409" t="n">
        <v>5</v>
      </c>
      <c r="H409" t="n">
        <v>2</v>
      </c>
      <c r="I409" t="n">
        <v>5</v>
      </c>
      <c r="J409" t="n">
        <v>4</v>
      </c>
      <c r="K409" t="n">
        <v>2</v>
      </c>
      <c r="L409" t="n">
        <v>2</v>
      </c>
      <c r="M409" t="n">
        <v>4</v>
      </c>
      <c r="N409" t="n">
        <v>1</v>
      </c>
      <c r="O409" t="n">
        <v>2</v>
      </c>
      <c r="P409" t="n">
        <v>3</v>
      </c>
      <c r="Q409" t="n">
        <v>5</v>
      </c>
      <c r="R409" t="n">
        <v>1</v>
      </c>
      <c r="S409" t="n">
        <v>2</v>
      </c>
      <c r="T409" t="n">
        <v>4</v>
      </c>
      <c r="U409" t="n">
        <v>5</v>
      </c>
      <c r="V409" t="n">
        <v>3</v>
      </c>
      <c r="W409">
        <f>(AVERAGE(B409:D409)-1)/4</f>
        <v/>
      </c>
      <c r="X409">
        <f>(AVERAGE(E409:G409)-1)/4</f>
        <v/>
      </c>
      <c r="Y409">
        <f>(AVERAGE(H409:J409)-1)/4</f>
        <v/>
      </c>
      <c r="Z409">
        <f>(AVERAGE(K409:M409)-1)/4</f>
        <v/>
      </c>
      <c r="AA409">
        <f>(AVERAGE(N409:P409)-1)/4</f>
        <v/>
      </c>
      <c r="AB409">
        <f>(AVERAGE(Q409:S409)-1)/4</f>
        <v/>
      </c>
      <c r="AC409">
        <f>(AVERAGE(T409:V409)-1)/4</f>
        <v/>
      </c>
      <c r="AD409">
        <f>AVERAGE(W409:AA409)</f>
        <v/>
      </c>
      <c r="AE409">
        <f>MIN(W409:AA409)</f>
        <v/>
      </c>
      <c r="AF409">
        <f>1-alpha*MAX(0,delta-AE409)</f>
        <v/>
      </c>
      <c r="AG409">
        <f>AD409*AF409</f>
        <v/>
      </c>
      <c r="AH409">
        <f>1+COUNTIF(bounds,"&lt;"&amp;ROUND(AD409,12))</f>
        <v/>
      </c>
      <c r="AI409">
        <f>1+COUNTIF(bounds,"&lt;"&amp;ROUND(AG409,12))</f>
        <v/>
      </c>
      <c r="AJ409">
        <f>IF(AF409&lt;1,1,0)</f>
        <v/>
      </c>
      <c r="AK409">
        <f>IF(AH409&lt;&gt;AI409,1,0)</f>
        <v/>
      </c>
      <c r="AL409">
        <f>IF(AND(AI409&gt;=3,AB409&lt;=0.2),1,0)</f>
        <v/>
      </c>
      <c r="AM409">
        <f>AVERAGE(W409:AB409)</f>
        <v/>
      </c>
      <c r="AN409">
        <f>1+COUNTIF(bounds,"&lt;"&amp;ROUND(AM409,12))</f>
        <v/>
      </c>
      <c r="AO409">
        <f>IF(AK409=1,AD409,NA())</f>
        <v/>
      </c>
      <c r="AP409">
        <f>IF(AK409=0,AD409,NA())</f>
        <v/>
      </c>
    </row>
    <row r="410">
      <c r="A410" t="n">
        <v>402</v>
      </c>
      <c r="B410" t="n">
        <v>4</v>
      </c>
      <c r="C410" t="n">
        <v>2</v>
      </c>
      <c r="D410" t="n">
        <v>4</v>
      </c>
      <c r="E410" t="n">
        <v>1</v>
      </c>
      <c r="F410" t="n">
        <v>4</v>
      </c>
      <c r="G410" t="n">
        <v>1</v>
      </c>
      <c r="H410" t="n">
        <v>1</v>
      </c>
      <c r="I410" t="n">
        <v>5</v>
      </c>
      <c r="J410" t="n">
        <v>5</v>
      </c>
      <c r="K410" t="n">
        <v>1</v>
      </c>
      <c r="L410" t="n">
        <v>5</v>
      </c>
      <c r="M410" t="n">
        <v>1</v>
      </c>
      <c r="N410" t="n">
        <v>3</v>
      </c>
      <c r="O410" t="n">
        <v>1</v>
      </c>
      <c r="P410" t="n">
        <v>2</v>
      </c>
      <c r="Q410" t="n">
        <v>4</v>
      </c>
      <c r="R410" t="n">
        <v>3</v>
      </c>
      <c r="S410" t="n">
        <v>1</v>
      </c>
      <c r="T410" t="n">
        <v>1</v>
      </c>
      <c r="U410" t="n">
        <v>3</v>
      </c>
      <c r="V410" t="n">
        <v>4</v>
      </c>
      <c r="W410">
        <f>(AVERAGE(B410:D410)-1)/4</f>
        <v/>
      </c>
      <c r="X410">
        <f>(AVERAGE(E410:G410)-1)/4</f>
        <v/>
      </c>
      <c r="Y410">
        <f>(AVERAGE(H410:J410)-1)/4</f>
        <v/>
      </c>
      <c r="Z410">
        <f>(AVERAGE(K410:M410)-1)/4</f>
        <v/>
      </c>
      <c r="AA410">
        <f>(AVERAGE(N410:P410)-1)/4</f>
        <v/>
      </c>
      <c r="AB410">
        <f>(AVERAGE(Q410:S410)-1)/4</f>
        <v/>
      </c>
      <c r="AC410">
        <f>(AVERAGE(T410:V410)-1)/4</f>
        <v/>
      </c>
      <c r="AD410">
        <f>AVERAGE(W410:AA410)</f>
        <v/>
      </c>
      <c r="AE410">
        <f>MIN(W410:AA410)</f>
        <v/>
      </c>
      <c r="AF410">
        <f>1-alpha*MAX(0,delta-AE410)</f>
        <v/>
      </c>
      <c r="AG410">
        <f>AD410*AF410</f>
        <v/>
      </c>
      <c r="AH410">
        <f>1+COUNTIF(bounds,"&lt;"&amp;ROUND(AD410,12))</f>
        <v/>
      </c>
      <c r="AI410">
        <f>1+COUNTIF(bounds,"&lt;"&amp;ROUND(AG410,12))</f>
        <v/>
      </c>
      <c r="AJ410">
        <f>IF(AF410&lt;1,1,0)</f>
        <v/>
      </c>
      <c r="AK410">
        <f>IF(AH410&lt;&gt;AI410,1,0)</f>
        <v/>
      </c>
      <c r="AL410">
        <f>IF(AND(AI410&gt;=3,AB410&lt;=0.2),1,0)</f>
        <v/>
      </c>
      <c r="AM410">
        <f>AVERAGE(W410:AB410)</f>
        <v/>
      </c>
      <c r="AN410">
        <f>1+COUNTIF(bounds,"&lt;"&amp;ROUND(AM410,12))</f>
        <v/>
      </c>
      <c r="AO410">
        <f>IF(AK410=1,AD410,NA())</f>
        <v/>
      </c>
      <c r="AP410">
        <f>IF(AK410=0,AD410,NA())</f>
        <v/>
      </c>
    </row>
    <row r="411">
      <c r="A411" t="n">
        <v>403</v>
      </c>
      <c r="B411" t="n">
        <v>1</v>
      </c>
      <c r="C411" t="n">
        <v>4</v>
      </c>
      <c r="D411" t="n">
        <v>2</v>
      </c>
      <c r="E411" t="n">
        <v>2</v>
      </c>
      <c r="F411" t="n">
        <v>2</v>
      </c>
      <c r="G411" t="n">
        <v>1</v>
      </c>
      <c r="H411" t="n">
        <v>2</v>
      </c>
      <c r="I411" t="n">
        <v>2</v>
      </c>
      <c r="J411" t="n">
        <v>4</v>
      </c>
      <c r="K411" t="n">
        <v>2</v>
      </c>
      <c r="L411" t="n">
        <v>2</v>
      </c>
      <c r="M411" t="n">
        <v>2</v>
      </c>
      <c r="N411" t="n">
        <v>5</v>
      </c>
      <c r="O411" t="n">
        <v>4</v>
      </c>
      <c r="P411" t="n">
        <v>1</v>
      </c>
      <c r="Q411" t="n">
        <v>1</v>
      </c>
      <c r="R411" t="n">
        <v>3</v>
      </c>
      <c r="S411" t="n">
        <v>4</v>
      </c>
      <c r="T411" t="n">
        <v>5</v>
      </c>
      <c r="U411" t="n">
        <v>3</v>
      </c>
      <c r="V411" t="n">
        <v>5</v>
      </c>
      <c r="W411">
        <f>(AVERAGE(B411:D411)-1)/4</f>
        <v/>
      </c>
      <c r="X411">
        <f>(AVERAGE(E411:G411)-1)/4</f>
        <v/>
      </c>
      <c r="Y411">
        <f>(AVERAGE(H411:J411)-1)/4</f>
        <v/>
      </c>
      <c r="Z411">
        <f>(AVERAGE(K411:M411)-1)/4</f>
        <v/>
      </c>
      <c r="AA411">
        <f>(AVERAGE(N411:P411)-1)/4</f>
        <v/>
      </c>
      <c r="AB411">
        <f>(AVERAGE(Q411:S411)-1)/4</f>
        <v/>
      </c>
      <c r="AC411">
        <f>(AVERAGE(T411:V411)-1)/4</f>
        <v/>
      </c>
      <c r="AD411">
        <f>AVERAGE(W411:AA411)</f>
        <v/>
      </c>
      <c r="AE411">
        <f>MIN(W411:AA411)</f>
        <v/>
      </c>
      <c r="AF411">
        <f>1-alpha*MAX(0,delta-AE411)</f>
        <v/>
      </c>
      <c r="AG411">
        <f>AD411*AF411</f>
        <v/>
      </c>
      <c r="AH411">
        <f>1+COUNTIF(bounds,"&lt;"&amp;ROUND(AD411,12))</f>
        <v/>
      </c>
      <c r="AI411">
        <f>1+COUNTIF(bounds,"&lt;"&amp;ROUND(AG411,12))</f>
        <v/>
      </c>
      <c r="AJ411">
        <f>IF(AF411&lt;1,1,0)</f>
        <v/>
      </c>
      <c r="AK411">
        <f>IF(AH411&lt;&gt;AI411,1,0)</f>
        <v/>
      </c>
      <c r="AL411">
        <f>IF(AND(AI411&gt;=3,AB411&lt;=0.2),1,0)</f>
        <v/>
      </c>
      <c r="AM411">
        <f>AVERAGE(W411:AB411)</f>
        <v/>
      </c>
      <c r="AN411">
        <f>1+COUNTIF(bounds,"&lt;"&amp;ROUND(AM411,12))</f>
        <v/>
      </c>
      <c r="AO411">
        <f>IF(AK411=1,AD411,NA())</f>
        <v/>
      </c>
      <c r="AP411">
        <f>IF(AK411=0,AD411,NA())</f>
        <v/>
      </c>
    </row>
    <row r="412">
      <c r="A412" t="n">
        <v>404</v>
      </c>
      <c r="B412" t="n">
        <v>4</v>
      </c>
      <c r="C412" t="n">
        <v>5</v>
      </c>
      <c r="D412" t="n">
        <v>5</v>
      </c>
      <c r="E412" t="n">
        <v>4</v>
      </c>
      <c r="F412" t="n">
        <v>3</v>
      </c>
      <c r="G412" t="n">
        <v>3</v>
      </c>
      <c r="H412" t="n">
        <v>1</v>
      </c>
      <c r="I412" t="n">
        <v>4</v>
      </c>
      <c r="J412" t="n">
        <v>3</v>
      </c>
      <c r="K412" t="n">
        <v>5</v>
      </c>
      <c r="L412" t="n">
        <v>2</v>
      </c>
      <c r="M412" t="n">
        <v>4</v>
      </c>
      <c r="N412" t="n">
        <v>3</v>
      </c>
      <c r="O412" t="n">
        <v>4</v>
      </c>
      <c r="P412" t="n">
        <v>2</v>
      </c>
      <c r="Q412" t="n">
        <v>3</v>
      </c>
      <c r="R412" t="n">
        <v>4</v>
      </c>
      <c r="S412" t="n">
        <v>2</v>
      </c>
      <c r="T412" t="n">
        <v>3</v>
      </c>
      <c r="U412" t="n">
        <v>2</v>
      </c>
      <c r="V412" t="n">
        <v>5</v>
      </c>
      <c r="W412">
        <f>(AVERAGE(B412:D412)-1)/4</f>
        <v/>
      </c>
      <c r="X412">
        <f>(AVERAGE(E412:G412)-1)/4</f>
        <v/>
      </c>
      <c r="Y412">
        <f>(AVERAGE(H412:J412)-1)/4</f>
        <v/>
      </c>
      <c r="Z412">
        <f>(AVERAGE(K412:M412)-1)/4</f>
        <v/>
      </c>
      <c r="AA412">
        <f>(AVERAGE(N412:P412)-1)/4</f>
        <v/>
      </c>
      <c r="AB412">
        <f>(AVERAGE(Q412:S412)-1)/4</f>
        <v/>
      </c>
      <c r="AC412">
        <f>(AVERAGE(T412:V412)-1)/4</f>
        <v/>
      </c>
      <c r="AD412">
        <f>AVERAGE(W412:AA412)</f>
        <v/>
      </c>
      <c r="AE412">
        <f>MIN(W412:AA412)</f>
        <v/>
      </c>
      <c r="AF412">
        <f>1-alpha*MAX(0,delta-AE412)</f>
        <v/>
      </c>
      <c r="AG412">
        <f>AD412*AF412</f>
        <v/>
      </c>
      <c r="AH412">
        <f>1+COUNTIF(bounds,"&lt;"&amp;ROUND(AD412,12))</f>
        <v/>
      </c>
      <c r="AI412">
        <f>1+COUNTIF(bounds,"&lt;"&amp;ROUND(AG412,12))</f>
        <v/>
      </c>
      <c r="AJ412">
        <f>IF(AF412&lt;1,1,0)</f>
        <v/>
      </c>
      <c r="AK412">
        <f>IF(AH412&lt;&gt;AI412,1,0)</f>
        <v/>
      </c>
      <c r="AL412">
        <f>IF(AND(AI412&gt;=3,AB412&lt;=0.2),1,0)</f>
        <v/>
      </c>
      <c r="AM412">
        <f>AVERAGE(W412:AB412)</f>
        <v/>
      </c>
      <c r="AN412">
        <f>1+COUNTIF(bounds,"&lt;"&amp;ROUND(AM412,12))</f>
        <v/>
      </c>
      <c r="AO412">
        <f>IF(AK412=1,AD412,NA())</f>
        <v/>
      </c>
      <c r="AP412">
        <f>IF(AK412=0,AD412,NA())</f>
        <v/>
      </c>
    </row>
    <row r="413">
      <c r="A413" t="n">
        <v>405</v>
      </c>
      <c r="B413" t="n">
        <v>3</v>
      </c>
      <c r="C413" t="n">
        <v>1</v>
      </c>
      <c r="D413" t="n">
        <v>1</v>
      </c>
      <c r="E413" t="n">
        <v>5</v>
      </c>
      <c r="F413" t="n">
        <v>3</v>
      </c>
      <c r="G413" t="n">
        <v>1</v>
      </c>
      <c r="H413" t="n">
        <v>4</v>
      </c>
      <c r="I413" t="n">
        <v>5</v>
      </c>
      <c r="J413" t="n">
        <v>1</v>
      </c>
      <c r="K413" t="n">
        <v>2</v>
      </c>
      <c r="L413" t="n">
        <v>2</v>
      </c>
      <c r="M413" t="n">
        <v>5</v>
      </c>
      <c r="N413" t="n">
        <v>1</v>
      </c>
      <c r="O413" t="n">
        <v>3</v>
      </c>
      <c r="P413" t="n">
        <v>1</v>
      </c>
      <c r="Q413" t="n">
        <v>2</v>
      </c>
      <c r="R413" t="n">
        <v>3</v>
      </c>
      <c r="S413" t="n">
        <v>4</v>
      </c>
      <c r="T413" t="n">
        <v>4</v>
      </c>
      <c r="U413" t="n">
        <v>3</v>
      </c>
      <c r="V413" t="n">
        <v>2</v>
      </c>
      <c r="W413">
        <f>(AVERAGE(B413:D413)-1)/4</f>
        <v/>
      </c>
      <c r="X413">
        <f>(AVERAGE(E413:G413)-1)/4</f>
        <v/>
      </c>
      <c r="Y413">
        <f>(AVERAGE(H413:J413)-1)/4</f>
        <v/>
      </c>
      <c r="Z413">
        <f>(AVERAGE(K413:M413)-1)/4</f>
        <v/>
      </c>
      <c r="AA413">
        <f>(AVERAGE(N413:P413)-1)/4</f>
        <v/>
      </c>
      <c r="AB413">
        <f>(AVERAGE(Q413:S413)-1)/4</f>
        <v/>
      </c>
      <c r="AC413">
        <f>(AVERAGE(T413:V413)-1)/4</f>
        <v/>
      </c>
      <c r="AD413">
        <f>AVERAGE(W413:AA413)</f>
        <v/>
      </c>
      <c r="AE413">
        <f>MIN(W413:AA413)</f>
        <v/>
      </c>
      <c r="AF413">
        <f>1-alpha*MAX(0,delta-AE413)</f>
        <v/>
      </c>
      <c r="AG413">
        <f>AD413*AF413</f>
        <v/>
      </c>
      <c r="AH413">
        <f>1+COUNTIF(bounds,"&lt;"&amp;ROUND(AD413,12))</f>
        <v/>
      </c>
      <c r="AI413">
        <f>1+COUNTIF(bounds,"&lt;"&amp;ROUND(AG413,12))</f>
        <v/>
      </c>
      <c r="AJ413">
        <f>IF(AF413&lt;1,1,0)</f>
        <v/>
      </c>
      <c r="AK413">
        <f>IF(AH413&lt;&gt;AI413,1,0)</f>
        <v/>
      </c>
      <c r="AL413">
        <f>IF(AND(AI413&gt;=3,AB413&lt;=0.2),1,0)</f>
        <v/>
      </c>
      <c r="AM413">
        <f>AVERAGE(W413:AB413)</f>
        <v/>
      </c>
      <c r="AN413">
        <f>1+COUNTIF(bounds,"&lt;"&amp;ROUND(AM413,12))</f>
        <v/>
      </c>
      <c r="AO413">
        <f>IF(AK413=1,AD413,NA())</f>
        <v/>
      </c>
      <c r="AP413">
        <f>IF(AK413=0,AD413,NA())</f>
        <v/>
      </c>
    </row>
    <row r="414">
      <c r="A414" t="n">
        <v>406</v>
      </c>
      <c r="B414" t="n">
        <v>2</v>
      </c>
      <c r="C414" t="n">
        <v>1</v>
      </c>
      <c r="D414" t="n">
        <v>2</v>
      </c>
      <c r="E414" t="n">
        <v>4</v>
      </c>
      <c r="F414" t="n">
        <v>2</v>
      </c>
      <c r="G414" t="n">
        <v>4</v>
      </c>
      <c r="H414" t="n">
        <v>5</v>
      </c>
      <c r="I414" t="n">
        <v>5</v>
      </c>
      <c r="J414" t="n">
        <v>3</v>
      </c>
      <c r="K414" t="n">
        <v>5</v>
      </c>
      <c r="L414" t="n">
        <v>2</v>
      </c>
      <c r="M414" t="n">
        <v>4</v>
      </c>
      <c r="N414" t="n">
        <v>3</v>
      </c>
      <c r="O414" t="n">
        <v>3</v>
      </c>
      <c r="P414" t="n">
        <v>2</v>
      </c>
      <c r="Q414" t="n">
        <v>3</v>
      </c>
      <c r="R414" t="n">
        <v>4</v>
      </c>
      <c r="S414" t="n">
        <v>2</v>
      </c>
      <c r="T414" t="n">
        <v>1</v>
      </c>
      <c r="U414" t="n">
        <v>2</v>
      </c>
      <c r="V414" t="n">
        <v>2</v>
      </c>
      <c r="W414">
        <f>(AVERAGE(B414:D414)-1)/4</f>
        <v/>
      </c>
      <c r="X414">
        <f>(AVERAGE(E414:G414)-1)/4</f>
        <v/>
      </c>
      <c r="Y414">
        <f>(AVERAGE(H414:J414)-1)/4</f>
        <v/>
      </c>
      <c r="Z414">
        <f>(AVERAGE(K414:M414)-1)/4</f>
        <v/>
      </c>
      <c r="AA414">
        <f>(AVERAGE(N414:P414)-1)/4</f>
        <v/>
      </c>
      <c r="AB414">
        <f>(AVERAGE(Q414:S414)-1)/4</f>
        <v/>
      </c>
      <c r="AC414">
        <f>(AVERAGE(T414:V414)-1)/4</f>
        <v/>
      </c>
      <c r="AD414">
        <f>AVERAGE(W414:AA414)</f>
        <v/>
      </c>
      <c r="AE414">
        <f>MIN(W414:AA414)</f>
        <v/>
      </c>
      <c r="AF414">
        <f>1-alpha*MAX(0,delta-AE414)</f>
        <v/>
      </c>
      <c r="AG414">
        <f>AD414*AF414</f>
        <v/>
      </c>
      <c r="AH414">
        <f>1+COUNTIF(bounds,"&lt;"&amp;ROUND(AD414,12))</f>
        <v/>
      </c>
      <c r="AI414">
        <f>1+COUNTIF(bounds,"&lt;"&amp;ROUND(AG414,12))</f>
        <v/>
      </c>
      <c r="AJ414">
        <f>IF(AF414&lt;1,1,0)</f>
        <v/>
      </c>
      <c r="AK414">
        <f>IF(AH414&lt;&gt;AI414,1,0)</f>
        <v/>
      </c>
      <c r="AL414">
        <f>IF(AND(AI414&gt;=3,AB414&lt;=0.2),1,0)</f>
        <v/>
      </c>
      <c r="AM414">
        <f>AVERAGE(W414:AB414)</f>
        <v/>
      </c>
      <c r="AN414">
        <f>1+COUNTIF(bounds,"&lt;"&amp;ROUND(AM414,12))</f>
        <v/>
      </c>
      <c r="AO414">
        <f>IF(AK414=1,AD414,NA())</f>
        <v/>
      </c>
      <c r="AP414">
        <f>IF(AK414=0,AD414,NA())</f>
        <v/>
      </c>
    </row>
    <row r="415">
      <c r="A415" t="n">
        <v>407</v>
      </c>
      <c r="B415" t="n">
        <v>5</v>
      </c>
      <c r="C415" t="n">
        <v>2</v>
      </c>
      <c r="D415" t="n">
        <v>2</v>
      </c>
      <c r="E415" t="n">
        <v>1</v>
      </c>
      <c r="F415" t="n">
        <v>5</v>
      </c>
      <c r="G415" t="n">
        <v>3</v>
      </c>
      <c r="H415" t="n">
        <v>2</v>
      </c>
      <c r="I415" t="n">
        <v>5</v>
      </c>
      <c r="J415" t="n">
        <v>2</v>
      </c>
      <c r="K415" t="n">
        <v>5</v>
      </c>
      <c r="L415" t="n">
        <v>1</v>
      </c>
      <c r="M415" t="n">
        <v>5</v>
      </c>
      <c r="N415" t="n">
        <v>5</v>
      </c>
      <c r="O415" t="n">
        <v>5</v>
      </c>
      <c r="P415" t="n">
        <v>3</v>
      </c>
      <c r="Q415" t="n">
        <v>3</v>
      </c>
      <c r="R415" t="n">
        <v>4</v>
      </c>
      <c r="S415" t="n">
        <v>2</v>
      </c>
      <c r="T415" t="n">
        <v>3</v>
      </c>
      <c r="U415" t="n">
        <v>2</v>
      </c>
      <c r="V415" t="n">
        <v>1</v>
      </c>
      <c r="W415">
        <f>(AVERAGE(B415:D415)-1)/4</f>
        <v/>
      </c>
      <c r="X415">
        <f>(AVERAGE(E415:G415)-1)/4</f>
        <v/>
      </c>
      <c r="Y415">
        <f>(AVERAGE(H415:J415)-1)/4</f>
        <v/>
      </c>
      <c r="Z415">
        <f>(AVERAGE(K415:M415)-1)/4</f>
        <v/>
      </c>
      <c r="AA415">
        <f>(AVERAGE(N415:P415)-1)/4</f>
        <v/>
      </c>
      <c r="AB415">
        <f>(AVERAGE(Q415:S415)-1)/4</f>
        <v/>
      </c>
      <c r="AC415">
        <f>(AVERAGE(T415:V415)-1)/4</f>
        <v/>
      </c>
      <c r="AD415">
        <f>AVERAGE(W415:AA415)</f>
        <v/>
      </c>
      <c r="AE415">
        <f>MIN(W415:AA415)</f>
        <v/>
      </c>
      <c r="AF415">
        <f>1-alpha*MAX(0,delta-AE415)</f>
        <v/>
      </c>
      <c r="AG415">
        <f>AD415*AF415</f>
        <v/>
      </c>
      <c r="AH415">
        <f>1+COUNTIF(bounds,"&lt;"&amp;ROUND(AD415,12))</f>
        <v/>
      </c>
      <c r="AI415">
        <f>1+COUNTIF(bounds,"&lt;"&amp;ROUND(AG415,12))</f>
        <v/>
      </c>
      <c r="AJ415">
        <f>IF(AF415&lt;1,1,0)</f>
        <v/>
      </c>
      <c r="AK415">
        <f>IF(AH415&lt;&gt;AI415,1,0)</f>
        <v/>
      </c>
      <c r="AL415">
        <f>IF(AND(AI415&gt;=3,AB415&lt;=0.2),1,0)</f>
        <v/>
      </c>
      <c r="AM415">
        <f>AVERAGE(W415:AB415)</f>
        <v/>
      </c>
      <c r="AN415">
        <f>1+COUNTIF(bounds,"&lt;"&amp;ROUND(AM415,12))</f>
        <v/>
      </c>
      <c r="AO415">
        <f>IF(AK415=1,AD415,NA())</f>
        <v/>
      </c>
      <c r="AP415">
        <f>IF(AK415=0,AD415,NA())</f>
        <v/>
      </c>
    </row>
    <row r="416">
      <c r="A416" t="n">
        <v>408</v>
      </c>
      <c r="B416" t="n">
        <v>5</v>
      </c>
      <c r="C416" t="n">
        <v>4</v>
      </c>
      <c r="D416" t="n">
        <v>2</v>
      </c>
      <c r="E416" t="n">
        <v>3</v>
      </c>
      <c r="F416" t="n">
        <v>3</v>
      </c>
      <c r="G416" t="n">
        <v>4</v>
      </c>
      <c r="H416" t="n">
        <v>1</v>
      </c>
      <c r="I416" t="n">
        <v>3</v>
      </c>
      <c r="J416" t="n">
        <v>1</v>
      </c>
      <c r="K416" t="n">
        <v>2</v>
      </c>
      <c r="L416" t="n">
        <v>1</v>
      </c>
      <c r="M416" t="n">
        <v>2</v>
      </c>
      <c r="N416" t="n">
        <v>5</v>
      </c>
      <c r="O416" t="n">
        <v>5</v>
      </c>
      <c r="P416" t="n">
        <v>4</v>
      </c>
      <c r="Q416" t="n">
        <v>1</v>
      </c>
      <c r="R416" t="n">
        <v>2</v>
      </c>
      <c r="S416" t="n">
        <v>5</v>
      </c>
      <c r="T416" t="n">
        <v>5</v>
      </c>
      <c r="U416" t="n">
        <v>1</v>
      </c>
      <c r="V416" t="n">
        <v>3</v>
      </c>
      <c r="W416">
        <f>(AVERAGE(B416:D416)-1)/4</f>
        <v/>
      </c>
      <c r="X416">
        <f>(AVERAGE(E416:G416)-1)/4</f>
        <v/>
      </c>
      <c r="Y416">
        <f>(AVERAGE(H416:J416)-1)/4</f>
        <v/>
      </c>
      <c r="Z416">
        <f>(AVERAGE(K416:M416)-1)/4</f>
        <v/>
      </c>
      <c r="AA416">
        <f>(AVERAGE(N416:P416)-1)/4</f>
        <v/>
      </c>
      <c r="AB416">
        <f>(AVERAGE(Q416:S416)-1)/4</f>
        <v/>
      </c>
      <c r="AC416">
        <f>(AVERAGE(T416:V416)-1)/4</f>
        <v/>
      </c>
      <c r="AD416">
        <f>AVERAGE(W416:AA416)</f>
        <v/>
      </c>
      <c r="AE416">
        <f>MIN(W416:AA416)</f>
        <v/>
      </c>
      <c r="AF416">
        <f>1-alpha*MAX(0,delta-AE416)</f>
        <v/>
      </c>
      <c r="AG416">
        <f>AD416*AF416</f>
        <v/>
      </c>
      <c r="AH416">
        <f>1+COUNTIF(bounds,"&lt;"&amp;ROUND(AD416,12))</f>
        <v/>
      </c>
      <c r="AI416">
        <f>1+COUNTIF(bounds,"&lt;"&amp;ROUND(AG416,12))</f>
        <v/>
      </c>
      <c r="AJ416">
        <f>IF(AF416&lt;1,1,0)</f>
        <v/>
      </c>
      <c r="AK416">
        <f>IF(AH416&lt;&gt;AI416,1,0)</f>
        <v/>
      </c>
      <c r="AL416">
        <f>IF(AND(AI416&gt;=3,AB416&lt;=0.2),1,0)</f>
        <v/>
      </c>
      <c r="AM416">
        <f>AVERAGE(W416:AB416)</f>
        <v/>
      </c>
      <c r="AN416">
        <f>1+COUNTIF(bounds,"&lt;"&amp;ROUND(AM416,12))</f>
        <v/>
      </c>
      <c r="AO416">
        <f>IF(AK416=1,AD416,NA())</f>
        <v/>
      </c>
      <c r="AP416">
        <f>IF(AK416=0,AD416,NA())</f>
        <v/>
      </c>
    </row>
    <row r="417">
      <c r="A417" t="n">
        <v>409</v>
      </c>
      <c r="B417" t="n">
        <v>3</v>
      </c>
      <c r="C417" t="n">
        <v>3</v>
      </c>
      <c r="D417" t="n">
        <v>4</v>
      </c>
      <c r="E417" t="n">
        <v>5</v>
      </c>
      <c r="F417" t="n">
        <v>4</v>
      </c>
      <c r="G417" t="n">
        <v>4</v>
      </c>
      <c r="H417" t="n">
        <v>2</v>
      </c>
      <c r="I417" t="n">
        <v>2</v>
      </c>
      <c r="J417" t="n">
        <v>4</v>
      </c>
      <c r="K417" t="n">
        <v>2</v>
      </c>
      <c r="L417" t="n">
        <v>5</v>
      </c>
      <c r="M417" t="n">
        <v>5</v>
      </c>
      <c r="N417" t="n">
        <v>5</v>
      </c>
      <c r="O417" t="n">
        <v>4</v>
      </c>
      <c r="P417" t="n">
        <v>3</v>
      </c>
      <c r="Q417" t="n">
        <v>1</v>
      </c>
      <c r="R417" t="n">
        <v>5</v>
      </c>
      <c r="S417" t="n">
        <v>3</v>
      </c>
      <c r="T417" t="n">
        <v>5</v>
      </c>
      <c r="U417" t="n">
        <v>2</v>
      </c>
      <c r="V417" t="n">
        <v>2</v>
      </c>
      <c r="W417">
        <f>(AVERAGE(B417:D417)-1)/4</f>
        <v/>
      </c>
      <c r="X417">
        <f>(AVERAGE(E417:G417)-1)/4</f>
        <v/>
      </c>
      <c r="Y417">
        <f>(AVERAGE(H417:J417)-1)/4</f>
        <v/>
      </c>
      <c r="Z417">
        <f>(AVERAGE(K417:M417)-1)/4</f>
        <v/>
      </c>
      <c r="AA417">
        <f>(AVERAGE(N417:P417)-1)/4</f>
        <v/>
      </c>
      <c r="AB417">
        <f>(AVERAGE(Q417:S417)-1)/4</f>
        <v/>
      </c>
      <c r="AC417">
        <f>(AVERAGE(T417:V417)-1)/4</f>
        <v/>
      </c>
      <c r="AD417">
        <f>AVERAGE(W417:AA417)</f>
        <v/>
      </c>
      <c r="AE417">
        <f>MIN(W417:AA417)</f>
        <v/>
      </c>
      <c r="AF417">
        <f>1-alpha*MAX(0,delta-AE417)</f>
        <v/>
      </c>
      <c r="AG417">
        <f>AD417*AF417</f>
        <v/>
      </c>
      <c r="AH417">
        <f>1+COUNTIF(bounds,"&lt;"&amp;ROUND(AD417,12))</f>
        <v/>
      </c>
      <c r="AI417">
        <f>1+COUNTIF(bounds,"&lt;"&amp;ROUND(AG417,12))</f>
        <v/>
      </c>
      <c r="AJ417">
        <f>IF(AF417&lt;1,1,0)</f>
        <v/>
      </c>
      <c r="AK417">
        <f>IF(AH417&lt;&gt;AI417,1,0)</f>
        <v/>
      </c>
      <c r="AL417">
        <f>IF(AND(AI417&gt;=3,AB417&lt;=0.2),1,0)</f>
        <v/>
      </c>
      <c r="AM417">
        <f>AVERAGE(W417:AB417)</f>
        <v/>
      </c>
      <c r="AN417">
        <f>1+COUNTIF(bounds,"&lt;"&amp;ROUND(AM417,12))</f>
        <v/>
      </c>
      <c r="AO417">
        <f>IF(AK417=1,AD417,NA())</f>
        <v/>
      </c>
      <c r="AP417">
        <f>IF(AK417=0,AD417,NA())</f>
        <v/>
      </c>
    </row>
    <row r="418">
      <c r="A418" t="n">
        <v>410</v>
      </c>
      <c r="B418" t="n">
        <v>1</v>
      </c>
      <c r="C418" t="n">
        <v>4</v>
      </c>
      <c r="D418" t="n">
        <v>1</v>
      </c>
      <c r="E418" t="n">
        <v>1</v>
      </c>
      <c r="F418" t="n">
        <v>2</v>
      </c>
      <c r="G418" t="n">
        <v>5</v>
      </c>
      <c r="H418" t="n">
        <v>2</v>
      </c>
      <c r="I418" t="n">
        <v>2</v>
      </c>
      <c r="J418" t="n">
        <v>2</v>
      </c>
      <c r="K418" t="n">
        <v>5</v>
      </c>
      <c r="L418" t="n">
        <v>4</v>
      </c>
      <c r="M418" t="n">
        <v>4</v>
      </c>
      <c r="N418" t="n">
        <v>1</v>
      </c>
      <c r="O418" t="n">
        <v>4</v>
      </c>
      <c r="P418" t="n">
        <v>1</v>
      </c>
      <c r="Q418" t="n">
        <v>5</v>
      </c>
      <c r="R418" t="n">
        <v>4</v>
      </c>
      <c r="S418" t="n">
        <v>1</v>
      </c>
      <c r="T418" t="n">
        <v>3</v>
      </c>
      <c r="U418" t="n">
        <v>2</v>
      </c>
      <c r="V418" t="n">
        <v>2</v>
      </c>
      <c r="W418">
        <f>(AVERAGE(B418:D418)-1)/4</f>
        <v/>
      </c>
      <c r="X418">
        <f>(AVERAGE(E418:G418)-1)/4</f>
        <v/>
      </c>
      <c r="Y418">
        <f>(AVERAGE(H418:J418)-1)/4</f>
        <v/>
      </c>
      <c r="Z418">
        <f>(AVERAGE(K418:M418)-1)/4</f>
        <v/>
      </c>
      <c r="AA418">
        <f>(AVERAGE(N418:P418)-1)/4</f>
        <v/>
      </c>
      <c r="AB418">
        <f>(AVERAGE(Q418:S418)-1)/4</f>
        <v/>
      </c>
      <c r="AC418">
        <f>(AVERAGE(T418:V418)-1)/4</f>
        <v/>
      </c>
      <c r="AD418">
        <f>AVERAGE(W418:AA418)</f>
        <v/>
      </c>
      <c r="AE418">
        <f>MIN(W418:AA418)</f>
        <v/>
      </c>
      <c r="AF418">
        <f>1-alpha*MAX(0,delta-AE418)</f>
        <v/>
      </c>
      <c r="AG418">
        <f>AD418*AF418</f>
        <v/>
      </c>
      <c r="AH418">
        <f>1+COUNTIF(bounds,"&lt;"&amp;ROUND(AD418,12))</f>
        <v/>
      </c>
      <c r="AI418">
        <f>1+COUNTIF(bounds,"&lt;"&amp;ROUND(AG418,12))</f>
        <v/>
      </c>
      <c r="AJ418">
        <f>IF(AF418&lt;1,1,0)</f>
        <v/>
      </c>
      <c r="AK418">
        <f>IF(AH418&lt;&gt;AI418,1,0)</f>
        <v/>
      </c>
      <c r="AL418">
        <f>IF(AND(AI418&gt;=3,AB418&lt;=0.2),1,0)</f>
        <v/>
      </c>
      <c r="AM418">
        <f>AVERAGE(W418:AB418)</f>
        <v/>
      </c>
      <c r="AN418">
        <f>1+COUNTIF(bounds,"&lt;"&amp;ROUND(AM418,12))</f>
        <v/>
      </c>
      <c r="AO418">
        <f>IF(AK418=1,AD418,NA())</f>
        <v/>
      </c>
      <c r="AP418">
        <f>IF(AK418=0,AD418,NA())</f>
        <v/>
      </c>
    </row>
    <row r="419">
      <c r="A419" t="n">
        <v>411</v>
      </c>
      <c r="B419" t="n">
        <v>3</v>
      </c>
      <c r="C419" t="n">
        <v>5</v>
      </c>
      <c r="D419" t="n">
        <v>1</v>
      </c>
      <c r="E419" t="n">
        <v>2</v>
      </c>
      <c r="F419" t="n">
        <v>5</v>
      </c>
      <c r="G419" t="n">
        <v>3</v>
      </c>
      <c r="H419" t="n">
        <v>3</v>
      </c>
      <c r="I419" t="n">
        <v>2</v>
      </c>
      <c r="J419" t="n">
        <v>3</v>
      </c>
      <c r="K419" t="n">
        <v>5</v>
      </c>
      <c r="L419" t="n">
        <v>1</v>
      </c>
      <c r="M419" t="n">
        <v>5</v>
      </c>
      <c r="N419" t="n">
        <v>3</v>
      </c>
      <c r="O419" t="n">
        <v>3</v>
      </c>
      <c r="P419" t="n">
        <v>5</v>
      </c>
      <c r="Q419" t="n">
        <v>1</v>
      </c>
      <c r="R419" t="n">
        <v>3</v>
      </c>
      <c r="S419" t="n">
        <v>1</v>
      </c>
      <c r="T419" t="n">
        <v>4</v>
      </c>
      <c r="U419" t="n">
        <v>4</v>
      </c>
      <c r="V419" t="n">
        <v>3</v>
      </c>
      <c r="W419">
        <f>(AVERAGE(B419:D419)-1)/4</f>
        <v/>
      </c>
      <c r="X419">
        <f>(AVERAGE(E419:G419)-1)/4</f>
        <v/>
      </c>
      <c r="Y419">
        <f>(AVERAGE(H419:J419)-1)/4</f>
        <v/>
      </c>
      <c r="Z419">
        <f>(AVERAGE(K419:M419)-1)/4</f>
        <v/>
      </c>
      <c r="AA419">
        <f>(AVERAGE(N419:P419)-1)/4</f>
        <v/>
      </c>
      <c r="AB419">
        <f>(AVERAGE(Q419:S419)-1)/4</f>
        <v/>
      </c>
      <c r="AC419">
        <f>(AVERAGE(T419:V419)-1)/4</f>
        <v/>
      </c>
      <c r="AD419">
        <f>AVERAGE(W419:AA419)</f>
        <v/>
      </c>
      <c r="AE419">
        <f>MIN(W419:AA419)</f>
        <v/>
      </c>
      <c r="AF419">
        <f>1-alpha*MAX(0,delta-AE419)</f>
        <v/>
      </c>
      <c r="AG419">
        <f>AD419*AF419</f>
        <v/>
      </c>
      <c r="AH419">
        <f>1+COUNTIF(bounds,"&lt;"&amp;ROUND(AD419,12))</f>
        <v/>
      </c>
      <c r="AI419">
        <f>1+COUNTIF(bounds,"&lt;"&amp;ROUND(AG419,12))</f>
        <v/>
      </c>
      <c r="AJ419">
        <f>IF(AF419&lt;1,1,0)</f>
        <v/>
      </c>
      <c r="AK419">
        <f>IF(AH419&lt;&gt;AI419,1,0)</f>
        <v/>
      </c>
      <c r="AL419">
        <f>IF(AND(AI419&gt;=3,AB419&lt;=0.2),1,0)</f>
        <v/>
      </c>
      <c r="AM419">
        <f>AVERAGE(W419:AB419)</f>
        <v/>
      </c>
      <c r="AN419">
        <f>1+COUNTIF(bounds,"&lt;"&amp;ROUND(AM419,12))</f>
        <v/>
      </c>
      <c r="AO419">
        <f>IF(AK419=1,AD419,NA())</f>
        <v/>
      </c>
      <c r="AP419">
        <f>IF(AK419=0,AD419,NA())</f>
        <v/>
      </c>
    </row>
    <row r="420">
      <c r="A420" t="n">
        <v>412</v>
      </c>
      <c r="B420" t="n">
        <v>4</v>
      </c>
      <c r="C420" t="n">
        <v>2</v>
      </c>
      <c r="D420" t="n">
        <v>2</v>
      </c>
      <c r="E420" t="n">
        <v>3</v>
      </c>
      <c r="F420" t="n">
        <v>2</v>
      </c>
      <c r="G420" t="n">
        <v>2</v>
      </c>
      <c r="H420" t="n">
        <v>3</v>
      </c>
      <c r="I420" t="n">
        <v>3</v>
      </c>
      <c r="J420" t="n">
        <v>1</v>
      </c>
      <c r="K420" t="n">
        <v>1</v>
      </c>
      <c r="L420" t="n">
        <v>3</v>
      </c>
      <c r="M420" t="n">
        <v>3</v>
      </c>
      <c r="N420" t="n">
        <v>3</v>
      </c>
      <c r="O420" t="n">
        <v>2</v>
      </c>
      <c r="P420" t="n">
        <v>4</v>
      </c>
      <c r="Q420" t="n">
        <v>3</v>
      </c>
      <c r="R420" t="n">
        <v>4</v>
      </c>
      <c r="S420" t="n">
        <v>5</v>
      </c>
      <c r="T420" t="n">
        <v>5</v>
      </c>
      <c r="U420" t="n">
        <v>5</v>
      </c>
      <c r="V420" t="n">
        <v>2</v>
      </c>
      <c r="W420">
        <f>(AVERAGE(B420:D420)-1)/4</f>
        <v/>
      </c>
      <c r="X420">
        <f>(AVERAGE(E420:G420)-1)/4</f>
        <v/>
      </c>
      <c r="Y420">
        <f>(AVERAGE(H420:J420)-1)/4</f>
        <v/>
      </c>
      <c r="Z420">
        <f>(AVERAGE(K420:M420)-1)/4</f>
        <v/>
      </c>
      <c r="AA420">
        <f>(AVERAGE(N420:P420)-1)/4</f>
        <v/>
      </c>
      <c r="AB420">
        <f>(AVERAGE(Q420:S420)-1)/4</f>
        <v/>
      </c>
      <c r="AC420">
        <f>(AVERAGE(T420:V420)-1)/4</f>
        <v/>
      </c>
      <c r="AD420">
        <f>AVERAGE(W420:AA420)</f>
        <v/>
      </c>
      <c r="AE420">
        <f>MIN(W420:AA420)</f>
        <v/>
      </c>
      <c r="AF420">
        <f>1-alpha*MAX(0,delta-AE420)</f>
        <v/>
      </c>
      <c r="AG420">
        <f>AD420*AF420</f>
        <v/>
      </c>
      <c r="AH420">
        <f>1+COUNTIF(bounds,"&lt;"&amp;ROUND(AD420,12))</f>
        <v/>
      </c>
      <c r="AI420">
        <f>1+COUNTIF(bounds,"&lt;"&amp;ROUND(AG420,12))</f>
        <v/>
      </c>
      <c r="AJ420">
        <f>IF(AF420&lt;1,1,0)</f>
        <v/>
      </c>
      <c r="AK420">
        <f>IF(AH420&lt;&gt;AI420,1,0)</f>
        <v/>
      </c>
      <c r="AL420">
        <f>IF(AND(AI420&gt;=3,AB420&lt;=0.2),1,0)</f>
        <v/>
      </c>
      <c r="AM420">
        <f>AVERAGE(W420:AB420)</f>
        <v/>
      </c>
      <c r="AN420">
        <f>1+COUNTIF(bounds,"&lt;"&amp;ROUND(AM420,12))</f>
        <v/>
      </c>
      <c r="AO420">
        <f>IF(AK420=1,AD420,NA())</f>
        <v/>
      </c>
      <c r="AP420">
        <f>IF(AK420=0,AD420,NA())</f>
        <v/>
      </c>
    </row>
    <row r="421">
      <c r="A421" t="n">
        <v>413</v>
      </c>
      <c r="B421" t="n">
        <v>3</v>
      </c>
      <c r="C421" t="n">
        <v>1</v>
      </c>
      <c r="D421" t="n">
        <v>3</v>
      </c>
      <c r="E421" t="n">
        <v>4</v>
      </c>
      <c r="F421" t="n">
        <v>4</v>
      </c>
      <c r="G421" t="n">
        <v>5</v>
      </c>
      <c r="H421" t="n">
        <v>1</v>
      </c>
      <c r="I421" t="n">
        <v>3</v>
      </c>
      <c r="J421" t="n">
        <v>4</v>
      </c>
      <c r="K421" t="n">
        <v>1</v>
      </c>
      <c r="L421" t="n">
        <v>5</v>
      </c>
      <c r="M421" t="n">
        <v>5</v>
      </c>
      <c r="N421" t="n">
        <v>1</v>
      </c>
      <c r="O421" t="n">
        <v>3</v>
      </c>
      <c r="P421" t="n">
        <v>1</v>
      </c>
      <c r="Q421" t="n">
        <v>1</v>
      </c>
      <c r="R421" t="n">
        <v>2</v>
      </c>
      <c r="S421" t="n">
        <v>4</v>
      </c>
      <c r="T421" t="n">
        <v>4</v>
      </c>
      <c r="U421" t="n">
        <v>4</v>
      </c>
      <c r="V421" t="n">
        <v>4</v>
      </c>
      <c r="W421">
        <f>(AVERAGE(B421:D421)-1)/4</f>
        <v/>
      </c>
      <c r="X421">
        <f>(AVERAGE(E421:G421)-1)/4</f>
        <v/>
      </c>
      <c r="Y421">
        <f>(AVERAGE(H421:J421)-1)/4</f>
        <v/>
      </c>
      <c r="Z421">
        <f>(AVERAGE(K421:M421)-1)/4</f>
        <v/>
      </c>
      <c r="AA421">
        <f>(AVERAGE(N421:P421)-1)/4</f>
        <v/>
      </c>
      <c r="AB421">
        <f>(AVERAGE(Q421:S421)-1)/4</f>
        <v/>
      </c>
      <c r="AC421">
        <f>(AVERAGE(T421:V421)-1)/4</f>
        <v/>
      </c>
      <c r="AD421">
        <f>AVERAGE(W421:AA421)</f>
        <v/>
      </c>
      <c r="AE421">
        <f>MIN(W421:AA421)</f>
        <v/>
      </c>
      <c r="AF421">
        <f>1-alpha*MAX(0,delta-AE421)</f>
        <v/>
      </c>
      <c r="AG421">
        <f>AD421*AF421</f>
        <v/>
      </c>
      <c r="AH421">
        <f>1+COUNTIF(bounds,"&lt;"&amp;ROUND(AD421,12))</f>
        <v/>
      </c>
      <c r="AI421">
        <f>1+COUNTIF(bounds,"&lt;"&amp;ROUND(AG421,12))</f>
        <v/>
      </c>
      <c r="AJ421">
        <f>IF(AF421&lt;1,1,0)</f>
        <v/>
      </c>
      <c r="AK421">
        <f>IF(AH421&lt;&gt;AI421,1,0)</f>
        <v/>
      </c>
      <c r="AL421">
        <f>IF(AND(AI421&gt;=3,AB421&lt;=0.2),1,0)</f>
        <v/>
      </c>
      <c r="AM421">
        <f>AVERAGE(W421:AB421)</f>
        <v/>
      </c>
      <c r="AN421">
        <f>1+COUNTIF(bounds,"&lt;"&amp;ROUND(AM421,12))</f>
        <v/>
      </c>
      <c r="AO421">
        <f>IF(AK421=1,AD421,NA())</f>
        <v/>
      </c>
      <c r="AP421">
        <f>IF(AK421=0,AD421,NA())</f>
        <v/>
      </c>
    </row>
    <row r="422">
      <c r="A422" t="n">
        <v>414</v>
      </c>
      <c r="B422" t="n">
        <v>3</v>
      </c>
      <c r="C422" t="n">
        <v>4</v>
      </c>
      <c r="D422" t="n">
        <v>5</v>
      </c>
      <c r="E422" t="n">
        <v>2</v>
      </c>
      <c r="F422" t="n">
        <v>1</v>
      </c>
      <c r="G422" t="n">
        <v>3</v>
      </c>
      <c r="H422" t="n">
        <v>1</v>
      </c>
      <c r="I422" t="n">
        <v>4</v>
      </c>
      <c r="J422" t="n">
        <v>1</v>
      </c>
      <c r="K422" t="n">
        <v>1</v>
      </c>
      <c r="L422" t="n">
        <v>1</v>
      </c>
      <c r="M422" t="n">
        <v>5</v>
      </c>
      <c r="N422" t="n">
        <v>2</v>
      </c>
      <c r="O422" t="n">
        <v>1</v>
      </c>
      <c r="P422" t="n">
        <v>5</v>
      </c>
      <c r="Q422" t="n">
        <v>3</v>
      </c>
      <c r="R422" t="n">
        <v>5</v>
      </c>
      <c r="S422" t="n">
        <v>1</v>
      </c>
      <c r="T422" t="n">
        <v>5</v>
      </c>
      <c r="U422" t="n">
        <v>5</v>
      </c>
      <c r="V422" t="n">
        <v>5</v>
      </c>
      <c r="W422">
        <f>(AVERAGE(B422:D422)-1)/4</f>
        <v/>
      </c>
      <c r="X422">
        <f>(AVERAGE(E422:G422)-1)/4</f>
        <v/>
      </c>
      <c r="Y422">
        <f>(AVERAGE(H422:J422)-1)/4</f>
        <v/>
      </c>
      <c r="Z422">
        <f>(AVERAGE(K422:M422)-1)/4</f>
        <v/>
      </c>
      <c r="AA422">
        <f>(AVERAGE(N422:P422)-1)/4</f>
        <v/>
      </c>
      <c r="AB422">
        <f>(AVERAGE(Q422:S422)-1)/4</f>
        <v/>
      </c>
      <c r="AC422">
        <f>(AVERAGE(T422:V422)-1)/4</f>
        <v/>
      </c>
      <c r="AD422">
        <f>AVERAGE(W422:AA422)</f>
        <v/>
      </c>
      <c r="AE422">
        <f>MIN(W422:AA422)</f>
        <v/>
      </c>
      <c r="AF422">
        <f>1-alpha*MAX(0,delta-AE422)</f>
        <v/>
      </c>
      <c r="AG422">
        <f>AD422*AF422</f>
        <v/>
      </c>
      <c r="AH422">
        <f>1+COUNTIF(bounds,"&lt;"&amp;ROUND(AD422,12))</f>
        <v/>
      </c>
      <c r="AI422">
        <f>1+COUNTIF(bounds,"&lt;"&amp;ROUND(AG422,12))</f>
        <v/>
      </c>
      <c r="AJ422">
        <f>IF(AF422&lt;1,1,0)</f>
        <v/>
      </c>
      <c r="AK422">
        <f>IF(AH422&lt;&gt;AI422,1,0)</f>
        <v/>
      </c>
      <c r="AL422">
        <f>IF(AND(AI422&gt;=3,AB422&lt;=0.2),1,0)</f>
        <v/>
      </c>
      <c r="AM422">
        <f>AVERAGE(W422:AB422)</f>
        <v/>
      </c>
      <c r="AN422">
        <f>1+COUNTIF(bounds,"&lt;"&amp;ROUND(AM422,12))</f>
        <v/>
      </c>
      <c r="AO422">
        <f>IF(AK422=1,AD422,NA())</f>
        <v/>
      </c>
      <c r="AP422">
        <f>IF(AK422=0,AD422,NA())</f>
        <v/>
      </c>
    </row>
    <row r="423">
      <c r="A423" t="n">
        <v>415</v>
      </c>
      <c r="B423" t="n">
        <v>5</v>
      </c>
      <c r="C423" t="n">
        <v>3</v>
      </c>
      <c r="D423" t="n">
        <v>5</v>
      </c>
      <c r="E423" t="n">
        <v>4</v>
      </c>
      <c r="F423" t="n">
        <v>2</v>
      </c>
      <c r="G423" t="n">
        <v>3</v>
      </c>
      <c r="H423" t="n">
        <v>5</v>
      </c>
      <c r="I423" t="n">
        <v>2</v>
      </c>
      <c r="J423" t="n">
        <v>5</v>
      </c>
      <c r="K423" t="n">
        <v>5</v>
      </c>
      <c r="L423" t="n">
        <v>3</v>
      </c>
      <c r="M423" t="n">
        <v>5</v>
      </c>
      <c r="N423" t="n">
        <v>5</v>
      </c>
      <c r="O423" t="n">
        <v>3</v>
      </c>
      <c r="P423" t="n">
        <v>3</v>
      </c>
      <c r="Q423" t="n">
        <v>4</v>
      </c>
      <c r="R423" t="n">
        <v>3</v>
      </c>
      <c r="S423" t="n">
        <v>2</v>
      </c>
      <c r="T423" t="n">
        <v>3</v>
      </c>
      <c r="U423" t="n">
        <v>3</v>
      </c>
      <c r="V423" t="n">
        <v>5</v>
      </c>
      <c r="W423">
        <f>(AVERAGE(B423:D423)-1)/4</f>
        <v/>
      </c>
      <c r="X423">
        <f>(AVERAGE(E423:G423)-1)/4</f>
        <v/>
      </c>
      <c r="Y423">
        <f>(AVERAGE(H423:J423)-1)/4</f>
        <v/>
      </c>
      <c r="Z423">
        <f>(AVERAGE(K423:M423)-1)/4</f>
        <v/>
      </c>
      <c r="AA423">
        <f>(AVERAGE(N423:P423)-1)/4</f>
        <v/>
      </c>
      <c r="AB423">
        <f>(AVERAGE(Q423:S423)-1)/4</f>
        <v/>
      </c>
      <c r="AC423">
        <f>(AVERAGE(T423:V423)-1)/4</f>
        <v/>
      </c>
      <c r="AD423">
        <f>AVERAGE(W423:AA423)</f>
        <v/>
      </c>
      <c r="AE423">
        <f>MIN(W423:AA423)</f>
        <v/>
      </c>
      <c r="AF423">
        <f>1-alpha*MAX(0,delta-AE423)</f>
        <v/>
      </c>
      <c r="AG423">
        <f>AD423*AF423</f>
        <v/>
      </c>
      <c r="AH423">
        <f>1+COUNTIF(bounds,"&lt;"&amp;ROUND(AD423,12))</f>
        <v/>
      </c>
      <c r="AI423">
        <f>1+COUNTIF(bounds,"&lt;"&amp;ROUND(AG423,12))</f>
        <v/>
      </c>
      <c r="AJ423">
        <f>IF(AF423&lt;1,1,0)</f>
        <v/>
      </c>
      <c r="AK423">
        <f>IF(AH423&lt;&gt;AI423,1,0)</f>
        <v/>
      </c>
      <c r="AL423">
        <f>IF(AND(AI423&gt;=3,AB423&lt;=0.2),1,0)</f>
        <v/>
      </c>
      <c r="AM423">
        <f>AVERAGE(W423:AB423)</f>
        <v/>
      </c>
      <c r="AN423">
        <f>1+COUNTIF(bounds,"&lt;"&amp;ROUND(AM423,12))</f>
        <v/>
      </c>
      <c r="AO423">
        <f>IF(AK423=1,AD423,NA())</f>
        <v/>
      </c>
      <c r="AP423">
        <f>IF(AK423=0,AD423,NA())</f>
        <v/>
      </c>
    </row>
    <row r="424">
      <c r="A424" t="n">
        <v>416</v>
      </c>
      <c r="B424" t="n">
        <v>5</v>
      </c>
      <c r="C424" t="n">
        <v>3</v>
      </c>
      <c r="D424" t="n">
        <v>1</v>
      </c>
      <c r="E424" t="n">
        <v>5</v>
      </c>
      <c r="F424" t="n">
        <v>2</v>
      </c>
      <c r="G424" t="n">
        <v>4</v>
      </c>
      <c r="H424" t="n">
        <v>4</v>
      </c>
      <c r="I424" t="n">
        <v>2</v>
      </c>
      <c r="J424" t="n">
        <v>1</v>
      </c>
      <c r="K424" t="n">
        <v>4</v>
      </c>
      <c r="L424" t="n">
        <v>2</v>
      </c>
      <c r="M424" t="n">
        <v>4</v>
      </c>
      <c r="N424" t="n">
        <v>4</v>
      </c>
      <c r="O424" t="n">
        <v>2</v>
      </c>
      <c r="P424" t="n">
        <v>3</v>
      </c>
      <c r="Q424" t="n">
        <v>1</v>
      </c>
      <c r="R424" t="n">
        <v>5</v>
      </c>
      <c r="S424" t="n">
        <v>2</v>
      </c>
      <c r="T424" t="n">
        <v>2</v>
      </c>
      <c r="U424" t="n">
        <v>3</v>
      </c>
      <c r="V424" t="n">
        <v>3</v>
      </c>
      <c r="W424">
        <f>(AVERAGE(B424:D424)-1)/4</f>
        <v/>
      </c>
      <c r="X424">
        <f>(AVERAGE(E424:G424)-1)/4</f>
        <v/>
      </c>
      <c r="Y424">
        <f>(AVERAGE(H424:J424)-1)/4</f>
        <v/>
      </c>
      <c r="Z424">
        <f>(AVERAGE(K424:M424)-1)/4</f>
        <v/>
      </c>
      <c r="AA424">
        <f>(AVERAGE(N424:P424)-1)/4</f>
        <v/>
      </c>
      <c r="AB424">
        <f>(AVERAGE(Q424:S424)-1)/4</f>
        <v/>
      </c>
      <c r="AC424">
        <f>(AVERAGE(T424:V424)-1)/4</f>
        <v/>
      </c>
      <c r="AD424">
        <f>AVERAGE(W424:AA424)</f>
        <v/>
      </c>
      <c r="AE424">
        <f>MIN(W424:AA424)</f>
        <v/>
      </c>
      <c r="AF424">
        <f>1-alpha*MAX(0,delta-AE424)</f>
        <v/>
      </c>
      <c r="AG424">
        <f>AD424*AF424</f>
        <v/>
      </c>
      <c r="AH424">
        <f>1+COUNTIF(bounds,"&lt;"&amp;ROUND(AD424,12))</f>
        <v/>
      </c>
      <c r="AI424">
        <f>1+COUNTIF(bounds,"&lt;"&amp;ROUND(AG424,12))</f>
        <v/>
      </c>
      <c r="AJ424">
        <f>IF(AF424&lt;1,1,0)</f>
        <v/>
      </c>
      <c r="AK424">
        <f>IF(AH424&lt;&gt;AI424,1,0)</f>
        <v/>
      </c>
      <c r="AL424">
        <f>IF(AND(AI424&gt;=3,AB424&lt;=0.2),1,0)</f>
        <v/>
      </c>
      <c r="AM424">
        <f>AVERAGE(W424:AB424)</f>
        <v/>
      </c>
      <c r="AN424">
        <f>1+COUNTIF(bounds,"&lt;"&amp;ROUND(AM424,12))</f>
        <v/>
      </c>
      <c r="AO424">
        <f>IF(AK424=1,AD424,NA())</f>
        <v/>
      </c>
      <c r="AP424">
        <f>IF(AK424=0,AD424,NA())</f>
        <v/>
      </c>
    </row>
    <row r="425">
      <c r="A425" t="n">
        <v>417</v>
      </c>
      <c r="B425" t="n">
        <v>2</v>
      </c>
      <c r="C425" t="n">
        <v>4</v>
      </c>
      <c r="D425" t="n">
        <v>3</v>
      </c>
      <c r="E425" t="n">
        <v>5</v>
      </c>
      <c r="F425" t="n">
        <v>4</v>
      </c>
      <c r="G425" t="n">
        <v>5</v>
      </c>
      <c r="H425" t="n">
        <v>4</v>
      </c>
      <c r="I425" t="n">
        <v>1</v>
      </c>
      <c r="J425" t="n">
        <v>3</v>
      </c>
      <c r="K425" t="n">
        <v>5</v>
      </c>
      <c r="L425" t="n">
        <v>3</v>
      </c>
      <c r="M425" t="n">
        <v>4</v>
      </c>
      <c r="N425" t="n">
        <v>1</v>
      </c>
      <c r="O425" t="n">
        <v>1</v>
      </c>
      <c r="P425" t="n">
        <v>5</v>
      </c>
      <c r="Q425" t="n">
        <v>3</v>
      </c>
      <c r="R425" t="n">
        <v>5</v>
      </c>
      <c r="S425" t="n">
        <v>4</v>
      </c>
      <c r="T425" t="n">
        <v>3</v>
      </c>
      <c r="U425" t="n">
        <v>4</v>
      </c>
      <c r="V425" t="n">
        <v>5</v>
      </c>
      <c r="W425">
        <f>(AVERAGE(B425:D425)-1)/4</f>
        <v/>
      </c>
      <c r="X425">
        <f>(AVERAGE(E425:G425)-1)/4</f>
        <v/>
      </c>
      <c r="Y425">
        <f>(AVERAGE(H425:J425)-1)/4</f>
        <v/>
      </c>
      <c r="Z425">
        <f>(AVERAGE(K425:M425)-1)/4</f>
        <v/>
      </c>
      <c r="AA425">
        <f>(AVERAGE(N425:P425)-1)/4</f>
        <v/>
      </c>
      <c r="AB425">
        <f>(AVERAGE(Q425:S425)-1)/4</f>
        <v/>
      </c>
      <c r="AC425">
        <f>(AVERAGE(T425:V425)-1)/4</f>
        <v/>
      </c>
      <c r="AD425">
        <f>AVERAGE(W425:AA425)</f>
        <v/>
      </c>
      <c r="AE425">
        <f>MIN(W425:AA425)</f>
        <v/>
      </c>
      <c r="AF425">
        <f>1-alpha*MAX(0,delta-AE425)</f>
        <v/>
      </c>
      <c r="AG425">
        <f>AD425*AF425</f>
        <v/>
      </c>
      <c r="AH425">
        <f>1+COUNTIF(bounds,"&lt;"&amp;ROUND(AD425,12))</f>
        <v/>
      </c>
      <c r="AI425">
        <f>1+COUNTIF(bounds,"&lt;"&amp;ROUND(AG425,12))</f>
        <v/>
      </c>
      <c r="AJ425">
        <f>IF(AF425&lt;1,1,0)</f>
        <v/>
      </c>
      <c r="AK425">
        <f>IF(AH425&lt;&gt;AI425,1,0)</f>
        <v/>
      </c>
      <c r="AL425">
        <f>IF(AND(AI425&gt;=3,AB425&lt;=0.2),1,0)</f>
        <v/>
      </c>
      <c r="AM425">
        <f>AVERAGE(W425:AB425)</f>
        <v/>
      </c>
      <c r="AN425">
        <f>1+COUNTIF(bounds,"&lt;"&amp;ROUND(AM425,12))</f>
        <v/>
      </c>
      <c r="AO425">
        <f>IF(AK425=1,AD425,NA())</f>
        <v/>
      </c>
      <c r="AP425">
        <f>IF(AK425=0,AD425,NA())</f>
        <v/>
      </c>
    </row>
    <row r="426">
      <c r="A426" t="n">
        <v>418</v>
      </c>
      <c r="B426" t="n">
        <v>1</v>
      </c>
      <c r="C426" t="n">
        <v>5</v>
      </c>
      <c r="D426" t="n">
        <v>4</v>
      </c>
      <c r="E426" t="n">
        <v>2</v>
      </c>
      <c r="F426" t="n">
        <v>2</v>
      </c>
      <c r="G426" t="n">
        <v>4</v>
      </c>
      <c r="H426" t="n">
        <v>2</v>
      </c>
      <c r="I426" t="n">
        <v>1</v>
      </c>
      <c r="J426" t="n">
        <v>4</v>
      </c>
      <c r="K426" t="n">
        <v>2</v>
      </c>
      <c r="L426" t="n">
        <v>1</v>
      </c>
      <c r="M426" t="n">
        <v>4</v>
      </c>
      <c r="N426" t="n">
        <v>4</v>
      </c>
      <c r="O426" t="n">
        <v>1</v>
      </c>
      <c r="P426" t="n">
        <v>5</v>
      </c>
      <c r="Q426" t="n">
        <v>1</v>
      </c>
      <c r="R426" t="n">
        <v>4</v>
      </c>
      <c r="S426" t="n">
        <v>3</v>
      </c>
      <c r="T426" t="n">
        <v>4</v>
      </c>
      <c r="U426" t="n">
        <v>3</v>
      </c>
      <c r="V426" t="n">
        <v>4</v>
      </c>
      <c r="W426">
        <f>(AVERAGE(B426:D426)-1)/4</f>
        <v/>
      </c>
      <c r="X426">
        <f>(AVERAGE(E426:G426)-1)/4</f>
        <v/>
      </c>
      <c r="Y426">
        <f>(AVERAGE(H426:J426)-1)/4</f>
        <v/>
      </c>
      <c r="Z426">
        <f>(AVERAGE(K426:M426)-1)/4</f>
        <v/>
      </c>
      <c r="AA426">
        <f>(AVERAGE(N426:P426)-1)/4</f>
        <v/>
      </c>
      <c r="AB426">
        <f>(AVERAGE(Q426:S426)-1)/4</f>
        <v/>
      </c>
      <c r="AC426">
        <f>(AVERAGE(T426:V426)-1)/4</f>
        <v/>
      </c>
      <c r="AD426">
        <f>AVERAGE(W426:AA426)</f>
        <v/>
      </c>
      <c r="AE426">
        <f>MIN(W426:AA426)</f>
        <v/>
      </c>
      <c r="AF426">
        <f>1-alpha*MAX(0,delta-AE426)</f>
        <v/>
      </c>
      <c r="AG426">
        <f>AD426*AF426</f>
        <v/>
      </c>
      <c r="AH426">
        <f>1+COUNTIF(bounds,"&lt;"&amp;ROUND(AD426,12))</f>
        <v/>
      </c>
      <c r="AI426">
        <f>1+COUNTIF(bounds,"&lt;"&amp;ROUND(AG426,12))</f>
        <v/>
      </c>
      <c r="AJ426">
        <f>IF(AF426&lt;1,1,0)</f>
        <v/>
      </c>
      <c r="AK426">
        <f>IF(AH426&lt;&gt;AI426,1,0)</f>
        <v/>
      </c>
      <c r="AL426">
        <f>IF(AND(AI426&gt;=3,AB426&lt;=0.2),1,0)</f>
        <v/>
      </c>
      <c r="AM426">
        <f>AVERAGE(W426:AB426)</f>
        <v/>
      </c>
      <c r="AN426">
        <f>1+COUNTIF(bounds,"&lt;"&amp;ROUND(AM426,12))</f>
        <v/>
      </c>
      <c r="AO426">
        <f>IF(AK426=1,AD426,NA())</f>
        <v/>
      </c>
      <c r="AP426">
        <f>IF(AK426=0,AD426,NA())</f>
        <v/>
      </c>
    </row>
    <row r="427">
      <c r="A427" t="n">
        <v>419</v>
      </c>
      <c r="B427" t="n">
        <v>1</v>
      </c>
      <c r="C427" t="n">
        <v>5</v>
      </c>
      <c r="D427" t="n">
        <v>3</v>
      </c>
      <c r="E427" t="n">
        <v>2</v>
      </c>
      <c r="F427" t="n">
        <v>3</v>
      </c>
      <c r="G427" t="n">
        <v>3</v>
      </c>
      <c r="H427" t="n">
        <v>4</v>
      </c>
      <c r="I427" t="n">
        <v>2</v>
      </c>
      <c r="J427" t="n">
        <v>3</v>
      </c>
      <c r="K427" t="n">
        <v>2</v>
      </c>
      <c r="L427" t="n">
        <v>4</v>
      </c>
      <c r="M427" t="n">
        <v>4</v>
      </c>
      <c r="N427" t="n">
        <v>2</v>
      </c>
      <c r="O427" t="n">
        <v>3</v>
      </c>
      <c r="P427" t="n">
        <v>2</v>
      </c>
      <c r="Q427" t="n">
        <v>4</v>
      </c>
      <c r="R427" t="n">
        <v>3</v>
      </c>
      <c r="S427" t="n">
        <v>5</v>
      </c>
      <c r="T427" t="n">
        <v>5</v>
      </c>
      <c r="U427" t="n">
        <v>2</v>
      </c>
      <c r="V427" t="n">
        <v>1</v>
      </c>
      <c r="W427">
        <f>(AVERAGE(B427:D427)-1)/4</f>
        <v/>
      </c>
      <c r="X427">
        <f>(AVERAGE(E427:G427)-1)/4</f>
        <v/>
      </c>
      <c r="Y427">
        <f>(AVERAGE(H427:J427)-1)/4</f>
        <v/>
      </c>
      <c r="Z427">
        <f>(AVERAGE(K427:M427)-1)/4</f>
        <v/>
      </c>
      <c r="AA427">
        <f>(AVERAGE(N427:P427)-1)/4</f>
        <v/>
      </c>
      <c r="AB427">
        <f>(AVERAGE(Q427:S427)-1)/4</f>
        <v/>
      </c>
      <c r="AC427">
        <f>(AVERAGE(T427:V427)-1)/4</f>
        <v/>
      </c>
      <c r="AD427">
        <f>AVERAGE(W427:AA427)</f>
        <v/>
      </c>
      <c r="AE427">
        <f>MIN(W427:AA427)</f>
        <v/>
      </c>
      <c r="AF427">
        <f>1-alpha*MAX(0,delta-AE427)</f>
        <v/>
      </c>
      <c r="AG427">
        <f>AD427*AF427</f>
        <v/>
      </c>
      <c r="AH427">
        <f>1+COUNTIF(bounds,"&lt;"&amp;ROUND(AD427,12))</f>
        <v/>
      </c>
      <c r="AI427">
        <f>1+COUNTIF(bounds,"&lt;"&amp;ROUND(AG427,12))</f>
        <v/>
      </c>
      <c r="AJ427">
        <f>IF(AF427&lt;1,1,0)</f>
        <v/>
      </c>
      <c r="AK427">
        <f>IF(AH427&lt;&gt;AI427,1,0)</f>
        <v/>
      </c>
      <c r="AL427">
        <f>IF(AND(AI427&gt;=3,AB427&lt;=0.2),1,0)</f>
        <v/>
      </c>
      <c r="AM427">
        <f>AVERAGE(W427:AB427)</f>
        <v/>
      </c>
      <c r="AN427">
        <f>1+COUNTIF(bounds,"&lt;"&amp;ROUND(AM427,12))</f>
        <v/>
      </c>
      <c r="AO427">
        <f>IF(AK427=1,AD427,NA())</f>
        <v/>
      </c>
      <c r="AP427">
        <f>IF(AK427=0,AD427,NA())</f>
        <v/>
      </c>
    </row>
    <row r="428">
      <c r="A428" t="n">
        <v>420</v>
      </c>
      <c r="B428" t="n">
        <v>2</v>
      </c>
      <c r="C428" t="n">
        <v>3</v>
      </c>
      <c r="D428" t="n">
        <v>3</v>
      </c>
      <c r="E428" t="n">
        <v>5</v>
      </c>
      <c r="F428" t="n">
        <v>3</v>
      </c>
      <c r="G428" t="n">
        <v>5</v>
      </c>
      <c r="H428" t="n">
        <v>4</v>
      </c>
      <c r="I428" t="n">
        <v>4</v>
      </c>
      <c r="J428" t="n">
        <v>2</v>
      </c>
      <c r="K428" t="n">
        <v>5</v>
      </c>
      <c r="L428" t="n">
        <v>4</v>
      </c>
      <c r="M428" t="n">
        <v>3</v>
      </c>
      <c r="N428" t="n">
        <v>1</v>
      </c>
      <c r="O428" t="n">
        <v>3</v>
      </c>
      <c r="P428" t="n">
        <v>5</v>
      </c>
      <c r="Q428" t="n">
        <v>4</v>
      </c>
      <c r="R428" t="n">
        <v>3</v>
      </c>
      <c r="S428" t="n">
        <v>4</v>
      </c>
      <c r="T428" t="n">
        <v>2</v>
      </c>
      <c r="U428" t="n">
        <v>2</v>
      </c>
      <c r="V428" t="n">
        <v>5</v>
      </c>
      <c r="W428">
        <f>(AVERAGE(B428:D428)-1)/4</f>
        <v/>
      </c>
      <c r="X428">
        <f>(AVERAGE(E428:G428)-1)/4</f>
        <v/>
      </c>
      <c r="Y428">
        <f>(AVERAGE(H428:J428)-1)/4</f>
        <v/>
      </c>
      <c r="Z428">
        <f>(AVERAGE(K428:M428)-1)/4</f>
        <v/>
      </c>
      <c r="AA428">
        <f>(AVERAGE(N428:P428)-1)/4</f>
        <v/>
      </c>
      <c r="AB428">
        <f>(AVERAGE(Q428:S428)-1)/4</f>
        <v/>
      </c>
      <c r="AC428">
        <f>(AVERAGE(T428:V428)-1)/4</f>
        <v/>
      </c>
      <c r="AD428">
        <f>AVERAGE(W428:AA428)</f>
        <v/>
      </c>
      <c r="AE428">
        <f>MIN(W428:AA428)</f>
        <v/>
      </c>
      <c r="AF428">
        <f>1-alpha*MAX(0,delta-AE428)</f>
        <v/>
      </c>
      <c r="AG428">
        <f>AD428*AF428</f>
        <v/>
      </c>
      <c r="AH428">
        <f>1+COUNTIF(bounds,"&lt;"&amp;ROUND(AD428,12))</f>
        <v/>
      </c>
      <c r="AI428">
        <f>1+COUNTIF(bounds,"&lt;"&amp;ROUND(AG428,12))</f>
        <v/>
      </c>
      <c r="AJ428">
        <f>IF(AF428&lt;1,1,0)</f>
        <v/>
      </c>
      <c r="AK428">
        <f>IF(AH428&lt;&gt;AI428,1,0)</f>
        <v/>
      </c>
      <c r="AL428">
        <f>IF(AND(AI428&gt;=3,AB428&lt;=0.2),1,0)</f>
        <v/>
      </c>
      <c r="AM428">
        <f>AVERAGE(W428:AB428)</f>
        <v/>
      </c>
      <c r="AN428">
        <f>1+COUNTIF(bounds,"&lt;"&amp;ROUND(AM428,12))</f>
        <v/>
      </c>
      <c r="AO428">
        <f>IF(AK428=1,AD428,NA())</f>
        <v/>
      </c>
      <c r="AP428">
        <f>IF(AK428=0,AD428,NA())</f>
        <v/>
      </c>
    </row>
    <row r="429">
      <c r="A429" t="n">
        <v>421</v>
      </c>
      <c r="B429" t="n">
        <v>5</v>
      </c>
      <c r="C429" t="n">
        <v>4</v>
      </c>
      <c r="D429" t="n">
        <v>2</v>
      </c>
      <c r="E429" t="n">
        <v>1</v>
      </c>
      <c r="F429" t="n">
        <v>4</v>
      </c>
      <c r="G429" t="n">
        <v>4</v>
      </c>
      <c r="H429" t="n">
        <v>4</v>
      </c>
      <c r="I429" t="n">
        <v>2</v>
      </c>
      <c r="J429" t="n">
        <v>5</v>
      </c>
      <c r="K429" t="n">
        <v>1</v>
      </c>
      <c r="L429" t="n">
        <v>2</v>
      </c>
      <c r="M429" t="n">
        <v>4</v>
      </c>
      <c r="N429" t="n">
        <v>1</v>
      </c>
      <c r="O429" t="n">
        <v>3</v>
      </c>
      <c r="P429" t="n">
        <v>3</v>
      </c>
      <c r="Q429" t="n">
        <v>5</v>
      </c>
      <c r="R429" t="n">
        <v>1</v>
      </c>
      <c r="S429" t="n">
        <v>4</v>
      </c>
      <c r="T429" t="n">
        <v>4</v>
      </c>
      <c r="U429" t="n">
        <v>1</v>
      </c>
      <c r="V429" t="n">
        <v>1</v>
      </c>
      <c r="W429">
        <f>(AVERAGE(B429:D429)-1)/4</f>
        <v/>
      </c>
      <c r="X429">
        <f>(AVERAGE(E429:G429)-1)/4</f>
        <v/>
      </c>
      <c r="Y429">
        <f>(AVERAGE(H429:J429)-1)/4</f>
        <v/>
      </c>
      <c r="Z429">
        <f>(AVERAGE(K429:M429)-1)/4</f>
        <v/>
      </c>
      <c r="AA429">
        <f>(AVERAGE(N429:P429)-1)/4</f>
        <v/>
      </c>
      <c r="AB429">
        <f>(AVERAGE(Q429:S429)-1)/4</f>
        <v/>
      </c>
      <c r="AC429">
        <f>(AVERAGE(T429:V429)-1)/4</f>
        <v/>
      </c>
      <c r="AD429">
        <f>AVERAGE(W429:AA429)</f>
        <v/>
      </c>
      <c r="AE429">
        <f>MIN(W429:AA429)</f>
        <v/>
      </c>
      <c r="AF429">
        <f>1-alpha*MAX(0,delta-AE429)</f>
        <v/>
      </c>
      <c r="AG429">
        <f>AD429*AF429</f>
        <v/>
      </c>
      <c r="AH429">
        <f>1+COUNTIF(bounds,"&lt;"&amp;ROUND(AD429,12))</f>
        <v/>
      </c>
      <c r="AI429">
        <f>1+COUNTIF(bounds,"&lt;"&amp;ROUND(AG429,12))</f>
        <v/>
      </c>
      <c r="AJ429">
        <f>IF(AF429&lt;1,1,0)</f>
        <v/>
      </c>
      <c r="AK429">
        <f>IF(AH429&lt;&gt;AI429,1,0)</f>
        <v/>
      </c>
      <c r="AL429">
        <f>IF(AND(AI429&gt;=3,AB429&lt;=0.2),1,0)</f>
        <v/>
      </c>
      <c r="AM429">
        <f>AVERAGE(W429:AB429)</f>
        <v/>
      </c>
      <c r="AN429">
        <f>1+COUNTIF(bounds,"&lt;"&amp;ROUND(AM429,12))</f>
        <v/>
      </c>
      <c r="AO429">
        <f>IF(AK429=1,AD429,NA())</f>
        <v/>
      </c>
      <c r="AP429">
        <f>IF(AK429=0,AD429,NA())</f>
        <v/>
      </c>
    </row>
    <row r="430">
      <c r="A430" t="n">
        <v>422</v>
      </c>
      <c r="B430" t="n">
        <v>3</v>
      </c>
      <c r="C430" t="n">
        <v>1</v>
      </c>
      <c r="D430" t="n">
        <v>2</v>
      </c>
      <c r="E430" t="n">
        <v>2</v>
      </c>
      <c r="F430" t="n">
        <v>1</v>
      </c>
      <c r="G430" t="n">
        <v>3</v>
      </c>
      <c r="H430" t="n">
        <v>2</v>
      </c>
      <c r="I430" t="n">
        <v>2</v>
      </c>
      <c r="J430" t="n">
        <v>4</v>
      </c>
      <c r="K430" t="n">
        <v>2</v>
      </c>
      <c r="L430" t="n">
        <v>4</v>
      </c>
      <c r="M430" t="n">
        <v>5</v>
      </c>
      <c r="N430" t="n">
        <v>5</v>
      </c>
      <c r="O430" t="n">
        <v>4</v>
      </c>
      <c r="P430" t="n">
        <v>4</v>
      </c>
      <c r="Q430" t="n">
        <v>4</v>
      </c>
      <c r="R430" t="n">
        <v>5</v>
      </c>
      <c r="S430" t="n">
        <v>1</v>
      </c>
      <c r="T430" t="n">
        <v>5</v>
      </c>
      <c r="U430" t="n">
        <v>3</v>
      </c>
      <c r="V430" t="n">
        <v>2</v>
      </c>
      <c r="W430">
        <f>(AVERAGE(B430:D430)-1)/4</f>
        <v/>
      </c>
      <c r="X430">
        <f>(AVERAGE(E430:G430)-1)/4</f>
        <v/>
      </c>
      <c r="Y430">
        <f>(AVERAGE(H430:J430)-1)/4</f>
        <v/>
      </c>
      <c r="Z430">
        <f>(AVERAGE(K430:M430)-1)/4</f>
        <v/>
      </c>
      <c r="AA430">
        <f>(AVERAGE(N430:P430)-1)/4</f>
        <v/>
      </c>
      <c r="AB430">
        <f>(AVERAGE(Q430:S430)-1)/4</f>
        <v/>
      </c>
      <c r="AC430">
        <f>(AVERAGE(T430:V430)-1)/4</f>
        <v/>
      </c>
      <c r="AD430">
        <f>AVERAGE(W430:AA430)</f>
        <v/>
      </c>
      <c r="AE430">
        <f>MIN(W430:AA430)</f>
        <v/>
      </c>
      <c r="AF430">
        <f>1-alpha*MAX(0,delta-AE430)</f>
        <v/>
      </c>
      <c r="AG430">
        <f>AD430*AF430</f>
        <v/>
      </c>
      <c r="AH430">
        <f>1+COUNTIF(bounds,"&lt;"&amp;ROUND(AD430,12))</f>
        <v/>
      </c>
      <c r="AI430">
        <f>1+COUNTIF(bounds,"&lt;"&amp;ROUND(AG430,12))</f>
        <v/>
      </c>
      <c r="AJ430">
        <f>IF(AF430&lt;1,1,0)</f>
        <v/>
      </c>
      <c r="AK430">
        <f>IF(AH430&lt;&gt;AI430,1,0)</f>
        <v/>
      </c>
      <c r="AL430">
        <f>IF(AND(AI430&gt;=3,AB430&lt;=0.2),1,0)</f>
        <v/>
      </c>
      <c r="AM430">
        <f>AVERAGE(W430:AB430)</f>
        <v/>
      </c>
      <c r="AN430">
        <f>1+COUNTIF(bounds,"&lt;"&amp;ROUND(AM430,12))</f>
        <v/>
      </c>
      <c r="AO430">
        <f>IF(AK430=1,AD430,NA())</f>
        <v/>
      </c>
      <c r="AP430">
        <f>IF(AK430=0,AD430,NA())</f>
        <v/>
      </c>
    </row>
    <row r="431">
      <c r="A431" t="n">
        <v>423</v>
      </c>
      <c r="B431" t="n">
        <v>5</v>
      </c>
      <c r="C431" t="n">
        <v>3</v>
      </c>
      <c r="D431" t="n">
        <v>5</v>
      </c>
      <c r="E431" t="n">
        <v>3</v>
      </c>
      <c r="F431" t="n">
        <v>3</v>
      </c>
      <c r="G431" t="n">
        <v>2</v>
      </c>
      <c r="H431" t="n">
        <v>4</v>
      </c>
      <c r="I431" t="n">
        <v>2</v>
      </c>
      <c r="J431" t="n">
        <v>2</v>
      </c>
      <c r="K431" t="n">
        <v>5</v>
      </c>
      <c r="L431" t="n">
        <v>5</v>
      </c>
      <c r="M431" t="n">
        <v>3</v>
      </c>
      <c r="N431" t="n">
        <v>2</v>
      </c>
      <c r="O431" t="n">
        <v>3</v>
      </c>
      <c r="P431" t="n">
        <v>2</v>
      </c>
      <c r="Q431" t="n">
        <v>2</v>
      </c>
      <c r="R431" t="n">
        <v>5</v>
      </c>
      <c r="S431" t="n">
        <v>4</v>
      </c>
      <c r="T431" t="n">
        <v>1</v>
      </c>
      <c r="U431" t="n">
        <v>1</v>
      </c>
      <c r="V431" t="n">
        <v>1</v>
      </c>
      <c r="W431">
        <f>(AVERAGE(B431:D431)-1)/4</f>
        <v/>
      </c>
      <c r="X431">
        <f>(AVERAGE(E431:G431)-1)/4</f>
        <v/>
      </c>
      <c r="Y431">
        <f>(AVERAGE(H431:J431)-1)/4</f>
        <v/>
      </c>
      <c r="Z431">
        <f>(AVERAGE(K431:M431)-1)/4</f>
        <v/>
      </c>
      <c r="AA431">
        <f>(AVERAGE(N431:P431)-1)/4</f>
        <v/>
      </c>
      <c r="AB431">
        <f>(AVERAGE(Q431:S431)-1)/4</f>
        <v/>
      </c>
      <c r="AC431">
        <f>(AVERAGE(T431:V431)-1)/4</f>
        <v/>
      </c>
      <c r="AD431">
        <f>AVERAGE(W431:AA431)</f>
        <v/>
      </c>
      <c r="AE431">
        <f>MIN(W431:AA431)</f>
        <v/>
      </c>
      <c r="AF431">
        <f>1-alpha*MAX(0,delta-AE431)</f>
        <v/>
      </c>
      <c r="AG431">
        <f>AD431*AF431</f>
        <v/>
      </c>
      <c r="AH431">
        <f>1+COUNTIF(bounds,"&lt;"&amp;ROUND(AD431,12))</f>
        <v/>
      </c>
      <c r="AI431">
        <f>1+COUNTIF(bounds,"&lt;"&amp;ROUND(AG431,12))</f>
        <v/>
      </c>
      <c r="AJ431">
        <f>IF(AF431&lt;1,1,0)</f>
        <v/>
      </c>
      <c r="AK431">
        <f>IF(AH431&lt;&gt;AI431,1,0)</f>
        <v/>
      </c>
      <c r="AL431">
        <f>IF(AND(AI431&gt;=3,AB431&lt;=0.2),1,0)</f>
        <v/>
      </c>
      <c r="AM431">
        <f>AVERAGE(W431:AB431)</f>
        <v/>
      </c>
      <c r="AN431">
        <f>1+COUNTIF(bounds,"&lt;"&amp;ROUND(AM431,12))</f>
        <v/>
      </c>
      <c r="AO431">
        <f>IF(AK431=1,AD431,NA())</f>
        <v/>
      </c>
      <c r="AP431">
        <f>IF(AK431=0,AD431,NA())</f>
        <v/>
      </c>
    </row>
    <row r="432">
      <c r="A432" t="n">
        <v>424</v>
      </c>
      <c r="B432" t="n">
        <v>2</v>
      </c>
      <c r="C432" t="n">
        <v>4</v>
      </c>
      <c r="D432" t="n">
        <v>1</v>
      </c>
      <c r="E432" t="n">
        <v>3</v>
      </c>
      <c r="F432" t="n">
        <v>4</v>
      </c>
      <c r="G432" t="n">
        <v>1</v>
      </c>
      <c r="H432" t="n">
        <v>3</v>
      </c>
      <c r="I432" t="n">
        <v>1</v>
      </c>
      <c r="J432" t="n">
        <v>1</v>
      </c>
      <c r="K432" t="n">
        <v>2</v>
      </c>
      <c r="L432" t="n">
        <v>2</v>
      </c>
      <c r="M432" t="n">
        <v>2</v>
      </c>
      <c r="N432" t="n">
        <v>2</v>
      </c>
      <c r="O432" t="n">
        <v>3</v>
      </c>
      <c r="P432" t="n">
        <v>1</v>
      </c>
      <c r="Q432" t="n">
        <v>3</v>
      </c>
      <c r="R432" t="n">
        <v>4</v>
      </c>
      <c r="S432" t="n">
        <v>3</v>
      </c>
      <c r="T432" t="n">
        <v>5</v>
      </c>
      <c r="U432" t="n">
        <v>1</v>
      </c>
      <c r="V432" t="n">
        <v>3</v>
      </c>
      <c r="W432">
        <f>(AVERAGE(B432:D432)-1)/4</f>
        <v/>
      </c>
      <c r="X432">
        <f>(AVERAGE(E432:G432)-1)/4</f>
        <v/>
      </c>
      <c r="Y432">
        <f>(AVERAGE(H432:J432)-1)/4</f>
        <v/>
      </c>
      <c r="Z432">
        <f>(AVERAGE(K432:M432)-1)/4</f>
        <v/>
      </c>
      <c r="AA432">
        <f>(AVERAGE(N432:P432)-1)/4</f>
        <v/>
      </c>
      <c r="AB432">
        <f>(AVERAGE(Q432:S432)-1)/4</f>
        <v/>
      </c>
      <c r="AC432">
        <f>(AVERAGE(T432:V432)-1)/4</f>
        <v/>
      </c>
      <c r="AD432">
        <f>AVERAGE(W432:AA432)</f>
        <v/>
      </c>
      <c r="AE432">
        <f>MIN(W432:AA432)</f>
        <v/>
      </c>
      <c r="AF432">
        <f>1-alpha*MAX(0,delta-AE432)</f>
        <v/>
      </c>
      <c r="AG432">
        <f>AD432*AF432</f>
        <v/>
      </c>
      <c r="AH432">
        <f>1+COUNTIF(bounds,"&lt;"&amp;ROUND(AD432,12))</f>
        <v/>
      </c>
      <c r="AI432">
        <f>1+COUNTIF(bounds,"&lt;"&amp;ROUND(AG432,12))</f>
        <v/>
      </c>
      <c r="AJ432">
        <f>IF(AF432&lt;1,1,0)</f>
        <v/>
      </c>
      <c r="AK432">
        <f>IF(AH432&lt;&gt;AI432,1,0)</f>
        <v/>
      </c>
      <c r="AL432">
        <f>IF(AND(AI432&gt;=3,AB432&lt;=0.2),1,0)</f>
        <v/>
      </c>
      <c r="AM432">
        <f>AVERAGE(W432:AB432)</f>
        <v/>
      </c>
      <c r="AN432">
        <f>1+COUNTIF(bounds,"&lt;"&amp;ROUND(AM432,12))</f>
        <v/>
      </c>
      <c r="AO432">
        <f>IF(AK432=1,AD432,NA())</f>
        <v/>
      </c>
      <c r="AP432">
        <f>IF(AK432=0,AD432,NA())</f>
        <v/>
      </c>
    </row>
    <row r="433">
      <c r="A433" t="n">
        <v>425</v>
      </c>
      <c r="B433" t="n">
        <v>1</v>
      </c>
      <c r="C433" t="n">
        <v>3</v>
      </c>
      <c r="D433" t="n">
        <v>5</v>
      </c>
      <c r="E433" t="n">
        <v>1</v>
      </c>
      <c r="F433" t="n">
        <v>1</v>
      </c>
      <c r="G433" t="n">
        <v>5</v>
      </c>
      <c r="H433" t="n">
        <v>3</v>
      </c>
      <c r="I433" t="n">
        <v>5</v>
      </c>
      <c r="J433" t="n">
        <v>5</v>
      </c>
      <c r="K433" t="n">
        <v>4</v>
      </c>
      <c r="L433" t="n">
        <v>5</v>
      </c>
      <c r="M433" t="n">
        <v>5</v>
      </c>
      <c r="N433" t="n">
        <v>1</v>
      </c>
      <c r="O433" t="n">
        <v>3</v>
      </c>
      <c r="P433" t="n">
        <v>2</v>
      </c>
      <c r="Q433" t="n">
        <v>3</v>
      </c>
      <c r="R433" t="n">
        <v>5</v>
      </c>
      <c r="S433" t="n">
        <v>5</v>
      </c>
      <c r="T433" t="n">
        <v>5</v>
      </c>
      <c r="U433" t="n">
        <v>1</v>
      </c>
      <c r="V433" t="n">
        <v>5</v>
      </c>
      <c r="W433">
        <f>(AVERAGE(B433:D433)-1)/4</f>
        <v/>
      </c>
      <c r="X433">
        <f>(AVERAGE(E433:G433)-1)/4</f>
        <v/>
      </c>
      <c r="Y433">
        <f>(AVERAGE(H433:J433)-1)/4</f>
        <v/>
      </c>
      <c r="Z433">
        <f>(AVERAGE(K433:M433)-1)/4</f>
        <v/>
      </c>
      <c r="AA433">
        <f>(AVERAGE(N433:P433)-1)/4</f>
        <v/>
      </c>
      <c r="AB433">
        <f>(AVERAGE(Q433:S433)-1)/4</f>
        <v/>
      </c>
      <c r="AC433">
        <f>(AVERAGE(T433:V433)-1)/4</f>
        <v/>
      </c>
      <c r="AD433">
        <f>AVERAGE(W433:AA433)</f>
        <v/>
      </c>
      <c r="AE433">
        <f>MIN(W433:AA433)</f>
        <v/>
      </c>
      <c r="AF433">
        <f>1-alpha*MAX(0,delta-AE433)</f>
        <v/>
      </c>
      <c r="AG433">
        <f>AD433*AF433</f>
        <v/>
      </c>
      <c r="AH433">
        <f>1+COUNTIF(bounds,"&lt;"&amp;ROUND(AD433,12))</f>
        <v/>
      </c>
      <c r="AI433">
        <f>1+COUNTIF(bounds,"&lt;"&amp;ROUND(AG433,12))</f>
        <v/>
      </c>
      <c r="AJ433">
        <f>IF(AF433&lt;1,1,0)</f>
        <v/>
      </c>
      <c r="AK433">
        <f>IF(AH433&lt;&gt;AI433,1,0)</f>
        <v/>
      </c>
      <c r="AL433">
        <f>IF(AND(AI433&gt;=3,AB433&lt;=0.2),1,0)</f>
        <v/>
      </c>
      <c r="AM433">
        <f>AVERAGE(W433:AB433)</f>
        <v/>
      </c>
      <c r="AN433">
        <f>1+COUNTIF(bounds,"&lt;"&amp;ROUND(AM433,12))</f>
        <v/>
      </c>
      <c r="AO433">
        <f>IF(AK433=1,AD433,NA())</f>
        <v/>
      </c>
      <c r="AP433">
        <f>IF(AK433=0,AD433,NA())</f>
        <v/>
      </c>
    </row>
    <row r="434">
      <c r="A434" t="n">
        <v>426</v>
      </c>
      <c r="B434" t="n">
        <v>4</v>
      </c>
      <c r="C434" t="n">
        <v>2</v>
      </c>
      <c r="D434" t="n">
        <v>2</v>
      </c>
      <c r="E434" t="n">
        <v>4</v>
      </c>
      <c r="F434" t="n">
        <v>5</v>
      </c>
      <c r="G434" t="n">
        <v>4</v>
      </c>
      <c r="H434" t="n">
        <v>5</v>
      </c>
      <c r="I434" t="n">
        <v>1</v>
      </c>
      <c r="J434" t="n">
        <v>4</v>
      </c>
      <c r="K434" t="n">
        <v>1</v>
      </c>
      <c r="L434" t="n">
        <v>2</v>
      </c>
      <c r="M434" t="n">
        <v>3</v>
      </c>
      <c r="N434" t="n">
        <v>5</v>
      </c>
      <c r="O434" t="n">
        <v>4</v>
      </c>
      <c r="P434" t="n">
        <v>1</v>
      </c>
      <c r="Q434" t="n">
        <v>1</v>
      </c>
      <c r="R434" t="n">
        <v>1</v>
      </c>
      <c r="S434" t="n">
        <v>4</v>
      </c>
      <c r="T434" t="n">
        <v>4</v>
      </c>
      <c r="U434" t="n">
        <v>4</v>
      </c>
      <c r="V434" t="n">
        <v>3</v>
      </c>
      <c r="W434">
        <f>(AVERAGE(B434:D434)-1)/4</f>
        <v/>
      </c>
      <c r="X434">
        <f>(AVERAGE(E434:G434)-1)/4</f>
        <v/>
      </c>
      <c r="Y434">
        <f>(AVERAGE(H434:J434)-1)/4</f>
        <v/>
      </c>
      <c r="Z434">
        <f>(AVERAGE(K434:M434)-1)/4</f>
        <v/>
      </c>
      <c r="AA434">
        <f>(AVERAGE(N434:P434)-1)/4</f>
        <v/>
      </c>
      <c r="AB434">
        <f>(AVERAGE(Q434:S434)-1)/4</f>
        <v/>
      </c>
      <c r="AC434">
        <f>(AVERAGE(T434:V434)-1)/4</f>
        <v/>
      </c>
      <c r="AD434">
        <f>AVERAGE(W434:AA434)</f>
        <v/>
      </c>
      <c r="AE434">
        <f>MIN(W434:AA434)</f>
        <v/>
      </c>
      <c r="AF434">
        <f>1-alpha*MAX(0,delta-AE434)</f>
        <v/>
      </c>
      <c r="AG434">
        <f>AD434*AF434</f>
        <v/>
      </c>
      <c r="AH434">
        <f>1+COUNTIF(bounds,"&lt;"&amp;ROUND(AD434,12))</f>
        <v/>
      </c>
      <c r="AI434">
        <f>1+COUNTIF(bounds,"&lt;"&amp;ROUND(AG434,12))</f>
        <v/>
      </c>
      <c r="AJ434">
        <f>IF(AF434&lt;1,1,0)</f>
        <v/>
      </c>
      <c r="AK434">
        <f>IF(AH434&lt;&gt;AI434,1,0)</f>
        <v/>
      </c>
      <c r="AL434">
        <f>IF(AND(AI434&gt;=3,AB434&lt;=0.2),1,0)</f>
        <v/>
      </c>
      <c r="AM434">
        <f>AVERAGE(W434:AB434)</f>
        <v/>
      </c>
      <c r="AN434">
        <f>1+COUNTIF(bounds,"&lt;"&amp;ROUND(AM434,12))</f>
        <v/>
      </c>
      <c r="AO434">
        <f>IF(AK434=1,AD434,NA())</f>
        <v/>
      </c>
      <c r="AP434">
        <f>IF(AK434=0,AD434,NA())</f>
        <v/>
      </c>
    </row>
    <row r="435">
      <c r="A435" t="n">
        <v>427</v>
      </c>
      <c r="B435" t="n">
        <v>1</v>
      </c>
      <c r="C435" t="n">
        <v>4</v>
      </c>
      <c r="D435" t="n">
        <v>5</v>
      </c>
      <c r="E435" t="n">
        <v>5</v>
      </c>
      <c r="F435" t="n">
        <v>2</v>
      </c>
      <c r="G435" t="n">
        <v>3</v>
      </c>
      <c r="H435" t="n">
        <v>1</v>
      </c>
      <c r="I435" t="n">
        <v>2</v>
      </c>
      <c r="J435" t="n">
        <v>3</v>
      </c>
      <c r="K435" t="n">
        <v>2</v>
      </c>
      <c r="L435" t="n">
        <v>2</v>
      </c>
      <c r="M435" t="n">
        <v>4</v>
      </c>
      <c r="N435" t="n">
        <v>5</v>
      </c>
      <c r="O435" t="n">
        <v>1</v>
      </c>
      <c r="P435" t="n">
        <v>2</v>
      </c>
      <c r="Q435" t="n">
        <v>3</v>
      </c>
      <c r="R435" t="n">
        <v>1</v>
      </c>
      <c r="S435" t="n">
        <v>4</v>
      </c>
      <c r="T435" t="n">
        <v>1</v>
      </c>
      <c r="U435" t="n">
        <v>5</v>
      </c>
      <c r="V435" t="n">
        <v>5</v>
      </c>
      <c r="W435">
        <f>(AVERAGE(B435:D435)-1)/4</f>
        <v/>
      </c>
      <c r="X435">
        <f>(AVERAGE(E435:G435)-1)/4</f>
        <v/>
      </c>
      <c r="Y435">
        <f>(AVERAGE(H435:J435)-1)/4</f>
        <v/>
      </c>
      <c r="Z435">
        <f>(AVERAGE(K435:M435)-1)/4</f>
        <v/>
      </c>
      <c r="AA435">
        <f>(AVERAGE(N435:P435)-1)/4</f>
        <v/>
      </c>
      <c r="AB435">
        <f>(AVERAGE(Q435:S435)-1)/4</f>
        <v/>
      </c>
      <c r="AC435">
        <f>(AVERAGE(T435:V435)-1)/4</f>
        <v/>
      </c>
      <c r="AD435">
        <f>AVERAGE(W435:AA435)</f>
        <v/>
      </c>
      <c r="AE435">
        <f>MIN(W435:AA435)</f>
        <v/>
      </c>
      <c r="AF435">
        <f>1-alpha*MAX(0,delta-AE435)</f>
        <v/>
      </c>
      <c r="AG435">
        <f>AD435*AF435</f>
        <v/>
      </c>
      <c r="AH435">
        <f>1+COUNTIF(bounds,"&lt;"&amp;ROUND(AD435,12))</f>
        <v/>
      </c>
      <c r="AI435">
        <f>1+COUNTIF(bounds,"&lt;"&amp;ROUND(AG435,12))</f>
        <v/>
      </c>
      <c r="AJ435">
        <f>IF(AF435&lt;1,1,0)</f>
        <v/>
      </c>
      <c r="AK435">
        <f>IF(AH435&lt;&gt;AI435,1,0)</f>
        <v/>
      </c>
      <c r="AL435">
        <f>IF(AND(AI435&gt;=3,AB435&lt;=0.2),1,0)</f>
        <v/>
      </c>
      <c r="AM435">
        <f>AVERAGE(W435:AB435)</f>
        <v/>
      </c>
      <c r="AN435">
        <f>1+COUNTIF(bounds,"&lt;"&amp;ROUND(AM435,12))</f>
        <v/>
      </c>
      <c r="AO435">
        <f>IF(AK435=1,AD435,NA())</f>
        <v/>
      </c>
      <c r="AP435">
        <f>IF(AK435=0,AD435,NA())</f>
        <v/>
      </c>
    </row>
    <row r="436">
      <c r="A436" t="n">
        <v>428</v>
      </c>
      <c r="B436" t="n">
        <v>4</v>
      </c>
      <c r="C436" t="n">
        <v>4</v>
      </c>
      <c r="D436" t="n">
        <v>2</v>
      </c>
      <c r="E436" t="n">
        <v>5</v>
      </c>
      <c r="F436" t="n">
        <v>3</v>
      </c>
      <c r="G436" t="n">
        <v>1</v>
      </c>
      <c r="H436" t="n">
        <v>3</v>
      </c>
      <c r="I436" t="n">
        <v>1</v>
      </c>
      <c r="J436" t="n">
        <v>3</v>
      </c>
      <c r="K436" t="n">
        <v>4</v>
      </c>
      <c r="L436" t="n">
        <v>1</v>
      </c>
      <c r="M436" t="n">
        <v>2</v>
      </c>
      <c r="N436" t="n">
        <v>5</v>
      </c>
      <c r="O436" t="n">
        <v>1</v>
      </c>
      <c r="P436" t="n">
        <v>4</v>
      </c>
      <c r="Q436" t="n">
        <v>3</v>
      </c>
      <c r="R436" t="n">
        <v>5</v>
      </c>
      <c r="S436" t="n">
        <v>3</v>
      </c>
      <c r="T436" t="n">
        <v>2</v>
      </c>
      <c r="U436" t="n">
        <v>5</v>
      </c>
      <c r="V436" t="n">
        <v>5</v>
      </c>
      <c r="W436">
        <f>(AVERAGE(B436:D436)-1)/4</f>
        <v/>
      </c>
      <c r="X436">
        <f>(AVERAGE(E436:G436)-1)/4</f>
        <v/>
      </c>
      <c r="Y436">
        <f>(AVERAGE(H436:J436)-1)/4</f>
        <v/>
      </c>
      <c r="Z436">
        <f>(AVERAGE(K436:M436)-1)/4</f>
        <v/>
      </c>
      <c r="AA436">
        <f>(AVERAGE(N436:P436)-1)/4</f>
        <v/>
      </c>
      <c r="AB436">
        <f>(AVERAGE(Q436:S436)-1)/4</f>
        <v/>
      </c>
      <c r="AC436">
        <f>(AVERAGE(T436:V436)-1)/4</f>
        <v/>
      </c>
      <c r="AD436">
        <f>AVERAGE(W436:AA436)</f>
        <v/>
      </c>
      <c r="AE436">
        <f>MIN(W436:AA436)</f>
        <v/>
      </c>
      <c r="AF436">
        <f>1-alpha*MAX(0,delta-AE436)</f>
        <v/>
      </c>
      <c r="AG436">
        <f>AD436*AF436</f>
        <v/>
      </c>
      <c r="AH436">
        <f>1+COUNTIF(bounds,"&lt;"&amp;ROUND(AD436,12))</f>
        <v/>
      </c>
      <c r="AI436">
        <f>1+COUNTIF(bounds,"&lt;"&amp;ROUND(AG436,12))</f>
        <v/>
      </c>
      <c r="AJ436">
        <f>IF(AF436&lt;1,1,0)</f>
        <v/>
      </c>
      <c r="AK436">
        <f>IF(AH436&lt;&gt;AI436,1,0)</f>
        <v/>
      </c>
      <c r="AL436">
        <f>IF(AND(AI436&gt;=3,AB436&lt;=0.2),1,0)</f>
        <v/>
      </c>
      <c r="AM436">
        <f>AVERAGE(W436:AB436)</f>
        <v/>
      </c>
      <c r="AN436">
        <f>1+COUNTIF(bounds,"&lt;"&amp;ROUND(AM436,12))</f>
        <v/>
      </c>
      <c r="AO436">
        <f>IF(AK436=1,AD436,NA())</f>
        <v/>
      </c>
      <c r="AP436">
        <f>IF(AK436=0,AD436,NA())</f>
        <v/>
      </c>
    </row>
    <row r="437">
      <c r="A437" t="n">
        <v>429</v>
      </c>
      <c r="B437" t="n">
        <v>4</v>
      </c>
      <c r="C437" t="n">
        <v>3</v>
      </c>
      <c r="D437" t="n">
        <v>4</v>
      </c>
      <c r="E437" t="n">
        <v>3</v>
      </c>
      <c r="F437" t="n">
        <v>1</v>
      </c>
      <c r="G437" t="n">
        <v>5</v>
      </c>
      <c r="H437" t="n">
        <v>1</v>
      </c>
      <c r="I437" t="n">
        <v>3</v>
      </c>
      <c r="J437" t="n">
        <v>3</v>
      </c>
      <c r="K437" t="n">
        <v>5</v>
      </c>
      <c r="L437" t="n">
        <v>5</v>
      </c>
      <c r="M437" t="n">
        <v>1</v>
      </c>
      <c r="N437" t="n">
        <v>2</v>
      </c>
      <c r="O437" t="n">
        <v>4</v>
      </c>
      <c r="P437" t="n">
        <v>3</v>
      </c>
      <c r="Q437" t="n">
        <v>5</v>
      </c>
      <c r="R437" t="n">
        <v>1</v>
      </c>
      <c r="S437" t="n">
        <v>3</v>
      </c>
      <c r="T437" t="n">
        <v>3</v>
      </c>
      <c r="U437" t="n">
        <v>3</v>
      </c>
      <c r="V437" t="n">
        <v>2</v>
      </c>
      <c r="W437">
        <f>(AVERAGE(B437:D437)-1)/4</f>
        <v/>
      </c>
      <c r="X437">
        <f>(AVERAGE(E437:G437)-1)/4</f>
        <v/>
      </c>
      <c r="Y437">
        <f>(AVERAGE(H437:J437)-1)/4</f>
        <v/>
      </c>
      <c r="Z437">
        <f>(AVERAGE(K437:M437)-1)/4</f>
        <v/>
      </c>
      <c r="AA437">
        <f>(AVERAGE(N437:P437)-1)/4</f>
        <v/>
      </c>
      <c r="AB437">
        <f>(AVERAGE(Q437:S437)-1)/4</f>
        <v/>
      </c>
      <c r="AC437">
        <f>(AVERAGE(T437:V437)-1)/4</f>
        <v/>
      </c>
      <c r="AD437">
        <f>AVERAGE(W437:AA437)</f>
        <v/>
      </c>
      <c r="AE437">
        <f>MIN(W437:AA437)</f>
        <v/>
      </c>
      <c r="AF437">
        <f>1-alpha*MAX(0,delta-AE437)</f>
        <v/>
      </c>
      <c r="AG437">
        <f>AD437*AF437</f>
        <v/>
      </c>
      <c r="AH437">
        <f>1+COUNTIF(bounds,"&lt;"&amp;ROUND(AD437,12))</f>
        <v/>
      </c>
      <c r="AI437">
        <f>1+COUNTIF(bounds,"&lt;"&amp;ROUND(AG437,12))</f>
        <v/>
      </c>
      <c r="AJ437">
        <f>IF(AF437&lt;1,1,0)</f>
        <v/>
      </c>
      <c r="AK437">
        <f>IF(AH437&lt;&gt;AI437,1,0)</f>
        <v/>
      </c>
      <c r="AL437">
        <f>IF(AND(AI437&gt;=3,AB437&lt;=0.2),1,0)</f>
        <v/>
      </c>
      <c r="AM437">
        <f>AVERAGE(W437:AB437)</f>
        <v/>
      </c>
      <c r="AN437">
        <f>1+COUNTIF(bounds,"&lt;"&amp;ROUND(AM437,12))</f>
        <v/>
      </c>
      <c r="AO437">
        <f>IF(AK437=1,AD437,NA())</f>
        <v/>
      </c>
      <c r="AP437">
        <f>IF(AK437=0,AD437,NA())</f>
        <v/>
      </c>
    </row>
    <row r="438">
      <c r="A438" t="n">
        <v>430</v>
      </c>
      <c r="B438" t="n">
        <v>2</v>
      </c>
      <c r="C438" t="n">
        <v>4</v>
      </c>
      <c r="D438" t="n">
        <v>2</v>
      </c>
      <c r="E438" t="n">
        <v>2</v>
      </c>
      <c r="F438" t="n">
        <v>3</v>
      </c>
      <c r="G438" t="n">
        <v>5</v>
      </c>
      <c r="H438" t="n">
        <v>4</v>
      </c>
      <c r="I438" t="n">
        <v>4</v>
      </c>
      <c r="J438" t="n">
        <v>5</v>
      </c>
      <c r="K438" t="n">
        <v>5</v>
      </c>
      <c r="L438" t="n">
        <v>5</v>
      </c>
      <c r="M438" t="n">
        <v>5</v>
      </c>
      <c r="N438" t="n">
        <v>3</v>
      </c>
      <c r="O438" t="n">
        <v>4</v>
      </c>
      <c r="P438" t="n">
        <v>5</v>
      </c>
      <c r="Q438" t="n">
        <v>3</v>
      </c>
      <c r="R438" t="n">
        <v>1</v>
      </c>
      <c r="S438" t="n">
        <v>4</v>
      </c>
      <c r="T438" t="n">
        <v>4</v>
      </c>
      <c r="U438" t="n">
        <v>4</v>
      </c>
      <c r="V438" t="n">
        <v>2</v>
      </c>
      <c r="W438">
        <f>(AVERAGE(B438:D438)-1)/4</f>
        <v/>
      </c>
      <c r="X438">
        <f>(AVERAGE(E438:G438)-1)/4</f>
        <v/>
      </c>
      <c r="Y438">
        <f>(AVERAGE(H438:J438)-1)/4</f>
        <v/>
      </c>
      <c r="Z438">
        <f>(AVERAGE(K438:M438)-1)/4</f>
        <v/>
      </c>
      <c r="AA438">
        <f>(AVERAGE(N438:P438)-1)/4</f>
        <v/>
      </c>
      <c r="AB438">
        <f>(AVERAGE(Q438:S438)-1)/4</f>
        <v/>
      </c>
      <c r="AC438">
        <f>(AVERAGE(T438:V438)-1)/4</f>
        <v/>
      </c>
      <c r="AD438">
        <f>AVERAGE(W438:AA438)</f>
        <v/>
      </c>
      <c r="AE438">
        <f>MIN(W438:AA438)</f>
        <v/>
      </c>
      <c r="AF438">
        <f>1-alpha*MAX(0,delta-AE438)</f>
        <v/>
      </c>
      <c r="AG438">
        <f>AD438*AF438</f>
        <v/>
      </c>
      <c r="AH438">
        <f>1+COUNTIF(bounds,"&lt;"&amp;ROUND(AD438,12))</f>
        <v/>
      </c>
      <c r="AI438">
        <f>1+COUNTIF(bounds,"&lt;"&amp;ROUND(AG438,12))</f>
        <v/>
      </c>
      <c r="AJ438">
        <f>IF(AF438&lt;1,1,0)</f>
        <v/>
      </c>
      <c r="AK438">
        <f>IF(AH438&lt;&gt;AI438,1,0)</f>
        <v/>
      </c>
      <c r="AL438">
        <f>IF(AND(AI438&gt;=3,AB438&lt;=0.2),1,0)</f>
        <v/>
      </c>
      <c r="AM438">
        <f>AVERAGE(W438:AB438)</f>
        <v/>
      </c>
      <c r="AN438">
        <f>1+COUNTIF(bounds,"&lt;"&amp;ROUND(AM438,12))</f>
        <v/>
      </c>
      <c r="AO438">
        <f>IF(AK438=1,AD438,NA())</f>
        <v/>
      </c>
      <c r="AP438">
        <f>IF(AK438=0,AD438,NA())</f>
        <v/>
      </c>
    </row>
    <row r="439">
      <c r="A439" t="n">
        <v>431</v>
      </c>
      <c r="B439" t="n">
        <v>2</v>
      </c>
      <c r="C439" t="n">
        <v>2</v>
      </c>
      <c r="D439" t="n">
        <v>3</v>
      </c>
      <c r="E439" t="n">
        <v>5</v>
      </c>
      <c r="F439" t="n">
        <v>1</v>
      </c>
      <c r="G439" t="n">
        <v>2</v>
      </c>
      <c r="H439" t="n">
        <v>4</v>
      </c>
      <c r="I439" t="n">
        <v>2</v>
      </c>
      <c r="J439" t="n">
        <v>4</v>
      </c>
      <c r="K439" t="n">
        <v>3</v>
      </c>
      <c r="L439" t="n">
        <v>5</v>
      </c>
      <c r="M439" t="n">
        <v>1</v>
      </c>
      <c r="N439" t="n">
        <v>3</v>
      </c>
      <c r="O439" t="n">
        <v>1</v>
      </c>
      <c r="P439" t="n">
        <v>5</v>
      </c>
      <c r="Q439" t="n">
        <v>3</v>
      </c>
      <c r="R439" t="n">
        <v>5</v>
      </c>
      <c r="S439" t="n">
        <v>3</v>
      </c>
      <c r="T439" t="n">
        <v>2</v>
      </c>
      <c r="U439" t="n">
        <v>4</v>
      </c>
      <c r="V439" t="n">
        <v>4</v>
      </c>
      <c r="W439">
        <f>(AVERAGE(B439:D439)-1)/4</f>
        <v/>
      </c>
      <c r="X439">
        <f>(AVERAGE(E439:G439)-1)/4</f>
        <v/>
      </c>
      <c r="Y439">
        <f>(AVERAGE(H439:J439)-1)/4</f>
        <v/>
      </c>
      <c r="Z439">
        <f>(AVERAGE(K439:M439)-1)/4</f>
        <v/>
      </c>
      <c r="AA439">
        <f>(AVERAGE(N439:P439)-1)/4</f>
        <v/>
      </c>
      <c r="AB439">
        <f>(AVERAGE(Q439:S439)-1)/4</f>
        <v/>
      </c>
      <c r="AC439">
        <f>(AVERAGE(T439:V439)-1)/4</f>
        <v/>
      </c>
      <c r="AD439">
        <f>AVERAGE(W439:AA439)</f>
        <v/>
      </c>
      <c r="AE439">
        <f>MIN(W439:AA439)</f>
        <v/>
      </c>
      <c r="AF439">
        <f>1-alpha*MAX(0,delta-AE439)</f>
        <v/>
      </c>
      <c r="AG439">
        <f>AD439*AF439</f>
        <v/>
      </c>
      <c r="AH439">
        <f>1+COUNTIF(bounds,"&lt;"&amp;ROUND(AD439,12))</f>
        <v/>
      </c>
      <c r="AI439">
        <f>1+COUNTIF(bounds,"&lt;"&amp;ROUND(AG439,12))</f>
        <v/>
      </c>
      <c r="AJ439">
        <f>IF(AF439&lt;1,1,0)</f>
        <v/>
      </c>
      <c r="AK439">
        <f>IF(AH439&lt;&gt;AI439,1,0)</f>
        <v/>
      </c>
      <c r="AL439">
        <f>IF(AND(AI439&gt;=3,AB439&lt;=0.2),1,0)</f>
        <v/>
      </c>
      <c r="AM439">
        <f>AVERAGE(W439:AB439)</f>
        <v/>
      </c>
      <c r="AN439">
        <f>1+COUNTIF(bounds,"&lt;"&amp;ROUND(AM439,12))</f>
        <v/>
      </c>
      <c r="AO439">
        <f>IF(AK439=1,AD439,NA())</f>
        <v/>
      </c>
      <c r="AP439">
        <f>IF(AK439=0,AD439,NA())</f>
        <v/>
      </c>
    </row>
    <row r="440">
      <c r="A440" t="n">
        <v>432</v>
      </c>
      <c r="B440" t="n">
        <v>2</v>
      </c>
      <c r="C440" t="n">
        <v>4</v>
      </c>
      <c r="D440" t="n">
        <v>4</v>
      </c>
      <c r="E440" t="n">
        <v>3</v>
      </c>
      <c r="F440" t="n">
        <v>3</v>
      </c>
      <c r="G440" t="n">
        <v>3</v>
      </c>
      <c r="H440" t="n">
        <v>3</v>
      </c>
      <c r="I440" t="n">
        <v>3</v>
      </c>
      <c r="J440" t="n">
        <v>2</v>
      </c>
      <c r="K440" t="n">
        <v>4</v>
      </c>
      <c r="L440" t="n">
        <v>3</v>
      </c>
      <c r="M440" t="n">
        <v>2</v>
      </c>
      <c r="N440" t="n">
        <v>4</v>
      </c>
      <c r="O440" t="n">
        <v>1</v>
      </c>
      <c r="P440" t="n">
        <v>4</v>
      </c>
      <c r="Q440" t="n">
        <v>2</v>
      </c>
      <c r="R440" t="n">
        <v>2</v>
      </c>
      <c r="S440" t="n">
        <v>1</v>
      </c>
      <c r="T440" t="n">
        <v>3</v>
      </c>
      <c r="U440" t="n">
        <v>4</v>
      </c>
      <c r="V440" t="n">
        <v>2</v>
      </c>
      <c r="W440">
        <f>(AVERAGE(B440:D440)-1)/4</f>
        <v/>
      </c>
      <c r="X440">
        <f>(AVERAGE(E440:G440)-1)/4</f>
        <v/>
      </c>
      <c r="Y440">
        <f>(AVERAGE(H440:J440)-1)/4</f>
        <v/>
      </c>
      <c r="Z440">
        <f>(AVERAGE(K440:M440)-1)/4</f>
        <v/>
      </c>
      <c r="AA440">
        <f>(AVERAGE(N440:P440)-1)/4</f>
        <v/>
      </c>
      <c r="AB440">
        <f>(AVERAGE(Q440:S440)-1)/4</f>
        <v/>
      </c>
      <c r="AC440">
        <f>(AVERAGE(T440:V440)-1)/4</f>
        <v/>
      </c>
      <c r="AD440">
        <f>AVERAGE(W440:AA440)</f>
        <v/>
      </c>
      <c r="AE440">
        <f>MIN(W440:AA440)</f>
        <v/>
      </c>
      <c r="AF440">
        <f>1-alpha*MAX(0,delta-AE440)</f>
        <v/>
      </c>
      <c r="AG440">
        <f>AD440*AF440</f>
        <v/>
      </c>
      <c r="AH440">
        <f>1+COUNTIF(bounds,"&lt;"&amp;ROUND(AD440,12))</f>
        <v/>
      </c>
      <c r="AI440">
        <f>1+COUNTIF(bounds,"&lt;"&amp;ROUND(AG440,12))</f>
        <v/>
      </c>
      <c r="AJ440">
        <f>IF(AF440&lt;1,1,0)</f>
        <v/>
      </c>
      <c r="AK440">
        <f>IF(AH440&lt;&gt;AI440,1,0)</f>
        <v/>
      </c>
      <c r="AL440">
        <f>IF(AND(AI440&gt;=3,AB440&lt;=0.2),1,0)</f>
        <v/>
      </c>
      <c r="AM440">
        <f>AVERAGE(W440:AB440)</f>
        <v/>
      </c>
      <c r="AN440">
        <f>1+COUNTIF(bounds,"&lt;"&amp;ROUND(AM440,12))</f>
        <v/>
      </c>
      <c r="AO440">
        <f>IF(AK440=1,AD440,NA())</f>
        <v/>
      </c>
      <c r="AP440">
        <f>IF(AK440=0,AD440,NA())</f>
        <v/>
      </c>
    </row>
    <row r="441">
      <c r="A441" t="n">
        <v>433</v>
      </c>
      <c r="B441" t="n">
        <v>2</v>
      </c>
      <c r="C441" t="n">
        <v>4</v>
      </c>
      <c r="D441" t="n">
        <v>4</v>
      </c>
      <c r="E441" t="n">
        <v>1</v>
      </c>
      <c r="F441" t="n">
        <v>5</v>
      </c>
      <c r="G441" t="n">
        <v>2</v>
      </c>
      <c r="H441" t="n">
        <v>2</v>
      </c>
      <c r="I441" t="n">
        <v>1</v>
      </c>
      <c r="J441" t="n">
        <v>4</v>
      </c>
      <c r="K441" t="n">
        <v>1</v>
      </c>
      <c r="L441" t="n">
        <v>5</v>
      </c>
      <c r="M441" t="n">
        <v>2</v>
      </c>
      <c r="N441" t="n">
        <v>1</v>
      </c>
      <c r="O441" t="n">
        <v>2</v>
      </c>
      <c r="P441" t="n">
        <v>2</v>
      </c>
      <c r="Q441" t="n">
        <v>4</v>
      </c>
      <c r="R441" t="n">
        <v>3</v>
      </c>
      <c r="S441" t="n">
        <v>3</v>
      </c>
      <c r="T441" t="n">
        <v>2</v>
      </c>
      <c r="U441" t="n">
        <v>5</v>
      </c>
      <c r="V441" t="n">
        <v>5</v>
      </c>
      <c r="W441">
        <f>(AVERAGE(B441:D441)-1)/4</f>
        <v/>
      </c>
      <c r="X441">
        <f>(AVERAGE(E441:G441)-1)/4</f>
        <v/>
      </c>
      <c r="Y441">
        <f>(AVERAGE(H441:J441)-1)/4</f>
        <v/>
      </c>
      <c r="Z441">
        <f>(AVERAGE(K441:M441)-1)/4</f>
        <v/>
      </c>
      <c r="AA441">
        <f>(AVERAGE(N441:P441)-1)/4</f>
        <v/>
      </c>
      <c r="AB441">
        <f>(AVERAGE(Q441:S441)-1)/4</f>
        <v/>
      </c>
      <c r="AC441">
        <f>(AVERAGE(T441:V441)-1)/4</f>
        <v/>
      </c>
      <c r="AD441">
        <f>AVERAGE(W441:AA441)</f>
        <v/>
      </c>
      <c r="AE441">
        <f>MIN(W441:AA441)</f>
        <v/>
      </c>
      <c r="AF441">
        <f>1-alpha*MAX(0,delta-AE441)</f>
        <v/>
      </c>
      <c r="AG441">
        <f>AD441*AF441</f>
        <v/>
      </c>
      <c r="AH441">
        <f>1+COUNTIF(bounds,"&lt;"&amp;ROUND(AD441,12))</f>
        <v/>
      </c>
      <c r="AI441">
        <f>1+COUNTIF(bounds,"&lt;"&amp;ROUND(AG441,12))</f>
        <v/>
      </c>
      <c r="AJ441">
        <f>IF(AF441&lt;1,1,0)</f>
        <v/>
      </c>
      <c r="AK441">
        <f>IF(AH441&lt;&gt;AI441,1,0)</f>
        <v/>
      </c>
      <c r="AL441">
        <f>IF(AND(AI441&gt;=3,AB441&lt;=0.2),1,0)</f>
        <v/>
      </c>
      <c r="AM441">
        <f>AVERAGE(W441:AB441)</f>
        <v/>
      </c>
      <c r="AN441">
        <f>1+COUNTIF(bounds,"&lt;"&amp;ROUND(AM441,12))</f>
        <v/>
      </c>
      <c r="AO441">
        <f>IF(AK441=1,AD441,NA())</f>
        <v/>
      </c>
      <c r="AP441">
        <f>IF(AK441=0,AD441,NA())</f>
        <v/>
      </c>
    </row>
    <row r="442">
      <c r="A442" t="n">
        <v>434</v>
      </c>
      <c r="B442" t="n">
        <v>5</v>
      </c>
      <c r="C442" t="n">
        <v>5</v>
      </c>
      <c r="D442" t="n">
        <v>5</v>
      </c>
      <c r="E442" t="n">
        <v>1</v>
      </c>
      <c r="F442" t="n">
        <v>2</v>
      </c>
      <c r="G442" t="n">
        <v>3</v>
      </c>
      <c r="H442" t="n">
        <v>4</v>
      </c>
      <c r="I442" t="n">
        <v>3</v>
      </c>
      <c r="J442" t="n">
        <v>3</v>
      </c>
      <c r="K442" t="n">
        <v>4</v>
      </c>
      <c r="L442" t="n">
        <v>1</v>
      </c>
      <c r="M442" t="n">
        <v>5</v>
      </c>
      <c r="N442" t="n">
        <v>1</v>
      </c>
      <c r="O442" t="n">
        <v>5</v>
      </c>
      <c r="P442" t="n">
        <v>3</v>
      </c>
      <c r="Q442" t="n">
        <v>4</v>
      </c>
      <c r="R442" t="n">
        <v>5</v>
      </c>
      <c r="S442" t="n">
        <v>4</v>
      </c>
      <c r="T442" t="n">
        <v>3</v>
      </c>
      <c r="U442" t="n">
        <v>4</v>
      </c>
      <c r="V442" t="n">
        <v>2</v>
      </c>
      <c r="W442">
        <f>(AVERAGE(B442:D442)-1)/4</f>
        <v/>
      </c>
      <c r="X442">
        <f>(AVERAGE(E442:G442)-1)/4</f>
        <v/>
      </c>
      <c r="Y442">
        <f>(AVERAGE(H442:J442)-1)/4</f>
        <v/>
      </c>
      <c r="Z442">
        <f>(AVERAGE(K442:M442)-1)/4</f>
        <v/>
      </c>
      <c r="AA442">
        <f>(AVERAGE(N442:P442)-1)/4</f>
        <v/>
      </c>
      <c r="AB442">
        <f>(AVERAGE(Q442:S442)-1)/4</f>
        <v/>
      </c>
      <c r="AC442">
        <f>(AVERAGE(T442:V442)-1)/4</f>
        <v/>
      </c>
      <c r="AD442">
        <f>AVERAGE(W442:AA442)</f>
        <v/>
      </c>
      <c r="AE442">
        <f>MIN(W442:AA442)</f>
        <v/>
      </c>
      <c r="AF442">
        <f>1-alpha*MAX(0,delta-AE442)</f>
        <v/>
      </c>
      <c r="AG442">
        <f>AD442*AF442</f>
        <v/>
      </c>
      <c r="AH442">
        <f>1+COUNTIF(bounds,"&lt;"&amp;ROUND(AD442,12))</f>
        <v/>
      </c>
      <c r="AI442">
        <f>1+COUNTIF(bounds,"&lt;"&amp;ROUND(AG442,12))</f>
        <v/>
      </c>
      <c r="AJ442">
        <f>IF(AF442&lt;1,1,0)</f>
        <v/>
      </c>
      <c r="AK442">
        <f>IF(AH442&lt;&gt;AI442,1,0)</f>
        <v/>
      </c>
      <c r="AL442">
        <f>IF(AND(AI442&gt;=3,AB442&lt;=0.2),1,0)</f>
        <v/>
      </c>
      <c r="AM442">
        <f>AVERAGE(W442:AB442)</f>
        <v/>
      </c>
      <c r="AN442">
        <f>1+COUNTIF(bounds,"&lt;"&amp;ROUND(AM442,12))</f>
        <v/>
      </c>
      <c r="AO442">
        <f>IF(AK442=1,AD442,NA())</f>
        <v/>
      </c>
      <c r="AP442">
        <f>IF(AK442=0,AD442,NA())</f>
        <v/>
      </c>
    </row>
    <row r="443">
      <c r="A443" t="n">
        <v>435</v>
      </c>
      <c r="B443" t="n">
        <v>5</v>
      </c>
      <c r="C443" t="n">
        <v>5</v>
      </c>
      <c r="D443" t="n">
        <v>5</v>
      </c>
      <c r="E443" t="n">
        <v>1</v>
      </c>
      <c r="F443" t="n">
        <v>4</v>
      </c>
      <c r="G443" t="n">
        <v>3</v>
      </c>
      <c r="H443" t="n">
        <v>3</v>
      </c>
      <c r="I443" t="n">
        <v>2</v>
      </c>
      <c r="J443" t="n">
        <v>5</v>
      </c>
      <c r="K443" t="n">
        <v>4</v>
      </c>
      <c r="L443" t="n">
        <v>5</v>
      </c>
      <c r="M443" t="n">
        <v>4</v>
      </c>
      <c r="N443" t="n">
        <v>3</v>
      </c>
      <c r="O443" t="n">
        <v>1</v>
      </c>
      <c r="P443" t="n">
        <v>3</v>
      </c>
      <c r="Q443" t="n">
        <v>5</v>
      </c>
      <c r="R443" t="n">
        <v>4</v>
      </c>
      <c r="S443" t="n">
        <v>1</v>
      </c>
      <c r="T443" t="n">
        <v>3</v>
      </c>
      <c r="U443" t="n">
        <v>3</v>
      </c>
      <c r="V443" t="n">
        <v>5</v>
      </c>
      <c r="W443">
        <f>(AVERAGE(B443:D443)-1)/4</f>
        <v/>
      </c>
      <c r="X443">
        <f>(AVERAGE(E443:G443)-1)/4</f>
        <v/>
      </c>
      <c r="Y443">
        <f>(AVERAGE(H443:J443)-1)/4</f>
        <v/>
      </c>
      <c r="Z443">
        <f>(AVERAGE(K443:M443)-1)/4</f>
        <v/>
      </c>
      <c r="AA443">
        <f>(AVERAGE(N443:P443)-1)/4</f>
        <v/>
      </c>
      <c r="AB443">
        <f>(AVERAGE(Q443:S443)-1)/4</f>
        <v/>
      </c>
      <c r="AC443">
        <f>(AVERAGE(T443:V443)-1)/4</f>
        <v/>
      </c>
      <c r="AD443">
        <f>AVERAGE(W443:AA443)</f>
        <v/>
      </c>
      <c r="AE443">
        <f>MIN(W443:AA443)</f>
        <v/>
      </c>
      <c r="AF443">
        <f>1-alpha*MAX(0,delta-AE443)</f>
        <v/>
      </c>
      <c r="AG443">
        <f>AD443*AF443</f>
        <v/>
      </c>
      <c r="AH443">
        <f>1+COUNTIF(bounds,"&lt;"&amp;ROUND(AD443,12))</f>
        <v/>
      </c>
      <c r="AI443">
        <f>1+COUNTIF(bounds,"&lt;"&amp;ROUND(AG443,12))</f>
        <v/>
      </c>
      <c r="AJ443">
        <f>IF(AF443&lt;1,1,0)</f>
        <v/>
      </c>
      <c r="AK443">
        <f>IF(AH443&lt;&gt;AI443,1,0)</f>
        <v/>
      </c>
      <c r="AL443">
        <f>IF(AND(AI443&gt;=3,AB443&lt;=0.2),1,0)</f>
        <v/>
      </c>
      <c r="AM443">
        <f>AVERAGE(W443:AB443)</f>
        <v/>
      </c>
      <c r="AN443">
        <f>1+COUNTIF(bounds,"&lt;"&amp;ROUND(AM443,12))</f>
        <v/>
      </c>
      <c r="AO443">
        <f>IF(AK443=1,AD443,NA())</f>
        <v/>
      </c>
      <c r="AP443">
        <f>IF(AK443=0,AD443,NA())</f>
        <v/>
      </c>
    </row>
    <row r="444">
      <c r="A444" t="n">
        <v>436</v>
      </c>
      <c r="B444" t="n">
        <v>5</v>
      </c>
      <c r="C444" t="n">
        <v>2</v>
      </c>
      <c r="D444" t="n">
        <v>1</v>
      </c>
      <c r="E444" t="n">
        <v>5</v>
      </c>
      <c r="F444" t="n">
        <v>5</v>
      </c>
      <c r="G444" t="n">
        <v>4</v>
      </c>
      <c r="H444" t="n">
        <v>3</v>
      </c>
      <c r="I444" t="n">
        <v>5</v>
      </c>
      <c r="J444" t="n">
        <v>5</v>
      </c>
      <c r="K444" t="n">
        <v>2</v>
      </c>
      <c r="L444" t="n">
        <v>3</v>
      </c>
      <c r="M444" t="n">
        <v>2</v>
      </c>
      <c r="N444" t="n">
        <v>4</v>
      </c>
      <c r="O444" t="n">
        <v>4</v>
      </c>
      <c r="P444" t="n">
        <v>2</v>
      </c>
      <c r="Q444" t="n">
        <v>3</v>
      </c>
      <c r="R444" t="n">
        <v>4</v>
      </c>
      <c r="S444" t="n">
        <v>1</v>
      </c>
      <c r="T444" t="n">
        <v>3</v>
      </c>
      <c r="U444" t="n">
        <v>4</v>
      </c>
      <c r="V444" t="n">
        <v>1</v>
      </c>
      <c r="W444">
        <f>(AVERAGE(B444:D444)-1)/4</f>
        <v/>
      </c>
      <c r="X444">
        <f>(AVERAGE(E444:G444)-1)/4</f>
        <v/>
      </c>
      <c r="Y444">
        <f>(AVERAGE(H444:J444)-1)/4</f>
        <v/>
      </c>
      <c r="Z444">
        <f>(AVERAGE(K444:M444)-1)/4</f>
        <v/>
      </c>
      <c r="AA444">
        <f>(AVERAGE(N444:P444)-1)/4</f>
        <v/>
      </c>
      <c r="AB444">
        <f>(AVERAGE(Q444:S444)-1)/4</f>
        <v/>
      </c>
      <c r="AC444">
        <f>(AVERAGE(T444:V444)-1)/4</f>
        <v/>
      </c>
      <c r="AD444">
        <f>AVERAGE(W444:AA444)</f>
        <v/>
      </c>
      <c r="AE444">
        <f>MIN(W444:AA444)</f>
        <v/>
      </c>
      <c r="AF444">
        <f>1-alpha*MAX(0,delta-AE444)</f>
        <v/>
      </c>
      <c r="AG444">
        <f>AD444*AF444</f>
        <v/>
      </c>
      <c r="AH444">
        <f>1+COUNTIF(bounds,"&lt;"&amp;ROUND(AD444,12))</f>
        <v/>
      </c>
      <c r="AI444">
        <f>1+COUNTIF(bounds,"&lt;"&amp;ROUND(AG444,12))</f>
        <v/>
      </c>
      <c r="AJ444">
        <f>IF(AF444&lt;1,1,0)</f>
        <v/>
      </c>
      <c r="AK444">
        <f>IF(AH444&lt;&gt;AI444,1,0)</f>
        <v/>
      </c>
      <c r="AL444">
        <f>IF(AND(AI444&gt;=3,AB444&lt;=0.2),1,0)</f>
        <v/>
      </c>
      <c r="AM444">
        <f>AVERAGE(W444:AB444)</f>
        <v/>
      </c>
      <c r="AN444">
        <f>1+COUNTIF(bounds,"&lt;"&amp;ROUND(AM444,12))</f>
        <v/>
      </c>
      <c r="AO444">
        <f>IF(AK444=1,AD444,NA())</f>
        <v/>
      </c>
      <c r="AP444">
        <f>IF(AK444=0,AD444,NA())</f>
        <v/>
      </c>
    </row>
    <row r="445">
      <c r="A445" t="n">
        <v>437</v>
      </c>
      <c r="B445" t="n">
        <v>5</v>
      </c>
      <c r="C445" t="n">
        <v>2</v>
      </c>
      <c r="D445" t="n">
        <v>5</v>
      </c>
      <c r="E445" t="n">
        <v>1</v>
      </c>
      <c r="F445" t="n">
        <v>5</v>
      </c>
      <c r="G445" t="n">
        <v>3</v>
      </c>
      <c r="H445" t="n">
        <v>3</v>
      </c>
      <c r="I445" t="n">
        <v>4</v>
      </c>
      <c r="J445" t="n">
        <v>5</v>
      </c>
      <c r="K445" t="n">
        <v>2</v>
      </c>
      <c r="L445" t="n">
        <v>5</v>
      </c>
      <c r="M445" t="n">
        <v>5</v>
      </c>
      <c r="N445" t="n">
        <v>1</v>
      </c>
      <c r="O445" t="n">
        <v>2</v>
      </c>
      <c r="P445" t="n">
        <v>4</v>
      </c>
      <c r="Q445" t="n">
        <v>1</v>
      </c>
      <c r="R445" t="n">
        <v>1</v>
      </c>
      <c r="S445" t="n">
        <v>2</v>
      </c>
      <c r="T445" t="n">
        <v>5</v>
      </c>
      <c r="U445" t="n">
        <v>5</v>
      </c>
      <c r="V445" t="n">
        <v>4</v>
      </c>
      <c r="W445">
        <f>(AVERAGE(B445:D445)-1)/4</f>
        <v/>
      </c>
      <c r="X445">
        <f>(AVERAGE(E445:G445)-1)/4</f>
        <v/>
      </c>
      <c r="Y445">
        <f>(AVERAGE(H445:J445)-1)/4</f>
        <v/>
      </c>
      <c r="Z445">
        <f>(AVERAGE(K445:M445)-1)/4</f>
        <v/>
      </c>
      <c r="AA445">
        <f>(AVERAGE(N445:P445)-1)/4</f>
        <v/>
      </c>
      <c r="AB445">
        <f>(AVERAGE(Q445:S445)-1)/4</f>
        <v/>
      </c>
      <c r="AC445">
        <f>(AVERAGE(T445:V445)-1)/4</f>
        <v/>
      </c>
      <c r="AD445">
        <f>AVERAGE(W445:AA445)</f>
        <v/>
      </c>
      <c r="AE445">
        <f>MIN(W445:AA445)</f>
        <v/>
      </c>
      <c r="AF445">
        <f>1-alpha*MAX(0,delta-AE445)</f>
        <v/>
      </c>
      <c r="AG445">
        <f>AD445*AF445</f>
        <v/>
      </c>
      <c r="AH445">
        <f>1+COUNTIF(bounds,"&lt;"&amp;ROUND(AD445,12))</f>
        <v/>
      </c>
      <c r="AI445">
        <f>1+COUNTIF(bounds,"&lt;"&amp;ROUND(AG445,12))</f>
        <v/>
      </c>
      <c r="AJ445">
        <f>IF(AF445&lt;1,1,0)</f>
        <v/>
      </c>
      <c r="AK445">
        <f>IF(AH445&lt;&gt;AI445,1,0)</f>
        <v/>
      </c>
      <c r="AL445">
        <f>IF(AND(AI445&gt;=3,AB445&lt;=0.2),1,0)</f>
        <v/>
      </c>
      <c r="AM445">
        <f>AVERAGE(W445:AB445)</f>
        <v/>
      </c>
      <c r="AN445">
        <f>1+COUNTIF(bounds,"&lt;"&amp;ROUND(AM445,12))</f>
        <v/>
      </c>
      <c r="AO445">
        <f>IF(AK445=1,AD445,NA())</f>
        <v/>
      </c>
      <c r="AP445">
        <f>IF(AK445=0,AD445,NA())</f>
        <v/>
      </c>
    </row>
    <row r="446">
      <c r="A446" t="n">
        <v>438</v>
      </c>
      <c r="B446" t="n">
        <v>5</v>
      </c>
      <c r="C446" t="n">
        <v>4</v>
      </c>
      <c r="D446" t="n">
        <v>2</v>
      </c>
      <c r="E446" t="n">
        <v>4</v>
      </c>
      <c r="F446" t="n">
        <v>5</v>
      </c>
      <c r="G446" t="n">
        <v>1</v>
      </c>
      <c r="H446" t="n">
        <v>2</v>
      </c>
      <c r="I446" t="n">
        <v>5</v>
      </c>
      <c r="J446" t="n">
        <v>4</v>
      </c>
      <c r="K446" t="n">
        <v>5</v>
      </c>
      <c r="L446" t="n">
        <v>3</v>
      </c>
      <c r="M446" t="n">
        <v>5</v>
      </c>
      <c r="N446" t="n">
        <v>2</v>
      </c>
      <c r="O446" t="n">
        <v>4</v>
      </c>
      <c r="P446" t="n">
        <v>4</v>
      </c>
      <c r="Q446" t="n">
        <v>4</v>
      </c>
      <c r="R446" t="n">
        <v>5</v>
      </c>
      <c r="S446" t="n">
        <v>4</v>
      </c>
      <c r="T446" t="n">
        <v>1</v>
      </c>
      <c r="U446" t="n">
        <v>2</v>
      </c>
      <c r="V446" t="n">
        <v>2</v>
      </c>
      <c r="W446">
        <f>(AVERAGE(B446:D446)-1)/4</f>
        <v/>
      </c>
      <c r="X446">
        <f>(AVERAGE(E446:G446)-1)/4</f>
        <v/>
      </c>
      <c r="Y446">
        <f>(AVERAGE(H446:J446)-1)/4</f>
        <v/>
      </c>
      <c r="Z446">
        <f>(AVERAGE(K446:M446)-1)/4</f>
        <v/>
      </c>
      <c r="AA446">
        <f>(AVERAGE(N446:P446)-1)/4</f>
        <v/>
      </c>
      <c r="AB446">
        <f>(AVERAGE(Q446:S446)-1)/4</f>
        <v/>
      </c>
      <c r="AC446">
        <f>(AVERAGE(T446:V446)-1)/4</f>
        <v/>
      </c>
      <c r="AD446">
        <f>AVERAGE(W446:AA446)</f>
        <v/>
      </c>
      <c r="AE446">
        <f>MIN(W446:AA446)</f>
        <v/>
      </c>
      <c r="AF446">
        <f>1-alpha*MAX(0,delta-AE446)</f>
        <v/>
      </c>
      <c r="AG446">
        <f>AD446*AF446</f>
        <v/>
      </c>
      <c r="AH446">
        <f>1+COUNTIF(bounds,"&lt;"&amp;ROUND(AD446,12))</f>
        <v/>
      </c>
      <c r="AI446">
        <f>1+COUNTIF(bounds,"&lt;"&amp;ROUND(AG446,12))</f>
        <v/>
      </c>
      <c r="AJ446">
        <f>IF(AF446&lt;1,1,0)</f>
        <v/>
      </c>
      <c r="AK446">
        <f>IF(AH446&lt;&gt;AI446,1,0)</f>
        <v/>
      </c>
      <c r="AL446">
        <f>IF(AND(AI446&gt;=3,AB446&lt;=0.2),1,0)</f>
        <v/>
      </c>
      <c r="AM446">
        <f>AVERAGE(W446:AB446)</f>
        <v/>
      </c>
      <c r="AN446">
        <f>1+COUNTIF(bounds,"&lt;"&amp;ROUND(AM446,12))</f>
        <v/>
      </c>
      <c r="AO446">
        <f>IF(AK446=1,AD446,NA())</f>
        <v/>
      </c>
      <c r="AP446">
        <f>IF(AK446=0,AD446,NA())</f>
        <v/>
      </c>
    </row>
    <row r="447">
      <c r="A447" t="n">
        <v>439</v>
      </c>
      <c r="B447" t="n">
        <v>4</v>
      </c>
      <c r="C447" t="n">
        <v>5</v>
      </c>
      <c r="D447" t="n">
        <v>1</v>
      </c>
      <c r="E447" t="n">
        <v>1</v>
      </c>
      <c r="F447" t="n">
        <v>2</v>
      </c>
      <c r="G447" t="n">
        <v>5</v>
      </c>
      <c r="H447" t="n">
        <v>2</v>
      </c>
      <c r="I447" t="n">
        <v>2</v>
      </c>
      <c r="J447" t="n">
        <v>5</v>
      </c>
      <c r="K447" t="n">
        <v>5</v>
      </c>
      <c r="L447" t="n">
        <v>4</v>
      </c>
      <c r="M447" t="n">
        <v>1</v>
      </c>
      <c r="N447" t="n">
        <v>2</v>
      </c>
      <c r="O447" t="n">
        <v>2</v>
      </c>
      <c r="P447" t="n">
        <v>3</v>
      </c>
      <c r="Q447" t="n">
        <v>1</v>
      </c>
      <c r="R447" t="n">
        <v>3</v>
      </c>
      <c r="S447" t="n">
        <v>1</v>
      </c>
      <c r="T447" t="n">
        <v>4</v>
      </c>
      <c r="U447" t="n">
        <v>3</v>
      </c>
      <c r="V447" t="n">
        <v>5</v>
      </c>
      <c r="W447">
        <f>(AVERAGE(B447:D447)-1)/4</f>
        <v/>
      </c>
      <c r="X447">
        <f>(AVERAGE(E447:G447)-1)/4</f>
        <v/>
      </c>
      <c r="Y447">
        <f>(AVERAGE(H447:J447)-1)/4</f>
        <v/>
      </c>
      <c r="Z447">
        <f>(AVERAGE(K447:M447)-1)/4</f>
        <v/>
      </c>
      <c r="AA447">
        <f>(AVERAGE(N447:P447)-1)/4</f>
        <v/>
      </c>
      <c r="AB447">
        <f>(AVERAGE(Q447:S447)-1)/4</f>
        <v/>
      </c>
      <c r="AC447">
        <f>(AVERAGE(T447:V447)-1)/4</f>
        <v/>
      </c>
      <c r="AD447">
        <f>AVERAGE(W447:AA447)</f>
        <v/>
      </c>
      <c r="AE447">
        <f>MIN(W447:AA447)</f>
        <v/>
      </c>
      <c r="AF447">
        <f>1-alpha*MAX(0,delta-AE447)</f>
        <v/>
      </c>
      <c r="AG447">
        <f>AD447*AF447</f>
        <v/>
      </c>
      <c r="AH447">
        <f>1+COUNTIF(bounds,"&lt;"&amp;ROUND(AD447,12))</f>
        <v/>
      </c>
      <c r="AI447">
        <f>1+COUNTIF(bounds,"&lt;"&amp;ROUND(AG447,12))</f>
        <v/>
      </c>
      <c r="AJ447">
        <f>IF(AF447&lt;1,1,0)</f>
        <v/>
      </c>
      <c r="AK447">
        <f>IF(AH447&lt;&gt;AI447,1,0)</f>
        <v/>
      </c>
      <c r="AL447">
        <f>IF(AND(AI447&gt;=3,AB447&lt;=0.2),1,0)</f>
        <v/>
      </c>
      <c r="AM447">
        <f>AVERAGE(W447:AB447)</f>
        <v/>
      </c>
      <c r="AN447">
        <f>1+COUNTIF(bounds,"&lt;"&amp;ROUND(AM447,12))</f>
        <v/>
      </c>
      <c r="AO447">
        <f>IF(AK447=1,AD447,NA())</f>
        <v/>
      </c>
      <c r="AP447">
        <f>IF(AK447=0,AD447,NA())</f>
        <v/>
      </c>
    </row>
    <row r="448">
      <c r="A448" t="n">
        <v>440</v>
      </c>
      <c r="B448" t="n">
        <v>5</v>
      </c>
      <c r="C448" t="n">
        <v>4</v>
      </c>
      <c r="D448" t="n">
        <v>5</v>
      </c>
      <c r="E448" t="n">
        <v>2</v>
      </c>
      <c r="F448" t="n">
        <v>3</v>
      </c>
      <c r="G448" t="n">
        <v>3</v>
      </c>
      <c r="H448" t="n">
        <v>4</v>
      </c>
      <c r="I448" t="n">
        <v>3</v>
      </c>
      <c r="J448" t="n">
        <v>2</v>
      </c>
      <c r="K448" t="n">
        <v>5</v>
      </c>
      <c r="L448" t="n">
        <v>1</v>
      </c>
      <c r="M448" t="n">
        <v>5</v>
      </c>
      <c r="N448" t="n">
        <v>3</v>
      </c>
      <c r="O448" t="n">
        <v>5</v>
      </c>
      <c r="P448" t="n">
        <v>2</v>
      </c>
      <c r="Q448" t="n">
        <v>2</v>
      </c>
      <c r="R448" t="n">
        <v>4</v>
      </c>
      <c r="S448" t="n">
        <v>2</v>
      </c>
      <c r="T448" t="n">
        <v>3</v>
      </c>
      <c r="U448" t="n">
        <v>1</v>
      </c>
      <c r="V448" t="n">
        <v>3</v>
      </c>
      <c r="W448">
        <f>(AVERAGE(B448:D448)-1)/4</f>
        <v/>
      </c>
      <c r="X448">
        <f>(AVERAGE(E448:G448)-1)/4</f>
        <v/>
      </c>
      <c r="Y448">
        <f>(AVERAGE(H448:J448)-1)/4</f>
        <v/>
      </c>
      <c r="Z448">
        <f>(AVERAGE(K448:M448)-1)/4</f>
        <v/>
      </c>
      <c r="AA448">
        <f>(AVERAGE(N448:P448)-1)/4</f>
        <v/>
      </c>
      <c r="AB448">
        <f>(AVERAGE(Q448:S448)-1)/4</f>
        <v/>
      </c>
      <c r="AC448">
        <f>(AVERAGE(T448:V448)-1)/4</f>
        <v/>
      </c>
      <c r="AD448">
        <f>AVERAGE(W448:AA448)</f>
        <v/>
      </c>
      <c r="AE448">
        <f>MIN(W448:AA448)</f>
        <v/>
      </c>
      <c r="AF448">
        <f>1-alpha*MAX(0,delta-AE448)</f>
        <v/>
      </c>
      <c r="AG448">
        <f>AD448*AF448</f>
        <v/>
      </c>
      <c r="AH448">
        <f>1+COUNTIF(bounds,"&lt;"&amp;ROUND(AD448,12))</f>
        <v/>
      </c>
      <c r="AI448">
        <f>1+COUNTIF(bounds,"&lt;"&amp;ROUND(AG448,12))</f>
        <v/>
      </c>
      <c r="AJ448">
        <f>IF(AF448&lt;1,1,0)</f>
        <v/>
      </c>
      <c r="AK448">
        <f>IF(AH448&lt;&gt;AI448,1,0)</f>
        <v/>
      </c>
      <c r="AL448">
        <f>IF(AND(AI448&gt;=3,AB448&lt;=0.2),1,0)</f>
        <v/>
      </c>
      <c r="AM448">
        <f>AVERAGE(W448:AB448)</f>
        <v/>
      </c>
      <c r="AN448">
        <f>1+COUNTIF(bounds,"&lt;"&amp;ROUND(AM448,12))</f>
        <v/>
      </c>
      <c r="AO448">
        <f>IF(AK448=1,AD448,NA())</f>
        <v/>
      </c>
      <c r="AP448">
        <f>IF(AK448=0,AD448,NA())</f>
        <v/>
      </c>
    </row>
    <row r="449">
      <c r="A449" t="n">
        <v>441</v>
      </c>
      <c r="B449" t="n">
        <v>2</v>
      </c>
      <c r="C449" t="n">
        <v>5</v>
      </c>
      <c r="D449" t="n">
        <v>1</v>
      </c>
      <c r="E449" t="n">
        <v>1</v>
      </c>
      <c r="F449" t="n">
        <v>5</v>
      </c>
      <c r="G449" t="n">
        <v>1</v>
      </c>
      <c r="H449" t="n">
        <v>3</v>
      </c>
      <c r="I449" t="n">
        <v>1</v>
      </c>
      <c r="J449" t="n">
        <v>4</v>
      </c>
      <c r="K449" t="n">
        <v>2</v>
      </c>
      <c r="L449" t="n">
        <v>1</v>
      </c>
      <c r="M449" t="n">
        <v>4</v>
      </c>
      <c r="N449" t="n">
        <v>1</v>
      </c>
      <c r="O449" t="n">
        <v>4</v>
      </c>
      <c r="P449" t="n">
        <v>2</v>
      </c>
      <c r="Q449" t="n">
        <v>2</v>
      </c>
      <c r="R449" t="n">
        <v>1</v>
      </c>
      <c r="S449" t="n">
        <v>3</v>
      </c>
      <c r="T449" t="n">
        <v>3</v>
      </c>
      <c r="U449" t="n">
        <v>5</v>
      </c>
      <c r="V449" t="n">
        <v>4</v>
      </c>
      <c r="W449">
        <f>(AVERAGE(B449:D449)-1)/4</f>
        <v/>
      </c>
      <c r="X449">
        <f>(AVERAGE(E449:G449)-1)/4</f>
        <v/>
      </c>
      <c r="Y449">
        <f>(AVERAGE(H449:J449)-1)/4</f>
        <v/>
      </c>
      <c r="Z449">
        <f>(AVERAGE(K449:M449)-1)/4</f>
        <v/>
      </c>
      <c r="AA449">
        <f>(AVERAGE(N449:P449)-1)/4</f>
        <v/>
      </c>
      <c r="AB449">
        <f>(AVERAGE(Q449:S449)-1)/4</f>
        <v/>
      </c>
      <c r="AC449">
        <f>(AVERAGE(T449:V449)-1)/4</f>
        <v/>
      </c>
      <c r="AD449">
        <f>AVERAGE(W449:AA449)</f>
        <v/>
      </c>
      <c r="AE449">
        <f>MIN(W449:AA449)</f>
        <v/>
      </c>
      <c r="AF449">
        <f>1-alpha*MAX(0,delta-AE449)</f>
        <v/>
      </c>
      <c r="AG449">
        <f>AD449*AF449</f>
        <v/>
      </c>
      <c r="AH449">
        <f>1+COUNTIF(bounds,"&lt;"&amp;ROUND(AD449,12))</f>
        <v/>
      </c>
      <c r="AI449">
        <f>1+COUNTIF(bounds,"&lt;"&amp;ROUND(AG449,12))</f>
        <v/>
      </c>
      <c r="AJ449">
        <f>IF(AF449&lt;1,1,0)</f>
        <v/>
      </c>
      <c r="AK449">
        <f>IF(AH449&lt;&gt;AI449,1,0)</f>
        <v/>
      </c>
      <c r="AL449">
        <f>IF(AND(AI449&gt;=3,AB449&lt;=0.2),1,0)</f>
        <v/>
      </c>
      <c r="AM449">
        <f>AVERAGE(W449:AB449)</f>
        <v/>
      </c>
      <c r="AN449">
        <f>1+COUNTIF(bounds,"&lt;"&amp;ROUND(AM449,12))</f>
        <v/>
      </c>
      <c r="AO449">
        <f>IF(AK449=1,AD449,NA())</f>
        <v/>
      </c>
      <c r="AP449">
        <f>IF(AK449=0,AD449,NA())</f>
        <v/>
      </c>
    </row>
    <row r="450">
      <c r="A450" t="n">
        <v>442</v>
      </c>
      <c r="B450" t="n">
        <v>4</v>
      </c>
      <c r="C450" t="n">
        <v>5</v>
      </c>
      <c r="D450" t="n">
        <v>3</v>
      </c>
      <c r="E450" t="n">
        <v>1</v>
      </c>
      <c r="F450" t="n">
        <v>4</v>
      </c>
      <c r="G450" t="n">
        <v>2</v>
      </c>
      <c r="H450" t="n">
        <v>2</v>
      </c>
      <c r="I450" t="n">
        <v>4</v>
      </c>
      <c r="J450" t="n">
        <v>2</v>
      </c>
      <c r="K450" t="n">
        <v>1</v>
      </c>
      <c r="L450" t="n">
        <v>4</v>
      </c>
      <c r="M450" t="n">
        <v>5</v>
      </c>
      <c r="N450" t="n">
        <v>1</v>
      </c>
      <c r="O450" t="n">
        <v>1</v>
      </c>
      <c r="P450" t="n">
        <v>3</v>
      </c>
      <c r="Q450" t="n">
        <v>1</v>
      </c>
      <c r="R450" t="n">
        <v>4</v>
      </c>
      <c r="S450" t="n">
        <v>2</v>
      </c>
      <c r="T450" t="n">
        <v>3</v>
      </c>
      <c r="U450" t="n">
        <v>1</v>
      </c>
      <c r="V450" t="n">
        <v>4</v>
      </c>
      <c r="W450">
        <f>(AVERAGE(B450:D450)-1)/4</f>
        <v/>
      </c>
      <c r="X450">
        <f>(AVERAGE(E450:G450)-1)/4</f>
        <v/>
      </c>
      <c r="Y450">
        <f>(AVERAGE(H450:J450)-1)/4</f>
        <v/>
      </c>
      <c r="Z450">
        <f>(AVERAGE(K450:M450)-1)/4</f>
        <v/>
      </c>
      <c r="AA450">
        <f>(AVERAGE(N450:P450)-1)/4</f>
        <v/>
      </c>
      <c r="AB450">
        <f>(AVERAGE(Q450:S450)-1)/4</f>
        <v/>
      </c>
      <c r="AC450">
        <f>(AVERAGE(T450:V450)-1)/4</f>
        <v/>
      </c>
      <c r="AD450">
        <f>AVERAGE(W450:AA450)</f>
        <v/>
      </c>
      <c r="AE450">
        <f>MIN(W450:AA450)</f>
        <v/>
      </c>
      <c r="AF450">
        <f>1-alpha*MAX(0,delta-AE450)</f>
        <v/>
      </c>
      <c r="AG450">
        <f>AD450*AF450</f>
        <v/>
      </c>
      <c r="AH450">
        <f>1+COUNTIF(bounds,"&lt;"&amp;ROUND(AD450,12))</f>
        <v/>
      </c>
      <c r="AI450">
        <f>1+COUNTIF(bounds,"&lt;"&amp;ROUND(AG450,12))</f>
        <v/>
      </c>
      <c r="AJ450">
        <f>IF(AF450&lt;1,1,0)</f>
        <v/>
      </c>
      <c r="AK450">
        <f>IF(AH450&lt;&gt;AI450,1,0)</f>
        <v/>
      </c>
      <c r="AL450">
        <f>IF(AND(AI450&gt;=3,AB450&lt;=0.2),1,0)</f>
        <v/>
      </c>
      <c r="AM450">
        <f>AVERAGE(W450:AB450)</f>
        <v/>
      </c>
      <c r="AN450">
        <f>1+COUNTIF(bounds,"&lt;"&amp;ROUND(AM450,12))</f>
        <v/>
      </c>
      <c r="AO450">
        <f>IF(AK450=1,AD450,NA())</f>
        <v/>
      </c>
      <c r="AP450">
        <f>IF(AK450=0,AD450,NA())</f>
        <v/>
      </c>
    </row>
    <row r="451">
      <c r="A451" t="n">
        <v>443</v>
      </c>
      <c r="B451" t="n">
        <v>1</v>
      </c>
      <c r="C451" t="n">
        <v>5</v>
      </c>
      <c r="D451" t="n">
        <v>3</v>
      </c>
      <c r="E451" t="n">
        <v>3</v>
      </c>
      <c r="F451" t="n">
        <v>5</v>
      </c>
      <c r="G451" t="n">
        <v>1</v>
      </c>
      <c r="H451" t="n">
        <v>5</v>
      </c>
      <c r="I451" t="n">
        <v>2</v>
      </c>
      <c r="J451" t="n">
        <v>5</v>
      </c>
      <c r="K451" t="n">
        <v>5</v>
      </c>
      <c r="L451" t="n">
        <v>5</v>
      </c>
      <c r="M451" t="n">
        <v>4</v>
      </c>
      <c r="N451" t="n">
        <v>3</v>
      </c>
      <c r="O451" t="n">
        <v>4</v>
      </c>
      <c r="P451" t="n">
        <v>2</v>
      </c>
      <c r="Q451" t="n">
        <v>2</v>
      </c>
      <c r="R451" t="n">
        <v>3</v>
      </c>
      <c r="S451" t="n">
        <v>2</v>
      </c>
      <c r="T451" t="n">
        <v>5</v>
      </c>
      <c r="U451" t="n">
        <v>5</v>
      </c>
      <c r="V451" t="n">
        <v>3</v>
      </c>
      <c r="W451">
        <f>(AVERAGE(B451:D451)-1)/4</f>
        <v/>
      </c>
      <c r="X451">
        <f>(AVERAGE(E451:G451)-1)/4</f>
        <v/>
      </c>
      <c r="Y451">
        <f>(AVERAGE(H451:J451)-1)/4</f>
        <v/>
      </c>
      <c r="Z451">
        <f>(AVERAGE(K451:M451)-1)/4</f>
        <v/>
      </c>
      <c r="AA451">
        <f>(AVERAGE(N451:P451)-1)/4</f>
        <v/>
      </c>
      <c r="AB451">
        <f>(AVERAGE(Q451:S451)-1)/4</f>
        <v/>
      </c>
      <c r="AC451">
        <f>(AVERAGE(T451:V451)-1)/4</f>
        <v/>
      </c>
      <c r="AD451">
        <f>AVERAGE(W451:AA451)</f>
        <v/>
      </c>
      <c r="AE451">
        <f>MIN(W451:AA451)</f>
        <v/>
      </c>
      <c r="AF451">
        <f>1-alpha*MAX(0,delta-AE451)</f>
        <v/>
      </c>
      <c r="AG451">
        <f>AD451*AF451</f>
        <v/>
      </c>
      <c r="AH451">
        <f>1+COUNTIF(bounds,"&lt;"&amp;ROUND(AD451,12))</f>
        <v/>
      </c>
      <c r="AI451">
        <f>1+COUNTIF(bounds,"&lt;"&amp;ROUND(AG451,12))</f>
        <v/>
      </c>
      <c r="AJ451">
        <f>IF(AF451&lt;1,1,0)</f>
        <v/>
      </c>
      <c r="AK451">
        <f>IF(AH451&lt;&gt;AI451,1,0)</f>
        <v/>
      </c>
      <c r="AL451">
        <f>IF(AND(AI451&gt;=3,AB451&lt;=0.2),1,0)</f>
        <v/>
      </c>
      <c r="AM451">
        <f>AVERAGE(W451:AB451)</f>
        <v/>
      </c>
      <c r="AN451">
        <f>1+COUNTIF(bounds,"&lt;"&amp;ROUND(AM451,12))</f>
        <v/>
      </c>
      <c r="AO451">
        <f>IF(AK451=1,AD451,NA())</f>
        <v/>
      </c>
      <c r="AP451">
        <f>IF(AK451=0,AD451,NA())</f>
        <v/>
      </c>
    </row>
    <row r="452">
      <c r="A452" t="n">
        <v>444</v>
      </c>
      <c r="B452" t="n">
        <v>2</v>
      </c>
      <c r="C452" t="n">
        <v>5</v>
      </c>
      <c r="D452" t="n">
        <v>5</v>
      </c>
      <c r="E452" t="n">
        <v>2</v>
      </c>
      <c r="F452" t="n">
        <v>1</v>
      </c>
      <c r="G452" t="n">
        <v>3</v>
      </c>
      <c r="H452" t="n">
        <v>2</v>
      </c>
      <c r="I452" t="n">
        <v>2</v>
      </c>
      <c r="J452" t="n">
        <v>3</v>
      </c>
      <c r="K452" t="n">
        <v>1</v>
      </c>
      <c r="L452" t="n">
        <v>2</v>
      </c>
      <c r="M452" t="n">
        <v>3</v>
      </c>
      <c r="N452" t="n">
        <v>1</v>
      </c>
      <c r="O452" t="n">
        <v>4</v>
      </c>
      <c r="P452" t="n">
        <v>5</v>
      </c>
      <c r="Q452" t="n">
        <v>4</v>
      </c>
      <c r="R452" t="n">
        <v>2</v>
      </c>
      <c r="S452" t="n">
        <v>2</v>
      </c>
      <c r="T452" t="n">
        <v>1</v>
      </c>
      <c r="U452" t="n">
        <v>2</v>
      </c>
      <c r="V452" t="n">
        <v>5</v>
      </c>
      <c r="W452">
        <f>(AVERAGE(B452:D452)-1)/4</f>
        <v/>
      </c>
      <c r="X452">
        <f>(AVERAGE(E452:G452)-1)/4</f>
        <v/>
      </c>
      <c r="Y452">
        <f>(AVERAGE(H452:J452)-1)/4</f>
        <v/>
      </c>
      <c r="Z452">
        <f>(AVERAGE(K452:M452)-1)/4</f>
        <v/>
      </c>
      <c r="AA452">
        <f>(AVERAGE(N452:P452)-1)/4</f>
        <v/>
      </c>
      <c r="AB452">
        <f>(AVERAGE(Q452:S452)-1)/4</f>
        <v/>
      </c>
      <c r="AC452">
        <f>(AVERAGE(T452:V452)-1)/4</f>
        <v/>
      </c>
      <c r="AD452">
        <f>AVERAGE(W452:AA452)</f>
        <v/>
      </c>
      <c r="AE452">
        <f>MIN(W452:AA452)</f>
        <v/>
      </c>
      <c r="AF452">
        <f>1-alpha*MAX(0,delta-AE452)</f>
        <v/>
      </c>
      <c r="AG452">
        <f>AD452*AF452</f>
        <v/>
      </c>
      <c r="AH452">
        <f>1+COUNTIF(bounds,"&lt;"&amp;ROUND(AD452,12))</f>
        <v/>
      </c>
      <c r="AI452">
        <f>1+COUNTIF(bounds,"&lt;"&amp;ROUND(AG452,12))</f>
        <v/>
      </c>
      <c r="AJ452">
        <f>IF(AF452&lt;1,1,0)</f>
        <v/>
      </c>
      <c r="AK452">
        <f>IF(AH452&lt;&gt;AI452,1,0)</f>
        <v/>
      </c>
      <c r="AL452">
        <f>IF(AND(AI452&gt;=3,AB452&lt;=0.2),1,0)</f>
        <v/>
      </c>
      <c r="AM452">
        <f>AVERAGE(W452:AB452)</f>
        <v/>
      </c>
      <c r="AN452">
        <f>1+COUNTIF(bounds,"&lt;"&amp;ROUND(AM452,12))</f>
        <v/>
      </c>
      <c r="AO452">
        <f>IF(AK452=1,AD452,NA())</f>
        <v/>
      </c>
      <c r="AP452">
        <f>IF(AK452=0,AD452,NA())</f>
        <v/>
      </c>
    </row>
    <row r="453">
      <c r="A453" t="n">
        <v>445</v>
      </c>
      <c r="B453" t="n">
        <v>5</v>
      </c>
      <c r="C453" t="n">
        <v>4</v>
      </c>
      <c r="D453" t="n">
        <v>2</v>
      </c>
      <c r="E453" t="n">
        <v>4</v>
      </c>
      <c r="F453" t="n">
        <v>4</v>
      </c>
      <c r="G453" t="n">
        <v>3</v>
      </c>
      <c r="H453" t="n">
        <v>3</v>
      </c>
      <c r="I453" t="n">
        <v>5</v>
      </c>
      <c r="J453" t="n">
        <v>3</v>
      </c>
      <c r="K453" t="n">
        <v>1</v>
      </c>
      <c r="L453" t="n">
        <v>5</v>
      </c>
      <c r="M453" t="n">
        <v>5</v>
      </c>
      <c r="N453" t="n">
        <v>5</v>
      </c>
      <c r="O453" t="n">
        <v>1</v>
      </c>
      <c r="P453" t="n">
        <v>5</v>
      </c>
      <c r="Q453" t="n">
        <v>4</v>
      </c>
      <c r="R453" t="n">
        <v>4</v>
      </c>
      <c r="S453" t="n">
        <v>3</v>
      </c>
      <c r="T453" t="n">
        <v>3</v>
      </c>
      <c r="U453" t="n">
        <v>4</v>
      </c>
      <c r="V453" t="n">
        <v>1</v>
      </c>
      <c r="W453">
        <f>(AVERAGE(B453:D453)-1)/4</f>
        <v/>
      </c>
      <c r="X453">
        <f>(AVERAGE(E453:G453)-1)/4</f>
        <v/>
      </c>
      <c r="Y453">
        <f>(AVERAGE(H453:J453)-1)/4</f>
        <v/>
      </c>
      <c r="Z453">
        <f>(AVERAGE(K453:M453)-1)/4</f>
        <v/>
      </c>
      <c r="AA453">
        <f>(AVERAGE(N453:P453)-1)/4</f>
        <v/>
      </c>
      <c r="AB453">
        <f>(AVERAGE(Q453:S453)-1)/4</f>
        <v/>
      </c>
      <c r="AC453">
        <f>(AVERAGE(T453:V453)-1)/4</f>
        <v/>
      </c>
      <c r="AD453">
        <f>AVERAGE(W453:AA453)</f>
        <v/>
      </c>
      <c r="AE453">
        <f>MIN(W453:AA453)</f>
        <v/>
      </c>
      <c r="AF453">
        <f>1-alpha*MAX(0,delta-AE453)</f>
        <v/>
      </c>
      <c r="AG453">
        <f>AD453*AF453</f>
        <v/>
      </c>
      <c r="AH453">
        <f>1+COUNTIF(bounds,"&lt;"&amp;ROUND(AD453,12))</f>
        <v/>
      </c>
      <c r="AI453">
        <f>1+COUNTIF(bounds,"&lt;"&amp;ROUND(AG453,12))</f>
        <v/>
      </c>
      <c r="AJ453">
        <f>IF(AF453&lt;1,1,0)</f>
        <v/>
      </c>
      <c r="AK453">
        <f>IF(AH453&lt;&gt;AI453,1,0)</f>
        <v/>
      </c>
      <c r="AL453">
        <f>IF(AND(AI453&gt;=3,AB453&lt;=0.2),1,0)</f>
        <v/>
      </c>
      <c r="AM453">
        <f>AVERAGE(W453:AB453)</f>
        <v/>
      </c>
      <c r="AN453">
        <f>1+COUNTIF(bounds,"&lt;"&amp;ROUND(AM453,12))</f>
        <v/>
      </c>
      <c r="AO453">
        <f>IF(AK453=1,AD453,NA())</f>
        <v/>
      </c>
      <c r="AP453">
        <f>IF(AK453=0,AD453,NA())</f>
        <v/>
      </c>
    </row>
    <row r="454">
      <c r="A454" t="n">
        <v>446</v>
      </c>
      <c r="B454" t="n">
        <v>3</v>
      </c>
      <c r="C454" t="n">
        <v>3</v>
      </c>
      <c r="D454" t="n">
        <v>3</v>
      </c>
      <c r="E454" t="n">
        <v>5</v>
      </c>
      <c r="F454" t="n">
        <v>1</v>
      </c>
      <c r="G454" t="n">
        <v>5</v>
      </c>
      <c r="H454" t="n">
        <v>1</v>
      </c>
      <c r="I454" t="n">
        <v>5</v>
      </c>
      <c r="J454" t="n">
        <v>2</v>
      </c>
      <c r="K454" t="n">
        <v>1</v>
      </c>
      <c r="L454" t="n">
        <v>3</v>
      </c>
      <c r="M454" t="n">
        <v>1</v>
      </c>
      <c r="N454" t="n">
        <v>1</v>
      </c>
      <c r="O454" t="n">
        <v>2</v>
      </c>
      <c r="P454" t="n">
        <v>5</v>
      </c>
      <c r="Q454" t="n">
        <v>4</v>
      </c>
      <c r="R454" t="n">
        <v>2</v>
      </c>
      <c r="S454" t="n">
        <v>5</v>
      </c>
      <c r="T454" t="n">
        <v>4</v>
      </c>
      <c r="U454" t="n">
        <v>4</v>
      </c>
      <c r="V454" t="n">
        <v>3</v>
      </c>
      <c r="W454">
        <f>(AVERAGE(B454:D454)-1)/4</f>
        <v/>
      </c>
      <c r="X454">
        <f>(AVERAGE(E454:G454)-1)/4</f>
        <v/>
      </c>
      <c r="Y454">
        <f>(AVERAGE(H454:J454)-1)/4</f>
        <v/>
      </c>
      <c r="Z454">
        <f>(AVERAGE(K454:M454)-1)/4</f>
        <v/>
      </c>
      <c r="AA454">
        <f>(AVERAGE(N454:P454)-1)/4</f>
        <v/>
      </c>
      <c r="AB454">
        <f>(AVERAGE(Q454:S454)-1)/4</f>
        <v/>
      </c>
      <c r="AC454">
        <f>(AVERAGE(T454:V454)-1)/4</f>
        <v/>
      </c>
      <c r="AD454">
        <f>AVERAGE(W454:AA454)</f>
        <v/>
      </c>
      <c r="AE454">
        <f>MIN(W454:AA454)</f>
        <v/>
      </c>
      <c r="AF454">
        <f>1-alpha*MAX(0,delta-AE454)</f>
        <v/>
      </c>
      <c r="AG454">
        <f>AD454*AF454</f>
        <v/>
      </c>
      <c r="AH454">
        <f>1+COUNTIF(bounds,"&lt;"&amp;ROUND(AD454,12))</f>
        <v/>
      </c>
      <c r="AI454">
        <f>1+COUNTIF(bounds,"&lt;"&amp;ROUND(AG454,12))</f>
        <v/>
      </c>
      <c r="AJ454">
        <f>IF(AF454&lt;1,1,0)</f>
        <v/>
      </c>
      <c r="AK454">
        <f>IF(AH454&lt;&gt;AI454,1,0)</f>
        <v/>
      </c>
      <c r="AL454">
        <f>IF(AND(AI454&gt;=3,AB454&lt;=0.2),1,0)</f>
        <v/>
      </c>
      <c r="AM454">
        <f>AVERAGE(W454:AB454)</f>
        <v/>
      </c>
      <c r="AN454">
        <f>1+COUNTIF(bounds,"&lt;"&amp;ROUND(AM454,12))</f>
        <v/>
      </c>
      <c r="AO454">
        <f>IF(AK454=1,AD454,NA())</f>
        <v/>
      </c>
      <c r="AP454">
        <f>IF(AK454=0,AD454,NA())</f>
        <v/>
      </c>
    </row>
    <row r="455">
      <c r="A455" t="n">
        <v>447</v>
      </c>
      <c r="B455" t="n">
        <v>1</v>
      </c>
      <c r="C455" t="n">
        <v>2</v>
      </c>
      <c r="D455" t="n">
        <v>2</v>
      </c>
      <c r="E455" t="n">
        <v>1</v>
      </c>
      <c r="F455" t="n">
        <v>2</v>
      </c>
      <c r="G455" t="n">
        <v>5</v>
      </c>
      <c r="H455" t="n">
        <v>3</v>
      </c>
      <c r="I455" t="n">
        <v>1</v>
      </c>
      <c r="J455" t="n">
        <v>4</v>
      </c>
      <c r="K455" t="n">
        <v>5</v>
      </c>
      <c r="L455" t="n">
        <v>4</v>
      </c>
      <c r="M455" t="n">
        <v>1</v>
      </c>
      <c r="N455" t="n">
        <v>1</v>
      </c>
      <c r="O455" t="n">
        <v>1</v>
      </c>
      <c r="P455" t="n">
        <v>1</v>
      </c>
      <c r="Q455" t="n">
        <v>1</v>
      </c>
      <c r="R455" t="n">
        <v>5</v>
      </c>
      <c r="S455" t="n">
        <v>1</v>
      </c>
      <c r="T455" t="n">
        <v>5</v>
      </c>
      <c r="U455" t="n">
        <v>2</v>
      </c>
      <c r="V455" t="n">
        <v>5</v>
      </c>
      <c r="W455">
        <f>(AVERAGE(B455:D455)-1)/4</f>
        <v/>
      </c>
      <c r="X455">
        <f>(AVERAGE(E455:G455)-1)/4</f>
        <v/>
      </c>
      <c r="Y455">
        <f>(AVERAGE(H455:J455)-1)/4</f>
        <v/>
      </c>
      <c r="Z455">
        <f>(AVERAGE(K455:M455)-1)/4</f>
        <v/>
      </c>
      <c r="AA455">
        <f>(AVERAGE(N455:P455)-1)/4</f>
        <v/>
      </c>
      <c r="AB455">
        <f>(AVERAGE(Q455:S455)-1)/4</f>
        <v/>
      </c>
      <c r="AC455">
        <f>(AVERAGE(T455:V455)-1)/4</f>
        <v/>
      </c>
      <c r="AD455">
        <f>AVERAGE(W455:AA455)</f>
        <v/>
      </c>
      <c r="AE455">
        <f>MIN(W455:AA455)</f>
        <v/>
      </c>
      <c r="AF455">
        <f>1-alpha*MAX(0,delta-AE455)</f>
        <v/>
      </c>
      <c r="AG455">
        <f>AD455*AF455</f>
        <v/>
      </c>
      <c r="AH455">
        <f>1+COUNTIF(bounds,"&lt;"&amp;ROUND(AD455,12))</f>
        <v/>
      </c>
      <c r="AI455">
        <f>1+COUNTIF(bounds,"&lt;"&amp;ROUND(AG455,12))</f>
        <v/>
      </c>
      <c r="AJ455">
        <f>IF(AF455&lt;1,1,0)</f>
        <v/>
      </c>
      <c r="AK455">
        <f>IF(AH455&lt;&gt;AI455,1,0)</f>
        <v/>
      </c>
      <c r="AL455">
        <f>IF(AND(AI455&gt;=3,AB455&lt;=0.2),1,0)</f>
        <v/>
      </c>
      <c r="AM455">
        <f>AVERAGE(W455:AB455)</f>
        <v/>
      </c>
      <c r="AN455">
        <f>1+COUNTIF(bounds,"&lt;"&amp;ROUND(AM455,12))</f>
        <v/>
      </c>
      <c r="AO455">
        <f>IF(AK455=1,AD455,NA())</f>
        <v/>
      </c>
      <c r="AP455">
        <f>IF(AK455=0,AD455,NA())</f>
        <v/>
      </c>
    </row>
    <row r="456">
      <c r="A456" t="n">
        <v>448</v>
      </c>
      <c r="B456" t="n">
        <v>1</v>
      </c>
      <c r="C456" t="n">
        <v>2</v>
      </c>
      <c r="D456" t="n">
        <v>3</v>
      </c>
      <c r="E456" t="n">
        <v>4</v>
      </c>
      <c r="F456" t="n">
        <v>1</v>
      </c>
      <c r="G456" t="n">
        <v>5</v>
      </c>
      <c r="H456" t="n">
        <v>3</v>
      </c>
      <c r="I456" t="n">
        <v>4</v>
      </c>
      <c r="J456" t="n">
        <v>2</v>
      </c>
      <c r="K456" t="n">
        <v>3</v>
      </c>
      <c r="L456" t="n">
        <v>1</v>
      </c>
      <c r="M456" t="n">
        <v>1</v>
      </c>
      <c r="N456" t="n">
        <v>5</v>
      </c>
      <c r="O456" t="n">
        <v>3</v>
      </c>
      <c r="P456" t="n">
        <v>1</v>
      </c>
      <c r="Q456" t="n">
        <v>4</v>
      </c>
      <c r="R456" t="n">
        <v>1</v>
      </c>
      <c r="S456" t="n">
        <v>3</v>
      </c>
      <c r="T456" t="n">
        <v>5</v>
      </c>
      <c r="U456" t="n">
        <v>2</v>
      </c>
      <c r="V456" t="n">
        <v>3</v>
      </c>
      <c r="W456">
        <f>(AVERAGE(B456:D456)-1)/4</f>
        <v/>
      </c>
      <c r="X456">
        <f>(AVERAGE(E456:G456)-1)/4</f>
        <v/>
      </c>
      <c r="Y456">
        <f>(AVERAGE(H456:J456)-1)/4</f>
        <v/>
      </c>
      <c r="Z456">
        <f>(AVERAGE(K456:M456)-1)/4</f>
        <v/>
      </c>
      <c r="AA456">
        <f>(AVERAGE(N456:P456)-1)/4</f>
        <v/>
      </c>
      <c r="AB456">
        <f>(AVERAGE(Q456:S456)-1)/4</f>
        <v/>
      </c>
      <c r="AC456">
        <f>(AVERAGE(T456:V456)-1)/4</f>
        <v/>
      </c>
      <c r="AD456">
        <f>AVERAGE(W456:AA456)</f>
        <v/>
      </c>
      <c r="AE456">
        <f>MIN(W456:AA456)</f>
        <v/>
      </c>
      <c r="AF456">
        <f>1-alpha*MAX(0,delta-AE456)</f>
        <v/>
      </c>
      <c r="AG456">
        <f>AD456*AF456</f>
        <v/>
      </c>
      <c r="AH456">
        <f>1+COUNTIF(bounds,"&lt;"&amp;ROUND(AD456,12))</f>
        <v/>
      </c>
      <c r="AI456">
        <f>1+COUNTIF(bounds,"&lt;"&amp;ROUND(AG456,12))</f>
        <v/>
      </c>
      <c r="AJ456">
        <f>IF(AF456&lt;1,1,0)</f>
        <v/>
      </c>
      <c r="AK456">
        <f>IF(AH456&lt;&gt;AI456,1,0)</f>
        <v/>
      </c>
      <c r="AL456">
        <f>IF(AND(AI456&gt;=3,AB456&lt;=0.2),1,0)</f>
        <v/>
      </c>
      <c r="AM456">
        <f>AVERAGE(W456:AB456)</f>
        <v/>
      </c>
      <c r="AN456">
        <f>1+COUNTIF(bounds,"&lt;"&amp;ROUND(AM456,12))</f>
        <v/>
      </c>
      <c r="AO456">
        <f>IF(AK456=1,AD456,NA())</f>
        <v/>
      </c>
      <c r="AP456">
        <f>IF(AK456=0,AD456,NA())</f>
        <v/>
      </c>
    </row>
    <row r="457">
      <c r="A457" t="n">
        <v>449</v>
      </c>
      <c r="B457" t="n">
        <v>4</v>
      </c>
      <c r="C457" t="n">
        <v>3</v>
      </c>
      <c r="D457" t="n">
        <v>3</v>
      </c>
      <c r="E457" t="n">
        <v>4</v>
      </c>
      <c r="F457" t="n">
        <v>3</v>
      </c>
      <c r="G457" t="n">
        <v>5</v>
      </c>
      <c r="H457" t="n">
        <v>4</v>
      </c>
      <c r="I457" t="n">
        <v>5</v>
      </c>
      <c r="J457" t="n">
        <v>3</v>
      </c>
      <c r="K457" t="n">
        <v>4</v>
      </c>
      <c r="L457" t="n">
        <v>3</v>
      </c>
      <c r="M457" t="n">
        <v>1</v>
      </c>
      <c r="N457" t="n">
        <v>4</v>
      </c>
      <c r="O457" t="n">
        <v>1</v>
      </c>
      <c r="P457" t="n">
        <v>4</v>
      </c>
      <c r="Q457" t="n">
        <v>3</v>
      </c>
      <c r="R457" t="n">
        <v>5</v>
      </c>
      <c r="S457" t="n">
        <v>4</v>
      </c>
      <c r="T457" t="n">
        <v>1</v>
      </c>
      <c r="U457" t="n">
        <v>3</v>
      </c>
      <c r="V457" t="n">
        <v>1</v>
      </c>
      <c r="W457">
        <f>(AVERAGE(B457:D457)-1)/4</f>
        <v/>
      </c>
      <c r="X457">
        <f>(AVERAGE(E457:G457)-1)/4</f>
        <v/>
      </c>
      <c r="Y457">
        <f>(AVERAGE(H457:J457)-1)/4</f>
        <v/>
      </c>
      <c r="Z457">
        <f>(AVERAGE(K457:M457)-1)/4</f>
        <v/>
      </c>
      <c r="AA457">
        <f>(AVERAGE(N457:P457)-1)/4</f>
        <v/>
      </c>
      <c r="AB457">
        <f>(AVERAGE(Q457:S457)-1)/4</f>
        <v/>
      </c>
      <c r="AC457">
        <f>(AVERAGE(T457:V457)-1)/4</f>
        <v/>
      </c>
      <c r="AD457">
        <f>AVERAGE(W457:AA457)</f>
        <v/>
      </c>
      <c r="AE457">
        <f>MIN(W457:AA457)</f>
        <v/>
      </c>
      <c r="AF457">
        <f>1-alpha*MAX(0,delta-AE457)</f>
        <v/>
      </c>
      <c r="AG457">
        <f>AD457*AF457</f>
        <v/>
      </c>
      <c r="AH457">
        <f>1+COUNTIF(bounds,"&lt;"&amp;ROUND(AD457,12))</f>
        <v/>
      </c>
      <c r="AI457">
        <f>1+COUNTIF(bounds,"&lt;"&amp;ROUND(AG457,12))</f>
        <v/>
      </c>
      <c r="AJ457">
        <f>IF(AF457&lt;1,1,0)</f>
        <v/>
      </c>
      <c r="AK457">
        <f>IF(AH457&lt;&gt;AI457,1,0)</f>
        <v/>
      </c>
      <c r="AL457">
        <f>IF(AND(AI457&gt;=3,AB457&lt;=0.2),1,0)</f>
        <v/>
      </c>
      <c r="AM457">
        <f>AVERAGE(W457:AB457)</f>
        <v/>
      </c>
      <c r="AN457">
        <f>1+COUNTIF(bounds,"&lt;"&amp;ROUND(AM457,12))</f>
        <v/>
      </c>
      <c r="AO457">
        <f>IF(AK457=1,AD457,NA())</f>
        <v/>
      </c>
      <c r="AP457">
        <f>IF(AK457=0,AD457,NA())</f>
        <v/>
      </c>
    </row>
    <row r="458">
      <c r="A458" t="n">
        <v>450</v>
      </c>
      <c r="B458" t="n">
        <v>1</v>
      </c>
      <c r="C458" t="n">
        <v>2</v>
      </c>
      <c r="D458" t="n">
        <v>2</v>
      </c>
      <c r="E458" t="n">
        <v>4</v>
      </c>
      <c r="F458" t="n">
        <v>2</v>
      </c>
      <c r="G458" t="n">
        <v>3</v>
      </c>
      <c r="H458" t="n">
        <v>5</v>
      </c>
      <c r="I458" t="n">
        <v>4</v>
      </c>
      <c r="J458" t="n">
        <v>1</v>
      </c>
      <c r="K458" t="n">
        <v>3</v>
      </c>
      <c r="L458" t="n">
        <v>1</v>
      </c>
      <c r="M458" t="n">
        <v>2</v>
      </c>
      <c r="N458" t="n">
        <v>2</v>
      </c>
      <c r="O458" t="n">
        <v>5</v>
      </c>
      <c r="P458" t="n">
        <v>3</v>
      </c>
      <c r="Q458" t="n">
        <v>2</v>
      </c>
      <c r="R458" t="n">
        <v>1</v>
      </c>
      <c r="S458" t="n">
        <v>2</v>
      </c>
      <c r="T458" t="n">
        <v>1</v>
      </c>
      <c r="U458" t="n">
        <v>4</v>
      </c>
      <c r="V458" t="n">
        <v>5</v>
      </c>
      <c r="W458">
        <f>(AVERAGE(B458:D458)-1)/4</f>
        <v/>
      </c>
      <c r="X458">
        <f>(AVERAGE(E458:G458)-1)/4</f>
        <v/>
      </c>
      <c r="Y458">
        <f>(AVERAGE(H458:J458)-1)/4</f>
        <v/>
      </c>
      <c r="Z458">
        <f>(AVERAGE(K458:M458)-1)/4</f>
        <v/>
      </c>
      <c r="AA458">
        <f>(AVERAGE(N458:P458)-1)/4</f>
        <v/>
      </c>
      <c r="AB458">
        <f>(AVERAGE(Q458:S458)-1)/4</f>
        <v/>
      </c>
      <c r="AC458">
        <f>(AVERAGE(T458:V458)-1)/4</f>
        <v/>
      </c>
      <c r="AD458">
        <f>AVERAGE(W458:AA458)</f>
        <v/>
      </c>
      <c r="AE458">
        <f>MIN(W458:AA458)</f>
        <v/>
      </c>
      <c r="AF458">
        <f>1-alpha*MAX(0,delta-AE458)</f>
        <v/>
      </c>
      <c r="AG458">
        <f>AD458*AF458</f>
        <v/>
      </c>
      <c r="AH458">
        <f>1+COUNTIF(bounds,"&lt;"&amp;ROUND(AD458,12))</f>
        <v/>
      </c>
      <c r="AI458">
        <f>1+COUNTIF(bounds,"&lt;"&amp;ROUND(AG458,12))</f>
        <v/>
      </c>
      <c r="AJ458">
        <f>IF(AF458&lt;1,1,0)</f>
        <v/>
      </c>
      <c r="AK458">
        <f>IF(AH458&lt;&gt;AI458,1,0)</f>
        <v/>
      </c>
      <c r="AL458">
        <f>IF(AND(AI458&gt;=3,AB458&lt;=0.2),1,0)</f>
        <v/>
      </c>
      <c r="AM458">
        <f>AVERAGE(W458:AB458)</f>
        <v/>
      </c>
      <c r="AN458">
        <f>1+COUNTIF(bounds,"&lt;"&amp;ROUND(AM458,12))</f>
        <v/>
      </c>
      <c r="AO458">
        <f>IF(AK458=1,AD458,NA())</f>
        <v/>
      </c>
      <c r="AP458">
        <f>IF(AK458=0,AD458,NA())</f>
        <v/>
      </c>
    </row>
    <row r="459">
      <c r="A459" t="n">
        <v>451</v>
      </c>
      <c r="B459" t="n">
        <v>1</v>
      </c>
      <c r="C459" t="n">
        <v>2</v>
      </c>
      <c r="D459" t="n">
        <v>3</v>
      </c>
      <c r="E459" t="n">
        <v>1</v>
      </c>
      <c r="F459" t="n">
        <v>3</v>
      </c>
      <c r="G459" t="n">
        <v>1</v>
      </c>
      <c r="H459" t="n">
        <v>4</v>
      </c>
      <c r="I459" t="n">
        <v>4</v>
      </c>
      <c r="J459" t="n">
        <v>3</v>
      </c>
      <c r="K459" t="n">
        <v>5</v>
      </c>
      <c r="L459" t="n">
        <v>5</v>
      </c>
      <c r="M459" t="n">
        <v>3</v>
      </c>
      <c r="N459" t="n">
        <v>2</v>
      </c>
      <c r="O459" t="n">
        <v>3</v>
      </c>
      <c r="P459" t="n">
        <v>4</v>
      </c>
      <c r="Q459" t="n">
        <v>3</v>
      </c>
      <c r="R459" t="n">
        <v>3</v>
      </c>
      <c r="S459" t="n">
        <v>1</v>
      </c>
      <c r="T459" t="n">
        <v>2</v>
      </c>
      <c r="U459" t="n">
        <v>4</v>
      </c>
      <c r="V459" t="n">
        <v>1</v>
      </c>
      <c r="W459">
        <f>(AVERAGE(B459:D459)-1)/4</f>
        <v/>
      </c>
      <c r="X459">
        <f>(AVERAGE(E459:G459)-1)/4</f>
        <v/>
      </c>
      <c r="Y459">
        <f>(AVERAGE(H459:J459)-1)/4</f>
        <v/>
      </c>
      <c r="Z459">
        <f>(AVERAGE(K459:M459)-1)/4</f>
        <v/>
      </c>
      <c r="AA459">
        <f>(AVERAGE(N459:P459)-1)/4</f>
        <v/>
      </c>
      <c r="AB459">
        <f>(AVERAGE(Q459:S459)-1)/4</f>
        <v/>
      </c>
      <c r="AC459">
        <f>(AVERAGE(T459:V459)-1)/4</f>
        <v/>
      </c>
      <c r="AD459">
        <f>AVERAGE(W459:AA459)</f>
        <v/>
      </c>
      <c r="AE459">
        <f>MIN(W459:AA459)</f>
        <v/>
      </c>
      <c r="AF459">
        <f>1-alpha*MAX(0,delta-AE459)</f>
        <v/>
      </c>
      <c r="AG459">
        <f>AD459*AF459</f>
        <v/>
      </c>
      <c r="AH459">
        <f>1+COUNTIF(bounds,"&lt;"&amp;ROUND(AD459,12))</f>
        <v/>
      </c>
      <c r="AI459">
        <f>1+COUNTIF(bounds,"&lt;"&amp;ROUND(AG459,12))</f>
        <v/>
      </c>
      <c r="AJ459">
        <f>IF(AF459&lt;1,1,0)</f>
        <v/>
      </c>
      <c r="AK459">
        <f>IF(AH459&lt;&gt;AI459,1,0)</f>
        <v/>
      </c>
      <c r="AL459">
        <f>IF(AND(AI459&gt;=3,AB459&lt;=0.2),1,0)</f>
        <v/>
      </c>
      <c r="AM459">
        <f>AVERAGE(W459:AB459)</f>
        <v/>
      </c>
      <c r="AN459">
        <f>1+COUNTIF(bounds,"&lt;"&amp;ROUND(AM459,12))</f>
        <v/>
      </c>
      <c r="AO459">
        <f>IF(AK459=1,AD459,NA())</f>
        <v/>
      </c>
      <c r="AP459">
        <f>IF(AK459=0,AD459,NA())</f>
        <v/>
      </c>
    </row>
    <row r="460">
      <c r="A460" t="n">
        <v>452</v>
      </c>
      <c r="B460" t="n">
        <v>2</v>
      </c>
      <c r="C460" t="n">
        <v>2</v>
      </c>
      <c r="D460" t="n">
        <v>4</v>
      </c>
      <c r="E460" t="n">
        <v>3</v>
      </c>
      <c r="F460" t="n">
        <v>2</v>
      </c>
      <c r="G460" t="n">
        <v>2</v>
      </c>
      <c r="H460" t="n">
        <v>4</v>
      </c>
      <c r="I460" t="n">
        <v>1</v>
      </c>
      <c r="J460" t="n">
        <v>2</v>
      </c>
      <c r="K460" t="n">
        <v>4</v>
      </c>
      <c r="L460" t="n">
        <v>1</v>
      </c>
      <c r="M460" t="n">
        <v>3</v>
      </c>
      <c r="N460" t="n">
        <v>1</v>
      </c>
      <c r="O460" t="n">
        <v>3</v>
      </c>
      <c r="P460" t="n">
        <v>3</v>
      </c>
      <c r="Q460" t="n">
        <v>2</v>
      </c>
      <c r="R460" t="n">
        <v>4</v>
      </c>
      <c r="S460" t="n">
        <v>3</v>
      </c>
      <c r="T460" t="n">
        <v>4</v>
      </c>
      <c r="U460" t="n">
        <v>1</v>
      </c>
      <c r="V460" t="n">
        <v>3</v>
      </c>
      <c r="W460">
        <f>(AVERAGE(B460:D460)-1)/4</f>
        <v/>
      </c>
      <c r="X460">
        <f>(AVERAGE(E460:G460)-1)/4</f>
        <v/>
      </c>
      <c r="Y460">
        <f>(AVERAGE(H460:J460)-1)/4</f>
        <v/>
      </c>
      <c r="Z460">
        <f>(AVERAGE(K460:M460)-1)/4</f>
        <v/>
      </c>
      <c r="AA460">
        <f>(AVERAGE(N460:P460)-1)/4</f>
        <v/>
      </c>
      <c r="AB460">
        <f>(AVERAGE(Q460:S460)-1)/4</f>
        <v/>
      </c>
      <c r="AC460">
        <f>(AVERAGE(T460:V460)-1)/4</f>
        <v/>
      </c>
      <c r="AD460">
        <f>AVERAGE(W460:AA460)</f>
        <v/>
      </c>
      <c r="AE460">
        <f>MIN(W460:AA460)</f>
        <v/>
      </c>
      <c r="AF460">
        <f>1-alpha*MAX(0,delta-AE460)</f>
        <v/>
      </c>
      <c r="AG460">
        <f>AD460*AF460</f>
        <v/>
      </c>
      <c r="AH460">
        <f>1+COUNTIF(bounds,"&lt;"&amp;ROUND(AD460,12))</f>
        <v/>
      </c>
      <c r="AI460">
        <f>1+COUNTIF(bounds,"&lt;"&amp;ROUND(AG460,12))</f>
        <v/>
      </c>
      <c r="AJ460">
        <f>IF(AF460&lt;1,1,0)</f>
        <v/>
      </c>
      <c r="AK460">
        <f>IF(AH460&lt;&gt;AI460,1,0)</f>
        <v/>
      </c>
      <c r="AL460">
        <f>IF(AND(AI460&gt;=3,AB460&lt;=0.2),1,0)</f>
        <v/>
      </c>
      <c r="AM460">
        <f>AVERAGE(W460:AB460)</f>
        <v/>
      </c>
      <c r="AN460">
        <f>1+COUNTIF(bounds,"&lt;"&amp;ROUND(AM460,12))</f>
        <v/>
      </c>
      <c r="AO460">
        <f>IF(AK460=1,AD460,NA())</f>
        <v/>
      </c>
      <c r="AP460">
        <f>IF(AK460=0,AD460,NA())</f>
        <v/>
      </c>
    </row>
    <row r="461">
      <c r="A461" t="n">
        <v>453</v>
      </c>
      <c r="B461" t="n">
        <v>2</v>
      </c>
      <c r="C461" t="n">
        <v>2</v>
      </c>
      <c r="D461" t="n">
        <v>4</v>
      </c>
      <c r="E461" t="n">
        <v>1</v>
      </c>
      <c r="F461" t="n">
        <v>3</v>
      </c>
      <c r="G461" t="n">
        <v>2</v>
      </c>
      <c r="H461" t="n">
        <v>2</v>
      </c>
      <c r="I461" t="n">
        <v>1</v>
      </c>
      <c r="J461" t="n">
        <v>2</v>
      </c>
      <c r="K461" t="n">
        <v>5</v>
      </c>
      <c r="L461" t="n">
        <v>4</v>
      </c>
      <c r="M461" t="n">
        <v>2</v>
      </c>
      <c r="N461" t="n">
        <v>1</v>
      </c>
      <c r="O461" t="n">
        <v>5</v>
      </c>
      <c r="P461" t="n">
        <v>3</v>
      </c>
      <c r="Q461" t="n">
        <v>2</v>
      </c>
      <c r="R461" t="n">
        <v>5</v>
      </c>
      <c r="S461" t="n">
        <v>2</v>
      </c>
      <c r="T461" t="n">
        <v>3</v>
      </c>
      <c r="U461" t="n">
        <v>4</v>
      </c>
      <c r="V461" t="n">
        <v>3</v>
      </c>
      <c r="W461">
        <f>(AVERAGE(B461:D461)-1)/4</f>
        <v/>
      </c>
      <c r="X461">
        <f>(AVERAGE(E461:G461)-1)/4</f>
        <v/>
      </c>
      <c r="Y461">
        <f>(AVERAGE(H461:J461)-1)/4</f>
        <v/>
      </c>
      <c r="Z461">
        <f>(AVERAGE(K461:M461)-1)/4</f>
        <v/>
      </c>
      <c r="AA461">
        <f>(AVERAGE(N461:P461)-1)/4</f>
        <v/>
      </c>
      <c r="AB461">
        <f>(AVERAGE(Q461:S461)-1)/4</f>
        <v/>
      </c>
      <c r="AC461">
        <f>(AVERAGE(T461:V461)-1)/4</f>
        <v/>
      </c>
      <c r="AD461">
        <f>AVERAGE(W461:AA461)</f>
        <v/>
      </c>
      <c r="AE461">
        <f>MIN(W461:AA461)</f>
        <v/>
      </c>
      <c r="AF461">
        <f>1-alpha*MAX(0,delta-AE461)</f>
        <v/>
      </c>
      <c r="AG461">
        <f>AD461*AF461</f>
        <v/>
      </c>
      <c r="AH461">
        <f>1+COUNTIF(bounds,"&lt;"&amp;ROUND(AD461,12))</f>
        <v/>
      </c>
      <c r="AI461">
        <f>1+COUNTIF(bounds,"&lt;"&amp;ROUND(AG461,12))</f>
        <v/>
      </c>
      <c r="AJ461">
        <f>IF(AF461&lt;1,1,0)</f>
        <v/>
      </c>
      <c r="AK461">
        <f>IF(AH461&lt;&gt;AI461,1,0)</f>
        <v/>
      </c>
      <c r="AL461">
        <f>IF(AND(AI461&gt;=3,AB461&lt;=0.2),1,0)</f>
        <v/>
      </c>
      <c r="AM461">
        <f>AVERAGE(W461:AB461)</f>
        <v/>
      </c>
      <c r="AN461">
        <f>1+COUNTIF(bounds,"&lt;"&amp;ROUND(AM461,12))</f>
        <v/>
      </c>
      <c r="AO461">
        <f>IF(AK461=1,AD461,NA())</f>
        <v/>
      </c>
      <c r="AP461">
        <f>IF(AK461=0,AD461,NA())</f>
        <v/>
      </c>
    </row>
    <row r="462">
      <c r="A462" t="n">
        <v>454</v>
      </c>
      <c r="B462" t="n">
        <v>4</v>
      </c>
      <c r="C462" t="n">
        <v>4</v>
      </c>
      <c r="D462" t="n">
        <v>3</v>
      </c>
      <c r="E462" t="n">
        <v>1</v>
      </c>
      <c r="F462" t="n">
        <v>1</v>
      </c>
      <c r="G462" t="n">
        <v>3</v>
      </c>
      <c r="H462" t="n">
        <v>2</v>
      </c>
      <c r="I462" t="n">
        <v>4</v>
      </c>
      <c r="J462" t="n">
        <v>2</v>
      </c>
      <c r="K462" t="n">
        <v>2</v>
      </c>
      <c r="L462" t="n">
        <v>1</v>
      </c>
      <c r="M462" t="n">
        <v>1</v>
      </c>
      <c r="N462" t="n">
        <v>1</v>
      </c>
      <c r="O462" t="n">
        <v>4</v>
      </c>
      <c r="P462" t="n">
        <v>2</v>
      </c>
      <c r="Q462" t="n">
        <v>1</v>
      </c>
      <c r="R462" t="n">
        <v>5</v>
      </c>
      <c r="S462" t="n">
        <v>5</v>
      </c>
      <c r="T462" t="n">
        <v>5</v>
      </c>
      <c r="U462" t="n">
        <v>3</v>
      </c>
      <c r="V462" t="n">
        <v>3</v>
      </c>
      <c r="W462">
        <f>(AVERAGE(B462:D462)-1)/4</f>
        <v/>
      </c>
      <c r="X462">
        <f>(AVERAGE(E462:G462)-1)/4</f>
        <v/>
      </c>
      <c r="Y462">
        <f>(AVERAGE(H462:J462)-1)/4</f>
        <v/>
      </c>
      <c r="Z462">
        <f>(AVERAGE(K462:M462)-1)/4</f>
        <v/>
      </c>
      <c r="AA462">
        <f>(AVERAGE(N462:P462)-1)/4</f>
        <v/>
      </c>
      <c r="AB462">
        <f>(AVERAGE(Q462:S462)-1)/4</f>
        <v/>
      </c>
      <c r="AC462">
        <f>(AVERAGE(T462:V462)-1)/4</f>
        <v/>
      </c>
      <c r="AD462">
        <f>AVERAGE(W462:AA462)</f>
        <v/>
      </c>
      <c r="AE462">
        <f>MIN(W462:AA462)</f>
        <v/>
      </c>
      <c r="AF462">
        <f>1-alpha*MAX(0,delta-AE462)</f>
        <v/>
      </c>
      <c r="AG462">
        <f>AD462*AF462</f>
        <v/>
      </c>
      <c r="AH462">
        <f>1+COUNTIF(bounds,"&lt;"&amp;ROUND(AD462,12))</f>
        <v/>
      </c>
      <c r="AI462">
        <f>1+COUNTIF(bounds,"&lt;"&amp;ROUND(AG462,12))</f>
        <v/>
      </c>
      <c r="AJ462">
        <f>IF(AF462&lt;1,1,0)</f>
        <v/>
      </c>
      <c r="AK462">
        <f>IF(AH462&lt;&gt;AI462,1,0)</f>
        <v/>
      </c>
      <c r="AL462">
        <f>IF(AND(AI462&gt;=3,AB462&lt;=0.2),1,0)</f>
        <v/>
      </c>
      <c r="AM462">
        <f>AVERAGE(W462:AB462)</f>
        <v/>
      </c>
      <c r="AN462">
        <f>1+COUNTIF(bounds,"&lt;"&amp;ROUND(AM462,12))</f>
        <v/>
      </c>
      <c r="AO462">
        <f>IF(AK462=1,AD462,NA())</f>
        <v/>
      </c>
      <c r="AP462">
        <f>IF(AK462=0,AD462,NA())</f>
        <v/>
      </c>
    </row>
    <row r="463">
      <c r="A463" t="n">
        <v>455</v>
      </c>
      <c r="B463" t="n">
        <v>1</v>
      </c>
      <c r="C463" t="n">
        <v>5</v>
      </c>
      <c r="D463" t="n">
        <v>4</v>
      </c>
      <c r="E463" t="n">
        <v>5</v>
      </c>
      <c r="F463" t="n">
        <v>4</v>
      </c>
      <c r="G463" t="n">
        <v>3</v>
      </c>
      <c r="H463" t="n">
        <v>5</v>
      </c>
      <c r="I463" t="n">
        <v>3</v>
      </c>
      <c r="J463" t="n">
        <v>5</v>
      </c>
      <c r="K463" t="n">
        <v>4</v>
      </c>
      <c r="L463" t="n">
        <v>3</v>
      </c>
      <c r="M463" t="n">
        <v>3</v>
      </c>
      <c r="N463" t="n">
        <v>2</v>
      </c>
      <c r="O463" t="n">
        <v>4</v>
      </c>
      <c r="P463" t="n">
        <v>2</v>
      </c>
      <c r="Q463" t="n">
        <v>2</v>
      </c>
      <c r="R463" t="n">
        <v>5</v>
      </c>
      <c r="S463" t="n">
        <v>4</v>
      </c>
      <c r="T463" t="n">
        <v>2</v>
      </c>
      <c r="U463" t="n">
        <v>3</v>
      </c>
      <c r="V463" t="n">
        <v>4</v>
      </c>
      <c r="W463">
        <f>(AVERAGE(B463:D463)-1)/4</f>
        <v/>
      </c>
      <c r="X463">
        <f>(AVERAGE(E463:G463)-1)/4</f>
        <v/>
      </c>
      <c r="Y463">
        <f>(AVERAGE(H463:J463)-1)/4</f>
        <v/>
      </c>
      <c r="Z463">
        <f>(AVERAGE(K463:M463)-1)/4</f>
        <v/>
      </c>
      <c r="AA463">
        <f>(AVERAGE(N463:P463)-1)/4</f>
        <v/>
      </c>
      <c r="AB463">
        <f>(AVERAGE(Q463:S463)-1)/4</f>
        <v/>
      </c>
      <c r="AC463">
        <f>(AVERAGE(T463:V463)-1)/4</f>
        <v/>
      </c>
      <c r="AD463">
        <f>AVERAGE(W463:AA463)</f>
        <v/>
      </c>
      <c r="AE463">
        <f>MIN(W463:AA463)</f>
        <v/>
      </c>
      <c r="AF463">
        <f>1-alpha*MAX(0,delta-AE463)</f>
        <v/>
      </c>
      <c r="AG463">
        <f>AD463*AF463</f>
        <v/>
      </c>
      <c r="AH463">
        <f>1+COUNTIF(bounds,"&lt;"&amp;ROUND(AD463,12))</f>
        <v/>
      </c>
      <c r="AI463">
        <f>1+COUNTIF(bounds,"&lt;"&amp;ROUND(AG463,12))</f>
        <v/>
      </c>
      <c r="AJ463">
        <f>IF(AF463&lt;1,1,0)</f>
        <v/>
      </c>
      <c r="AK463">
        <f>IF(AH463&lt;&gt;AI463,1,0)</f>
        <v/>
      </c>
      <c r="AL463">
        <f>IF(AND(AI463&gt;=3,AB463&lt;=0.2),1,0)</f>
        <v/>
      </c>
      <c r="AM463">
        <f>AVERAGE(W463:AB463)</f>
        <v/>
      </c>
      <c r="AN463">
        <f>1+COUNTIF(bounds,"&lt;"&amp;ROUND(AM463,12))</f>
        <v/>
      </c>
      <c r="AO463">
        <f>IF(AK463=1,AD463,NA())</f>
        <v/>
      </c>
      <c r="AP463">
        <f>IF(AK463=0,AD463,NA())</f>
        <v/>
      </c>
    </row>
    <row r="464">
      <c r="A464" t="n">
        <v>456</v>
      </c>
      <c r="B464" t="n">
        <v>5</v>
      </c>
      <c r="C464" t="n">
        <v>1</v>
      </c>
      <c r="D464" t="n">
        <v>1</v>
      </c>
      <c r="E464" t="n">
        <v>4</v>
      </c>
      <c r="F464" t="n">
        <v>2</v>
      </c>
      <c r="G464" t="n">
        <v>5</v>
      </c>
      <c r="H464" t="n">
        <v>3</v>
      </c>
      <c r="I464" t="n">
        <v>5</v>
      </c>
      <c r="J464" t="n">
        <v>3</v>
      </c>
      <c r="K464" t="n">
        <v>1</v>
      </c>
      <c r="L464" t="n">
        <v>5</v>
      </c>
      <c r="M464" t="n">
        <v>5</v>
      </c>
      <c r="N464" t="n">
        <v>1</v>
      </c>
      <c r="O464" t="n">
        <v>5</v>
      </c>
      <c r="P464" t="n">
        <v>4</v>
      </c>
      <c r="Q464" t="n">
        <v>1</v>
      </c>
      <c r="R464" t="n">
        <v>5</v>
      </c>
      <c r="S464" t="n">
        <v>1</v>
      </c>
      <c r="T464" t="n">
        <v>4</v>
      </c>
      <c r="U464" t="n">
        <v>3</v>
      </c>
      <c r="V464" t="n">
        <v>3</v>
      </c>
      <c r="W464">
        <f>(AVERAGE(B464:D464)-1)/4</f>
        <v/>
      </c>
      <c r="X464">
        <f>(AVERAGE(E464:G464)-1)/4</f>
        <v/>
      </c>
      <c r="Y464">
        <f>(AVERAGE(H464:J464)-1)/4</f>
        <v/>
      </c>
      <c r="Z464">
        <f>(AVERAGE(K464:M464)-1)/4</f>
        <v/>
      </c>
      <c r="AA464">
        <f>(AVERAGE(N464:P464)-1)/4</f>
        <v/>
      </c>
      <c r="AB464">
        <f>(AVERAGE(Q464:S464)-1)/4</f>
        <v/>
      </c>
      <c r="AC464">
        <f>(AVERAGE(T464:V464)-1)/4</f>
        <v/>
      </c>
      <c r="AD464">
        <f>AVERAGE(W464:AA464)</f>
        <v/>
      </c>
      <c r="AE464">
        <f>MIN(W464:AA464)</f>
        <v/>
      </c>
      <c r="AF464">
        <f>1-alpha*MAX(0,delta-AE464)</f>
        <v/>
      </c>
      <c r="AG464">
        <f>AD464*AF464</f>
        <v/>
      </c>
      <c r="AH464">
        <f>1+COUNTIF(bounds,"&lt;"&amp;ROUND(AD464,12))</f>
        <v/>
      </c>
      <c r="AI464">
        <f>1+COUNTIF(bounds,"&lt;"&amp;ROUND(AG464,12))</f>
        <v/>
      </c>
      <c r="AJ464">
        <f>IF(AF464&lt;1,1,0)</f>
        <v/>
      </c>
      <c r="AK464">
        <f>IF(AH464&lt;&gt;AI464,1,0)</f>
        <v/>
      </c>
      <c r="AL464">
        <f>IF(AND(AI464&gt;=3,AB464&lt;=0.2),1,0)</f>
        <v/>
      </c>
      <c r="AM464">
        <f>AVERAGE(W464:AB464)</f>
        <v/>
      </c>
      <c r="AN464">
        <f>1+COUNTIF(bounds,"&lt;"&amp;ROUND(AM464,12))</f>
        <v/>
      </c>
      <c r="AO464">
        <f>IF(AK464=1,AD464,NA())</f>
        <v/>
      </c>
      <c r="AP464">
        <f>IF(AK464=0,AD464,NA())</f>
        <v/>
      </c>
    </row>
    <row r="465">
      <c r="A465" t="n">
        <v>457</v>
      </c>
      <c r="B465" t="n">
        <v>5</v>
      </c>
      <c r="C465" t="n">
        <v>2</v>
      </c>
      <c r="D465" t="n">
        <v>5</v>
      </c>
      <c r="E465" t="n">
        <v>1</v>
      </c>
      <c r="F465" t="n">
        <v>4</v>
      </c>
      <c r="G465" t="n">
        <v>1</v>
      </c>
      <c r="H465" t="n">
        <v>4</v>
      </c>
      <c r="I465" t="n">
        <v>4</v>
      </c>
      <c r="J465" t="n">
        <v>4</v>
      </c>
      <c r="K465" t="n">
        <v>1</v>
      </c>
      <c r="L465" t="n">
        <v>5</v>
      </c>
      <c r="M465" t="n">
        <v>5</v>
      </c>
      <c r="N465" t="n">
        <v>1</v>
      </c>
      <c r="O465" t="n">
        <v>1</v>
      </c>
      <c r="P465" t="n">
        <v>3</v>
      </c>
      <c r="Q465" t="n">
        <v>2</v>
      </c>
      <c r="R465" t="n">
        <v>2</v>
      </c>
      <c r="S465" t="n">
        <v>2</v>
      </c>
      <c r="T465" t="n">
        <v>1</v>
      </c>
      <c r="U465" t="n">
        <v>4</v>
      </c>
      <c r="V465" t="n">
        <v>2</v>
      </c>
      <c r="W465">
        <f>(AVERAGE(B465:D465)-1)/4</f>
        <v/>
      </c>
      <c r="X465">
        <f>(AVERAGE(E465:G465)-1)/4</f>
        <v/>
      </c>
      <c r="Y465">
        <f>(AVERAGE(H465:J465)-1)/4</f>
        <v/>
      </c>
      <c r="Z465">
        <f>(AVERAGE(K465:M465)-1)/4</f>
        <v/>
      </c>
      <c r="AA465">
        <f>(AVERAGE(N465:P465)-1)/4</f>
        <v/>
      </c>
      <c r="AB465">
        <f>(AVERAGE(Q465:S465)-1)/4</f>
        <v/>
      </c>
      <c r="AC465">
        <f>(AVERAGE(T465:V465)-1)/4</f>
        <v/>
      </c>
      <c r="AD465">
        <f>AVERAGE(W465:AA465)</f>
        <v/>
      </c>
      <c r="AE465">
        <f>MIN(W465:AA465)</f>
        <v/>
      </c>
      <c r="AF465">
        <f>1-alpha*MAX(0,delta-AE465)</f>
        <v/>
      </c>
      <c r="AG465">
        <f>AD465*AF465</f>
        <v/>
      </c>
      <c r="AH465">
        <f>1+COUNTIF(bounds,"&lt;"&amp;ROUND(AD465,12))</f>
        <v/>
      </c>
      <c r="AI465">
        <f>1+COUNTIF(bounds,"&lt;"&amp;ROUND(AG465,12))</f>
        <v/>
      </c>
      <c r="AJ465">
        <f>IF(AF465&lt;1,1,0)</f>
        <v/>
      </c>
      <c r="AK465">
        <f>IF(AH465&lt;&gt;AI465,1,0)</f>
        <v/>
      </c>
      <c r="AL465">
        <f>IF(AND(AI465&gt;=3,AB465&lt;=0.2),1,0)</f>
        <v/>
      </c>
      <c r="AM465">
        <f>AVERAGE(W465:AB465)</f>
        <v/>
      </c>
      <c r="AN465">
        <f>1+COUNTIF(bounds,"&lt;"&amp;ROUND(AM465,12))</f>
        <v/>
      </c>
      <c r="AO465">
        <f>IF(AK465=1,AD465,NA())</f>
        <v/>
      </c>
      <c r="AP465">
        <f>IF(AK465=0,AD465,NA())</f>
        <v/>
      </c>
    </row>
    <row r="466">
      <c r="A466" t="n">
        <v>458</v>
      </c>
      <c r="B466" t="n">
        <v>4</v>
      </c>
      <c r="C466" t="n">
        <v>2</v>
      </c>
      <c r="D466" t="n">
        <v>4</v>
      </c>
      <c r="E466" t="n">
        <v>3</v>
      </c>
      <c r="F466" t="n">
        <v>4</v>
      </c>
      <c r="G466" t="n">
        <v>4</v>
      </c>
      <c r="H466" t="n">
        <v>5</v>
      </c>
      <c r="I466" t="n">
        <v>5</v>
      </c>
      <c r="J466" t="n">
        <v>5</v>
      </c>
      <c r="K466" t="n">
        <v>3</v>
      </c>
      <c r="L466" t="n">
        <v>5</v>
      </c>
      <c r="M466" t="n">
        <v>4</v>
      </c>
      <c r="N466" t="n">
        <v>5</v>
      </c>
      <c r="O466" t="n">
        <v>2</v>
      </c>
      <c r="P466" t="n">
        <v>4</v>
      </c>
      <c r="Q466" t="n">
        <v>4</v>
      </c>
      <c r="R466" t="n">
        <v>2</v>
      </c>
      <c r="S466" t="n">
        <v>2</v>
      </c>
      <c r="T466" t="n">
        <v>5</v>
      </c>
      <c r="U466" t="n">
        <v>5</v>
      </c>
      <c r="V466" t="n">
        <v>2</v>
      </c>
      <c r="W466">
        <f>(AVERAGE(B466:D466)-1)/4</f>
        <v/>
      </c>
      <c r="X466">
        <f>(AVERAGE(E466:G466)-1)/4</f>
        <v/>
      </c>
      <c r="Y466">
        <f>(AVERAGE(H466:J466)-1)/4</f>
        <v/>
      </c>
      <c r="Z466">
        <f>(AVERAGE(K466:M466)-1)/4</f>
        <v/>
      </c>
      <c r="AA466">
        <f>(AVERAGE(N466:P466)-1)/4</f>
        <v/>
      </c>
      <c r="AB466">
        <f>(AVERAGE(Q466:S466)-1)/4</f>
        <v/>
      </c>
      <c r="AC466">
        <f>(AVERAGE(T466:V466)-1)/4</f>
        <v/>
      </c>
      <c r="AD466">
        <f>AVERAGE(W466:AA466)</f>
        <v/>
      </c>
      <c r="AE466">
        <f>MIN(W466:AA466)</f>
        <v/>
      </c>
      <c r="AF466">
        <f>1-alpha*MAX(0,delta-AE466)</f>
        <v/>
      </c>
      <c r="AG466">
        <f>AD466*AF466</f>
        <v/>
      </c>
      <c r="AH466">
        <f>1+COUNTIF(bounds,"&lt;"&amp;ROUND(AD466,12))</f>
        <v/>
      </c>
      <c r="AI466">
        <f>1+COUNTIF(bounds,"&lt;"&amp;ROUND(AG466,12))</f>
        <v/>
      </c>
      <c r="AJ466">
        <f>IF(AF466&lt;1,1,0)</f>
        <v/>
      </c>
      <c r="AK466">
        <f>IF(AH466&lt;&gt;AI466,1,0)</f>
        <v/>
      </c>
      <c r="AL466">
        <f>IF(AND(AI466&gt;=3,AB466&lt;=0.2),1,0)</f>
        <v/>
      </c>
      <c r="AM466">
        <f>AVERAGE(W466:AB466)</f>
        <v/>
      </c>
      <c r="AN466">
        <f>1+COUNTIF(bounds,"&lt;"&amp;ROUND(AM466,12))</f>
        <v/>
      </c>
      <c r="AO466">
        <f>IF(AK466=1,AD466,NA())</f>
        <v/>
      </c>
      <c r="AP466">
        <f>IF(AK466=0,AD466,NA())</f>
        <v/>
      </c>
    </row>
    <row r="467">
      <c r="A467" t="n">
        <v>459</v>
      </c>
      <c r="B467" t="n">
        <v>2</v>
      </c>
      <c r="C467" t="n">
        <v>5</v>
      </c>
      <c r="D467" t="n">
        <v>4</v>
      </c>
      <c r="E467" t="n">
        <v>1</v>
      </c>
      <c r="F467" t="n">
        <v>1</v>
      </c>
      <c r="G467" t="n">
        <v>1</v>
      </c>
      <c r="H467" t="n">
        <v>2</v>
      </c>
      <c r="I467" t="n">
        <v>3</v>
      </c>
      <c r="J467" t="n">
        <v>5</v>
      </c>
      <c r="K467" t="n">
        <v>5</v>
      </c>
      <c r="L467" t="n">
        <v>5</v>
      </c>
      <c r="M467" t="n">
        <v>4</v>
      </c>
      <c r="N467" t="n">
        <v>5</v>
      </c>
      <c r="O467" t="n">
        <v>1</v>
      </c>
      <c r="P467" t="n">
        <v>1</v>
      </c>
      <c r="Q467" t="n">
        <v>5</v>
      </c>
      <c r="R467" t="n">
        <v>5</v>
      </c>
      <c r="S467" t="n">
        <v>2</v>
      </c>
      <c r="T467" t="n">
        <v>5</v>
      </c>
      <c r="U467" t="n">
        <v>1</v>
      </c>
      <c r="V467" t="n">
        <v>1</v>
      </c>
      <c r="W467">
        <f>(AVERAGE(B467:D467)-1)/4</f>
        <v/>
      </c>
      <c r="X467">
        <f>(AVERAGE(E467:G467)-1)/4</f>
        <v/>
      </c>
      <c r="Y467">
        <f>(AVERAGE(H467:J467)-1)/4</f>
        <v/>
      </c>
      <c r="Z467">
        <f>(AVERAGE(K467:M467)-1)/4</f>
        <v/>
      </c>
      <c r="AA467">
        <f>(AVERAGE(N467:P467)-1)/4</f>
        <v/>
      </c>
      <c r="AB467">
        <f>(AVERAGE(Q467:S467)-1)/4</f>
        <v/>
      </c>
      <c r="AC467">
        <f>(AVERAGE(T467:V467)-1)/4</f>
        <v/>
      </c>
      <c r="AD467">
        <f>AVERAGE(W467:AA467)</f>
        <v/>
      </c>
      <c r="AE467">
        <f>MIN(W467:AA467)</f>
        <v/>
      </c>
      <c r="AF467">
        <f>1-alpha*MAX(0,delta-AE467)</f>
        <v/>
      </c>
      <c r="AG467">
        <f>AD467*AF467</f>
        <v/>
      </c>
      <c r="AH467">
        <f>1+COUNTIF(bounds,"&lt;"&amp;ROUND(AD467,12))</f>
        <v/>
      </c>
      <c r="AI467">
        <f>1+COUNTIF(bounds,"&lt;"&amp;ROUND(AG467,12))</f>
        <v/>
      </c>
      <c r="AJ467">
        <f>IF(AF467&lt;1,1,0)</f>
        <v/>
      </c>
      <c r="AK467">
        <f>IF(AH467&lt;&gt;AI467,1,0)</f>
        <v/>
      </c>
      <c r="AL467">
        <f>IF(AND(AI467&gt;=3,AB467&lt;=0.2),1,0)</f>
        <v/>
      </c>
      <c r="AM467">
        <f>AVERAGE(W467:AB467)</f>
        <v/>
      </c>
      <c r="AN467">
        <f>1+COUNTIF(bounds,"&lt;"&amp;ROUND(AM467,12))</f>
        <v/>
      </c>
      <c r="AO467">
        <f>IF(AK467=1,AD467,NA())</f>
        <v/>
      </c>
      <c r="AP467">
        <f>IF(AK467=0,AD467,NA())</f>
        <v/>
      </c>
    </row>
    <row r="468">
      <c r="A468" t="n">
        <v>460</v>
      </c>
      <c r="B468" t="n">
        <v>4</v>
      </c>
      <c r="C468" t="n">
        <v>2</v>
      </c>
      <c r="D468" t="n">
        <v>1</v>
      </c>
      <c r="E468" t="n">
        <v>2</v>
      </c>
      <c r="F468" t="n">
        <v>1</v>
      </c>
      <c r="G468" t="n">
        <v>5</v>
      </c>
      <c r="H468" t="n">
        <v>2</v>
      </c>
      <c r="I468" t="n">
        <v>1</v>
      </c>
      <c r="J468" t="n">
        <v>1</v>
      </c>
      <c r="K468" t="n">
        <v>3</v>
      </c>
      <c r="L468" t="n">
        <v>2</v>
      </c>
      <c r="M468" t="n">
        <v>5</v>
      </c>
      <c r="N468" t="n">
        <v>2</v>
      </c>
      <c r="O468" t="n">
        <v>3</v>
      </c>
      <c r="P468" t="n">
        <v>4</v>
      </c>
      <c r="Q468" t="n">
        <v>3</v>
      </c>
      <c r="R468" t="n">
        <v>2</v>
      </c>
      <c r="S468" t="n">
        <v>5</v>
      </c>
      <c r="T468" t="n">
        <v>2</v>
      </c>
      <c r="U468" t="n">
        <v>5</v>
      </c>
      <c r="V468" t="n">
        <v>2</v>
      </c>
      <c r="W468">
        <f>(AVERAGE(B468:D468)-1)/4</f>
        <v/>
      </c>
      <c r="X468">
        <f>(AVERAGE(E468:G468)-1)/4</f>
        <v/>
      </c>
      <c r="Y468">
        <f>(AVERAGE(H468:J468)-1)/4</f>
        <v/>
      </c>
      <c r="Z468">
        <f>(AVERAGE(K468:M468)-1)/4</f>
        <v/>
      </c>
      <c r="AA468">
        <f>(AVERAGE(N468:P468)-1)/4</f>
        <v/>
      </c>
      <c r="AB468">
        <f>(AVERAGE(Q468:S468)-1)/4</f>
        <v/>
      </c>
      <c r="AC468">
        <f>(AVERAGE(T468:V468)-1)/4</f>
        <v/>
      </c>
      <c r="AD468">
        <f>AVERAGE(W468:AA468)</f>
        <v/>
      </c>
      <c r="AE468">
        <f>MIN(W468:AA468)</f>
        <v/>
      </c>
      <c r="AF468">
        <f>1-alpha*MAX(0,delta-AE468)</f>
        <v/>
      </c>
      <c r="AG468">
        <f>AD468*AF468</f>
        <v/>
      </c>
      <c r="AH468">
        <f>1+COUNTIF(bounds,"&lt;"&amp;ROUND(AD468,12))</f>
        <v/>
      </c>
      <c r="AI468">
        <f>1+COUNTIF(bounds,"&lt;"&amp;ROUND(AG468,12))</f>
        <v/>
      </c>
      <c r="AJ468">
        <f>IF(AF468&lt;1,1,0)</f>
        <v/>
      </c>
      <c r="AK468">
        <f>IF(AH468&lt;&gt;AI468,1,0)</f>
        <v/>
      </c>
      <c r="AL468">
        <f>IF(AND(AI468&gt;=3,AB468&lt;=0.2),1,0)</f>
        <v/>
      </c>
      <c r="AM468">
        <f>AVERAGE(W468:AB468)</f>
        <v/>
      </c>
      <c r="AN468">
        <f>1+COUNTIF(bounds,"&lt;"&amp;ROUND(AM468,12))</f>
        <v/>
      </c>
      <c r="AO468">
        <f>IF(AK468=1,AD468,NA())</f>
        <v/>
      </c>
      <c r="AP468">
        <f>IF(AK468=0,AD468,NA())</f>
        <v/>
      </c>
    </row>
    <row r="469">
      <c r="A469" t="n">
        <v>461</v>
      </c>
      <c r="B469" t="n">
        <v>3</v>
      </c>
      <c r="C469" t="n">
        <v>4</v>
      </c>
      <c r="D469" t="n">
        <v>5</v>
      </c>
      <c r="E469" t="n">
        <v>5</v>
      </c>
      <c r="F469" t="n">
        <v>1</v>
      </c>
      <c r="G469" t="n">
        <v>3</v>
      </c>
      <c r="H469" t="n">
        <v>4</v>
      </c>
      <c r="I469" t="n">
        <v>3</v>
      </c>
      <c r="J469" t="n">
        <v>4</v>
      </c>
      <c r="K469" t="n">
        <v>2</v>
      </c>
      <c r="L469" t="n">
        <v>3</v>
      </c>
      <c r="M469" t="n">
        <v>4</v>
      </c>
      <c r="N469" t="n">
        <v>4</v>
      </c>
      <c r="O469" t="n">
        <v>4</v>
      </c>
      <c r="P469" t="n">
        <v>4</v>
      </c>
      <c r="Q469" t="n">
        <v>3</v>
      </c>
      <c r="R469" t="n">
        <v>2</v>
      </c>
      <c r="S469" t="n">
        <v>4</v>
      </c>
      <c r="T469" t="n">
        <v>4</v>
      </c>
      <c r="U469" t="n">
        <v>1</v>
      </c>
      <c r="V469" t="n">
        <v>3</v>
      </c>
      <c r="W469">
        <f>(AVERAGE(B469:D469)-1)/4</f>
        <v/>
      </c>
      <c r="X469">
        <f>(AVERAGE(E469:G469)-1)/4</f>
        <v/>
      </c>
      <c r="Y469">
        <f>(AVERAGE(H469:J469)-1)/4</f>
        <v/>
      </c>
      <c r="Z469">
        <f>(AVERAGE(K469:M469)-1)/4</f>
        <v/>
      </c>
      <c r="AA469">
        <f>(AVERAGE(N469:P469)-1)/4</f>
        <v/>
      </c>
      <c r="AB469">
        <f>(AVERAGE(Q469:S469)-1)/4</f>
        <v/>
      </c>
      <c r="AC469">
        <f>(AVERAGE(T469:V469)-1)/4</f>
        <v/>
      </c>
      <c r="AD469">
        <f>AVERAGE(W469:AA469)</f>
        <v/>
      </c>
      <c r="AE469">
        <f>MIN(W469:AA469)</f>
        <v/>
      </c>
      <c r="AF469">
        <f>1-alpha*MAX(0,delta-AE469)</f>
        <v/>
      </c>
      <c r="AG469">
        <f>AD469*AF469</f>
        <v/>
      </c>
      <c r="AH469">
        <f>1+COUNTIF(bounds,"&lt;"&amp;ROUND(AD469,12))</f>
        <v/>
      </c>
      <c r="AI469">
        <f>1+COUNTIF(bounds,"&lt;"&amp;ROUND(AG469,12))</f>
        <v/>
      </c>
      <c r="AJ469">
        <f>IF(AF469&lt;1,1,0)</f>
        <v/>
      </c>
      <c r="AK469">
        <f>IF(AH469&lt;&gt;AI469,1,0)</f>
        <v/>
      </c>
      <c r="AL469">
        <f>IF(AND(AI469&gt;=3,AB469&lt;=0.2),1,0)</f>
        <v/>
      </c>
      <c r="AM469">
        <f>AVERAGE(W469:AB469)</f>
        <v/>
      </c>
      <c r="AN469">
        <f>1+COUNTIF(bounds,"&lt;"&amp;ROUND(AM469,12))</f>
        <v/>
      </c>
      <c r="AO469">
        <f>IF(AK469=1,AD469,NA())</f>
        <v/>
      </c>
      <c r="AP469">
        <f>IF(AK469=0,AD469,NA())</f>
        <v/>
      </c>
    </row>
    <row r="470">
      <c r="A470" t="n">
        <v>462</v>
      </c>
      <c r="B470" t="n">
        <v>2</v>
      </c>
      <c r="C470" t="n">
        <v>3</v>
      </c>
      <c r="D470" t="n">
        <v>5</v>
      </c>
      <c r="E470" t="n">
        <v>3</v>
      </c>
      <c r="F470" t="n">
        <v>3</v>
      </c>
      <c r="G470" t="n">
        <v>4</v>
      </c>
      <c r="H470" t="n">
        <v>2</v>
      </c>
      <c r="I470" t="n">
        <v>5</v>
      </c>
      <c r="J470" t="n">
        <v>1</v>
      </c>
      <c r="K470" t="n">
        <v>4</v>
      </c>
      <c r="L470" t="n">
        <v>5</v>
      </c>
      <c r="M470" t="n">
        <v>1</v>
      </c>
      <c r="N470" t="n">
        <v>3</v>
      </c>
      <c r="O470" t="n">
        <v>1</v>
      </c>
      <c r="P470" t="n">
        <v>2</v>
      </c>
      <c r="Q470" t="n">
        <v>3</v>
      </c>
      <c r="R470" t="n">
        <v>2</v>
      </c>
      <c r="S470" t="n">
        <v>3</v>
      </c>
      <c r="T470" t="n">
        <v>5</v>
      </c>
      <c r="U470" t="n">
        <v>2</v>
      </c>
      <c r="V470" t="n">
        <v>3</v>
      </c>
      <c r="W470">
        <f>(AVERAGE(B470:D470)-1)/4</f>
        <v/>
      </c>
      <c r="X470">
        <f>(AVERAGE(E470:G470)-1)/4</f>
        <v/>
      </c>
      <c r="Y470">
        <f>(AVERAGE(H470:J470)-1)/4</f>
        <v/>
      </c>
      <c r="Z470">
        <f>(AVERAGE(K470:M470)-1)/4</f>
        <v/>
      </c>
      <c r="AA470">
        <f>(AVERAGE(N470:P470)-1)/4</f>
        <v/>
      </c>
      <c r="AB470">
        <f>(AVERAGE(Q470:S470)-1)/4</f>
        <v/>
      </c>
      <c r="AC470">
        <f>(AVERAGE(T470:V470)-1)/4</f>
        <v/>
      </c>
      <c r="AD470">
        <f>AVERAGE(W470:AA470)</f>
        <v/>
      </c>
      <c r="AE470">
        <f>MIN(W470:AA470)</f>
        <v/>
      </c>
      <c r="AF470">
        <f>1-alpha*MAX(0,delta-AE470)</f>
        <v/>
      </c>
      <c r="AG470">
        <f>AD470*AF470</f>
        <v/>
      </c>
      <c r="AH470">
        <f>1+COUNTIF(bounds,"&lt;"&amp;ROUND(AD470,12))</f>
        <v/>
      </c>
      <c r="AI470">
        <f>1+COUNTIF(bounds,"&lt;"&amp;ROUND(AG470,12))</f>
        <v/>
      </c>
      <c r="AJ470">
        <f>IF(AF470&lt;1,1,0)</f>
        <v/>
      </c>
      <c r="AK470">
        <f>IF(AH470&lt;&gt;AI470,1,0)</f>
        <v/>
      </c>
      <c r="AL470">
        <f>IF(AND(AI470&gt;=3,AB470&lt;=0.2),1,0)</f>
        <v/>
      </c>
      <c r="AM470">
        <f>AVERAGE(W470:AB470)</f>
        <v/>
      </c>
      <c r="AN470">
        <f>1+COUNTIF(bounds,"&lt;"&amp;ROUND(AM470,12))</f>
        <v/>
      </c>
      <c r="AO470">
        <f>IF(AK470=1,AD470,NA())</f>
        <v/>
      </c>
      <c r="AP470">
        <f>IF(AK470=0,AD470,NA())</f>
        <v/>
      </c>
    </row>
    <row r="471">
      <c r="A471" t="n">
        <v>463</v>
      </c>
      <c r="B471" t="n">
        <v>2</v>
      </c>
      <c r="C471" t="n">
        <v>4</v>
      </c>
      <c r="D471" t="n">
        <v>5</v>
      </c>
      <c r="E471" t="n">
        <v>1</v>
      </c>
      <c r="F471" t="n">
        <v>3</v>
      </c>
      <c r="G471" t="n">
        <v>3</v>
      </c>
      <c r="H471" t="n">
        <v>5</v>
      </c>
      <c r="I471" t="n">
        <v>5</v>
      </c>
      <c r="J471" t="n">
        <v>3</v>
      </c>
      <c r="K471" t="n">
        <v>2</v>
      </c>
      <c r="L471" t="n">
        <v>4</v>
      </c>
      <c r="M471" t="n">
        <v>2</v>
      </c>
      <c r="N471" t="n">
        <v>4</v>
      </c>
      <c r="O471" t="n">
        <v>1</v>
      </c>
      <c r="P471" t="n">
        <v>1</v>
      </c>
      <c r="Q471" t="n">
        <v>3</v>
      </c>
      <c r="R471" t="n">
        <v>3</v>
      </c>
      <c r="S471" t="n">
        <v>4</v>
      </c>
      <c r="T471" t="n">
        <v>1</v>
      </c>
      <c r="U471" t="n">
        <v>4</v>
      </c>
      <c r="V471" t="n">
        <v>2</v>
      </c>
      <c r="W471">
        <f>(AVERAGE(B471:D471)-1)/4</f>
        <v/>
      </c>
      <c r="X471">
        <f>(AVERAGE(E471:G471)-1)/4</f>
        <v/>
      </c>
      <c r="Y471">
        <f>(AVERAGE(H471:J471)-1)/4</f>
        <v/>
      </c>
      <c r="Z471">
        <f>(AVERAGE(K471:M471)-1)/4</f>
        <v/>
      </c>
      <c r="AA471">
        <f>(AVERAGE(N471:P471)-1)/4</f>
        <v/>
      </c>
      <c r="AB471">
        <f>(AVERAGE(Q471:S471)-1)/4</f>
        <v/>
      </c>
      <c r="AC471">
        <f>(AVERAGE(T471:V471)-1)/4</f>
        <v/>
      </c>
      <c r="AD471">
        <f>AVERAGE(W471:AA471)</f>
        <v/>
      </c>
      <c r="AE471">
        <f>MIN(W471:AA471)</f>
        <v/>
      </c>
      <c r="AF471">
        <f>1-alpha*MAX(0,delta-AE471)</f>
        <v/>
      </c>
      <c r="AG471">
        <f>AD471*AF471</f>
        <v/>
      </c>
      <c r="AH471">
        <f>1+COUNTIF(bounds,"&lt;"&amp;ROUND(AD471,12))</f>
        <v/>
      </c>
      <c r="AI471">
        <f>1+COUNTIF(bounds,"&lt;"&amp;ROUND(AG471,12))</f>
        <v/>
      </c>
      <c r="AJ471">
        <f>IF(AF471&lt;1,1,0)</f>
        <v/>
      </c>
      <c r="AK471">
        <f>IF(AH471&lt;&gt;AI471,1,0)</f>
        <v/>
      </c>
      <c r="AL471">
        <f>IF(AND(AI471&gt;=3,AB471&lt;=0.2),1,0)</f>
        <v/>
      </c>
      <c r="AM471">
        <f>AVERAGE(W471:AB471)</f>
        <v/>
      </c>
      <c r="AN471">
        <f>1+COUNTIF(bounds,"&lt;"&amp;ROUND(AM471,12))</f>
        <v/>
      </c>
      <c r="AO471">
        <f>IF(AK471=1,AD471,NA())</f>
        <v/>
      </c>
      <c r="AP471">
        <f>IF(AK471=0,AD471,NA())</f>
        <v/>
      </c>
    </row>
    <row r="472">
      <c r="A472" t="n">
        <v>464</v>
      </c>
      <c r="B472" t="n">
        <v>4</v>
      </c>
      <c r="C472" t="n">
        <v>1</v>
      </c>
      <c r="D472" t="n">
        <v>4</v>
      </c>
      <c r="E472" t="n">
        <v>4</v>
      </c>
      <c r="F472" t="n">
        <v>5</v>
      </c>
      <c r="G472" t="n">
        <v>5</v>
      </c>
      <c r="H472" t="n">
        <v>2</v>
      </c>
      <c r="I472" t="n">
        <v>2</v>
      </c>
      <c r="J472" t="n">
        <v>2</v>
      </c>
      <c r="K472" t="n">
        <v>5</v>
      </c>
      <c r="L472" t="n">
        <v>2</v>
      </c>
      <c r="M472" t="n">
        <v>4</v>
      </c>
      <c r="N472" t="n">
        <v>4</v>
      </c>
      <c r="O472" t="n">
        <v>2</v>
      </c>
      <c r="P472" t="n">
        <v>3</v>
      </c>
      <c r="Q472" t="n">
        <v>1</v>
      </c>
      <c r="R472" t="n">
        <v>5</v>
      </c>
      <c r="S472" t="n">
        <v>3</v>
      </c>
      <c r="T472" t="n">
        <v>2</v>
      </c>
      <c r="U472" t="n">
        <v>2</v>
      </c>
      <c r="V472" t="n">
        <v>4</v>
      </c>
      <c r="W472">
        <f>(AVERAGE(B472:D472)-1)/4</f>
        <v/>
      </c>
      <c r="X472">
        <f>(AVERAGE(E472:G472)-1)/4</f>
        <v/>
      </c>
      <c r="Y472">
        <f>(AVERAGE(H472:J472)-1)/4</f>
        <v/>
      </c>
      <c r="Z472">
        <f>(AVERAGE(K472:M472)-1)/4</f>
        <v/>
      </c>
      <c r="AA472">
        <f>(AVERAGE(N472:P472)-1)/4</f>
        <v/>
      </c>
      <c r="AB472">
        <f>(AVERAGE(Q472:S472)-1)/4</f>
        <v/>
      </c>
      <c r="AC472">
        <f>(AVERAGE(T472:V472)-1)/4</f>
        <v/>
      </c>
      <c r="AD472">
        <f>AVERAGE(W472:AA472)</f>
        <v/>
      </c>
      <c r="AE472">
        <f>MIN(W472:AA472)</f>
        <v/>
      </c>
      <c r="AF472">
        <f>1-alpha*MAX(0,delta-AE472)</f>
        <v/>
      </c>
      <c r="AG472">
        <f>AD472*AF472</f>
        <v/>
      </c>
      <c r="AH472">
        <f>1+COUNTIF(bounds,"&lt;"&amp;ROUND(AD472,12))</f>
        <v/>
      </c>
      <c r="AI472">
        <f>1+COUNTIF(bounds,"&lt;"&amp;ROUND(AG472,12))</f>
        <v/>
      </c>
      <c r="AJ472">
        <f>IF(AF472&lt;1,1,0)</f>
        <v/>
      </c>
      <c r="AK472">
        <f>IF(AH472&lt;&gt;AI472,1,0)</f>
        <v/>
      </c>
      <c r="AL472">
        <f>IF(AND(AI472&gt;=3,AB472&lt;=0.2),1,0)</f>
        <v/>
      </c>
      <c r="AM472">
        <f>AVERAGE(W472:AB472)</f>
        <v/>
      </c>
      <c r="AN472">
        <f>1+COUNTIF(bounds,"&lt;"&amp;ROUND(AM472,12))</f>
        <v/>
      </c>
      <c r="AO472">
        <f>IF(AK472=1,AD472,NA())</f>
        <v/>
      </c>
      <c r="AP472">
        <f>IF(AK472=0,AD472,NA())</f>
        <v/>
      </c>
    </row>
    <row r="473">
      <c r="A473" t="n">
        <v>465</v>
      </c>
      <c r="B473" t="n">
        <v>1</v>
      </c>
      <c r="C473" t="n">
        <v>2</v>
      </c>
      <c r="D473" t="n">
        <v>5</v>
      </c>
      <c r="E473" t="n">
        <v>3</v>
      </c>
      <c r="F473" t="n">
        <v>5</v>
      </c>
      <c r="G473" t="n">
        <v>3</v>
      </c>
      <c r="H473" t="n">
        <v>3</v>
      </c>
      <c r="I473" t="n">
        <v>3</v>
      </c>
      <c r="J473" t="n">
        <v>3</v>
      </c>
      <c r="K473" t="n">
        <v>1</v>
      </c>
      <c r="L473" t="n">
        <v>1</v>
      </c>
      <c r="M473" t="n">
        <v>3</v>
      </c>
      <c r="N473" t="n">
        <v>3</v>
      </c>
      <c r="O473" t="n">
        <v>2</v>
      </c>
      <c r="P473" t="n">
        <v>5</v>
      </c>
      <c r="Q473" t="n">
        <v>4</v>
      </c>
      <c r="R473" t="n">
        <v>1</v>
      </c>
      <c r="S473" t="n">
        <v>4</v>
      </c>
      <c r="T473" t="n">
        <v>5</v>
      </c>
      <c r="U473" t="n">
        <v>2</v>
      </c>
      <c r="V473" t="n">
        <v>3</v>
      </c>
      <c r="W473">
        <f>(AVERAGE(B473:D473)-1)/4</f>
        <v/>
      </c>
      <c r="X473">
        <f>(AVERAGE(E473:G473)-1)/4</f>
        <v/>
      </c>
      <c r="Y473">
        <f>(AVERAGE(H473:J473)-1)/4</f>
        <v/>
      </c>
      <c r="Z473">
        <f>(AVERAGE(K473:M473)-1)/4</f>
        <v/>
      </c>
      <c r="AA473">
        <f>(AVERAGE(N473:P473)-1)/4</f>
        <v/>
      </c>
      <c r="AB473">
        <f>(AVERAGE(Q473:S473)-1)/4</f>
        <v/>
      </c>
      <c r="AC473">
        <f>(AVERAGE(T473:V473)-1)/4</f>
        <v/>
      </c>
      <c r="AD473">
        <f>AVERAGE(W473:AA473)</f>
        <v/>
      </c>
      <c r="AE473">
        <f>MIN(W473:AA473)</f>
        <v/>
      </c>
      <c r="AF473">
        <f>1-alpha*MAX(0,delta-AE473)</f>
        <v/>
      </c>
      <c r="AG473">
        <f>AD473*AF473</f>
        <v/>
      </c>
      <c r="AH473">
        <f>1+COUNTIF(bounds,"&lt;"&amp;ROUND(AD473,12))</f>
        <v/>
      </c>
      <c r="AI473">
        <f>1+COUNTIF(bounds,"&lt;"&amp;ROUND(AG473,12))</f>
        <v/>
      </c>
      <c r="AJ473">
        <f>IF(AF473&lt;1,1,0)</f>
        <v/>
      </c>
      <c r="AK473">
        <f>IF(AH473&lt;&gt;AI473,1,0)</f>
        <v/>
      </c>
      <c r="AL473">
        <f>IF(AND(AI473&gt;=3,AB473&lt;=0.2),1,0)</f>
        <v/>
      </c>
      <c r="AM473">
        <f>AVERAGE(W473:AB473)</f>
        <v/>
      </c>
      <c r="AN473">
        <f>1+COUNTIF(bounds,"&lt;"&amp;ROUND(AM473,12))</f>
        <v/>
      </c>
      <c r="AO473">
        <f>IF(AK473=1,AD473,NA())</f>
        <v/>
      </c>
      <c r="AP473">
        <f>IF(AK473=0,AD473,NA())</f>
        <v/>
      </c>
    </row>
    <row r="474">
      <c r="A474" t="n">
        <v>466</v>
      </c>
      <c r="B474" t="n">
        <v>4</v>
      </c>
      <c r="C474" t="n">
        <v>2</v>
      </c>
      <c r="D474" t="n">
        <v>4</v>
      </c>
      <c r="E474" t="n">
        <v>4</v>
      </c>
      <c r="F474" t="n">
        <v>2</v>
      </c>
      <c r="G474" t="n">
        <v>2</v>
      </c>
      <c r="H474" t="n">
        <v>4</v>
      </c>
      <c r="I474" t="n">
        <v>3</v>
      </c>
      <c r="J474" t="n">
        <v>3</v>
      </c>
      <c r="K474" t="n">
        <v>4</v>
      </c>
      <c r="L474" t="n">
        <v>3</v>
      </c>
      <c r="M474" t="n">
        <v>1</v>
      </c>
      <c r="N474" t="n">
        <v>5</v>
      </c>
      <c r="O474" t="n">
        <v>4</v>
      </c>
      <c r="P474" t="n">
        <v>3</v>
      </c>
      <c r="Q474" t="n">
        <v>5</v>
      </c>
      <c r="R474" t="n">
        <v>5</v>
      </c>
      <c r="S474" t="n">
        <v>3</v>
      </c>
      <c r="T474" t="n">
        <v>1</v>
      </c>
      <c r="U474" t="n">
        <v>5</v>
      </c>
      <c r="V474" t="n">
        <v>5</v>
      </c>
      <c r="W474">
        <f>(AVERAGE(B474:D474)-1)/4</f>
        <v/>
      </c>
      <c r="X474">
        <f>(AVERAGE(E474:G474)-1)/4</f>
        <v/>
      </c>
      <c r="Y474">
        <f>(AVERAGE(H474:J474)-1)/4</f>
        <v/>
      </c>
      <c r="Z474">
        <f>(AVERAGE(K474:M474)-1)/4</f>
        <v/>
      </c>
      <c r="AA474">
        <f>(AVERAGE(N474:P474)-1)/4</f>
        <v/>
      </c>
      <c r="AB474">
        <f>(AVERAGE(Q474:S474)-1)/4</f>
        <v/>
      </c>
      <c r="AC474">
        <f>(AVERAGE(T474:V474)-1)/4</f>
        <v/>
      </c>
      <c r="AD474">
        <f>AVERAGE(W474:AA474)</f>
        <v/>
      </c>
      <c r="AE474">
        <f>MIN(W474:AA474)</f>
        <v/>
      </c>
      <c r="AF474">
        <f>1-alpha*MAX(0,delta-AE474)</f>
        <v/>
      </c>
      <c r="AG474">
        <f>AD474*AF474</f>
        <v/>
      </c>
      <c r="AH474">
        <f>1+COUNTIF(bounds,"&lt;"&amp;ROUND(AD474,12))</f>
        <v/>
      </c>
      <c r="AI474">
        <f>1+COUNTIF(bounds,"&lt;"&amp;ROUND(AG474,12))</f>
        <v/>
      </c>
      <c r="AJ474">
        <f>IF(AF474&lt;1,1,0)</f>
        <v/>
      </c>
      <c r="AK474">
        <f>IF(AH474&lt;&gt;AI474,1,0)</f>
        <v/>
      </c>
      <c r="AL474">
        <f>IF(AND(AI474&gt;=3,AB474&lt;=0.2),1,0)</f>
        <v/>
      </c>
      <c r="AM474">
        <f>AVERAGE(W474:AB474)</f>
        <v/>
      </c>
      <c r="AN474">
        <f>1+COUNTIF(bounds,"&lt;"&amp;ROUND(AM474,12))</f>
        <v/>
      </c>
      <c r="AO474">
        <f>IF(AK474=1,AD474,NA())</f>
        <v/>
      </c>
      <c r="AP474">
        <f>IF(AK474=0,AD474,NA())</f>
        <v/>
      </c>
    </row>
    <row r="475">
      <c r="A475" t="n">
        <v>467</v>
      </c>
      <c r="B475" t="n">
        <v>3</v>
      </c>
      <c r="C475" t="n">
        <v>5</v>
      </c>
      <c r="D475" t="n">
        <v>4</v>
      </c>
      <c r="E475" t="n">
        <v>4</v>
      </c>
      <c r="F475" t="n">
        <v>4</v>
      </c>
      <c r="G475" t="n">
        <v>3</v>
      </c>
      <c r="H475" t="n">
        <v>5</v>
      </c>
      <c r="I475" t="n">
        <v>2</v>
      </c>
      <c r="J475" t="n">
        <v>2</v>
      </c>
      <c r="K475" t="n">
        <v>1</v>
      </c>
      <c r="L475" t="n">
        <v>4</v>
      </c>
      <c r="M475" t="n">
        <v>5</v>
      </c>
      <c r="N475" t="n">
        <v>4</v>
      </c>
      <c r="O475" t="n">
        <v>2</v>
      </c>
      <c r="P475" t="n">
        <v>2</v>
      </c>
      <c r="Q475" t="n">
        <v>1</v>
      </c>
      <c r="R475" t="n">
        <v>3</v>
      </c>
      <c r="S475" t="n">
        <v>3</v>
      </c>
      <c r="T475" t="n">
        <v>5</v>
      </c>
      <c r="U475" t="n">
        <v>4</v>
      </c>
      <c r="V475" t="n">
        <v>3</v>
      </c>
      <c r="W475">
        <f>(AVERAGE(B475:D475)-1)/4</f>
        <v/>
      </c>
      <c r="X475">
        <f>(AVERAGE(E475:G475)-1)/4</f>
        <v/>
      </c>
      <c r="Y475">
        <f>(AVERAGE(H475:J475)-1)/4</f>
        <v/>
      </c>
      <c r="Z475">
        <f>(AVERAGE(K475:M475)-1)/4</f>
        <v/>
      </c>
      <c r="AA475">
        <f>(AVERAGE(N475:P475)-1)/4</f>
        <v/>
      </c>
      <c r="AB475">
        <f>(AVERAGE(Q475:S475)-1)/4</f>
        <v/>
      </c>
      <c r="AC475">
        <f>(AVERAGE(T475:V475)-1)/4</f>
        <v/>
      </c>
      <c r="AD475">
        <f>AVERAGE(W475:AA475)</f>
        <v/>
      </c>
      <c r="AE475">
        <f>MIN(W475:AA475)</f>
        <v/>
      </c>
      <c r="AF475">
        <f>1-alpha*MAX(0,delta-AE475)</f>
        <v/>
      </c>
      <c r="AG475">
        <f>AD475*AF475</f>
        <v/>
      </c>
      <c r="AH475">
        <f>1+COUNTIF(bounds,"&lt;"&amp;ROUND(AD475,12))</f>
        <v/>
      </c>
      <c r="AI475">
        <f>1+COUNTIF(bounds,"&lt;"&amp;ROUND(AG475,12))</f>
        <v/>
      </c>
      <c r="AJ475">
        <f>IF(AF475&lt;1,1,0)</f>
        <v/>
      </c>
      <c r="AK475">
        <f>IF(AH475&lt;&gt;AI475,1,0)</f>
        <v/>
      </c>
      <c r="AL475">
        <f>IF(AND(AI475&gt;=3,AB475&lt;=0.2),1,0)</f>
        <v/>
      </c>
      <c r="AM475">
        <f>AVERAGE(W475:AB475)</f>
        <v/>
      </c>
      <c r="AN475">
        <f>1+COUNTIF(bounds,"&lt;"&amp;ROUND(AM475,12))</f>
        <v/>
      </c>
      <c r="AO475">
        <f>IF(AK475=1,AD475,NA())</f>
        <v/>
      </c>
      <c r="AP475">
        <f>IF(AK475=0,AD475,NA())</f>
        <v/>
      </c>
    </row>
    <row r="476">
      <c r="A476" t="n">
        <v>468</v>
      </c>
      <c r="B476" t="n">
        <v>5</v>
      </c>
      <c r="C476" t="n">
        <v>4</v>
      </c>
      <c r="D476" t="n">
        <v>1</v>
      </c>
      <c r="E476" t="n">
        <v>5</v>
      </c>
      <c r="F476" t="n">
        <v>3</v>
      </c>
      <c r="G476" t="n">
        <v>1</v>
      </c>
      <c r="H476" t="n">
        <v>2</v>
      </c>
      <c r="I476" t="n">
        <v>3</v>
      </c>
      <c r="J476" t="n">
        <v>2</v>
      </c>
      <c r="K476" t="n">
        <v>4</v>
      </c>
      <c r="L476" t="n">
        <v>4</v>
      </c>
      <c r="M476" t="n">
        <v>4</v>
      </c>
      <c r="N476" t="n">
        <v>3</v>
      </c>
      <c r="O476" t="n">
        <v>3</v>
      </c>
      <c r="P476" t="n">
        <v>1</v>
      </c>
      <c r="Q476" t="n">
        <v>4</v>
      </c>
      <c r="R476" t="n">
        <v>5</v>
      </c>
      <c r="S476" t="n">
        <v>5</v>
      </c>
      <c r="T476" t="n">
        <v>3</v>
      </c>
      <c r="U476" t="n">
        <v>1</v>
      </c>
      <c r="V476" t="n">
        <v>3</v>
      </c>
      <c r="W476">
        <f>(AVERAGE(B476:D476)-1)/4</f>
        <v/>
      </c>
      <c r="X476">
        <f>(AVERAGE(E476:G476)-1)/4</f>
        <v/>
      </c>
      <c r="Y476">
        <f>(AVERAGE(H476:J476)-1)/4</f>
        <v/>
      </c>
      <c r="Z476">
        <f>(AVERAGE(K476:M476)-1)/4</f>
        <v/>
      </c>
      <c r="AA476">
        <f>(AVERAGE(N476:P476)-1)/4</f>
        <v/>
      </c>
      <c r="AB476">
        <f>(AVERAGE(Q476:S476)-1)/4</f>
        <v/>
      </c>
      <c r="AC476">
        <f>(AVERAGE(T476:V476)-1)/4</f>
        <v/>
      </c>
      <c r="AD476">
        <f>AVERAGE(W476:AA476)</f>
        <v/>
      </c>
      <c r="AE476">
        <f>MIN(W476:AA476)</f>
        <v/>
      </c>
      <c r="AF476">
        <f>1-alpha*MAX(0,delta-AE476)</f>
        <v/>
      </c>
      <c r="AG476">
        <f>AD476*AF476</f>
        <v/>
      </c>
      <c r="AH476">
        <f>1+COUNTIF(bounds,"&lt;"&amp;ROUND(AD476,12))</f>
        <v/>
      </c>
      <c r="AI476">
        <f>1+COUNTIF(bounds,"&lt;"&amp;ROUND(AG476,12))</f>
        <v/>
      </c>
      <c r="AJ476">
        <f>IF(AF476&lt;1,1,0)</f>
        <v/>
      </c>
      <c r="AK476">
        <f>IF(AH476&lt;&gt;AI476,1,0)</f>
        <v/>
      </c>
      <c r="AL476">
        <f>IF(AND(AI476&gt;=3,AB476&lt;=0.2),1,0)</f>
        <v/>
      </c>
      <c r="AM476">
        <f>AVERAGE(W476:AB476)</f>
        <v/>
      </c>
      <c r="AN476">
        <f>1+COUNTIF(bounds,"&lt;"&amp;ROUND(AM476,12))</f>
        <v/>
      </c>
      <c r="AO476">
        <f>IF(AK476=1,AD476,NA())</f>
        <v/>
      </c>
      <c r="AP476">
        <f>IF(AK476=0,AD476,NA())</f>
        <v/>
      </c>
    </row>
    <row r="477">
      <c r="A477" t="n">
        <v>469</v>
      </c>
      <c r="B477" t="n">
        <v>3</v>
      </c>
      <c r="C477" t="n">
        <v>1</v>
      </c>
      <c r="D477" t="n">
        <v>2</v>
      </c>
      <c r="E477" t="n">
        <v>3</v>
      </c>
      <c r="F477" t="n">
        <v>4</v>
      </c>
      <c r="G477" t="n">
        <v>1</v>
      </c>
      <c r="H477" t="n">
        <v>4</v>
      </c>
      <c r="I477" t="n">
        <v>4</v>
      </c>
      <c r="J477" t="n">
        <v>5</v>
      </c>
      <c r="K477" t="n">
        <v>3</v>
      </c>
      <c r="L477" t="n">
        <v>4</v>
      </c>
      <c r="M477" t="n">
        <v>4</v>
      </c>
      <c r="N477" t="n">
        <v>5</v>
      </c>
      <c r="O477" t="n">
        <v>5</v>
      </c>
      <c r="P477" t="n">
        <v>2</v>
      </c>
      <c r="Q477" t="n">
        <v>5</v>
      </c>
      <c r="R477" t="n">
        <v>1</v>
      </c>
      <c r="S477" t="n">
        <v>2</v>
      </c>
      <c r="T477" t="n">
        <v>3</v>
      </c>
      <c r="U477" t="n">
        <v>3</v>
      </c>
      <c r="V477" t="n">
        <v>3</v>
      </c>
      <c r="W477">
        <f>(AVERAGE(B477:D477)-1)/4</f>
        <v/>
      </c>
      <c r="X477">
        <f>(AVERAGE(E477:G477)-1)/4</f>
        <v/>
      </c>
      <c r="Y477">
        <f>(AVERAGE(H477:J477)-1)/4</f>
        <v/>
      </c>
      <c r="Z477">
        <f>(AVERAGE(K477:M477)-1)/4</f>
        <v/>
      </c>
      <c r="AA477">
        <f>(AVERAGE(N477:P477)-1)/4</f>
        <v/>
      </c>
      <c r="AB477">
        <f>(AVERAGE(Q477:S477)-1)/4</f>
        <v/>
      </c>
      <c r="AC477">
        <f>(AVERAGE(T477:V477)-1)/4</f>
        <v/>
      </c>
      <c r="AD477">
        <f>AVERAGE(W477:AA477)</f>
        <v/>
      </c>
      <c r="AE477">
        <f>MIN(W477:AA477)</f>
        <v/>
      </c>
      <c r="AF477">
        <f>1-alpha*MAX(0,delta-AE477)</f>
        <v/>
      </c>
      <c r="AG477">
        <f>AD477*AF477</f>
        <v/>
      </c>
      <c r="AH477">
        <f>1+COUNTIF(bounds,"&lt;"&amp;ROUND(AD477,12))</f>
        <v/>
      </c>
      <c r="AI477">
        <f>1+COUNTIF(bounds,"&lt;"&amp;ROUND(AG477,12))</f>
        <v/>
      </c>
      <c r="AJ477">
        <f>IF(AF477&lt;1,1,0)</f>
        <v/>
      </c>
      <c r="AK477">
        <f>IF(AH477&lt;&gt;AI477,1,0)</f>
        <v/>
      </c>
      <c r="AL477">
        <f>IF(AND(AI477&gt;=3,AB477&lt;=0.2),1,0)</f>
        <v/>
      </c>
      <c r="AM477">
        <f>AVERAGE(W477:AB477)</f>
        <v/>
      </c>
      <c r="AN477">
        <f>1+COUNTIF(bounds,"&lt;"&amp;ROUND(AM477,12))</f>
        <v/>
      </c>
      <c r="AO477">
        <f>IF(AK477=1,AD477,NA())</f>
        <v/>
      </c>
      <c r="AP477">
        <f>IF(AK477=0,AD477,NA())</f>
        <v/>
      </c>
    </row>
    <row r="478">
      <c r="A478" t="n">
        <v>470</v>
      </c>
      <c r="B478" t="n">
        <v>2</v>
      </c>
      <c r="C478" t="n">
        <v>3</v>
      </c>
      <c r="D478" t="n">
        <v>2</v>
      </c>
      <c r="E478" t="n">
        <v>4</v>
      </c>
      <c r="F478" t="n">
        <v>1</v>
      </c>
      <c r="G478" t="n">
        <v>2</v>
      </c>
      <c r="H478" t="n">
        <v>1</v>
      </c>
      <c r="I478" t="n">
        <v>3</v>
      </c>
      <c r="J478" t="n">
        <v>5</v>
      </c>
      <c r="K478" t="n">
        <v>5</v>
      </c>
      <c r="L478" t="n">
        <v>3</v>
      </c>
      <c r="M478" t="n">
        <v>1</v>
      </c>
      <c r="N478" t="n">
        <v>4</v>
      </c>
      <c r="O478" t="n">
        <v>5</v>
      </c>
      <c r="P478" t="n">
        <v>2</v>
      </c>
      <c r="Q478" t="n">
        <v>4</v>
      </c>
      <c r="R478" t="n">
        <v>5</v>
      </c>
      <c r="S478" t="n">
        <v>3</v>
      </c>
      <c r="T478" t="n">
        <v>5</v>
      </c>
      <c r="U478" t="n">
        <v>4</v>
      </c>
      <c r="V478" t="n">
        <v>5</v>
      </c>
      <c r="W478">
        <f>(AVERAGE(B478:D478)-1)/4</f>
        <v/>
      </c>
      <c r="X478">
        <f>(AVERAGE(E478:G478)-1)/4</f>
        <v/>
      </c>
      <c r="Y478">
        <f>(AVERAGE(H478:J478)-1)/4</f>
        <v/>
      </c>
      <c r="Z478">
        <f>(AVERAGE(K478:M478)-1)/4</f>
        <v/>
      </c>
      <c r="AA478">
        <f>(AVERAGE(N478:P478)-1)/4</f>
        <v/>
      </c>
      <c r="AB478">
        <f>(AVERAGE(Q478:S478)-1)/4</f>
        <v/>
      </c>
      <c r="AC478">
        <f>(AVERAGE(T478:V478)-1)/4</f>
        <v/>
      </c>
      <c r="AD478">
        <f>AVERAGE(W478:AA478)</f>
        <v/>
      </c>
      <c r="AE478">
        <f>MIN(W478:AA478)</f>
        <v/>
      </c>
      <c r="AF478">
        <f>1-alpha*MAX(0,delta-AE478)</f>
        <v/>
      </c>
      <c r="AG478">
        <f>AD478*AF478</f>
        <v/>
      </c>
      <c r="AH478">
        <f>1+COUNTIF(bounds,"&lt;"&amp;ROUND(AD478,12))</f>
        <v/>
      </c>
      <c r="AI478">
        <f>1+COUNTIF(bounds,"&lt;"&amp;ROUND(AG478,12))</f>
        <v/>
      </c>
      <c r="AJ478">
        <f>IF(AF478&lt;1,1,0)</f>
        <v/>
      </c>
      <c r="AK478">
        <f>IF(AH478&lt;&gt;AI478,1,0)</f>
        <v/>
      </c>
      <c r="AL478">
        <f>IF(AND(AI478&gt;=3,AB478&lt;=0.2),1,0)</f>
        <v/>
      </c>
      <c r="AM478">
        <f>AVERAGE(W478:AB478)</f>
        <v/>
      </c>
      <c r="AN478">
        <f>1+COUNTIF(bounds,"&lt;"&amp;ROUND(AM478,12))</f>
        <v/>
      </c>
      <c r="AO478">
        <f>IF(AK478=1,AD478,NA())</f>
        <v/>
      </c>
      <c r="AP478">
        <f>IF(AK478=0,AD478,NA())</f>
        <v/>
      </c>
    </row>
    <row r="479">
      <c r="A479" t="n">
        <v>471</v>
      </c>
      <c r="B479" t="n">
        <v>2</v>
      </c>
      <c r="C479" t="n">
        <v>5</v>
      </c>
      <c r="D479" t="n">
        <v>1</v>
      </c>
      <c r="E479" t="n">
        <v>2</v>
      </c>
      <c r="F479" t="n">
        <v>5</v>
      </c>
      <c r="G479" t="n">
        <v>4</v>
      </c>
      <c r="H479" t="n">
        <v>4</v>
      </c>
      <c r="I479" t="n">
        <v>4</v>
      </c>
      <c r="J479" t="n">
        <v>3</v>
      </c>
      <c r="K479" t="n">
        <v>3</v>
      </c>
      <c r="L479" t="n">
        <v>1</v>
      </c>
      <c r="M479" t="n">
        <v>3</v>
      </c>
      <c r="N479" t="n">
        <v>5</v>
      </c>
      <c r="O479" t="n">
        <v>4</v>
      </c>
      <c r="P479" t="n">
        <v>4</v>
      </c>
      <c r="Q479" t="n">
        <v>3</v>
      </c>
      <c r="R479" t="n">
        <v>2</v>
      </c>
      <c r="S479" t="n">
        <v>4</v>
      </c>
      <c r="T479" t="n">
        <v>3</v>
      </c>
      <c r="U479" t="n">
        <v>2</v>
      </c>
      <c r="V479" t="n">
        <v>5</v>
      </c>
      <c r="W479">
        <f>(AVERAGE(B479:D479)-1)/4</f>
        <v/>
      </c>
      <c r="X479">
        <f>(AVERAGE(E479:G479)-1)/4</f>
        <v/>
      </c>
      <c r="Y479">
        <f>(AVERAGE(H479:J479)-1)/4</f>
        <v/>
      </c>
      <c r="Z479">
        <f>(AVERAGE(K479:M479)-1)/4</f>
        <v/>
      </c>
      <c r="AA479">
        <f>(AVERAGE(N479:P479)-1)/4</f>
        <v/>
      </c>
      <c r="AB479">
        <f>(AVERAGE(Q479:S479)-1)/4</f>
        <v/>
      </c>
      <c r="AC479">
        <f>(AVERAGE(T479:V479)-1)/4</f>
        <v/>
      </c>
      <c r="AD479">
        <f>AVERAGE(W479:AA479)</f>
        <v/>
      </c>
      <c r="AE479">
        <f>MIN(W479:AA479)</f>
        <v/>
      </c>
      <c r="AF479">
        <f>1-alpha*MAX(0,delta-AE479)</f>
        <v/>
      </c>
      <c r="AG479">
        <f>AD479*AF479</f>
        <v/>
      </c>
      <c r="AH479">
        <f>1+COUNTIF(bounds,"&lt;"&amp;ROUND(AD479,12))</f>
        <v/>
      </c>
      <c r="AI479">
        <f>1+COUNTIF(bounds,"&lt;"&amp;ROUND(AG479,12))</f>
        <v/>
      </c>
      <c r="AJ479">
        <f>IF(AF479&lt;1,1,0)</f>
        <v/>
      </c>
      <c r="AK479">
        <f>IF(AH479&lt;&gt;AI479,1,0)</f>
        <v/>
      </c>
      <c r="AL479">
        <f>IF(AND(AI479&gt;=3,AB479&lt;=0.2),1,0)</f>
        <v/>
      </c>
      <c r="AM479">
        <f>AVERAGE(W479:AB479)</f>
        <v/>
      </c>
      <c r="AN479">
        <f>1+COUNTIF(bounds,"&lt;"&amp;ROUND(AM479,12))</f>
        <v/>
      </c>
      <c r="AO479">
        <f>IF(AK479=1,AD479,NA())</f>
        <v/>
      </c>
      <c r="AP479">
        <f>IF(AK479=0,AD479,NA())</f>
        <v/>
      </c>
    </row>
    <row r="480">
      <c r="A480" t="n">
        <v>472</v>
      </c>
      <c r="B480" t="n">
        <v>3</v>
      </c>
      <c r="C480" t="n">
        <v>4</v>
      </c>
      <c r="D480" t="n">
        <v>1</v>
      </c>
      <c r="E480" t="n">
        <v>3</v>
      </c>
      <c r="F480" t="n">
        <v>4</v>
      </c>
      <c r="G480" t="n">
        <v>2</v>
      </c>
      <c r="H480" t="n">
        <v>3</v>
      </c>
      <c r="I480" t="n">
        <v>2</v>
      </c>
      <c r="J480" t="n">
        <v>4</v>
      </c>
      <c r="K480" t="n">
        <v>3</v>
      </c>
      <c r="L480" t="n">
        <v>1</v>
      </c>
      <c r="M480" t="n">
        <v>5</v>
      </c>
      <c r="N480" t="n">
        <v>2</v>
      </c>
      <c r="O480" t="n">
        <v>3</v>
      </c>
      <c r="P480" t="n">
        <v>3</v>
      </c>
      <c r="Q480" t="n">
        <v>2</v>
      </c>
      <c r="R480" t="n">
        <v>1</v>
      </c>
      <c r="S480" t="n">
        <v>4</v>
      </c>
      <c r="T480" t="n">
        <v>2</v>
      </c>
      <c r="U480" t="n">
        <v>5</v>
      </c>
      <c r="V480" t="n">
        <v>2</v>
      </c>
      <c r="W480">
        <f>(AVERAGE(B480:D480)-1)/4</f>
        <v/>
      </c>
      <c r="X480">
        <f>(AVERAGE(E480:G480)-1)/4</f>
        <v/>
      </c>
      <c r="Y480">
        <f>(AVERAGE(H480:J480)-1)/4</f>
        <v/>
      </c>
      <c r="Z480">
        <f>(AVERAGE(K480:M480)-1)/4</f>
        <v/>
      </c>
      <c r="AA480">
        <f>(AVERAGE(N480:P480)-1)/4</f>
        <v/>
      </c>
      <c r="AB480">
        <f>(AVERAGE(Q480:S480)-1)/4</f>
        <v/>
      </c>
      <c r="AC480">
        <f>(AVERAGE(T480:V480)-1)/4</f>
        <v/>
      </c>
      <c r="AD480">
        <f>AVERAGE(W480:AA480)</f>
        <v/>
      </c>
      <c r="AE480">
        <f>MIN(W480:AA480)</f>
        <v/>
      </c>
      <c r="AF480">
        <f>1-alpha*MAX(0,delta-AE480)</f>
        <v/>
      </c>
      <c r="AG480">
        <f>AD480*AF480</f>
        <v/>
      </c>
      <c r="AH480">
        <f>1+COUNTIF(bounds,"&lt;"&amp;ROUND(AD480,12))</f>
        <v/>
      </c>
      <c r="AI480">
        <f>1+COUNTIF(bounds,"&lt;"&amp;ROUND(AG480,12))</f>
        <v/>
      </c>
      <c r="AJ480">
        <f>IF(AF480&lt;1,1,0)</f>
        <v/>
      </c>
      <c r="AK480">
        <f>IF(AH480&lt;&gt;AI480,1,0)</f>
        <v/>
      </c>
      <c r="AL480">
        <f>IF(AND(AI480&gt;=3,AB480&lt;=0.2),1,0)</f>
        <v/>
      </c>
      <c r="AM480">
        <f>AVERAGE(W480:AB480)</f>
        <v/>
      </c>
      <c r="AN480">
        <f>1+COUNTIF(bounds,"&lt;"&amp;ROUND(AM480,12))</f>
        <v/>
      </c>
      <c r="AO480">
        <f>IF(AK480=1,AD480,NA())</f>
        <v/>
      </c>
      <c r="AP480">
        <f>IF(AK480=0,AD480,NA())</f>
        <v/>
      </c>
    </row>
    <row r="481">
      <c r="A481" t="n">
        <v>473</v>
      </c>
      <c r="B481" t="n">
        <v>3</v>
      </c>
      <c r="C481" t="n">
        <v>2</v>
      </c>
      <c r="D481" t="n">
        <v>5</v>
      </c>
      <c r="E481" t="n">
        <v>2</v>
      </c>
      <c r="F481" t="n">
        <v>3</v>
      </c>
      <c r="G481" t="n">
        <v>3</v>
      </c>
      <c r="H481" t="n">
        <v>3</v>
      </c>
      <c r="I481" t="n">
        <v>2</v>
      </c>
      <c r="J481" t="n">
        <v>5</v>
      </c>
      <c r="K481" t="n">
        <v>2</v>
      </c>
      <c r="L481" t="n">
        <v>1</v>
      </c>
      <c r="M481" t="n">
        <v>1</v>
      </c>
      <c r="N481" t="n">
        <v>1</v>
      </c>
      <c r="O481" t="n">
        <v>1</v>
      </c>
      <c r="P481" t="n">
        <v>3</v>
      </c>
      <c r="Q481" t="n">
        <v>3</v>
      </c>
      <c r="R481" t="n">
        <v>2</v>
      </c>
      <c r="S481" t="n">
        <v>3</v>
      </c>
      <c r="T481" t="n">
        <v>5</v>
      </c>
      <c r="U481" t="n">
        <v>4</v>
      </c>
      <c r="V481" t="n">
        <v>5</v>
      </c>
      <c r="W481">
        <f>(AVERAGE(B481:D481)-1)/4</f>
        <v/>
      </c>
      <c r="X481">
        <f>(AVERAGE(E481:G481)-1)/4</f>
        <v/>
      </c>
      <c r="Y481">
        <f>(AVERAGE(H481:J481)-1)/4</f>
        <v/>
      </c>
      <c r="Z481">
        <f>(AVERAGE(K481:M481)-1)/4</f>
        <v/>
      </c>
      <c r="AA481">
        <f>(AVERAGE(N481:P481)-1)/4</f>
        <v/>
      </c>
      <c r="AB481">
        <f>(AVERAGE(Q481:S481)-1)/4</f>
        <v/>
      </c>
      <c r="AC481">
        <f>(AVERAGE(T481:V481)-1)/4</f>
        <v/>
      </c>
      <c r="AD481">
        <f>AVERAGE(W481:AA481)</f>
        <v/>
      </c>
      <c r="AE481">
        <f>MIN(W481:AA481)</f>
        <v/>
      </c>
      <c r="AF481">
        <f>1-alpha*MAX(0,delta-AE481)</f>
        <v/>
      </c>
      <c r="AG481">
        <f>AD481*AF481</f>
        <v/>
      </c>
      <c r="AH481">
        <f>1+COUNTIF(bounds,"&lt;"&amp;ROUND(AD481,12))</f>
        <v/>
      </c>
      <c r="AI481">
        <f>1+COUNTIF(bounds,"&lt;"&amp;ROUND(AG481,12))</f>
        <v/>
      </c>
      <c r="AJ481">
        <f>IF(AF481&lt;1,1,0)</f>
        <v/>
      </c>
      <c r="AK481">
        <f>IF(AH481&lt;&gt;AI481,1,0)</f>
        <v/>
      </c>
      <c r="AL481">
        <f>IF(AND(AI481&gt;=3,AB481&lt;=0.2),1,0)</f>
        <v/>
      </c>
      <c r="AM481">
        <f>AVERAGE(W481:AB481)</f>
        <v/>
      </c>
      <c r="AN481">
        <f>1+COUNTIF(bounds,"&lt;"&amp;ROUND(AM481,12))</f>
        <v/>
      </c>
      <c r="AO481">
        <f>IF(AK481=1,AD481,NA())</f>
        <v/>
      </c>
      <c r="AP481">
        <f>IF(AK481=0,AD481,NA())</f>
        <v/>
      </c>
    </row>
    <row r="482">
      <c r="A482" t="n">
        <v>474</v>
      </c>
      <c r="B482" t="n">
        <v>1</v>
      </c>
      <c r="C482" t="n">
        <v>1</v>
      </c>
      <c r="D482" t="n">
        <v>3</v>
      </c>
      <c r="E482" t="n">
        <v>5</v>
      </c>
      <c r="F482" t="n">
        <v>2</v>
      </c>
      <c r="G482" t="n">
        <v>4</v>
      </c>
      <c r="H482" t="n">
        <v>2</v>
      </c>
      <c r="I482" t="n">
        <v>3</v>
      </c>
      <c r="J482" t="n">
        <v>5</v>
      </c>
      <c r="K482" t="n">
        <v>3</v>
      </c>
      <c r="L482" t="n">
        <v>1</v>
      </c>
      <c r="M482" t="n">
        <v>1</v>
      </c>
      <c r="N482" t="n">
        <v>1</v>
      </c>
      <c r="O482" t="n">
        <v>3</v>
      </c>
      <c r="P482" t="n">
        <v>3</v>
      </c>
      <c r="Q482" t="n">
        <v>2</v>
      </c>
      <c r="R482" t="n">
        <v>2</v>
      </c>
      <c r="S482" t="n">
        <v>3</v>
      </c>
      <c r="T482" t="n">
        <v>4</v>
      </c>
      <c r="U482" t="n">
        <v>5</v>
      </c>
      <c r="V482" t="n">
        <v>5</v>
      </c>
      <c r="W482">
        <f>(AVERAGE(B482:D482)-1)/4</f>
        <v/>
      </c>
      <c r="X482">
        <f>(AVERAGE(E482:G482)-1)/4</f>
        <v/>
      </c>
      <c r="Y482">
        <f>(AVERAGE(H482:J482)-1)/4</f>
        <v/>
      </c>
      <c r="Z482">
        <f>(AVERAGE(K482:M482)-1)/4</f>
        <v/>
      </c>
      <c r="AA482">
        <f>(AVERAGE(N482:P482)-1)/4</f>
        <v/>
      </c>
      <c r="AB482">
        <f>(AVERAGE(Q482:S482)-1)/4</f>
        <v/>
      </c>
      <c r="AC482">
        <f>(AVERAGE(T482:V482)-1)/4</f>
        <v/>
      </c>
      <c r="AD482">
        <f>AVERAGE(W482:AA482)</f>
        <v/>
      </c>
      <c r="AE482">
        <f>MIN(W482:AA482)</f>
        <v/>
      </c>
      <c r="AF482">
        <f>1-alpha*MAX(0,delta-AE482)</f>
        <v/>
      </c>
      <c r="AG482">
        <f>AD482*AF482</f>
        <v/>
      </c>
      <c r="AH482">
        <f>1+COUNTIF(bounds,"&lt;"&amp;ROUND(AD482,12))</f>
        <v/>
      </c>
      <c r="AI482">
        <f>1+COUNTIF(bounds,"&lt;"&amp;ROUND(AG482,12))</f>
        <v/>
      </c>
      <c r="AJ482">
        <f>IF(AF482&lt;1,1,0)</f>
        <v/>
      </c>
      <c r="AK482">
        <f>IF(AH482&lt;&gt;AI482,1,0)</f>
        <v/>
      </c>
      <c r="AL482">
        <f>IF(AND(AI482&gt;=3,AB482&lt;=0.2),1,0)</f>
        <v/>
      </c>
      <c r="AM482">
        <f>AVERAGE(W482:AB482)</f>
        <v/>
      </c>
      <c r="AN482">
        <f>1+COUNTIF(bounds,"&lt;"&amp;ROUND(AM482,12))</f>
        <v/>
      </c>
      <c r="AO482">
        <f>IF(AK482=1,AD482,NA())</f>
        <v/>
      </c>
      <c r="AP482">
        <f>IF(AK482=0,AD482,NA())</f>
        <v/>
      </c>
    </row>
    <row r="483">
      <c r="A483" t="n">
        <v>475</v>
      </c>
      <c r="B483" t="n">
        <v>4</v>
      </c>
      <c r="C483" t="n">
        <v>5</v>
      </c>
      <c r="D483" t="n">
        <v>3</v>
      </c>
      <c r="E483" t="n">
        <v>5</v>
      </c>
      <c r="F483" t="n">
        <v>1</v>
      </c>
      <c r="G483" t="n">
        <v>3</v>
      </c>
      <c r="H483" t="n">
        <v>1</v>
      </c>
      <c r="I483" t="n">
        <v>1</v>
      </c>
      <c r="J483" t="n">
        <v>4</v>
      </c>
      <c r="K483" t="n">
        <v>2</v>
      </c>
      <c r="L483" t="n">
        <v>4</v>
      </c>
      <c r="M483" t="n">
        <v>2</v>
      </c>
      <c r="N483" t="n">
        <v>5</v>
      </c>
      <c r="O483" t="n">
        <v>4</v>
      </c>
      <c r="P483" t="n">
        <v>1</v>
      </c>
      <c r="Q483" t="n">
        <v>2</v>
      </c>
      <c r="R483" t="n">
        <v>5</v>
      </c>
      <c r="S483" t="n">
        <v>3</v>
      </c>
      <c r="T483" t="n">
        <v>3</v>
      </c>
      <c r="U483" t="n">
        <v>1</v>
      </c>
      <c r="V483" t="n">
        <v>2</v>
      </c>
      <c r="W483">
        <f>(AVERAGE(B483:D483)-1)/4</f>
        <v/>
      </c>
      <c r="X483">
        <f>(AVERAGE(E483:G483)-1)/4</f>
        <v/>
      </c>
      <c r="Y483">
        <f>(AVERAGE(H483:J483)-1)/4</f>
        <v/>
      </c>
      <c r="Z483">
        <f>(AVERAGE(K483:M483)-1)/4</f>
        <v/>
      </c>
      <c r="AA483">
        <f>(AVERAGE(N483:P483)-1)/4</f>
        <v/>
      </c>
      <c r="AB483">
        <f>(AVERAGE(Q483:S483)-1)/4</f>
        <v/>
      </c>
      <c r="AC483">
        <f>(AVERAGE(T483:V483)-1)/4</f>
        <v/>
      </c>
      <c r="AD483">
        <f>AVERAGE(W483:AA483)</f>
        <v/>
      </c>
      <c r="AE483">
        <f>MIN(W483:AA483)</f>
        <v/>
      </c>
      <c r="AF483">
        <f>1-alpha*MAX(0,delta-AE483)</f>
        <v/>
      </c>
      <c r="AG483">
        <f>AD483*AF483</f>
        <v/>
      </c>
      <c r="AH483">
        <f>1+COUNTIF(bounds,"&lt;"&amp;ROUND(AD483,12))</f>
        <v/>
      </c>
      <c r="AI483">
        <f>1+COUNTIF(bounds,"&lt;"&amp;ROUND(AG483,12))</f>
        <v/>
      </c>
      <c r="AJ483">
        <f>IF(AF483&lt;1,1,0)</f>
        <v/>
      </c>
      <c r="AK483">
        <f>IF(AH483&lt;&gt;AI483,1,0)</f>
        <v/>
      </c>
      <c r="AL483">
        <f>IF(AND(AI483&gt;=3,AB483&lt;=0.2),1,0)</f>
        <v/>
      </c>
      <c r="AM483">
        <f>AVERAGE(W483:AB483)</f>
        <v/>
      </c>
      <c r="AN483">
        <f>1+COUNTIF(bounds,"&lt;"&amp;ROUND(AM483,12))</f>
        <v/>
      </c>
      <c r="AO483">
        <f>IF(AK483=1,AD483,NA())</f>
        <v/>
      </c>
      <c r="AP483">
        <f>IF(AK483=0,AD483,NA())</f>
        <v/>
      </c>
    </row>
    <row r="484">
      <c r="A484" t="n">
        <v>476</v>
      </c>
      <c r="B484" t="n">
        <v>5</v>
      </c>
      <c r="C484" t="n">
        <v>4</v>
      </c>
      <c r="D484" t="n">
        <v>5</v>
      </c>
      <c r="E484" t="n">
        <v>3</v>
      </c>
      <c r="F484" t="n">
        <v>4</v>
      </c>
      <c r="G484" t="n">
        <v>1</v>
      </c>
      <c r="H484" t="n">
        <v>5</v>
      </c>
      <c r="I484" t="n">
        <v>2</v>
      </c>
      <c r="J484" t="n">
        <v>2</v>
      </c>
      <c r="K484" t="n">
        <v>5</v>
      </c>
      <c r="L484" t="n">
        <v>3</v>
      </c>
      <c r="M484" t="n">
        <v>3</v>
      </c>
      <c r="N484" t="n">
        <v>5</v>
      </c>
      <c r="O484" t="n">
        <v>5</v>
      </c>
      <c r="P484" t="n">
        <v>3</v>
      </c>
      <c r="Q484" t="n">
        <v>3</v>
      </c>
      <c r="R484" t="n">
        <v>1</v>
      </c>
      <c r="S484" t="n">
        <v>2</v>
      </c>
      <c r="T484" t="n">
        <v>2</v>
      </c>
      <c r="U484" t="n">
        <v>2</v>
      </c>
      <c r="V484" t="n">
        <v>1</v>
      </c>
      <c r="W484">
        <f>(AVERAGE(B484:D484)-1)/4</f>
        <v/>
      </c>
      <c r="X484">
        <f>(AVERAGE(E484:G484)-1)/4</f>
        <v/>
      </c>
      <c r="Y484">
        <f>(AVERAGE(H484:J484)-1)/4</f>
        <v/>
      </c>
      <c r="Z484">
        <f>(AVERAGE(K484:M484)-1)/4</f>
        <v/>
      </c>
      <c r="AA484">
        <f>(AVERAGE(N484:P484)-1)/4</f>
        <v/>
      </c>
      <c r="AB484">
        <f>(AVERAGE(Q484:S484)-1)/4</f>
        <v/>
      </c>
      <c r="AC484">
        <f>(AVERAGE(T484:V484)-1)/4</f>
        <v/>
      </c>
      <c r="AD484">
        <f>AVERAGE(W484:AA484)</f>
        <v/>
      </c>
      <c r="AE484">
        <f>MIN(W484:AA484)</f>
        <v/>
      </c>
      <c r="AF484">
        <f>1-alpha*MAX(0,delta-AE484)</f>
        <v/>
      </c>
      <c r="AG484">
        <f>AD484*AF484</f>
        <v/>
      </c>
      <c r="AH484">
        <f>1+COUNTIF(bounds,"&lt;"&amp;ROUND(AD484,12))</f>
        <v/>
      </c>
      <c r="AI484">
        <f>1+COUNTIF(bounds,"&lt;"&amp;ROUND(AG484,12))</f>
        <v/>
      </c>
      <c r="AJ484">
        <f>IF(AF484&lt;1,1,0)</f>
        <v/>
      </c>
      <c r="AK484">
        <f>IF(AH484&lt;&gt;AI484,1,0)</f>
        <v/>
      </c>
      <c r="AL484">
        <f>IF(AND(AI484&gt;=3,AB484&lt;=0.2),1,0)</f>
        <v/>
      </c>
      <c r="AM484">
        <f>AVERAGE(W484:AB484)</f>
        <v/>
      </c>
      <c r="AN484">
        <f>1+COUNTIF(bounds,"&lt;"&amp;ROUND(AM484,12))</f>
        <v/>
      </c>
      <c r="AO484">
        <f>IF(AK484=1,AD484,NA())</f>
        <v/>
      </c>
      <c r="AP484">
        <f>IF(AK484=0,AD484,NA())</f>
        <v/>
      </c>
    </row>
    <row r="485">
      <c r="A485" t="n">
        <v>477</v>
      </c>
      <c r="B485" t="n">
        <v>5</v>
      </c>
      <c r="C485" t="n">
        <v>5</v>
      </c>
      <c r="D485" t="n">
        <v>1</v>
      </c>
      <c r="E485" t="n">
        <v>1</v>
      </c>
      <c r="F485" t="n">
        <v>1</v>
      </c>
      <c r="G485" t="n">
        <v>5</v>
      </c>
      <c r="H485" t="n">
        <v>3</v>
      </c>
      <c r="I485" t="n">
        <v>1</v>
      </c>
      <c r="J485" t="n">
        <v>1</v>
      </c>
      <c r="K485" t="n">
        <v>4</v>
      </c>
      <c r="L485" t="n">
        <v>3</v>
      </c>
      <c r="M485" t="n">
        <v>3</v>
      </c>
      <c r="N485" t="n">
        <v>1</v>
      </c>
      <c r="O485" t="n">
        <v>1</v>
      </c>
      <c r="P485" t="n">
        <v>3</v>
      </c>
      <c r="Q485" t="n">
        <v>3</v>
      </c>
      <c r="R485" t="n">
        <v>5</v>
      </c>
      <c r="S485" t="n">
        <v>3</v>
      </c>
      <c r="T485" t="n">
        <v>4</v>
      </c>
      <c r="U485" t="n">
        <v>5</v>
      </c>
      <c r="V485" t="n">
        <v>2</v>
      </c>
      <c r="W485">
        <f>(AVERAGE(B485:D485)-1)/4</f>
        <v/>
      </c>
      <c r="X485">
        <f>(AVERAGE(E485:G485)-1)/4</f>
        <v/>
      </c>
      <c r="Y485">
        <f>(AVERAGE(H485:J485)-1)/4</f>
        <v/>
      </c>
      <c r="Z485">
        <f>(AVERAGE(K485:M485)-1)/4</f>
        <v/>
      </c>
      <c r="AA485">
        <f>(AVERAGE(N485:P485)-1)/4</f>
        <v/>
      </c>
      <c r="AB485">
        <f>(AVERAGE(Q485:S485)-1)/4</f>
        <v/>
      </c>
      <c r="AC485">
        <f>(AVERAGE(T485:V485)-1)/4</f>
        <v/>
      </c>
      <c r="AD485">
        <f>AVERAGE(W485:AA485)</f>
        <v/>
      </c>
      <c r="AE485">
        <f>MIN(W485:AA485)</f>
        <v/>
      </c>
      <c r="AF485">
        <f>1-alpha*MAX(0,delta-AE485)</f>
        <v/>
      </c>
      <c r="AG485">
        <f>AD485*AF485</f>
        <v/>
      </c>
      <c r="AH485">
        <f>1+COUNTIF(bounds,"&lt;"&amp;ROUND(AD485,12))</f>
        <v/>
      </c>
      <c r="AI485">
        <f>1+COUNTIF(bounds,"&lt;"&amp;ROUND(AG485,12))</f>
        <v/>
      </c>
      <c r="AJ485">
        <f>IF(AF485&lt;1,1,0)</f>
        <v/>
      </c>
      <c r="AK485">
        <f>IF(AH485&lt;&gt;AI485,1,0)</f>
        <v/>
      </c>
      <c r="AL485">
        <f>IF(AND(AI485&gt;=3,AB485&lt;=0.2),1,0)</f>
        <v/>
      </c>
      <c r="AM485">
        <f>AVERAGE(W485:AB485)</f>
        <v/>
      </c>
      <c r="AN485">
        <f>1+COUNTIF(bounds,"&lt;"&amp;ROUND(AM485,12))</f>
        <v/>
      </c>
      <c r="AO485">
        <f>IF(AK485=1,AD485,NA())</f>
        <v/>
      </c>
      <c r="AP485">
        <f>IF(AK485=0,AD485,NA())</f>
        <v/>
      </c>
    </row>
    <row r="486">
      <c r="A486" t="n">
        <v>478</v>
      </c>
      <c r="B486" t="n">
        <v>5</v>
      </c>
      <c r="C486" t="n">
        <v>4</v>
      </c>
      <c r="D486" t="n">
        <v>1</v>
      </c>
      <c r="E486" t="n">
        <v>3</v>
      </c>
      <c r="F486" t="n">
        <v>1</v>
      </c>
      <c r="G486" t="n">
        <v>2</v>
      </c>
      <c r="H486" t="n">
        <v>4</v>
      </c>
      <c r="I486" t="n">
        <v>1</v>
      </c>
      <c r="J486" t="n">
        <v>4</v>
      </c>
      <c r="K486" t="n">
        <v>4</v>
      </c>
      <c r="L486" t="n">
        <v>3</v>
      </c>
      <c r="M486" t="n">
        <v>3</v>
      </c>
      <c r="N486" t="n">
        <v>5</v>
      </c>
      <c r="O486" t="n">
        <v>1</v>
      </c>
      <c r="P486" t="n">
        <v>2</v>
      </c>
      <c r="Q486" t="n">
        <v>1</v>
      </c>
      <c r="R486" t="n">
        <v>5</v>
      </c>
      <c r="S486" t="n">
        <v>1</v>
      </c>
      <c r="T486" t="n">
        <v>2</v>
      </c>
      <c r="U486" t="n">
        <v>4</v>
      </c>
      <c r="V486" t="n">
        <v>1</v>
      </c>
      <c r="W486">
        <f>(AVERAGE(B486:D486)-1)/4</f>
        <v/>
      </c>
      <c r="X486">
        <f>(AVERAGE(E486:G486)-1)/4</f>
        <v/>
      </c>
      <c r="Y486">
        <f>(AVERAGE(H486:J486)-1)/4</f>
        <v/>
      </c>
      <c r="Z486">
        <f>(AVERAGE(K486:M486)-1)/4</f>
        <v/>
      </c>
      <c r="AA486">
        <f>(AVERAGE(N486:P486)-1)/4</f>
        <v/>
      </c>
      <c r="AB486">
        <f>(AVERAGE(Q486:S486)-1)/4</f>
        <v/>
      </c>
      <c r="AC486">
        <f>(AVERAGE(T486:V486)-1)/4</f>
        <v/>
      </c>
      <c r="AD486">
        <f>AVERAGE(W486:AA486)</f>
        <v/>
      </c>
      <c r="AE486">
        <f>MIN(W486:AA486)</f>
        <v/>
      </c>
      <c r="AF486">
        <f>1-alpha*MAX(0,delta-AE486)</f>
        <v/>
      </c>
      <c r="AG486">
        <f>AD486*AF486</f>
        <v/>
      </c>
      <c r="AH486">
        <f>1+COUNTIF(bounds,"&lt;"&amp;ROUND(AD486,12))</f>
        <v/>
      </c>
      <c r="AI486">
        <f>1+COUNTIF(bounds,"&lt;"&amp;ROUND(AG486,12))</f>
        <v/>
      </c>
      <c r="AJ486">
        <f>IF(AF486&lt;1,1,0)</f>
        <v/>
      </c>
      <c r="AK486">
        <f>IF(AH486&lt;&gt;AI486,1,0)</f>
        <v/>
      </c>
      <c r="AL486">
        <f>IF(AND(AI486&gt;=3,AB486&lt;=0.2),1,0)</f>
        <v/>
      </c>
      <c r="AM486">
        <f>AVERAGE(W486:AB486)</f>
        <v/>
      </c>
      <c r="AN486">
        <f>1+COUNTIF(bounds,"&lt;"&amp;ROUND(AM486,12))</f>
        <v/>
      </c>
      <c r="AO486">
        <f>IF(AK486=1,AD486,NA())</f>
        <v/>
      </c>
      <c r="AP486">
        <f>IF(AK486=0,AD486,NA())</f>
        <v/>
      </c>
    </row>
    <row r="487">
      <c r="A487" t="n">
        <v>479</v>
      </c>
      <c r="B487" t="n">
        <v>1</v>
      </c>
      <c r="C487" t="n">
        <v>1</v>
      </c>
      <c r="D487" t="n">
        <v>3</v>
      </c>
      <c r="E487" t="n">
        <v>2</v>
      </c>
      <c r="F487" t="n">
        <v>5</v>
      </c>
      <c r="G487" t="n">
        <v>2</v>
      </c>
      <c r="H487" t="n">
        <v>5</v>
      </c>
      <c r="I487" t="n">
        <v>2</v>
      </c>
      <c r="J487" t="n">
        <v>3</v>
      </c>
      <c r="K487" t="n">
        <v>4</v>
      </c>
      <c r="L487" t="n">
        <v>5</v>
      </c>
      <c r="M487" t="n">
        <v>5</v>
      </c>
      <c r="N487" t="n">
        <v>4</v>
      </c>
      <c r="O487" t="n">
        <v>1</v>
      </c>
      <c r="P487" t="n">
        <v>4</v>
      </c>
      <c r="Q487" t="n">
        <v>4</v>
      </c>
      <c r="R487" t="n">
        <v>4</v>
      </c>
      <c r="S487" t="n">
        <v>2</v>
      </c>
      <c r="T487" t="n">
        <v>5</v>
      </c>
      <c r="U487" t="n">
        <v>4</v>
      </c>
      <c r="V487" t="n">
        <v>2</v>
      </c>
      <c r="W487">
        <f>(AVERAGE(B487:D487)-1)/4</f>
        <v/>
      </c>
      <c r="X487">
        <f>(AVERAGE(E487:G487)-1)/4</f>
        <v/>
      </c>
      <c r="Y487">
        <f>(AVERAGE(H487:J487)-1)/4</f>
        <v/>
      </c>
      <c r="Z487">
        <f>(AVERAGE(K487:M487)-1)/4</f>
        <v/>
      </c>
      <c r="AA487">
        <f>(AVERAGE(N487:P487)-1)/4</f>
        <v/>
      </c>
      <c r="AB487">
        <f>(AVERAGE(Q487:S487)-1)/4</f>
        <v/>
      </c>
      <c r="AC487">
        <f>(AVERAGE(T487:V487)-1)/4</f>
        <v/>
      </c>
      <c r="AD487">
        <f>AVERAGE(W487:AA487)</f>
        <v/>
      </c>
      <c r="AE487">
        <f>MIN(W487:AA487)</f>
        <v/>
      </c>
      <c r="AF487">
        <f>1-alpha*MAX(0,delta-AE487)</f>
        <v/>
      </c>
      <c r="AG487">
        <f>AD487*AF487</f>
        <v/>
      </c>
      <c r="AH487">
        <f>1+COUNTIF(bounds,"&lt;"&amp;ROUND(AD487,12))</f>
        <v/>
      </c>
      <c r="AI487">
        <f>1+COUNTIF(bounds,"&lt;"&amp;ROUND(AG487,12))</f>
        <v/>
      </c>
      <c r="AJ487">
        <f>IF(AF487&lt;1,1,0)</f>
        <v/>
      </c>
      <c r="AK487">
        <f>IF(AH487&lt;&gt;AI487,1,0)</f>
        <v/>
      </c>
      <c r="AL487">
        <f>IF(AND(AI487&gt;=3,AB487&lt;=0.2),1,0)</f>
        <v/>
      </c>
      <c r="AM487">
        <f>AVERAGE(W487:AB487)</f>
        <v/>
      </c>
      <c r="AN487">
        <f>1+COUNTIF(bounds,"&lt;"&amp;ROUND(AM487,12))</f>
        <v/>
      </c>
      <c r="AO487">
        <f>IF(AK487=1,AD487,NA())</f>
        <v/>
      </c>
      <c r="AP487">
        <f>IF(AK487=0,AD487,NA())</f>
        <v/>
      </c>
    </row>
    <row r="488">
      <c r="A488" t="n">
        <v>480</v>
      </c>
      <c r="B488" t="n">
        <v>1</v>
      </c>
      <c r="C488" t="n">
        <v>3</v>
      </c>
      <c r="D488" t="n">
        <v>1</v>
      </c>
      <c r="E488" t="n">
        <v>1</v>
      </c>
      <c r="F488" t="n">
        <v>4</v>
      </c>
      <c r="G488" t="n">
        <v>5</v>
      </c>
      <c r="H488" t="n">
        <v>2</v>
      </c>
      <c r="I488" t="n">
        <v>4</v>
      </c>
      <c r="J488" t="n">
        <v>5</v>
      </c>
      <c r="K488" t="n">
        <v>5</v>
      </c>
      <c r="L488" t="n">
        <v>1</v>
      </c>
      <c r="M488" t="n">
        <v>4</v>
      </c>
      <c r="N488" t="n">
        <v>5</v>
      </c>
      <c r="O488" t="n">
        <v>5</v>
      </c>
      <c r="P488" t="n">
        <v>3</v>
      </c>
      <c r="Q488" t="n">
        <v>2</v>
      </c>
      <c r="R488" t="n">
        <v>2</v>
      </c>
      <c r="S488" t="n">
        <v>1</v>
      </c>
      <c r="T488" t="n">
        <v>2</v>
      </c>
      <c r="U488" t="n">
        <v>3</v>
      </c>
      <c r="V488" t="n">
        <v>4</v>
      </c>
      <c r="W488">
        <f>(AVERAGE(B488:D488)-1)/4</f>
        <v/>
      </c>
      <c r="X488">
        <f>(AVERAGE(E488:G488)-1)/4</f>
        <v/>
      </c>
      <c r="Y488">
        <f>(AVERAGE(H488:J488)-1)/4</f>
        <v/>
      </c>
      <c r="Z488">
        <f>(AVERAGE(K488:M488)-1)/4</f>
        <v/>
      </c>
      <c r="AA488">
        <f>(AVERAGE(N488:P488)-1)/4</f>
        <v/>
      </c>
      <c r="AB488">
        <f>(AVERAGE(Q488:S488)-1)/4</f>
        <v/>
      </c>
      <c r="AC488">
        <f>(AVERAGE(T488:V488)-1)/4</f>
        <v/>
      </c>
      <c r="AD488">
        <f>AVERAGE(W488:AA488)</f>
        <v/>
      </c>
      <c r="AE488">
        <f>MIN(W488:AA488)</f>
        <v/>
      </c>
      <c r="AF488">
        <f>1-alpha*MAX(0,delta-AE488)</f>
        <v/>
      </c>
      <c r="AG488">
        <f>AD488*AF488</f>
        <v/>
      </c>
      <c r="AH488">
        <f>1+COUNTIF(bounds,"&lt;"&amp;ROUND(AD488,12))</f>
        <v/>
      </c>
      <c r="AI488">
        <f>1+COUNTIF(bounds,"&lt;"&amp;ROUND(AG488,12))</f>
        <v/>
      </c>
      <c r="AJ488">
        <f>IF(AF488&lt;1,1,0)</f>
        <v/>
      </c>
      <c r="AK488">
        <f>IF(AH488&lt;&gt;AI488,1,0)</f>
        <v/>
      </c>
      <c r="AL488">
        <f>IF(AND(AI488&gt;=3,AB488&lt;=0.2),1,0)</f>
        <v/>
      </c>
      <c r="AM488">
        <f>AVERAGE(W488:AB488)</f>
        <v/>
      </c>
      <c r="AN488">
        <f>1+COUNTIF(bounds,"&lt;"&amp;ROUND(AM488,12))</f>
        <v/>
      </c>
      <c r="AO488">
        <f>IF(AK488=1,AD488,NA())</f>
        <v/>
      </c>
      <c r="AP488">
        <f>IF(AK488=0,AD488,NA())</f>
        <v/>
      </c>
    </row>
    <row r="489">
      <c r="A489" t="n">
        <v>481</v>
      </c>
      <c r="B489" t="n">
        <v>1</v>
      </c>
      <c r="C489" t="n">
        <v>1</v>
      </c>
      <c r="D489" t="n">
        <v>1</v>
      </c>
      <c r="E489" t="n">
        <v>4</v>
      </c>
      <c r="F489" t="n">
        <v>3</v>
      </c>
      <c r="G489" t="n">
        <v>3</v>
      </c>
      <c r="H489" t="n">
        <v>3</v>
      </c>
      <c r="I489" t="n">
        <v>4</v>
      </c>
      <c r="J489" t="n">
        <v>3</v>
      </c>
      <c r="K489" t="n">
        <v>5</v>
      </c>
      <c r="L489" t="n">
        <v>5</v>
      </c>
      <c r="M489" t="n">
        <v>3</v>
      </c>
      <c r="N489" t="n">
        <v>1</v>
      </c>
      <c r="O489" t="n">
        <v>5</v>
      </c>
      <c r="P489" t="n">
        <v>1</v>
      </c>
      <c r="Q489" t="n">
        <v>5</v>
      </c>
      <c r="R489" t="n">
        <v>5</v>
      </c>
      <c r="S489" t="n">
        <v>1</v>
      </c>
      <c r="T489" t="n">
        <v>3</v>
      </c>
      <c r="U489" t="n">
        <v>3</v>
      </c>
      <c r="V489" t="n">
        <v>2</v>
      </c>
      <c r="W489">
        <f>(AVERAGE(B489:D489)-1)/4</f>
        <v/>
      </c>
      <c r="X489">
        <f>(AVERAGE(E489:G489)-1)/4</f>
        <v/>
      </c>
      <c r="Y489">
        <f>(AVERAGE(H489:J489)-1)/4</f>
        <v/>
      </c>
      <c r="Z489">
        <f>(AVERAGE(K489:M489)-1)/4</f>
        <v/>
      </c>
      <c r="AA489">
        <f>(AVERAGE(N489:P489)-1)/4</f>
        <v/>
      </c>
      <c r="AB489">
        <f>(AVERAGE(Q489:S489)-1)/4</f>
        <v/>
      </c>
      <c r="AC489">
        <f>(AVERAGE(T489:V489)-1)/4</f>
        <v/>
      </c>
      <c r="AD489">
        <f>AVERAGE(W489:AA489)</f>
        <v/>
      </c>
      <c r="AE489">
        <f>MIN(W489:AA489)</f>
        <v/>
      </c>
      <c r="AF489">
        <f>1-alpha*MAX(0,delta-AE489)</f>
        <v/>
      </c>
      <c r="AG489">
        <f>AD489*AF489</f>
        <v/>
      </c>
      <c r="AH489">
        <f>1+COUNTIF(bounds,"&lt;"&amp;ROUND(AD489,12))</f>
        <v/>
      </c>
      <c r="AI489">
        <f>1+COUNTIF(bounds,"&lt;"&amp;ROUND(AG489,12))</f>
        <v/>
      </c>
      <c r="AJ489">
        <f>IF(AF489&lt;1,1,0)</f>
        <v/>
      </c>
      <c r="AK489">
        <f>IF(AH489&lt;&gt;AI489,1,0)</f>
        <v/>
      </c>
      <c r="AL489">
        <f>IF(AND(AI489&gt;=3,AB489&lt;=0.2),1,0)</f>
        <v/>
      </c>
      <c r="AM489">
        <f>AVERAGE(W489:AB489)</f>
        <v/>
      </c>
      <c r="AN489">
        <f>1+COUNTIF(bounds,"&lt;"&amp;ROUND(AM489,12))</f>
        <v/>
      </c>
      <c r="AO489">
        <f>IF(AK489=1,AD489,NA())</f>
        <v/>
      </c>
      <c r="AP489">
        <f>IF(AK489=0,AD489,NA())</f>
        <v/>
      </c>
    </row>
    <row r="490">
      <c r="A490" t="n">
        <v>482</v>
      </c>
      <c r="B490" t="n">
        <v>5</v>
      </c>
      <c r="C490" t="n">
        <v>4</v>
      </c>
      <c r="D490" t="n">
        <v>4</v>
      </c>
      <c r="E490" t="n">
        <v>2</v>
      </c>
      <c r="F490" t="n">
        <v>1</v>
      </c>
      <c r="G490" t="n">
        <v>2</v>
      </c>
      <c r="H490" t="n">
        <v>4</v>
      </c>
      <c r="I490" t="n">
        <v>3</v>
      </c>
      <c r="J490" t="n">
        <v>4</v>
      </c>
      <c r="K490" t="n">
        <v>3</v>
      </c>
      <c r="L490" t="n">
        <v>4</v>
      </c>
      <c r="M490" t="n">
        <v>3</v>
      </c>
      <c r="N490" t="n">
        <v>4</v>
      </c>
      <c r="O490" t="n">
        <v>2</v>
      </c>
      <c r="P490" t="n">
        <v>5</v>
      </c>
      <c r="Q490" t="n">
        <v>3</v>
      </c>
      <c r="R490" t="n">
        <v>1</v>
      </c>
      <c r="S490" t="n">
        <v>4</v>
      </c>
      <c r="T490" t="n">
        <v>1</v>
      </c>
      <c r="U490" t="n">
        <v>1</v>
      </c>
      <c r="V490" t="n">
        <v>2</v>
      </c>
      <c r="W490">
        <f>(AVERAGE(B490:D490)-1)/4</f>
        <v/>
      </c>
      <c r="X490">
        <f>(AVERAGE(E490:G490)-1)/4</f>
        <v/>
      </c>
      <c r="Y490">
        <f>(AVERAGE(H490:J490)-1)/4</f>
        <v/>
      </c>
      <c r="Z490">
        <f>(AVERAGE(K490:M490)-1)/4</f>
        <v/>
      </c>
      <c r="AA490">
        <f>(AVERAGE(N490:P490)-1)/4</f>
        <v/>
      </c>
      <c r="AB490">
        <f>(AVERAGE(Q490:S490)-1)/4</f>
        <v/>
      </c>
      <c r="AC490">
        <f>(AVERAGE(T490:V490)-1)/4</f>
        <v/>
      </c>
      <c r="AD490">
        <f>AVERAGE(W490:AA490)</f>
        <v/>
      </c>
      <c r="AE490">
        <f>MIN(W490:AA490)</f>
        <v/>
      </c>
      <c r="AF490">
        <f>1-alpha*MAX(0,delta-AE490)</f>
        <v/>
      </c>
      <c r="AG490">
        <f>AD490*AF490</f>
        <v/>
      </c>
      <c r="AH490">
        <f>1+COUNTIF(bounds,"&lt;"&amp;ROUND(AD490,12))</f>
        <v/>
      </c>
      <c r="AI490">
        <f>1+COUNTIF(bounds,"&lt;"&amp;ROUND(AG490,12))</f>
        <v/>
      </c>
      <c r="AJ490">
        <f>IF(AF490&lt;1,1,0)</f>
        <v/>
      </c>
      <c r="AK490">
        <f>IF(AH490&lt;&gt;AI490,1,0)</f>
        <v/>
      </c>
      <c r="AL490">
        <f>IF(AND(AI490&gt;=3,AB490&lt;=0.2),1,0)</f>
        <v/>
      </c>
      <c r="AM490">
        <f>AVERAGE(W490:AB490)</f>
        <v/>
      </c>
      <c r="AN490">
        <f>1+COUNTIF(bounds,"&lt;"&amp;ROUND(AM490,12))</f>
        <v/>
      </c>
      <c r="AO490">
        <f>IF(AK490=1,AD490,NA())</f>
        <v/>
      </c>
      <c r="AP490">
        <f>IF(AK490=0,AD490,NA())</f>
        <v/>
      </c>
    </row>
    <row r="491">
      <c r="A491" t="n">
        <v>483</v>
      </c>
      <c r="B491" t="n">
        <v>5</v>
      </c>
      <c r="C491" t="n">
        <v>3</v>
      </c>
      <c r="D491" t="n">
        <v>5</v>
      </c>
      <c r="E491" t="n">
        <v>1</v>
      </c>
      <c r="F491" t="n">
        <v>5</v>
      </c>
      <c r="G491" t="n">
        <v>2</v>
      </c>
      <c r="H491" t="n">
        <v>4</v>
      </c>
      <c r="I491" t="n">
        <v>4</v>
      </c>
      <c r="J491" t="n">
        <v>5</v>
      </c>
      <c r="K491" t="n">
        <v>4</v>
      </c>
      <c r="L491" t="n">
        <v>1</v>
      </c>
      <c r="M491" t="n">
        <v>1</v>
      </c>
      <c r="N491" t="n">
        <v>5</v>
      </c>
      <c r="O491" t="n">
        <v>3</v>
      </c>
      <c r="P491" t="n">
        <v>2</v>
      </c>
      <c r="Q491" t="n">
        <v>4</v>
      </c>
      <c r="R491" t="n">
        <v>2</v>
      </c>
      <c r="S491" t="n">
        <v>3</v>
      </c>
      <c r="T491" t="n">
        <v>5</v>
      </c>
      <c r="U491" t="n">
        <v>5</v>
      </c>
      <c r="V491" t="n">
        <v>2</v>
      </c>
      <c r="W491">
        <f>(AVERAGE(B491:D491)-1)/4</f>
        <v/>
      </c>
      <c r="X491">
        <f>(AVERAGE(E491:G491)-1)/4</f>
        <v/>
      </c>
      <c r="Y491">
        <f>(AVERAGE(H491:J491)-1)/4</f>
        <v/>
      </c>
      <c r="Z491">
        <f>(AVERAGE(K491:M491)-1)/4</f>
        <v/>
      </c>
      <c r="AA491">
        <f>(AVERAGE(N491:P491)-1)/4</f>
        <v/>
      </c>
      <c r="AB491">
        <f>(AVERAGE(Q491:S491)-1)/4</f>
        <v/>
      </c>
      <c r="AC491">
        <f>(AVERAGE(T491:V491)-1)/4</f>
        <v/>
      </c>
      <c r="AD491">
        <f>AVERAGE(W491:AA491)</f>
        <v/>
      </c>
      <c r="AE491">
        <f>MIN(W491:AA491)</f>
        <v/>
      </c>
      <c r="AF491">
        <f>1-alpha*MAX(0,delta-AE491)</f>
        <v/>
      </c>
      <c r="AG491">
        <f>AD491*AF491</f>
        <v/>
      </c>
      <c r="AH491">
        <f>1+COUNTIF(bounds,"&lt;"&amp;ROUND(AD491,12))</f>
        <v/>
      </c>
      <c r="AI491">
        <f>1+COUNTIF(bounds,"&lt;"&amp;ROUND(AG491,12))</f>
        <v/>
      </c>
      <c r="AJ491">
        <f>IF(AF491&lt;1,1,0)</f>
        <v/>
      </c>
      <c r="AK491">
        <f>IF(AH491&lt;&gt;AI491,1,0)</f>
        <v/>
      </c>
      <c r="AL491">
        <f>IF(AND(AI491&gt;=3,AB491&lt;=0.2),1,0)</f>
        <v/>
      </c>
      <c r="AM491">
        <f>AVERAGE(W491:AB491)</f>
        <v/>
      </c>
      <c r="AN491">
        <f>1+COUNTIF(bounds,"&lt;"&amp;ROUND(AM491,12))</f>
        <v/>
      </c>
      <c r="AO491">
        <f>IF(AK491=1,AD491,NA())</f>
        <v/>
      </c>
      <c r="AP491">
        <f>IF(AK491=0,AD491,NA())</f>
        <v/>
      </c>
    </row>
    <row r="492">
      <c r="A492" t="n">
        <v>484</v>
      </c>
      <c r="B492" t="n">
        <v>4</v>
      </c>
      <c r="C492" t="n">
        <v>3</v>
      </c>
      <c r="D492" t="n">
        <v>4</v>
      </c>
      <c r="E492" t="n">
        <v>1</v>
      </c>
      <c r="F492" t="n">
        <v>2</v>
      </c>
      <c r="G492" t="n">
        <v>2</v>
      </c>
      <c r="H492" t="n">
        <v>2</v>
      </c>
      <c r="I492" t="n">
        <v>4</v>
      </c>
      <c r="J492" t="n">
        <v>1</v>
      </c>
      <c r="K492" t="n">
        <v>5</v>
      </c>
      <c r="L492" t="n">
        <v>2</v>
      </c>
      <c r="M492" t="n">
        <v>2</v>
      </c>
      <c r="N492" t="n">
        <v>2</v>
      </c>
      <c r="O492" t="n">
        <v>2</v>
      </c>
      <c r="P492" t="n">
        <v>3</v>
      </c>
      <c r="Q492" t="n">
        <v>5</v>
      </c>
      <c r="R492" t="n">
        <v>1</v>
      </c>
      <c r="S492" t="n">
        <v>2</v>
      </c>
      <c r="T492" t="n">
        <v>3</v>
      </c>
      <c r="U492" t="n">
        <v>3</v>
      </c>
      <c r="V492" t="n">
        <v>3</v>
      </c>
      <c r="W492">
        <f>(AVERAGE(B492:D492)-1)/4</f>
        <v/>
      </c>
      <c r="X492">
        <f>(AVERAGE(E492:G492)-1)/4</f>
        <v/>
      </c>
      <c r="Y492">
        <f>(AVERAGE(H492:J492)-1)/4</f>
        <v/>
      </c>
      <c r="Z492">
        <f>(AVERAGE(K492:M492)-1)/4</f>
        <v/>
      </c>
      <c r="AA492">
        <f>(AVERAGE(N492:P492)-1)/4</f>
        <v/>
      </c>
      <c r="AB492">
        <f>(AVERAGE(Q492:S492)-1)/4</f>
        <v/>
      </c>
      <c r="AC492">
        <f>(AVERAGE(T492:V492)-1)/4</f>
        <v/>
      </c>
      <c r="AD492">
        <f>AVERAGE(W492:AA492)</f>
        <v/>
      </c>
      <c r="AE492">
        <f>MIN(W492:AA492)</f>
        <v/>
      </c>
      <c r="AF492">
        <f>1-alpha*MAX(0,delta-AE492)</f>
        <v/>
      </c>
      <c r="AG492">
        <f>AD492*AF492</f>
        <v/>
      </c>
      <c r="AH492">
        <f>1+COUNTIF(bounds,"&lt;"&amp;ROUND(AD492,12))</f>
        <v/>
      </c>
      <c r="AI492">
        <f>1+COUNTIF(bounds,"&lt;"&amp;ROUND(AG492,12))</f>
        <v/>
      </c>
      <c r="AJ492">
        <f>IF(AF492&lt;1,1,0)</f>
        <v/>
      </c>
      <c r="AK492">
        <f>IF(AH492&lt;&gt;AI492,1,0)</f>
        <v/>
      </c>
      <c r="AL492">
        <f>IF(AND(AI492&gt;=3,AB492&lt;=0.2),1,0)</f>
        <v/>
      </c>
      <c r="AM492">
        <f>AVERAGE(W492:AB492)</f>
        <v/>
      </c>
      <c r="AN492">
        <f>1+COUNTIF(bounds,"&lt;"&amp;ROUND(AM492,12))</f>
        <v/>
      </c>
      <c r="AO492">
        <f>IF(AK492=1,AD492,NA())</f>
        <v/>
      </c>
      <c r="AP492">
        <f>IF(AK492=0,AD492,NA())</f>
        <v/>
      </c>
    </row>
    <row r="493">
      <c r="A493" t="n">
        <v>485</v>
      </c>
      <c r="B493" t="n">
        <v>3</v>
      </c>
      <c r="C493" t="n">
        <v>1</v>
      </c>
      <c r="D493" t="n">
        <v>1</v>
      </c>
      <c r="E493" t="n">
        <v>1</v>
      </c>
      <c r="F493" t="n">
        <v>5</v>
      </c>
      <c r="G493" t="n">
        <v>3</v>
      </c>
      <c r="H493" t="n">
        <v>2</v>
      </c>
      <c r="I493" t="n">
        <v>2</v>
      </c>
      <c r="J493" t="n">
        <v>3</v>
      </c>
      <c r="K493" t="n">
        <v>3</v>
      </c>
      <c r="L493" t="n">
        <v>4</v>
      </c>
      <c r="M493" t="n">
        <v>2</v>
      </c>
      <c r="N493" t="n">
        <v>4</v>
      </c>
      <c r="O493" t="n">
        <v>2</v>
      </c>
      <c r="P493" t="n">
        <v>4</v>
      </c>
      <c r="Q493" t="n">
        <v>3</v>
      </c>
      <c r="R493" t="n">
        <v>1</v>
      </c>
      <c r="S493" t="n">
        <v>2</v>
      </c>
      <c r="T493" t="n">
        <v>2</v>
      </c>
      <c r="U493" t="n">
        <v>1</v>
      </c>
      <c r="V493" t="n">
        <v>3</v>
      </c>
      <c r="W493">
        <f>(AVERAGE(B493:D493)-1)/4</f>
        <v/>
      </c>
      <c r="X493">
        <f>(AVERAGE(E493:G493)-1)/4</f>
        <v/>
      </c>
      <c r="Y493">
        <f>(AVERAGE(H493:J493)-1)/4</f>
        <v/>
      </c>
      <c r="Z493">
        <f>(AVERAGE(K493:M493)-1)/4</f>
        <v/>
      </c>
      <c r="AA493">
        <f>(AVERAGE(N493:P493)-1)/4</f>
        <v/>
      </c>
      <c r="AB493">
        <f>(AVERAGE(Q493:S493)-1)/4</f>
        <v/>
      </c>
      <c r="AC493">
        <f>(AVERAGE(T493:V493)-1)/4</f>
        <v/>
      </c>
      <c r="AD493">
        <f>AVERAGE(W493:AA493)</f>
        <v/>
      </c>
      <c r="AE493">
        <f>MIN(W493:AA493)</f>
        <v/>
      </c>
      <c r="AF493">
        <f>1-alpha*MAX(0,delta-AE493)</f>
        <v/>
      </c>
      <c r="AG493">
        <f>AD493*AF493</f>
        <v/>
      </c>
      <c r="AH493">
        <f>1+COUNTIF(bounds,"&lt;"&amp;ROUND(AD493,12))</f>
        <v/>
      </c>
      <c r="AI493">
        <f>1+COUNTIF(bounds,"&lt;"&amp;ROUND(AG493,12))</f>
        <v/>
      </c>
      <c r="AJ493">
        <f>IF(AF493&lt;1,1,0)</f>
        <v/>
      </c>
      <c r="AK493">
        <f>IF(AH493&lt;&gt;AI493,1,0)</f>
        <v/>
      </c>
      <c r="AL493">
        <f>IF(AND(AI493&gt;=3,AB493&lt;=0.2),1,0)</f>
        <v/>
      </c>
      <c r="AM493">
        <f>AVERAGE(W493:AB493)</f>
        <v/>
      </c>
      <c r="AN493">
        <f>1+COUNTIF(bounds,"&lt;"&amp;ROUND(AM493,12))</f>
        <v/>
      </c>
      <c r="AO493">
        <f>IF(AK493=1,AD493,NA())</f>
        <v/>
      </c>
      <c r="AP493">
        <f>IF(AK493=0,AD493,NA())</f>
        <v/>
      </c>
    </row>
    <row r="494">
      <c r="A494" t="n">
        <v>486</v>
      </c>
      <c r="B494" t="n">
        <v>5</v>
      </c>
      <c r="C494" t="n">
        <v>2</v>
      </c>
      <c r="D494" t="n">
        <v>5</v>
      </c>
      <c r="E494" t="n">
        <v>5</v>
      </c>
      <c r="F494" t="n">
        <v>4</v>
      </c>
      <c r="G494" t="n">
        <v>4</v>
      </c>
      <c r="H494" t="n">
        <v>1</v>
      </c>
      <c r="I494" t="n">
        <v>5</v>
      </c>
      <c r="J494" t="n">
        <v>5</v>
      </c>
      <c r="K494" t="n">
        <v>4</v>
      </c>
      <c r="L494" t="n">
        <v>5</v>
      </c>
      <c r="M494" t="n">
        <v>5</v>
      </c>
      <c r="N494" t="n">
        <v>5</v>
      </c>
      <c r="O494" t="n">
        <v>3</v>
      </c>
      <c r="P494" t="n">
        <v>3</v>
      </c>
      <c r="Q494" t="n">
        <v>4</v>
      </c>
      <c r="R494" t="n">
        <v>5</v>
      </c>
      <c r="S494" t="n">
        <v>2</v>
      </c>
      <c r="T494" t="n">
        <v>4</v>
      </c>
      <c r="U494" t="n">
        <v>1</v>
      </c>
      <c r="V494" t="n">
        <v>3</v>
      </c>
      <c r="W494">
        <f>(AVERAGE(B494:D494)-1)/4</f>
        <v/>
      </c>
      <c r="X494">
        <f>(AVERAGE(E494:G494)-1)/4</f>
        <v/>
      </c>
      <c r="Y494">
        <f>(AVERAGE(H494:J494)-1)/4</f>
        <v/>
      </c>
      <c r="Z494">
        <f>(AVERAGE(K494:M494)-1)/4</f>
        <v/>
      </c>
      <c r="AA494">
        <f>(AVERAGE(N494:P494)-1)/4</f>
        <v/>
      </c>
      <c r="AB494">
        <f>(AVERAGE(Q494:S494)-1)/4</f>
        <v/>
      </c>
      <c r="AC494">
        <f>(AVERAGE(T494:V494)-1)/4</f>
        <v/>
      </c>
      <c r="AD494">
        <f>AVERAGE(W494:AA494)</f>
        <v/>
      </c>
      <c r="AE494">
        <f>MIN(W494:AA494)</f>
        <v/>
      </c>
      <c r="AF494">
        <f>1-alpha*MAX(0,delta-AE494)</f>
        <v/>
      </c>
      <c r="AG494">
        <f>AD494*AF494</f>
        <v/>
      </c>
      <c r="AH494">
        <f>1+COUNTIF(bounds,"&lt;"&amp;ROUND(AD494,12))</f>
        <v/>
      </c>
      <c r="AI494">
        <f>1+COUNTIF(bounds,"&lt;"&amp;ROUND(AG494,12))</f>
        <v/>
      </c>
      <c r="AJ494">
        <f>IF(AF494&lt;1,1,0)</f>
        <v/>
      </c>
      <c r="AK494">
        <f>IF(AH494&lt;&gt;AI494,1,0)</f>
        <v/>
      </c>
      <c r="AL494">
        <f>IF(AND(AI494&gt;=3,AB494&lt;=0.2),1,0)</f>
        <v/>
      </c>
      <c r="AM494">
        <f>AVERAGE(W494:AB494)</f>
        <v/>
      </c>
      <c r="AN494">
        <f>1+COUNTIF(bounds,"&lt;"&amp;ROUND(AM494,12))</f>
        <v/>
      </c>
      <c r="AO494">
        <f>IF(AK494=1,AD494,NA())</f>
        <v/>
      </c>
      <c r="AP494">
        <f>IF(AK494=0,AD494,NA())</f>
        <v/>
      </c>
    </row>
    <row r="495">
      <c r="A495" t="n">
        <v>487</v>
      </c>
      <c r="B495" t="n">
        <v>3</v>
      </c>
      <c r="C495" t="n">
        <v>1</v>
      </c>
      <c r="D495" t="n">
        <v>3</v>
      </c>
      <c r="E495" t="n">
        <v>3</v>
      </c>
      <c r="F495" t="n">
        <v>1</v>
      </c>
      <c r="G495" t="n">
        <v>3</v>
      </c>
      <c r="H495" t="n">
        <v>5</v>
      </c>
      <c r="I495" t="n">
        <v>2</v>
      </c>
      <c r="J495" t="n">
        <v>3</v>
      </c>
      <c r="K495" t="n">
        <v>5</v>
      </c>
      <c r="L495" t="n">
        <v>1</v>
      </c>
      <c r="M495" t="n">
        <v>5</v>
      </c>
      <c r="N495" t="n">
        <v>3</v>
      </c>
      <c r="O495" t="n">
        <v>4</v>
      </c>
      <c r="P495" t="n">
        <v>5</v>
      </c>
      <c r="Q495" t="n">
        <v>5</v>
      </c>
      <c r="R495" t="n">
        <v>4</v>
      </c>
      <c r="S495" t="n">
        <v>1</v>
      </c>
      <c r="T495" t="n">
        <v>4</v>
      </c>
      <c r="U495" t="n">
        <v>5</v>
      </c>
      <c r="V495" t="n">
        <v>1</v>
      </c>
      <c r="W495">
        <f>(AVERAGE(B495:D495)-1)/4</f>
        <v/>
      </c>
      <c r="X495">
        <f>(AVERAGE(E495:G495)-1)/4</f>
        <v/>
      </c>
      <c r="Y495">
        <f>(AVERAGE(H495:J495)-1)/4</f>
        <v/>
      </c>
      <c r="Z495">
        <f>(AVERAGE(K495:M495)-1)/4</f>
        <v/>
      </c>
      <c r="AA495">
        <f>(AVERAGE(N495:P495)-1)/4</f>
        <v/>
      </c>
      <c r="AB495">
        <f>(AVERAGE(Q495:S495)-1)/4</f>
        <v/>
      </c>
      <c r="AC495">
        <f>(AVERAGE(T495:V495)-1)/4</f>
        <v/>
      </c>
      <c r="AD495">
        <f>AVERAGE(W495:AA495)</f>
        <v/>
      </c>
      <c r="AE495">
        <f>MIN(W495:AA495)</f>
        <v/>
      </c>
      <c r="AF495">
        <f>1-alpha*MAX(0,delta-AE495)</f>
        <v/>
      </c>
      <c r="AG495">
        <f>AD495*AF495</f>
        <v/>
      </c>
      <c r="AH495">
        <f>1+COUNTIF(bounds,"&lt;"&amp;ROUND(AD495,12))</f>
        <v/>
      </c>
      <c r="AI495">
        <f>1+COUNTIF(bounds,"&lt;"&amp;ROUND(AG495,12))</f>
        <v/>
      </c>
      <c r="AJ495">
        <f>IF(AF495&lt;1,1,0)</f>
        <v/>
      </c>
      <c r="AK495">
        <f>IF(AH495&lt;&gt;AI495,1,0)</f>
        <v/>
      </c>
      <c r="AL495">
        <f>IF(AND(AI495&gt;=3,AB495&lt;=0.2),1,0)</f>
        <v/>
      </c>
      <c r="AM495">
        <f>AVERAGE(W495:AB495)</f>
        <v/>
      </c>
      <c r="AN495">
        <f>1+COUNTIF(bounds,"&lt;"&amp;ROUND(AM495,12))</f>
        <v/>
      </c>
      <c r="AO495">
        <f>IF(AK495=1,AD495,NA())</f>
        <v/>
      </c>
      <c r="AP495">
        <f>IF(AK495=0,AD495,NA())</f>
        <v/>
      </c>
    </row>
    <row r="496">
      <c r="A496" t="n">
        <v>488</v>
      </c>
      <c r="B496" t="n">
        <v>1</v>
      </c>
      <c r="C496" t="n">
        <v>4</v>
      </c>
      <c r="D496" t="n">
        <v>2</v>
      </c>
      <c r="E496" t="n">
        <v>5</v>
      </c>
      <c r="F496" t="n">
        <v>4</v>
      </c>
      <c r="G496" t="n">
        <v>5</v>
      </c>
      <c r="H496" t="n">
        <v>4</v>
      </c>
      <c r="I496" t="n">
        <v>1</v>
      </c>
      <c r="J496" t="n">
        <v>3</v>
      </c>
      <c r="K496" t="n">
        <v>5</v>
      </c>
      <c r="L496" t="n">
        <v>3</v>
      </c>
      <c r="M496" t="n">
        <v>3</v>
      </c>
      <c r="N496" t="n">
        <v>2</v>
      </c>
      <c r="O496" t="n">
        <v>1</v>
      </c>
      <c r="P496" t="n">
        <v>2</v>
      </c>
      <c r="Q496" t="n">
        <v>2</v>
      </c>
      <c r="R496" t="n">
        <v>4</v>
      </c>
      <c r="S496" t="n">
        <v>5</v>
      </c>
      <c r="T496" t="n">
        <v>1</v>
      </c>
      <c r="U496" t="n">
        <v>4</v>
      </c>
      <c r="V496" t="n">
        <v>2</v>
      </c>
      <c r="W496">
        <f>(AVERAGE(B496:D496)-1)/4</f>
        <v/>
      </c>
      <c r="X496">
        <f>(AVERAGE(E496:G496)-1)/4</f>
        <v/>
      </c>
      <c r="Y496">
        <f>(AVERAGE(H496:J496)-1)/4</f>
        <v/>
      </c>
      <c r="Z496">
        <f>(AVERAGE(K496:M496)-1)/4</f>
        <v/>
      </c>
      <c r="AA496">
        <f>(AVERAGE(N496:P496)-1)/4</f>
        <v/>
      </c>
      <c r="AB496">
        <f>(AVERAGE(Q496:S496)-1)/4</f>
        <v/>
      </c>
      <c r="AC496">
        <f>(AVERAGE(T496:V496)-1)/4</f>
        <v/>
      </c>
      <c r="AD496">
        <f>AVERAGE(W496:AA496)</f>
        <v/>
      </c>
      <c r="AE496">
        <f>MIN(W496:AA496)</f>
        <v/>
      </c>
      <c r="AF496">
        <f>1-alpha*MAX(0,delta-AE496)</f>
        <v/>
      </c>
      <c r="AG496">
        <f>AD496*AF496</f>
        <v/>
      </c>
      <c r="AH496">
        <f>1+COUNTIF(bounds,"&lt;"&amp;ROUND(AD496,12))</f>
        <v/>
      </c>
      <c r="AI496">
        <f>1+COUNTIF(bounds,"&lt;"&amp;ROUND(AG496,12))</f>
        <v/>
      </c>
      <c r="AJ496">
        <f>IF(AF496&lt;1,1,0)</f>
        <v/>
      </c>
      <c r="AK496">
        <f>IF(AH496&lt;&gt;AI496,1,0)</f>
        <v/>
      </c>
      <c r="AL496">
        <f>IF(AND(AI496&gt;=3,AB496&lt;=0.2),1,0)</f>
        <v/>
      </c>
      <c r="AM496">
        <f>AVERAGE(W496:AB496)</f>
        <v/>
      </c>
      <c r="AN496">
        <f>1+COUNTIF(bounds,"&lt;"&amp;ROUND(AM496,12))</f>
        <v/>
      </c>
      <c r="AO496">
        <f>IF(AK496=1,AD496,NA())</f>
        <v/>
      </c>
      <c r="AP496">
        <f>IF(AK496=0,AD496,NA())</f>
        <v/>
      </c>
    </row>
    <row r="497">
      <c r="A497" t="n">
        <v>489</v>
      </c>
      <c r="B497" t="n">
        <v>4</v>
      </c>
      <c r="C497" t="n">
        <v>1</v>
      </c>
      <c r="D497" t="n">
        <v>1</v>
      </c>
      <c r="E497" t="n">
        <v>2</v>
      </c>
      <c r="F497" t="n">
        <v>2</v>
      </c>
      <c r="G497" t="n">
        <v>5</v>
      </c>
      <c r="H497" t="n">
        <v>4</v>
      </c>
      <c r="I497" t="n">
        <v>2</v>
      </c>
      <c r="J497" t="n">
        <v>1</v>
      </c>
      <c r="K497" t="n">
        <v>4</v>
      </c>
      <c r="L497" t="n">
        <v>3</v>
      </c>
      <c r="M497" t="n">
        <v>2</v>
      </c>
      <c r="N497" t="n">
        <v>3</v>
      </c>
      <c r="O497" t="n">
        <v>1</v>
      </c>
      <c r="P497" t="n">
        <v>5</v>
      </c>
      <c r="Q497" t="n">
        <v>5</v>
      </c>
      <c r="R497" t="n">
        <v>4</v>
      </c>
      <c r="S497" t="n">
        <v>4</v>
      </c>
      <c r="T497" t="n">
        <v>2</v>
      </c>
      <c r="U497" t="n">
        <v>5</v>
      </c>
      <c r="V497" t="n">
        <v>4</v>
      </c>
      <c r="W497">
        <f>(AVERAGE(B497:D497)-1)/4</f>
        <v/>
      </c>
      <c r="X497">
        <f>(AVERAGE(E497:G497)-1)/4</f>
        <v/>
      </c>
      <c r="Y497">
        <f>(AVERAGE(H497:J497)-1)/4</f>
        <v/>
      </c>
      <c r="Z497">
        <f>(AVERAGE(K497:M497)-1)/4</f>
        <v/>
      </c>
      <c r="AA497">
        <f>(AVERAGE(N497:P497)-1)/4</f>
        <v/>
      </c>
      <c r="AB497">
        <f>(AVERAGE(Q497:S497)-1)/4</f>
        <v/>
      </c>
      <c r="AC497">
        <f>(AVERAGE(T497:V497)-1)/4</f>
        <v/>
      </c>
      <c r="AD497">
        <f>AVERAGE(W497:AA497)</f>
        <v/>
      </c>
      <c r="AE497">
        <f>MIN(W497:AA497)</f>
        <v/>
      </c>
      <c r="AF497">
        <f>1-alpha*MAX(0,delta-AE497)</f>
        <v/>
      </c>
      <c r="AG497">
        <f>AD497*AF497</f>
        <v/>
      </c>
      <c r="AH497">
        <f>1+COUNTIF(bounds,"&lt;"&amp;ROUND(AD497,12))</f>
        <v/>
      </c>
      <c r="AI497">
        <f>1+COUNTIF(bounds,"&lt;"&amp;ROUND(AG497,12))</f>
        <v/>
      </c>
      <c r="AJ497">
        <f>IF(AF497&lt;1,1,0)</f>
        <v/>
      </c>
      <c r="AK497">
        <f>IF(AH497&lt;&gt;AI497,1,0)</f>
        <v/>
      </c>
      <c r="AL497">
        <f>IF(AND(AI497&gt;=3,AB497&lt;=0.2),1,0)</f>
        <v/>
      </c>
      <c r="AM497">
        <f>AVERAGE(W497:AB497)</f>
        <v/>
      </c>
      <c r="AN497">
        <f>1+COUNTIF(bounds,"&lt;"&amp;ROUND(AM497,12))</f>
        <v/>
      </c>
      <c r="AO497">
        <f>IF(AK497=1,AD497,NA())</f>
        <v/>
      </c>
      <c r="AP497">
        <f>IF(AK497=0,AD497,NA())</f>
        <v/>
      </c>
    </row>
    <row r="498">
      <c r="A498" t="n">
        <v>490</v>
      </c>
      <c r="B498" t="n">
        <v>1</v>
      </c>
      <c r="C498" t="n">
        <v>5</v>
      </c>
      <c r="D498" t="n">
        <v>2</v>
      </c>
      <c r="E498" t="n">
        <v>2</v>
      </c>
      <c r="F498" t="n">
        <v>3</v>
      </c>
      <c r="G498" t="n">
        <v>3</v>
      </c>
      <c r="H498" t="n">
        <v>5</v>
      </c>
      <c r="I498" t="n">
        <v>5</v>
      </c>
      <c r="J498" t="n">
        <v>4</v>
      </c>
      <c r="K498" t="n">
        <v>2</v>
      </c>
      <c r="L498" t="n">
        <v>5</v>
      </c>
      <c r="M498" t="n">
        <v>5</v>
      </c>
      <c r="N498" t="n">
        <v>5</v>
      </c>
      <c r="O498" t="n">
        <v>5</v>
      </c>
      <c r="P498" t="n">
        <v>4</v>
      </c>
      <c r="Q498" t="n">
        <v>5</v>
      </c>
      <c r="R498" t="n">
        <v>3</v>
      </c>
      <c r="S498" t="n">
        <v>5</v>
      </c>
      <c r="T498" t="n">
        <v>3</v>
      </c>
      <c r="U498" t="n">
        <v>4</v>
      </c>
      <c r="V498" t="n">
        <v>1</v>
      </c>
      <c r="W498">
        <f>(AVERAGE(B498:D498)-1)/4</f>
        <v/>
      </c>
      <c r="X498">
        <f>(AVERAGE(E498:G498)-1)/4</f>
        <v/>
      </c>
      <c r="Y498">
        <f>(AVERAGE(H498:J498)-1)/4</f>
        <v/>
      </c>
      <c r="Z498">
        <f>(AVERAGE(K498:M498)-1)/4</f>
        <v/>
      </c>
      <c r="AA498">
        <f>(AVERAGE(N498:P498)-1)/4</f>
        <v/>
      </c>
      <c r="AB498">
        <f>(AVERAGE(Q498:S498)-1)/4</f>
        <v/>
      </c>
      <c r="AC498">
        <f>(AVERAGE(T498:V498)-1)/4</f>
        <v/>
      </c>
      <c r="AD498">
        <f>AVERAGE(W498:AA498)</f>
        <v/>
      </c>
      <c r="AE498">
        <f>MIN(W498:AA498)</f>
        <v/>
      </c>
      <c r="AF498">
        <f>1-alpha*MAX(0,delta-AE498)</f>
        <v/>
      </c>
      <c r="AG498">
        <f>AD498*AF498</f>
        <v/>
      </c>
      <c r="AH498">
        <f>1+COUNTIF(bounds,"&lt;"&amp;ROUND(AD498,12))</f>
        <v/>
      </c>
      <c r="AI498">
        <f>1+COUNTIF(bounds,"&lt;"&amp;ROUND(AG498,12))</f>
        <v/>
      </c>
      <c r="AJ498">
        <f>IF(AF498&lt;1,1,0)</f>
        <v/>
      </c>
      <c r="AK498">
        <f>IF(AH498&lt;&gt;AI498,1,0)</f>
        <v/>
      </c>
      <c r="AL498">
        <f>IF(AND(AI498&gt;=3,AB498&lt;=0.2),1,0)</f>
        <v/>
      </c>
      <c r="AM498">
        <f>AVERAGE(W498:AB498)</f>
        <v/>
      </c>
      <c r="AN498">
        <f>1+COUNTIF(bounds,"&lt;"&amp;ROUND(AM498,12))</f>
        <v/>
      </c>
      <c r="AO498">
        <f>IF(AK498=1,AD498,NA())</f>
        <v/>
      </c>
      <c r="AP498">
        <f>IF(AK498=0,AD498,NA())</f>
        <v/>
      </c>
    </row>
    <row r="499">
      <c r="A499" t="n">
        <v>491</v>
      </c>
      <c r="B499" t="n">
        <v>3</v>
      </c>
      <c r="C499" t="n">
        <v>2</v>
      </c>
      <c r="D499" t="n">
        <v>2</v>
      </c>
      <c r="E499" t="n">
        <v>4</v>
      </c>
      <c r="F499" t="n">
        <v>1</v>
      </c>
      <c r="G499" t="n">
        <v>1</v>
      </c>
      <c r="H499" t="n">
        <v>1</v>
      </c>
      <c r="I499" t="n">
        <v>1</v>
      </c>
      <c r="J499" t="n">
        <v>3</v>
      </c>
      <c r="K499" t="n">
        <v>1</v>
      </c>
      <c r="L499" t="n">
        <v>5</v>
      </c>
      <c r="M499" t="n">
        <v>4</v>
      </c>
      <c r="N499" t="n">
        <v>3</v>
      </c>
      <c r="O499" t="n">
        <v>5</v>
      </c>
      <c r="P499" t="n">
        <v>3</v>
      </c>
      <c r="Q499" t="n">
        <v>4</v>
      </c>
      <c r="R499" t="n">
        <v>3</v>
      </c>
      <c r="S499" t="n">
        <v>4</v>
      </c>
      <c r="T499" t="n">
        <v>5</v>
      </c>
      <c r="U499" t="n">
        <v>3</v>
      </c>
      <c r="V499" t="n">
        <v>2</v>
      </c>
      <c r="W499">
        <f>(AVERAGE(B499:D499)-1)/4</f>
        <v/>
      </c>
      <c r="X499">
        <f>(AVERAGE(E499:G499)-1)/4</f>
        <v/>
      </c>
      <c r="Y499">
        <f>(AVERAGE(H499:J499)-1)/4</f>
        <v/>
      </c>
      <c r="Z499">
        <f>(AVERAGE(K499:M499)-1)/4</f>
        <v/>
      </c>
      <c r="AA499">
        <f>(AVERAGE(N499:P499)-1)/4</f>
        <v/>
      </c>
      <c r="AB499">
        <f>(AVERAGE(Q499:S499)-1)/4</f>
        <v/>
      </c>
      <c r="AC499">
        <f>(AVERAGE(T499:V499)-1)/4</f>
        <v/>
      </c>
      <c r="AD499">
        <f>AVERAGE(W499:AA499)</f>
        <v/>
      </c>
      <c r="AE499">
        <f>MIN(W499:AA499)</f>
        <v/>
      </c>
      <c r="AF499">
        <f>1-alpha*MAX(0,delta-AE499)</f>
        <v/>
      </c>
      <c r="AG499">
        <f>AD499*AF499</f>
        <v/>
      </c>
      <c r="AH499">
        <f>1+COUNTIF(bounds,"&lt;"&amp;ROUND(AD499,12))</f>
        <v/>
      </c>
      <c r="AI499">
        <f>1+COUNTIF(bounds,"&lt;"&amp;ROUND(AG499,12))</f>
        <v/>
      </c>
      <c r="AJ499">
        <f>IF(AF499&lt;1,1,0)</f>
        <v/>
      </c>
      <c r="AK499">
        <f>IF(AH499&lt;&gt;AI499,1,0)</f>
        <v/>
      </c>
      <c r="AL499">
        <f>IF(AND(AI499&gt;=3,AB499&lt;=0.2),1,0)</f>
        <v/>
      </c>
      <c r="AM499">
        <f>AVERAGE(W499:AB499)</f>
        <v/>
      </c>
      <c r="AN499">
        <f>1+COUNTIF(bounds,"&lt;"&amp;ROUND(AM499,12))</f>
        <v/>
      </c>
      <c r="AO499">
        <f>IF(AK499=1,AD499,NA())</f>
        <v/>
      </c>
      <c r="AP499">
        <f>IF(AK499=0,AD499,NA())</f>
        <v/>
      </c>
    </row>
    <row r="500">
      <c r="A500" t="n">
        <v>492</v>
      </c>
      <c r="B500" t="n">
        <v>1</v>
      </c>
      <c r="C500" t="n">
        <v>3</v>
      </c>
      <c r="D500" t="n">
        <v>3</v>
      </c>
      <c r="E500" t="n">
        <v>4</v>
      </c>
      <c r="F500" t="n">
        <v>3</v>
      </c>
      <c r="G500" t="n">
        <v>5</v>
      </c>
      <c r="H500" t="n">
        <v>5</v>
      </c>
      <c r="I500" t="n">
        <v>1</v>
      </c>
      <c r="J500" t="n">
        <v>1</v>
      </c>
      <c r="K500" t="n">
        <v>3</v>
      </c>
      <c r="L500" t="n">
        <v>1</v>
      </c>
      <c r="M500" t="n">
        <v>2</v>
      </c>
      <c r="N500" t="n">
        <v>2</v>
      </c>
      <c r="O500" t="n">
        <v>4</v>
      </c>
      <c r="P500" t="n">
        <v>1</v>
      </c>
      <c r="Q500" t="n">
        <v>2</v>
      </c>
      <c r="R500" t="n">
        <v>4</v>
      </c>
      <c r="S500" t="n">
        <v>3</v>
      </c>
      <c r="T500" t="n">
        <v>2</v>
      </c>
      <c r="U500" t="n">
        <v>2</v>
      </c>
      <c r="V500" t="n">
        <v>2</v>
      </c>
      <c r="W500">
        <f>(AVERAGE(B500:D500)-1)/4</f>
        <v/>
      </c>
      <c r="X500">
        <f>(AVERAGE(E500:G500)-1)/4</f>
        <v/>
      </c>
      <c r="Y500">
        <f>(AVERAGE(H500:J500)-1)/4</f>
        <v/>
      </c>
      <c r="Z500">
        <f>(AVERAGE(K500:M500)-1)/4</f>
        <v/>
      </c>
      <c r="AA500">
        <f>(AVERAGE(N500:P500)-1)/4</f>
        <v/>
      </c>
      <c r="AB500">
        <f>(AVERAGE(Q500:S500)-1)/4</f>
        <v/>
      </c>
      <c r="AC500">
        <f>(AVERAGE(T500:V500)-1)/4</f>
        <v/>
      </c>
      <c r="AD500">
        <f>AVERAGE(W500:AA500)</f>
        <v/>
      </c>
      <c r="AE500">
        <f>MIN(W500:AA500)</f>
        <v/>
      </c>
      <c r="AF500">
        <f>1-alpha*MAX(0,delta-AE500)</f>
        <v/>
      </c>
      <c r="AG500">
        <f>AD500*AF500</f>
        <v/>
      </c>
      <c r="AH500">
        <f>1+COUNTIF(bounds,"&lt;"&amp;ROUND(AD500,12))</f>
        <v/>
      </c>
      <c r="AI500">
        <f>1+COUNTIF(bounds,"&lt;"&amp;ROUND(AG500,12))</f>
        <v/>
      </c>
      <c r="AJ500">
        <f>IF(AF500&lt;1,1,0)</f>
        <v/>
      </c>
      <c r="AK500">
        <f>IF(AH500&lt;&gt;AI500,1,0)</f>
        <v/>
      </c>
      <c r="AL500">
        <f>IF(AND(AI500&gt;=3,AB500&lt;=0.2),1,0)</f>
        <v/>
      </c>
      <c r="AM500">
        <f>AVERAGE(W500:AB500)</f>
        <v/>
      </c>
      <c r="AN500">
        <f>1+COUNTIF(bounds,"&lt;"&amp;ROUND(AM500,12))</f>
        <v/>
      </c>
      <c r="AO500">
        <f>IF(AK500=1,AD500,NA())</f>
        <v/>
      </c>
      <c r="AP500">
        <f>IF(AK500=0,AD500,NA())</f>
        <v/>
      </c>
    </row>
    <row r="501">
      <c r="A501" t="n">
        <v>493</v>
      </c>
      <c r="B501" t="n">
        <v>5</v>
      </c>
      <c r="C501" t="n">
        <v>5</v>
      </c>
      <c r="D501" t="n">
        <v>5</v>
      </c>
      <c r="E501" t="n">
        <v>4</v>
      </c>
      <c r="F501" t="n">
        <v>3</v>
      </c>
      <c r="G501" t="n">
        <v>2</v>
      </c>
      <c r="H501" t="n">
        <v>2</v>
      </c>
      <c r="I501" t="n">
        <v>2</v>
      </c>
      <c r="J501" t="n">
        <v>1</v>
      </c>
      <c r="K501" t="n">
        <v>4</v>
      </c>
      <c r="L501" t="n">
        <v>4</v>
      </c>
      <c r="M501" t="n">
        <v>1</v>
      </c>
      <c r="N501" t="n">
        <v>4</v>
      </c>
      <c r="O501" t="n">
        <v>1</v>
      </c>
      <c r="P501" t="n">
        <v>5</v>
      </c>
      <c r="Q501" t="n">
        <v>1</v>
      </c>
      <c r="R501" t="n">
        <v>4</v>
      </c>
      <c r="S501" t="n">
        <v>4</v>
      </c>
      <c r="T501" t="n">
        <v>4</v>
      </c>
      <c r="U501" t="n">
        <v>1</v>
      </c>
      <c r="V501" t="n">
        <v>3</v>
      </c>
      <c r="W501">
        <f>(AVERAGE(B501:D501)-1)/4</f>
        <v/>
      </c>
      <c r="X501">
        <f>(AVERAGE(E501:G501)-1)/4</f>
        <v/>
      </c>
      <c r="Y501">
        <f>(AVERAGE(H501:J501)-1)/4</f>
        <v/>
      </c>
      <c r="Z501">
        <f>(AVERAGE(K501:M501)-1)/4</f>
        <v/>
      </c>
      <c r="AA501">
        <f>(AVERAGE(N501:P501)-1)/4</f>
        <v/>
      </c>
      <c r="AB501">
        <f>(AVERAGE(Q501:S501)-1)/4</f>
        <v/>
      </c>
      <c r="AC501">
        <f>(AVERAGE(T501:V501)-1)/4</f>
        <v/>
      </c>
      <c r="AD501">
        <f>AVERAGE(W501:AA501)</f>
        <v/>
      </c>
      <c r="AE501">
        <f>MIN(W501:AA501)</f>
        <v/>
      </c>
      <c r="AF501">
        <f>1-alpha*MAX(0,delta-AE501)</f>
        <v/>
      </c>
      <c r="AG501">
        <f>AD501*AF501</f>
        <v/>
      </c>
      <c r="AH501">
        <f>1+COUNTIF(bounds,"&lt;"&amp;ROUND(AD501,12))</f>
        <v/>
      </c>
      <c r="AI501">
        <f>1+COUNTIF(bounds,"&lt;"&amp;ROUND(AG501,12))</f>
        <v/>
      </c>
      <c r="AJ501">
        <f>IF(AF501&lt;1,1,0)</f>
        <v/>
      </c>
      <c r="AK501">
        <f>IF(AH501&lt;&gt;AI501,1,0)</f>
        <v/>
      </c>
      <c r="AL501">
        <f>IF(AND(AI501&gt;=3,AB501&lt;=0.2),1,0)</f>
        <v/>
      </c>
      <c r="AM501">
        <f>AVERAGE(W501:AB501)</f>
        <v/>
      </c>
      <c r="AN501">
        <f>1+COUNTIF(bounds,"&lt;"&amp;ROUND(AM501,12))</f>
        <v/>
      </c>
      <c r="AO501">
        <f>IF(AK501=1,AD501,NA())</f>
        <v/>
      </c>
      <c r="AP501">
        <f>IF(AK501=0,AD501,NA())</f>
        <v/>
      </c>
    </row>
    <row r="502">
      <c r="A502" t="n">
        <v>494</v>
      </c>
      <c r="B502" t="n">
        <v>1</v>
      </c>
      <c r="C502" t="n">
        <v>3</v>
      </c>
      <c r="D502" t="n">
        <v>1</v>
      </c>
      <c r="E502" t="n">
        <v>2</v>
      </c>
      <c r="F502" t="n">
        <v>3</v>
      </c>
      <c r="G502" t="n">
        <v>3</v>
      </c>
      <c r="H502" t="n">
        <v>5</v>
      </c>
      <c r="I502" t="n">
        <v>5</v>
      </c>
      <c r="J502" t="n">
        <v>5</v>
      </c>
      <c r="K502" t="n">
        <v>3</v>
      </c>
      <c r="L502" t="n">
        <v>4</v>
      </c>
      <c r="M502" t="n">
        <v>3</v>
      </c>
      <c r="N502" t="n">
        <v>2</v>
      </c>
      <c r="O502" t="n">
        <v>2</v>
      </c>
      <c r="P502" t="n">
        <v>4</v>
      </c>
      <c r="Q502" t="n">
        <v>3</v>
      </c>
      <c r="R502" t="n">
        <v>4</v>
      </c>
      <c r="S502" t="n">
        <v>3</v>
      </c>
      <c r="T502" t="n">
        <v>4</v>
      </c>
      <c r="U502" t="n">
        <v>3</v>
      </c>
      <c r="V502" t="n">
        <v>2</v>
      </c>
      <c r="W502">
        <f>(AVERAGE(B502:D502)-1)/4</f>
        <v/>
      </c>
      <c r="X502">
        <f>(AVERAGE(E502:G502)-1)/4</f>
        <v/>
      </c>
      <c r="Y502">
        <f>(AVERAGE(H502:J502)-1)/4</f>
        <v/>
      </c>
      <c r="Z502">
        <f>(AVERAGE(K502:M502)-1)/4</f>
        <v/>
      </c>
      <c r="AA502">
        <f>(AVERAGE(N502:P502)-1)/4</f>
        <v/>
      </c>
      <c r="AB502">
        <f>(AVERAGE(Q502:S502)-1)/4</f>
        <v/>
      </c>
      <c r="AC502">
        <f>(AVERAGE(T502:V502)-1)/4</f>
        <v/>
      </c>
      <c r="AD502">
        <f>AVERAGE(W502:AA502)</f>
        <v/>
      </c>
      <c r="AE502">
        <f>MIN(W502:AA502)</f>
        <v/>
      </c>
      <c r="AF502">
        <f>1-alpha*MAX(0,delta-AE502)</f>
        <v/>
      </c>
      <c r="AG502">
        <f>AD502*AF502</f>
        <v/>
      </c>
      <c r="AH502">
        <f>1+COUNTIF(bounds,"&lt;"&amp;ROUND(AD502,12))</f>
        <v/>
      </c>
      <c r="AI502">
        <f>1+COUNTIF(bounds,"&lt;"&amp;ROUND(AG502,12))</f>
        <v/>
      </c>
      <c r="AJ502">
        <f>IF(AF502&lt;1,1,0)</f>
        <v/>
      </c>
      <c r="AK502">
        <f>IF(AH502&lt;&gt;AI502,1,0)</f>
        <v/>
      </c>
      <c r="AL502">
        <f>IF(AND(AI502&gt;=3,AB502&lt;=0.2),1,0)</f>
        <v/>
      </c>
      <c r="AM502">
        <f>AVERAGE(W502:AB502)</f>
        <v/>
      </c>
      <c r="AN502">
        <f>1+COUNTIF(bounds,"&lt;"&amp;ROUND(AM502,12))</f>
        <v/>
      </c>
      <c r="AO502">
        <f>IF(AK502=1,AD502,NA())</f>
        <v/>
      </c>
      <c r="AP502">
        <f>IF(AK502=0,AD502,NA())</f>
        <v/>
      </c>
    </row>
    <row r="503">
      <c r="A503" t="n">
        <v>495</v>
      </c>
      <c r="B503" t="n">
        <v>5</v>
      </c>
      <c r="C503" t="n">
        <v>2</v>
      </c>
      <c r="D503" t="n">
        <v>3</v>
      </c>
      <c r="E503" t="n">
        <v>4</v>
      </c>
      <c r="F503" t="n">
        <v>1</v>
      </c>
      <c r="G503" t="n">
        <v>2</v>
      </c>
      <c r="H503" t="n">
        <v>5</v>
      </c>
      <c r="I503" t="n">
        <v>1</v>
      </c>
      <c r="J503" t="n">
        <v>5</v>
      </c>
      <c r="K503" t="n">
        <v>1</v>
      </c>
      <c r="L503" t="n">
        <v>4</v>
      </c>
      <c r="M503" t="n">
        <v>3</v>
      </c>
      <c r="N503" t="n">
        <v>4</v>
      </c>
      <c r="O503" t="n">
        <v>4</v>
      </c>
      <c r="P503" t="n">
        <v>1</v>
      </c>
      <c r="Q503" t="n">
        <v>4</v>
      </c>
      <c r="R503" t="n">
        <v>1</v>
      </c>
      <c r="S503" t="n">
        <v>2</v>
      </c>
      <c r="T503" t="n">
        <v>4</v>
      </c>
      <c r="U503" t="n">
        <v>1</v>
      </c>
      <c r="V503" t="n">
        <v>3</v>
      </c>
      <c r="W503">
        <f>(AVERAGE(B503:D503)-1)/4</f>
        <v/>
      </c>
      <c r="X503">
        <f>(AVERAGE(E503:G503)-1)/4</f>
        <v/>
      </c>
      <c r="Y503">
        <f>(AVERAGE(H503:J503)-1)/4</f>
        <v/>
      </c>
      <c r="Z503">
        <f>(AVERAGE(K503:M503)-1)/4</f>
        <v/>
      </c>
      <c r="AA503">
        <f>(AVERAGE(N503:P503)-1)/4</f>
        <v/>
      </c>
      <c r="AB503">
        <f>(AVERAGE(Q503:S503)-1)/4</f>
        <v/>
      </c>
      <c r="AC503">
        <f>(AVERAGE(T503:V503)-1)/4</f>
        <v/>
      </c>
      <c r="AD503">
        <f>AVERAGE(W503:AA503)</f>
        <v/>
      </c>
      <c r="AE503">
        <f>MIN(W503:AA503)</f>
        <v/>
      </c>
      <c r="AF503">
        <f>1-alpha*MAX(0,delta-AE503)</f>
        <v/>
      </c>
      <c r="AG503">
        <f>AD503*AF503</f>
        <v/>
      </c>
      <c r="AH503">
        <f>1+COUNTIF(bounds,"&lt;"&amp;ROUND(AD503,12))</f>
        <v/>
      </c>
      <c r="AI503">
        <f>1+COUNTIF(bounds,"&lt;"&amp;ROUND(AG503,12))</f>
        <v/>
      </c>
      <c r="AJ503">
        <f>IF(AF503&lt;1,1,0)</f>
        <v/>
      </c>
      <c r="AK503">
        <f>IF(AH503&lt;&gt;AI503,1,0)</f>
        <v/>
      </c>
      <c r="AL503">
        <f>IF(AND(AI503&gt;=3,AB503&lt;=0.2),1,0)</f>
        <v/>
      </c>
      <c r="AM503">
        <f>AVERAGE(W503:AB503)</f>
        <v/>
      </c>
      <c r="AN503">
        <f>1+COUNTIF(bounds,"&lt;"&amp;ROUND(AM503,12))</f>
        <v/>
      </c>
      <c r="AO503">
        <f>IF(AK503=1,AD503,NA())</f>
        <v/>
      </c>
      <c r="AP503">
        <f>IF(AK503=0,AD503,NA())</f>
        <v/>
      </c>
    </row>
    <row r="504">
      <c r="A504" t="n">
        <v>496</v>
      </c>
      <c r="B504" t="n">
        <v>2</v>
      </c>
      <c r="C504" t="n">
        <v>1</v>
      </c>
      <c r="D504" t="n">
        <v>5</v>
      </c>
      <c r="E504" t="n">
        <v>1</v>
      </c>
      <c r="F504" t="n">
        <v>5</v>
      </c>
      <c r="G504" t="n">
        <v>5</v>
      </c>
      <c r="H504" t="n">
        <v>2</v>
      </c>
      <c r="I504" t="n">
        <v>1</v>
      </c>
      <c r="J504" t="n">
        <v>5</v>
      </c>
      <c r="K504" t="n">
        <v>4</v>
      </c>
      <c r="L504" t="n">
        <v>4</v>
      </c>
      <c r="M504" t="n">
        <v>4</v>
      </c>
      <c r="N504" t="n">
        <v>4</v>
      </c>
      <c r="O504" t="n">
        <v>3</v>
      </c>
      <c r="P504" t="n">
        <v>3</v>
      </c>
      <c r="Q504" t="n">
        <v>5</v>
      </c>
      <c r="R504" t="n">
        <v>3</v>
      </c>
      <c r="S504" t="n">
        <v>4</v>
      </c>
      <c r="T504" t="n">
        <v>1</v>
      </c>
      <c r="U504" t="n">
        <v>2</v>
      </c>
      <c r="V504" t="n">
        <v>5</v>
      </c>
      <c r="W504">
        <f>(AVERAGE(B504:D504)-1)/4</f>
        <v/>
      </c>
      <c r="X504">
        <f>(AVERAGE(E504:G504)-1)/4</f>
        <v/>
      </c>
      <c r="Y504">
        <f>(AVERAGE(H504:J504)-1)/4</f>
        <v/>
      </c>
      <c r="Z504">
        <f>(AVERAGE(K504:M504)-1)/4</f>
        <v/>
      </c>
      <c r="AA504">
        <f>(AVERAGE(N504:P504)-1)/4</f>
        <v/>
      </c>
      <c r="AB504">
        <f>(AVERAGE(Q504:S504)-1)/4</f>
        <v/>
      </c>
      <c r="AC504">
        <f>(AVERAGE(T504:V504)-1)/4</f>
        <v/>
      </c>
      <c r="AD504">
        <f>AVERAGE(W504:AA504)</f>
        <v/>
      </c>
      <c r="AE504">
        <f>MIN(W504:AA504)</f>
        <v/>
      </c>
      <c r="AF504">
        <f>1-alpha*MAX(0,delta-AE504)</f>
        <v/>
      </c>
      <c r="AG504">
        <f>AD504*AF504</f>
        <v/>
      </c>
      <c r="AH504">
        <f>1+COUNTIF(bounds,"&lt;"&amp;ROUND(AD504,12))</f>
        <v/>
      </c>
      <c r="AI504">
        <f>1+COUNTIF(bounds,"&lt;"&amp;ROUND(AG504,12))</f>
        <v/>
      </c>
      <c r="AJ504">
        <f>IF(AF504&lt;1,1,0)</f>
        <v/>
      </c>
      <c r="AK504">
        <f>IF(AH504&lt;&gt;AI504,1,0)</f>
        <v/>
      </c>
      <c r="AL504">
        <f>IF(AND(AI504&gt;=3,AB504&lt;=0.2),1,0)</f>
        <v/>
      </c>
      <c r="AM504">
        <f>AVERAGE(W504:AB504)</f>
        <v/>
      </c>
      <c r="AN504">
        <f>1+COUNTIF(bounds,"&lt;"&amp;ROUND(AM504,12))</f>
        <v/>
      </c>
      <c r="AO504">
        <f>IF(AK504=1,AD504,NA())</f>
        <v/>
      </c>
      <c r="AP504">
        <f>IF(AK504=0,AD504,NA())</f>
        <v/>
      </c>
    </row>
    <row r="505">
      <c r="A505" t="n">
        <v>497</v>
      </c>
      <c r="B505" t="n">
        <v>3</v>
      </c>
      <c r="C505" t="n">
        <v>3</v>
      </c>
      <c r="D505" t="n">
        <v>4</v>
      </c>
      <c r="E505" t="n">
        <v>5</v>
      </c>
      <c r="F505" t="n">
        <v>1</v>
      </c>
      <c r="G505" t="n">
        <v>2</v>
      </c>
      <c r="H505" t="n">
        <v>4</v>
      </c>
      <c r="I505" t="n">
        <v>1</v>
      </c>
      <c r="J505" t="n">
        <v>4</v>
      </c>
      <c r="K505" t="n">
        <v>2</v>
      </c>
      <c r="L505" t="n">
        <v>3</v>
      </c>
      <c r="M505" t="n">
        <v>3</v>
      </c>
      <c r="N505" t="n">
        <v>3</v>
      </c>
      <c r="O505" t="n">
        <v>1</v>
      </c>
      <c r="P505" t="n">
        <v>3</v>
      </c>
      <c r="Q505" t="n">
        <v>1</v>
      </c>
      <c r="R505" t="n">
        <v>4</v>
      </c>
      <c r="S505" t="n">
        <v>4</v>
      </c>
      <c r="T505" t="n">
        <v>3</v>
      </c>
      <c r="U505" t="n">
        <v>4</v>
      </c>
      <c r="V505" t="n">
        <v>2</v>
      </c>
      <c r="W505">
        <f>(AVERAGE(B505:D505)-1)/4</f>
        <v/>
      </c>
      <c r="X505">
        <f>(AVERAGE(E505:G505)-1)/4</f>
        <v/>
      </c>
      <c r="Y505">
        <f>(AVERAGE(H505:J505)-1)/4</f>
        <v/>
      </c>
      <c r="Z505">
        <f>(AVERAGE(K505:M505)-1)/4</f>
        <v/>
      </c>
      <c r="AA505">
        <f>(AVERAGE(N505:P505)-1)/4</f>
        <v/>
      </c>
      <c r="AB505">
        <f>(AVERAGE(Q505:S505)-1)/4</f>
        <v/>
      </c>
      <c r="AC505">
        <f>(AVERAGE(T505:V505)-1)/4</f>
        <v/>
      </c>
      <c r="AD505">
        <f>AVERAGE(W505:AA505)</f>
        <v/>
      </c>
      <c r="AE505">
        <f>MIN(W505:AA505)</f>
        <v/>
      </c>
      <c r="AF505">
        <f>1-alpha*MAX(0,delta-AE505)</f>
        <v/>
      </c>
      <c r="AG505">
        <f>AD505*AF505</f>
        <v/>
      </c>
      <c r="AH505">
        <f>1+COUNTIF(bounds,"&lt;"&amp;ROUND(AD505,12))</f>
        <v/>
      </c>
      <c r="AI505">
        <f>1+COUNTIF(bounds,"&lt;"&amp;ROUND(AG505,12))</f>
        <v/>
      </c>
      <c r="AJ505">
        <f>IF(AF505&lt;1,1,0)</f>
        <v/>
      </c>
      <c r="AK505">
        <f>IF(AH505&lt;&gt;AI505,1,0)</f>
        <v/>
      </c>
      <c r="AL505">
        <f>IF(AND(AI505&gt;=3,AB505&lt;=0.2),1,0)</f>
        <v/>
      </c>
      <c r="AM505">
        <f>AVERAGE(W505:AB505)</f>
        <v/>
      </c>
      <c r="AN505">
        <f>1+COUNTIF(bounds,"&lt;"&amp;ROUND(AM505,12))</f>
        <v/>
      </c>
      <c r="AO505">
        <f>IF(AK505=1,AD505,NA())</f>
        <v/>
      </c>
      <c r="AP505">
        <f>IF(AK505=0,AD505,NA())</f>
        <v/>
      </c>
    </row>
    <row r="506">
      <c r="A506" t="n">
        <v>498</v>
      </c>
      <c r="B506" t="n">
        <v>3</v>
      </c>
      <c r="C506" t="n">
        <v>5</v>
      </c>
      <c r="D506" t="n">
        <v>5</v>
      </c>
      <c r="E506" t="n">
        <v>4</v>
      </c>
      <c r="F506" t="n">
        <v>3</v>
      </c>
      <c r="G506" t="n">
        <v>2</v>
      </c>
      <c r="H506" t="n">
        <v>1</v>
      </c>
      <c r="I506" t="n">
        <v>1</v>
      </c>
      <c r="J506" t="n">
        <v>2</v>
      </c>
      <c r="K506" t="n">
        <v>2</v>
      </c>
      <c r="L506" t="n">
        <v>3</v>
      </c>
      <c r="M506" t="n">
        <v>3</v>
      </c>
      <c r="N506" t="n">
        <v>3</v>
      </c>
      <c r="O506" t="n">
        <v>3</v>
      </c>
      <c r="P506" t="n">
        <v>3</v>
      </c>
      <c r="Q506" t="n">
        <v>4</v>
      </c>
      <c r="R506" t="n">
        <v>1</v>
      </c>
      <c r="S506" t="n">
        <v>4</v>
      </c>
      <c r="T506" t="n">
        <v>3</v>
      </c>
      <c r="U506" t="n">
        <v>2</v>
      </c>
      <c r="V506" t="n">
        <v>3</v>
      </c>
      <c r="W506">
        <f>(AVERAGE(B506:D506)-1)/4</f>
        <v/>
      </c>
      <c r="X506">
        <f>(AVERAGE(E506:G506)-1)/4</f>
        <v/>
      </c>
      <c r="Y506">
        <f>(AVERAGE(H506:J506)-1)/4</f>
        <v/>
      </c>
      <c r="Z506">
        <f>(AVERAGE(K506:M506)-1)/4</f>
        <v/>
      </c>
      <c r="AA506">
        <f>(AVERAGE(N506:P506)-1)/4</f>
        <v/>
      </c>
      <c r="AB506">
        <f>(AVERAGE(Q506:S506)-1)/4</f>
        <v/>
      </c>
      <c r="AC506">
        <f>(AVERAGE(T506:V506)-1)/4</f>
        <v/>
      </c>
      <c r="AD506">
        <f>AVERAGE(W506:AA506)</f>
        <v/>
      </c>
      <c r="AE506">
        <f>MIN(W506:AA506)</f>
        <v/>
      </c>
      <c r="AF506">
        <f>1-alpha*MAX(0,delta-AE506)</f>
        <v/>
      </c>
      <c r="AG506">
        <f>AD506*AF506</f>
        <v/>
      </c>
      <c r="AH506">
        <f>1+COUNTIF(bounds,"&lt;"&amp;ROUND(AD506,12))</f>
        <v/>
      </c>
      <c r="AI506">
        <f>1+COUNTIF(bounds,"&lt;"&amp;ROUND(AG506,12))</f>
        <v/>
      </c>
      <c r="AJ506">
        <f>IF(AF506&lt;1,1,0)</f>
        <v/>
      </c>
      <c r="AK506">
        <f>IF(AH506&lt;&gt;AI506,1,0)</f>
        <v/>
      </c>
      <c r="AL506">
        <f>IF(AND(AI506&gt;=3,AB506&lt;=0.2),1,0)</f>
        <v/>
      </c>
      <c r="AM506">
        <f>AVERAGE(W506:AB506)</f>
        <v/>
      </c>
      <c r="AN506">
        <f>1+COUNTIF(bounds,"&lt;"&amp;ROUND(AM506,12))</f>
        <v/>
      </c>
      <c r="AO506">
        <f>IF(AK506=1,AD506,NA())</f>
        <v/>
      </c>
      <c r="AP506">
        <f>IF(AK506=0,AD506,NA())</f>
        <v/>
      </c>
    </row>
    <row r="507">
      <c r="A507" t="n">
        <v>499</v>
      </c>
      <c r="B507" t="n">
        <v>1</v>
      </c>
      <c r="C507" t="n">
        <v>3</v>
      </c>
      <c r="D507" t="n">
        <v>1</v>
      </c>
      <c r="E507" t="n">
        <v>5</v>
      </c>
      <c r="F507" t="n">
        <v>4</v>
      </c>
      <c r="G507" t="n">
        <v>4</v>
      </c>
      <c r="H507" t="n">
        <v>4</v>
      </c>
      <c r="I507" t="n">
        <v>3</v>
      </c>
      <c r="J507" t="n">
        <v>5</v>
      </c>
      <c r="K507" t="n">
        <v>2</v>
      </c>
      <c r="L507" t="n">
        <v>2</v>
      </c>
      <c r="M507" t="n">
        <v>4</v>
      </c>
      <c r="N507" t="n">
        <v>1</v>
      </c>
      <c r="O507" t="n">
        <v>1</v>
      </c>
      <c r="P507" t="n">
        <v>3</v>
      </c>
      <c r="Q507" t="n">
        <v>2</v>
      </c>
      <c r="R507" t="n">
        <v>1</v>
      </c>
      <c r="S507" t="n">
        <v>1</v>
      </c>
      <c r="T507" t="n">
        <v>5</v>
      </c>
      <c r="U507" t="n">
        <v>2</v>
      </c>
      <c r="V507" t="n">
        <v>5</v>
      </c>
      <c r="W507">
        <f>(AVERAGE(B507:D507)-1)/4</f>
        <v/>
      </c>
      <c r="X507">
        <f>(AVERAGE(E507:G507)-1)/4</f>
        <v/>
      </c>
      <c r="Y507">
        <f>(AVERAGE(H507:J507)-1)/4</f>
        <v/>
      </c>
      <c r="Z507">
        <f>(AVERAGE(K507:M507)-1)/4</f>
        <v/>
      </c>
      <c r="AA507">
        <f>(AVERAGE(N507:P507)-1)/4</f>
        <v/>
      </c>
      <c r="AB507">
        <f>(AVERAGE(Q507:S507)-1)/4</f>
        <v/>
      </c>
      <c r="AC507">
        <f>(AVERAGE(T507:V507)-1)/4</f>
        <v/>
      </c>
      <c r="AD507">
        <f>AVERAGE(W507:AA507)</f>
        <v/>
      </c>
      <c r="AE507">
        <f>MIN(W507:AA507)</f>
        <v/>
      </c>
      <c r="AF507">
        <f>1-alpha*MAX(0,delta-AE507)</f>
        <v/>
      </c>
      <c r="AG507">
        <f>AD507*AF507</f>
        <v/>
      </c>
      <c r="AH507">
        <f>1+COUNTIF(bounds,"&lt;"&amp;ROUND(AD507,12))</f>
        <v/>
      </c>
      <c r="AI507">
        <f>1+COUNTIF(bounds,"&lt;"&amp;ROUND(AG507,12))</f>
        <v/>
      </c>
      <c r="AJ507">
        <f>IF(AF507&lt;1,1,0)</f>
        <v/>
      </c>
      <c r="AK507">
        <f>IF(AH507&lt;&gt;AI507,1,0)</f>
        <v/>
      </c>
      <c r="AL507">
        <f>IF(AND(AI507&gt;=3,AB507&lt;=0.2),1,0)</f>
        <v/>
      </c>
      <c r="AM507">
        <f>AVERAGE(W507:AB507)</f>
        <v/>
      </c>
      <c r="AN507">
        <f>1+COUNTIF(bounds,"&lt;"&amp;ROUND(AM507,12))</f>
        <v/>
      </c>
      <c r="AO507">
        <f>IF(AK507=1,AD507,NA())</f>
        <v/>
      </c>
      <c r="AP507">
        <f>IF(AK507=0,AD507,NA())</f>
        <v/>
      </c>
    </row>
    <row r="508">
      <c r="A508" t="n">
        <v>500</v>
      </c>
      <c r="B508" t="n">
        <v>2</v>
      </c>
      <c r="C508" t="n">
        <v>2</v>
      </c>
      <c r="D508" t="n">
        <v>4</v>
      </c>
      <c r="E508" t="n">
        <v>5</v>
      </c>
      <c r="F508" t="n">
        <v>3</v>
      </c>
      <c r="G508" t="n">
        <v>5</v>
      </c>
      <c r="H508" t="n">
        <v>5</v>
      </c>
      <c r="I508" t="n">
        <v>1</v>
      </c>
      <c r="J508" t="n">
        <v>3</v>
      </c>
      <c r="K508" t="n">
        <v>3</v>
      </c>
      <c r="L508" t="n">
        <v>3</v>
      </c>
      <c r="M508" t="n">
        <v>2</v>
      </c>
      <c r="N508" t="n">
        <v>3</v>
      </c>
      <c r="O508" t="n">
        <v>3</v>
      </c>
      <c r="P508" t="n">
        <v>1</v>
      </c>
      <c r="Q508" t="n">
        <v>2</v>
      </c>
      <c r="R508" t="n">
        <v>2</v>
      </c>
      <c r="S508" t="n">
        <v>5</v>
      </c>
      <c r="T508" t="n">
        <v>2</v>
      </c>
      <c r="U508" t="n">
        <v>3</v>
      </c>
      <c r="V508" t="n">
        <v>3</v>
      </c>
      <c r="W508">
        <f>(AVERAGE(B508:D508)-1)/4</f>
        <v/>
      </c>
      <c r="X508">
        <f>(AVERAGE(E508:G508)-1)/4</f>
        <v/>
      </c>
      <c r="Y508">
        <f>(AVERAGE(H508:J508)-1)/4</f>
        <v/>
      </c>
      <c r="Z508">
        <f>(AVERAGE(K508:M508)-1)/4</f>
        <v/>
      </c>
      <c r="AA508">
        <f>(AVERAGE(N508:P508)-1)/4</f>
        <v/>
      </c>
      <c r="AB508">
        <f>(AVERAGE(Q508:S508)-1)/4</f>
        <v/>
      </c>
      <c r="AC508">
        <f>(AVERAGE(T508:V508)-1)/4</f>
        <v/>
      </c>
      <c r="AD508">
        <f>AVERAGE(W508:AA508)</f>
        <v/>
      </c>
      <c r="AE508">
        <f>MIN(W508:AA508)</f>
        <v/>
      </c>
      <c r="AF508">
        <f>1-alpha*MAX(0,delta-AE508)</f>
        <v/>
      </c>
      <c r="AG508">
        <f>AD508*AF508</f>
        <v/>
      </c>
      <c r="AH508">
        <f>1+COUNTIF(bounds,"&lt;"&amp;ROUND(AD508,12))</f>
        <v/>
      </c>
      <c r="AI508">
        <f>1+COUNTIF(bounds,"&lt;"&amp;ROUND(AG508,12))</f>
        <v/>
      </c>
      <c r="AJ508">
        <f>IF(AF508&lt;1,1,0)</f>
        <v/>
      </c>
      <c r="AK508">
        <f>IF(AH508&lt;&gt;AI508,1,0)</f>
        <v/>
      </c>
      <c r="AL508">
        <f>IF(AND(AI508&gt;=3,AB508&lt;=0.2),1,0)</f>
        <v/>
      </c>
      <c r="AM508">
        <f>AVERAGE(W508:AB508)</f>
        <v/>
      </c>
      <c r="AN508">
        <f>1+COUNTIF(bounds,"&lt;"&amp;ROUND(AM508,12))</f>
        <v/>
      </c>
      <c r="AO508">
        <f>IF(AK508=1,AD508,NA())</f>
        <v/>
      </c>
      <c r="AP508">
        <f>IF(AK508=0,AD508,NA())</f>
        <v/>
      </c>
    </row>
    <row r="509">
      <c r="A509" t="n">
        <v>501</v>
      </c>
      <c r="B509" t="n">
        <v>2</v>
      </c>
      <c r="C509" t="n">
        <v>3</v>
      </c>
      <c r="D509" t="n">
        <v>3</v>
      </c>
      <c r="E509" t="n">
        <v>2</v>
      </c>
      <c r="F509" t="n">
        <v>3</v>
      </c>
      <c r="G509" t="n">
        <v>4</v>
      </c>
      <c r="H509" t="n">
        <v>2</v>
      </c>
      <c r="I509" t="n">
        <v>1</v>
      </c>
      <c r="J509" t="n">
        <v>1</v>
      </c>
      <c r="K509" t="n">
        <v>2</v>
      </c>
      <c r="L509" t="n">
        <v>3</v>
      </c>
      <c r="M509" t="n">
        <v>5</v>
      </c>
      <c r="N509" t="n">
        <v>1</v>
      </c>
      <c r="O509" t="n">
        <v>2</v>
      </c>
      <c r="P509" t="n">
        <v>2</v>
      </c>
      <c r="Q509" t="n">
        <v>3</v>
      </c>
      <c r="R509" t="n">
        <v>4</v>
      </c>
      <c r="S509" t="n">
        <v>5</v>
      </c>
      <c r="T509" t="n">
        <v>3</v>
      </c>
      <c r="U509" t="n">
        <v>5</v>
      </c>
      <c r="V509" t="n">
        <v>2</v>
      </c>
      <c r="W509">
        <f>(AVERAGE(B509:D509)-1)/4</f>
        <v/>
      </c>
      <c r="X509">
        <f>(AVERAGE(E509:G509)-1)/4</f>
        <v/>
      </c>
      <c r="Y509">
        <f>(AVERAGE(H509:J509)-1)/4</f>
        <v/>
      </c>
      <c r="Z509">
        <f>(AVERAGE(K509:M509)-1)/4</f>
        <v/>
      </c>
      <c r="AA509">
        <f>(AVERAGE(N509:P509)-1)/4</f>
        <v/>
      </c>
      <c r="AB509">
        <f>(AVERAGE(Q509:S509)-1)/4</f>
        <v/>
      </c>
      <c r="AC509">
        <f>(AVERAGE(T509:V509)-1)/4</f>
        <v/>
      </c>
      <c r="AD509">
        <f>AVERAGE(W509:AA509)</f>
        <v/>
      </c>
      <c r="AE509">
        <f>MIN(W509:AA509)</f>
        <v/>
      </c>
      <c r="AF509">
        <f>1-alpha*MAX(0,delta-AE509)</f>
        <v/>
      </c>
      <c r="AG509">
        <f>AD509*AF509</f>
        <v/>
      </c>
      <c r="AH509">
        <f>1+COUNTIF(bounds,"&lt;"&amp;ROUND(AD509,12))</f>
        <v/>
      </c>
      <c r="AI509">
        <f>1+COUNTIF(bounds,"&lt;"&amp;ROUND(AG509,12))</f>
        <v/>
      </c>
      <c r="AJ509">
        <f>IF(AF509&lt;1,1,0)</f>
        <v/>
      </c>
      <c r="AK509">
        <f>IF(AH509&lt;&gt;AI509,1,0)</f>
        <v/>
      </c>
      <c r="AL509">
        <f>IF(AND(AI509&gt;=3,AB509&lt;=0.2),1,0)</f>
        <v/>
      </c>
      <c r="AM509">
        <f>AVERAGE(W509:AB509)</f>
        <v/>
      </c>
      <c r="AN509">
        <f>1+COUNTIF(bounds,"&lt;"&amp;ROUND(AM509,12))</f>
        <v/>
      </c>
      <c r="AO509">
        <f>IF(AK509=1,AD509,NA())</f>
        <v/>
      </c>
      <c r="AP509">
        <f>IF(AK509=0,AD509,NA())</f>
        <v/>
      </c>
    </row>
    <row r="510">
      <c r="A510" t="n">
        <v>502</v>
      </c>
      <c r="B510" t="n">
        <v>5</v>
      </c>
      <c r="C510" t="n">
        <v>5</v>
      </c>
      <c r="D510" t="n">
        <v>1</v>
      </c>
      <c r="E510" t="n">
        <v>4</v>
      </c>
      <c r="F510" t="n">
        <v>1</v>
      </c>
      <c r="G510" t="n">
        <v>1</v>
      </c>
      <c r="H510" t="n">
        <v>5</v>
      </c>
      <c r="I510" t="n">
        <v>5</v>
      </c>
      <c r="J510" t="n">
        <v>5</v>
      </c>
      <c r="K510" t="n">
        <v>5</v>
      </c>
      <c r="L510" t="n">
        <v>5</v>
      </c>
      <c r="M510" t="n">
        <v>5</v>
      </c>
      <c r="N510" t="n">
        <v>3</v>
      </c>
      <c r="O510" t="n">
        <v>5</v>
      </c>
      <c r="P510" t="n">
        <v>5</v>
      </c>
      <c r="Q510" t="n">
        <v>3</v>
      </c>
      <c r="R510" t="n">
        <v>5</v>
      </c>
      <c r="S510" t="n">
        <v>4</v>
      </c>
      <c r="T510" t="n">
        <v>5</v>
      </c>
      <c r="U510" t="n">
        <v>4</v>
      </c>
      <c r="V510" t="n">
        <v>5</v>
      </c>
      <c r="W510">
        <f>(AVERAGE(B510:D510)-1)/4</f>
        <v/>
      </c>
      <c r="X510">
        <f>(AVERAGE(E510:G510)-1)/4</f>
        <v/>
      </c>
      <c r="Y510">
        <f>(AVERAGE(H510:J510)-1)/4</f>
        <v/>
      </c>
      <c r="Z510">
        <f>(AVERAGE(K510:M510)-1)/4</f>
        <v/>
      </c>
      <c r="AA510">
        <f>(AVERAGE(N510:P510)-1)/4</f>
        <v/>
      </c>
      <c r="AB510">
        <f>(AVERAGE(Q510:S510)-1)/4</f>
        <v/>
      </c>
      <c r="AC510">
        <f>(AVERAGE(T510:V510)-1)/4</f>
        <v/>
      </c>
      <c r="AD510">
        <f>AVERAGE(W510:AA510)</f>
        <v/>
      </c>
      <c r="AE510">
        <f>MIN(W510:AA510)</f>
        <v/>
      </c>
      <c r="AF510">
        <f>1-alpha*MAX(0,delta-AE510)</f>
        <v/>
      </c>
      <c r="AG510">
        <f>AD510*AF510</f>
        <v/>
      </c>
      <c r="AH510">
        <f>1+COUNTIF(bounds,"&lt;"&amp;ROUND(AD510,12))</f>
        <v/>
      </c>
      <c r="AI510">
        <f>1+COUNTIF(bounds,"&lt;"&amp;ROUND(AG510,12))</f>
        <v/>
      </c>
      <c r="AJ510">
        <f>IF(AF510&lt;1,1,0)</f>
        <v/>
      </c>
      <c r="AK510">
        <f>IF(AH510&lt;&gt;AI510,1,0)</f>
        <v/>
      </c>
      <c r="AL510">
        <f>IF(AND(AI510&gt;=3,AB510&lt;=0.2),1,0)</f>
        <v/>
      </c>
      <c r="AM510">
        <f>AVERAGE(W510:AB510)</f>
        <v/>
      </c>
      <c r="AN510">
        <f>1+COUNTIF(bounds,"&lt;"&amp;ROUND(AM510,12))</f>
        <v/>
      </c>
      <c r="AO510">
        <f>IF(AK510=1,AD510,NA())</f>
        <v/>
      </c>
      <c r="AP510">
        <f>IF(AK510=0,AD510,NA())</f>
        <v/>
      </c>
    </row>
    <row r="511">
      <c r="A511" t="n">
        <v>503</v>
      </c>
      <c r="B511" t="n">
        <v>4</v>
      </c>
      <c r="C511" t="n">
        <v>1</v>
      </c>
      <c r="D511" t="n">
        <v>4</v>
      </c>
      <c r="E511" t="n">
        <v>1</v>
      </c>
      <c r="F511" t="n">
        <v>2</v>
      </c>
      <c r="G511" t="n">
        <v>1</v>
      </c>
      <c r="H511" t="n">
        <v>1</v>
      </c>
      <c r="I511" t="n">
        <v>1</v>
      </c>
      <c r="J511" t="n">
        <v>1</v>
      </c>
      <c r="K511" t="n">
        <v>3</v>
      </c>
      <c r="L511" t="n">
        <v>3</v>
      </c>
      <c r="M511" t="n">
        <v>4</v>
      </c>
      <c r="N511" t="n">
        <v>4</v>
      </c>
      <c r="O511" t="n">
        <v>3</v>
      </c>
      <c r="P511" t="n">
        <v>2</v>
      </c>
      <c r="Q511" t="n">
        <v>5</v>
      </c>
      <c r="R511" t="n">
        <v>2</v>
      </c>
      <c r="S511" t="n">
        <v>3</v>
      </c>
      <c r="T511" t="n">
        <v>1</v>
      </c>
      <c r="U511" t="n">
        <v>1</v>
      </c>
      <c r="V511" t="n">
        <v>2</v>
      </c>
      <c r="W511">
        <f>(AVERAGE(B511:D511)-1)/4</f>
        <v/>
      </c>
      <c r="X511">
        <f>(AVERAGE(E511:G511)-1)/4</f>
        <v/>
      </c>
      <c r="Y511">
        <f>(AVERAGE(H511:J511)-1)/4</f>
        <v/>
      </c>
      <c r="Z511">
        <f>(AVERAGE(K511:M511)-1)/4</f>
        <v/>
      </c>
      <c r="AA511">
        <f>(AVERAGE(N511:P511)-1)/4</f>
        <v/>
      </c>
      <c r="AB511">
        <f>(AVERAGE(Q511:S511)-1)/4</f>
        <v/>
      </c>
      <c r="AC511">
        <f>(AVERAGE(T511:V511)-1)/4</f>
        <v/>
      </c>
      <c r="AD511">
        <f>AVERAGE(W511:AA511)</f>
        <v/>
      </c>
      <c r="AE511">
        <f>MIN(W511:AA511)</f>
        <v/>
      </c>
      <c r="AF511">
        <f>1-alpha*MAX(0,delta-AE511)</f>
        <v/>
      </c>
      <c r="AG511">
        <f>AD511*AF511</f>
        <v/>
      </c>
      <c r="AH511">
        <f>1+COUNTIF(bounds,"&lt;"&amp;ROUND(AD511,12))</f>
        <v/>
      </c>
      <c r="AI511">
        <f>1+COUNTIF(bounds,"&lt;"&amp;ROUND(AG511,12))</f>
        <v/>
      </c>
      <c r="AJ511">
        <f>IF(AF511&lt;1,1,0)</f>
        <v/>
      </c>
      <c r="AK511">
        <f>IF(AH511&lt;&gt;AI511,1,0)</f>
        <v/>
      </c>
      <c r="AL511">
        <f>IF(AND(AI511&gt;=3,AB511&lt;=0.2),1,0)</f>
        <v/>
      </c>
      <c r="AM511">
        <f>AVERAGE(W511:AB511)</f>
        <v/>
      </c>
      <c r="AN511">
        <f>1+COUNTIF(bounds,"&lt;"&amp;ROUND(AM511,12))</f>
        <v/>
      </c>
      <c r="AO511">
        <f>IF(AK511=1,AD511,NA())</f>
        <v/>
      </c>
      <c r="AP511">
        <f>IF(AK511=0,AD511,NA())</f>
        <v/>
      </c>
    </row>
    <row r="512">
      <c r="A512" t="n">
        <v>504</v>
      </c>
      <c r="B512" t="n">
        <v>1</v>
      </c>
      <c r="C512" t="n">
        <v>1</v>
      </c>
      <c r="D512" t="n">
        <v>5</v>
      </c>
      <c r="E512" t="n">
        <v>1</v>
      </c>
      <c r="F512" t="n">
        <v>1</v>
      </c>
      <c r="G512" t="n">
        <v>4</v>
      </c>
      <c r="H512" t="n">
        <v>2</v>
      </c>
      <c r="I512" t="n">
        <v>5</v>
      </c>
      <c r="J512" t="n">
        <v>4</v>
      </c>
      <c r="K512" t="n">
        <v>4</v>
      </c>
      <c r="L512" t="n">
        <v>4</v>
      </c>
      <c r="M512" t="n">
        <v>3</v>
      </c>
      <c r="N512" t="n">
        <v>2</v>
      </c>
      <c r="O512" t="n">
        <v>2</v>
      </c>
      <c r="P512" t="n">
        <v>5</v>
      </c>
      <c r="Q512" t="n">
        <v>5</v>
      </c>
      <c r="R512" t="n">
        <v>1</v>
      </c>
      <c r="S512" t="n">
        <v>4</v>
      </c>
      <c r="T512" t="n">
        <v>5</v>
      </c>
      <c r="U512" t="n">
        <v>1</v>
      </c>
      <c r="V512" t="n">
        <v>5</v>
      </c>
      <c r="W512">
        <f>(AVERAGE(B512:D512)-1)/4</f>
        <v/>
      </c>
      <c r="X512">
        <f>(AVERAGE(E512:G512)-1)/4</f>
        <v/>
      </c>
      <c r="Y512">
        <f>(AVERAGE(H512:J512)-1)/4</f>
        <v/>
      </c>
      <c r="Z512">
        <f>(AVERAGE(K512:M512)-1)/4</f>
        <v/>
      </c>
      <c r="AA512">
        <f>(AVERAGE(N512:P512)-1)/4</f>
        <v/>
      </c>
      <c r="AB512">
        <f>(AVERAGE(Q512:S512)-1)/4</f>
        <v/>
      </c>
      <c r="AC512">
        <f>(AVERAGE(T512:V512)-1)/4</f>
        <v/>
      </c>
      <c r="AD512">
        <f>AVERAGE(W512:AA512)</f>
        <v/>
      </c>
      <c r="AE512">
        <f>MIN(W512:AA512)</f>
        <v/>
      </c>
      <c r="AF512">
        <f>1-alpha*MAX(0,delta-AE512)</f>
        <v/>
      </c>
      <c r="AG512">
        <f>AD512*AF512</f>
        <v/>
      </c>
      <c r="AH512">
        <f>1+COUNTIF(bounds,"&lt;"&amp;ROUND(AD512,12))</f>
        <v/>
      </c>
      <c r="AI512">
        <f>1+COUNTIF(bounds,"&lt;"&amp;ROUND(AG512,12))</f>
        <v/>
      </c>
      <c r="AJ512">
        <f>IF(AF512&lt;1,1,0)</f>
        <v/>
      </c>
      <c r="AK512">
        <f>IF(AH512&lt;&gt;AI512,1,0)</f>
        <v/>
      </c>
      <c r="AL512">
        <f>IF(AND(AI512&gt;=3,AB512&lt;=0.2),1,0)</f>
        <v/>
      </c>
      <c r="AM512">
        <f>AVERAGE(W512:AB512)</f>
        <v/>
      </c>
      <c r="AN512">
        <f>1+COUNTIF(bounds,"&lt;"&amp;ROUND(AM512,12))</f>
        <v/>
      </c>
      <c r="AO512">
        <f>IF(AK512=1,AD512,NA())</f>
        <v/>
      </c>
      <c r="AP512">
        <f>IF(AK512=0,AD512,NA())</f>
        <v/>
      </c>
    </row>
    <row r="513">
      <c r="A513" t="n">
        <v>505</v>
      </c>
      <c r="B513" t="n">
        <v>5</v>
      </c>
      <c r="C513" t="n">
        <v>3</v>
      </c>
      <c r="D513" t="n">
        <v>2</v>
      </c>
      <c r="E513" t="n">
        <v>5</v>
      </c>
      <c r="F513" t="n">
        <v>3</v>
      </c>
      <c r="G513" t="n">
        <v>3</v>
      </c>
      <c r="H513" t="n">
        <v>2</v>
      </c>
      <c r="I513" t="n">
        <v>2</v>
      </c>
      <c r="J513" t="n">
        <v>4</v>
      </c>
      <c r="K513" t="n">
        <v>4</v>
      </c>
      <c r="L513" t="n">
        <v>5</v>
      </c>
      <c r="M513" t="n">
        <v>4</v>
      </c>
      <c r="N513" t="n">
        <v>1</v>
      </c>
      <c r="O513" t="n">
        <v>1</v>
      </c>
      <c r="P513" t="n">
        <v>4</v>
      </c>
      <c r="Q513" t="n">
        <v>2</v>
      </c>
      <c r="R513" t="n">
        <v>3</v>
      </c>
      <c r="S513" t="n">
        <v>4</v>
      </c>
      <c r="T513" t="n">
        <v>3</v>
      </c>
      <c r="U513" t="n">
        <v>3</v>
      </c>
      <c r="V513" t="n">
        <v>3</v>
      </c>
      <c r="W513">
        <f>(AVERAGE(B513:D513)-1)/4</f>
        <v/>
      </c>
      <c r="X513">
        <f>(AVERAGE(E513:G513)-1)/4</f>
        <v/>
      </c>
      <c r="Y513">
        <f>(AVERAGE(H513:J513)-1)/4</f>
        <v/>
      </c>
      <c r="Z513">
        <f>(AVERAGE(K513:M513)-1)/4</f>
        <v/>
      </c>
      <c r="AA513">
        <f>(AVERAGE(N513:P513)-1)/4</f>
        <v/>
      </c>
      <c r="AB513">
        <f>(AVERAGE(Q513:S513)-1)/4</f>
        <v/>
      </c>
      <c r="AC513">
        <f>(AVERAGE(T513:V513)-1)/4</f>
        <v/>
      </c>
      <c r="AD513">
        <f>AVERAGE(W513:AA513)</f>
        <v/>
      </c>
      <c r="AE513">
        <f>MIN(W513:AA513)</f>
        <v/>
      </c>
      <c r="AF513">
        <f>1-alpha*MAX(0,delta-AE513)</f>
        <v/>
      </c>
      <c r="AG513">
        <f>AD513*AF513</f>
        <v/>
      </c>
      <c r="AH513">
        <f>1+COUNTIF(bounds,"&lt;"&amp;ROUND(AD513,12))</f>
        <v/>
      </c>
      <c r="AI513">
        <f>1+COUNTIF(bounds,"&lt;"&amp;ROUND(AG513,12))</f>
        <v/>
      </c>
      <c r="AJ513">
        <f>IF(AF513&lt;1,1,0)</f>
        <v/>
      </c>
      <c r="AK513">
        <f>IF(AH513&lt;&gt;AI513,1,0)</f>
        <v/>
      </c>
      <c r="AL513">
        <f>IF(AND(AI513&gt;=3,AB513&lt;=0.2),1,0)</f>
        <v/>
      </c>
      <c r="AM513">
        <f>AVERAGE(W513:AB513)</f>
        <v/>
      </c>
      <c r="AN513">
        <f>1+COUNTIF(bounds,"&lt;"&amp;ROUND(AM513,12))</f>
        <v/>
      </c>
      <c r="AO513">
        <f>IF(AK513=1,AD513,NA())</f>
        <v/>
      </c>
      <c r="AP513">
        <f>IF(AK513=0,AD513,NA())</f>
        <v/>
      </c>
    </row>
    <row r="514">
      <c r="A514" t="n">
        <v>506</v>
      </c>
      <c r="B514" t="n">
        <v>2</v>
      </c>
      <c r="C514" t="n">
        <v>2</v>
      </c>
      <c r="D514" t="n">
        <v>2</v>
      </c>
      <c r="E514" t="n">
        <v>1</v>
      </c>
      <c r="F514" t="n">
        <v>2</v>
      </c>
      <c r="G514" t="n">
        <v>2</v>
      </c>
      <c r="H514" t="n">
        <v>1</v>
      </c>
      <c r="I514" t="n">
        <v>3</v>
      </c>
      <c r="J514" t="n">
        <v>2</v>
      </c>
      <c r="K514" t="n">
        <v>3</v>
      </c>
      <c r="L514" t="n">
        <v>2</v>
      </c>
      <c r="M514" t="n">
        <v>2</v>
      </c>
      <c r="N514" t="n">
        <v>4</v>
      </c>
      <c r="O514" t="n">
        <v>5</v>
      </c>
      <c r="P514" t="n">
        <v>5</v>
      </c>
      <c r="Q514" t="n">
        <v>1</v>
      </c>
      <c r="R514" t="n">
        <v>1</v>
      </c>
      <c r="S514" t="n">
        <v>5</v>
      </c>
      <c r="T514" t="n">
        <v>4</v>
      </c>
      <c r="U514" t="n">
        <v>2</v>
      </c>
      <c r="V514" t="n">
        <v>3</v>
      </c>
      <c r="W514">
        <f>(AVERAGE(B514:D514)-1)/4</f>
        <v/>
      </c>
      <c r="X514">
        <f>(AVERAGE(E514:G514)-1)/4</f>
        <v/>
      </c>
      <c r="Y514">
        <f>(AVERAGE(H514:J514)-1)/4</f>
        <v/>
      </c>
      <c r="Z514">
        <f>(AVERAGE(K514:M514)-1)/4</f>
        <v/>
      </c>
      <c r="AA514">
        <f>(AVERAGE(N514:P514)-1)/4</f>
        <v/>
      </c>
      <c r="AB514">
        <f>(AVERAGE(Q514:S514)-1)/4</f>
        <v/>
      </c>
      <c r="AC514">
        <f>(AVERAGE(T514:V514)-1)/4</f>
        <v/>
      </c>
      <c r="AD514">
        <f>AVERAGE(W514:AA514)</f>
        <v/>
      </c>
      <c r="AE514">
        <f>MIN(W514:AA514)</f>
        <v/>
      </c>
      <c r="AF514">
        <f>1-alpha*MAX(0,delta-AE514)</f>
        <v/>
      </c>
      <c r="AG514">
        <f>AD514*AF514</f>
        <v/>
      </c>
      <c r="AH514">
        <f>1+COUNTIF(bounds,"&lt;"&amp;ROUND(AD514,12))</f>
        <v/>
      </c>
      <c r="AI514">
        <f>1+COUNTIF(bounds,"&lt;"&amp;ROUND(AG514,12))</f>
        <v/>
      </c>
      <c r="AJ514">
        <f>IF(AF514&lt;1,1,0)</f>
        <v/>
      </c>
      <c r="AK514">
        <f>IF(AH514&lt;&gt;AI514,1,0)</f>
        <v/>
      </c>
      <c r="AL514">
        <f>IF(AND(AI514&gt;=3,AB514&lt;=0.2),1,0)</f>
        <v/>
      </c>
      <c r="AM514">
        <f>AVERAGE(W514:AB514)</f>
        <v/>
      </c>
      <c r="AN514">
        <f>1+COUNTIF(bounds,"&lt;"&amp;ROUND(AM514,12))</f>
        <v/>
      </c>
      <c r="AO514">
        <f>IF(AK514=1,AD514,NA())</f>
        <v/>
      </c>
      <c r="AP514">
        <f>IF(AK514=0,AD514,NA())</f>
        <v/>
      </c>
    </row>
    <row r="515">
      <c r="A515" t="n">
        <v>507</v>
      </c>
      <c r="B515" t="n">
        <v>1</v>
      </c>
      <c r="C515" t="n">
        <v>2</v>
      </c>
      <c r="D515" t="n">
        <v>1</v>
      </c>
      <c r="E515" t="n">
        <v>4</v>
      </c>
      <c r="F515" t="n">
        <v>1</v>
      </c>
      <c r="G515" t="n">
        <v>2</v>
      </c>
      <c r="H515" t="n">
        <v>5</v>
      </c>
      <c r="I515" t="n">
        <v>1</v>
      </c>
      <c r="J515" t="n">
        <v>1</v>
      </c>
      <c r="K515" t="n">
        <v>2</v>
      </c>
      <c r="L515" t="n">
        <v>2</v>
      </c>
      <c r="M515" t="n">
        <v>2</v>
      </c>
      <c r="N515" t="n">
        <v>2</v>
      </c>
      <c r="O515" t="n">
        <v>4</v>
      </c>
      <c r="P515" t="n">
        <v>2</v>
      </c>
      <c r="Q515" t="n">
        <v>1</v>
      </c>
      <c r="R515" t="n">
        <v>1</v>
      </c>
      <c r="S515" t="n">
        <v>4</v>
      </c>
      <c r="T515" t="n">
        <v>1</v>
      </c>
      <c r="U515" t="n">
        <v>4</v>
      </c>
      <c r="V515" t="n">
        <v>3</v>
      </c>
      <c r="W515">
        <f>(AVERAGE(B515:D515)-1)/4</f>
        <v/>
      </c>
      <c r="X515">
        <f>(AVERAGE(E515:G515)-1)/4</f>
        <v/>
      </c>
      <c r="Y515">
        <f>(AVERAGE(H515:J515)-1)/4</f>
        <v/>
      </c>
      <c r="Z515">
        <f>(AVERAGE(K515:M515)-1)/4</f>
        <v/>
      </c>
      <c r="AA515">
        <f>(AVERAGE(N515:P515)-1)/4</f>
        <v/>
      </c>
      <c r="AB515">
        <f>(AVERAGE(Q515:S515)-1)/4</f>
        <v/>
      </c>
      <c r="AC515">
        <f>(AVERAGE(T515:V515)-1)/4</f>
        <v/>
      </c>
      <c r="AD515">
        <f>AVERAGE(W515:AA515)</f>
        <v/>
      </c>
      <c r="AE515">
        <f>MIN(W515:AA515)</f>
        <v/>
      </c>
      <c r="AF515">
        <f>1-alpha*MAX(0,delta-AE515)</f>
        <v/>
      </c>
      <c r="AG515">
        <f>AD515*AF515</f>
        <v/>
      </c>
      <c r="AH515">
        <f>1+COUNTIF(bounds,"&lt;"&amp;ROUND(AD515,12))</f>
        <v/>
      </c>
      <c r="AI515">
        <f>1+COUNTIF(bounds,"&lt;"&amp;ROUND(AG515,12))</f>
        <v/>
      </c>
      <c r="AJ515">
        <f>IF(AF515&lt;1,1,0)</f>
        <v/>
      </c>
      <c r="AK515">
        <f>IF(AH515&lt;&gt;AI515,1,0)</f>
        <v/>
      </c>
      <c r="AL515">
        <f>IF(AND(AI515&gt;=3,AB515&lt;=0.2),1,0)</f>
        <v/>
      </c>
      <c r="AM515">
        <f>AVERAGE(W515:AB515)</f>
        <v/>
      </c>
      <c r="AN515">
        <f>1+COUNTIF(bounds,"&lt;"&amp;ROUND(AM515,12))</f>
        <v/>
      </c>
      <c r="AO515">
        <f>IF(AK515=1,AD515,NA())</f>
        <v/>
      </c>
      <c r="AP515">
        <f>IF(AK515=0,AD515,NA())</f>
        <v/>
      </c>
    </row>
    <row r="516">
      <c r="A516" t="n">
        <v>508</v>
      </c>
      <c r="B516" t="n">
        <v>1</v>
      </c>
      <c r="C516" t="n">
        <v>5</v>
      </c>
      <c r="D516" t="n">
        <v>4</v>
      </c>
      <c r="E516" t="n">
        <v>3</v>
      </c>
      <c r="F516" t="n">
        <v>2</v>
      </c>
      <c r="G516" t="n">
        <v>3</v>
      </c>
      <c r="H516" t="n">
        <v>1</v>
      </c>
      <c r="I516" t="n">
        <v>4</v>
      </c>
      <c r="J516" t="n">
        <v>1</v>
      </c>
      <c r="K516" t="n">
        <v>3</v>
      </c>
      <c r="L516" t="n">
        <v>4</v>
      </c>
      <c r="M516" t="n">
        <v>5</v>
      </c>
      <c r="N516" t="n">
        <v>1</v>
      </c>
      <c r="O516" t="n">
        <v>2</v>
      </c>
      <c r="P516" t="n">
        <v>3</v>
      </c>
      <c r="Q516" t="n">
        <v>4</v>
      </c>
      <c r="R516" t="n">
        <v>1</v>
      </c>
      <c r="S516" t="n">
        <v>4</v>
      </c>
      <c r="T516" t="n">
        <v>3</v>
      </c>
      <c r="U516" t="n">
        <v>4</v>
      </c>
      <c r="V516" t="n">
        <v>5</v>
      </c>
      <c r="W516">
        <f>(AVERAGE(B516:D516)-1)/4</f>
        <v/>
      </c>
      <c r="X516">
        <f>(AVERAGE(E516:G516)-1)/4</f>
        <v/>
      </c>
      <c r="Y516">
        <f>(AVERAGE(H516:J516)-1)/4</f>
        <v/>
      </c>
      <c r="Z516">
        <f>(AVERAGE(K516:M516)-1)/4</f>
        <v/>
      </c>
      <c r="AA516">
        <f>(AVERAGE(N516:P516)-1)/4</f>
        <v/>
      </c>
      <c r="AB516">
        <f>(AVERAGE(Q516:S516)-1)/4</f>
        <v/>
      </c>
      <c r="AC516">
        <f>(AVERAGE(T516:V516)-1)/4</f>
        <v/>
      </c>
      <c r="AD516">
        <f>AVERAGE(W516:AA516)</f>
        <v/>
      </c>
      <c r="AE516">
        <f>MIN(W516:AA516)</f>
        <v/>
      </c>
      <c r="AF516">
        <f>1-alpha*MAX(0,delta-AE516)</f>
        <v/>
      </c>
      <c r="AG516">
        <f>AD516*AF516</f>
        <v/>
      </c>
      <c r="AH516">
        <f>1+COUNTIF(bounds,"&lt;"&amp;ROUND(AD516,12))</f>
        <v/>
      </c>
      <c r="AI516">
        <f>1+COUNTIF(bounds,"&lt;"&amp;ROUND(AG516,12))</f>
        <v/>
      </c>
      <c r="AJ516">
        <f>IF(AF516&lt;1,1,0)</f>
        <v/>
      </c>
      <c r="AK516">
        <f>IF(AH516&lt;&gt;AI516,1,0)</f>
        <v/>
      </c>
      <c r="AL516">
        <f>IF(AND(AI516&gt;=3,AB516&lt;=0.2),1,0)</f>
        <v/>
      </c>
      <c r="AM516">
        <f>AVERAGE(W516:AB516)</f>
        <v/>
      </c>
      <c r="AN516">
        <f>1+COUNTIF(bounds,"&lt;"&amp;ROUND(AM516,12))</f>
        <v/>
      </c>
      <c r="AO516">
        <f>IF(AK516=1,AD516,NA())</f>
        <v/>
      </c>
      <c r="AP516">
        <f>IF(AK516=0,AD516,NA())</f>
        <v/>
      </c>
    </row>
    <row r="517">
      <c r="A517" t="n">
        <v>509</v>
      </c>
      <c r="B517" t="n">
        <v>4</v>
      </c>
      <c r="C517" t="n">
        <v>4</v>
      </c>
      <c r="D517" t="n">
        <v>2</v>
      </c>
      <c r="E517" t="n">
        <v>2</v>
      </c>
      <c r="F517" t="n">
        <v>5</v>
      </c>
      <c r="G517" t="n">
        <v>1</v>
      </c>
      <c r="H517" t="n">
        <v>3</v>
      </c>
      <c r="I517" t="n">
        <v>3</v>
      </c>
      <c r="J517" t="n">
        <v>2</v>
      </c>
      <c r="K517" t="n">
        <v>4</v>
      </c>
      <c r="L517" t="n">
        <v>3</v>
      </c>
      <c r="M517" t="n">
        <v>4</v>
      </c>
      <c r="N517" t="n">
        <v>2</v>
      </c>
      <c r="O517" t="n">
        <v>2</v>
      </c>
      <c r="P517" t="n">
        <v>4</v>
      </c>
      <c r="Q517" t="n">
        <v>1</v>
      </c>
      <c r="R517" t="n">
        <v>3</v>
      </c>
      <c r="S517" t="n">
        <v>1</v>
      </c>
      <c r="T517" t="n">
        <v>1</v>
      </c>
      <c r="U517" t="n">
        <v>5</v>
      </c>
      <c r="V517" t="n">
        <v>2</v>
      </c>
      <c r="W517">
        <f>(AVERAGE(B517:D517)-1)/4</f>
        <v/>
      </c>
      <c r="X517">
        <f>(AVERAGE(E517:G517)-1)/4</f>
        <v/>
      </c>
      <c r="Y517">
        <f>(AVERAGE(H517:J517)-1)/4</f>
        <v/>
      </c>
      <c r="Z517">
        <f>(AVERAGE(K517:M517)-1)/4</f>
        <v/>
      </c>
      <c r="AA517">
        <f>(AVERAGE(N517:P517)-1)/4</f>
        <v/>
      </c>
      <c r="AB517">
        <f>(AVERAGE(Q517:S517)-1)/4</f>
        <v/>
      </c>
      <c r="AC517">
        <f>(AVERAGE(T517:V517)-1)/4</f>
        <v/>
      </c>
      <c r="AD517">
        <f>AVERAGE(W517:AA517)</f>
        <v/>
      </c>
      <c r="AE517">
        <f>MIN(W517:AA517)</f>
        <v/>
      </c>
      <c r="AF517">
        <f>1-alpha*MAX(0,delta-AE517)</f>
        <v/>
      </c>
      <c r="AG517">
        <f>AD517*AF517</f>
        <v/>
      </c>
      <c r="AH517">
        <f>1+COUNTIF(bounds,"&lt;"&amp;ROUND(AD517,12))</f>
        <v/>
      </c>
      <c r="AI517">
        <f>1+COUNTIF(bounds,"&lt;"&amp;ROUND(AG517,12))</f>
        <v/>
      </c>
      <c r="AJ517">
        <f>IF(AF517&lt;1,1,0)</f>
        <v/>
      </c>
      <c r="AK517">
        <f>IF(AH517&lt;&gt;AI517,1,0)</f>
        <v/>
      </c>
      <c r="AL517">
        <f>IF(AND(AI517&gt;=3,AB517&lt;=0.2),1,0)</f>
        <v/>
      </c>
      <c r="AM517">
        <f>AVERAGE(W517:AB517)</f>
        <v/>
      </c>
      <c r="AN517">
        <f>1+COUNTIF(bounds,"&lt;"&amp;ROUND(AM517,12))</f>
        <v/>
      </c>
      <c r="AO517">
        <f>IF(AK517=1,AD517,NA())</f>
        <v/>
      </c>
      <c r="AP517">
        <f>IF(AK517=0,AD517,NA())</f>
        <v/>
      </c>
    </row>
    <row r="518">
      <c r="A518" t="n">
        <v>510</v>
      </c>
      <c r="B518" t="n">
        <v>4</v>
      </c>
      <c r="C518" t="n">
        <v>5</v>
      </c>
      <c r="D518" t="n">
        <v>5</v>
      </c>
      <c r="E518" t="n">
        <v>3</v>
      </c>
      <c r="F518" t="n">
        <v>3</v>
      </c>
      <c r="G518" t="n">
        <v>4</v>
      </c>
      <c r="H518" t="n">
        <v>3</v>
      </c>
      <c r="I518" t="n">
        <v>5</v>
      </c>
      <c r="J518" t="n">
        <v>1</v>
      </c>
      <c r="K518" t="n">
        <v>1</v>
      </c>
      <c r="L518" t="n">
        <v>3</v>
      </c>
      <c r="M518" t="n">
        <v>4</v>
      </c>
      <c r="N518" t="n">
        <v>3</v>
      </c>
      <c r="O518" t="n">
        <v>5</v>
      </c>
      <c r="P518" t="n">
        <v>4</v>
      </c>
      <c r="Q518" t="n">
        <v>5</v>
      </c>
      <c r="R518" t="n">
        <v>1</v>
      </c>
      <c r="S518" t="n">
        <v>3</v>
      </c>
      <c r="T518" t="n">
        <v>5</v>
      </c>
      <c r="U518" t="n">
        <v>5</v>
      </c>
      <c r="V518" t="n">
        <v>4</v>
      </c>
      <c r="W518">
        <f>(AVERAGE(B518:D518)-1)/4</f>
        <v/>
      </c>
      <c r="X518">
        <f>(AVERAGE(E518:G518)-1)/4</f>
        <v/>
      </c>
      <c r="Y518">
        <f>(AVERAGE(H518:J518)-1)/4</f>
        <v/>
      </c>
      <c r="Z518">
        <f>(AVERAGE(K518:M518)-1)/4</f>
        <v/>
      </c>
      <c r="AA518">
        <f>(AVERAGE(N518:P518)-1)/4</f>
        <v/>
      </c>
      <c r="AB518">
        <f>(AVERAGE(Q518:S518)-1)/4</f>
        <v/>
      </c>
      <c r="AC518">
        <f>(AVERAGE(T518:V518)-1)/4</f>
        <v/>
      </c>
      <c r="AD518">
        <f>AVERAGE(W518:AA518)</f>
        <v/>
      </c>
      <c r="AE518">
        <f>MIN(W518:AA518)</f>
        <v/>
      </c>
      <c r="AF518">
        <f>1-alpha*MAX(0,delta-AE518)</f>
        <v/>
      </c>
      <c r="AG518">
        <f>AD518*AF518</f>
        <v/>
      </c>
      <c r="AH518">
        <f>1+COUNTIF(bounds,"&lt;"&amp;ROUND(AD518,12))</f>
        <v/>
      </c>
      <c r="AI518">
        <f>1+COUNTIF(bounds,"&lt;"&amp;ROUND(AG518,12))</f>
        <v/>
      </c>
      <c r="AJ518">
        <f>IF(AF518&lt;1,1,0)</f>
        <v/>
      </c>
      <c r="AK518">
        <f>IF(AH518&lt;&gt;AI518,1,0)</f>
        <v/>
      </c>
      <c r="AL518">
        <f>IF(AND(AI518&gt;=3,AB518&lt;=0.2),1,0)</f>
        <v/>
      </c>
      <c r="AM518">
        <f>AVERAGE(W518:AB518)</f>
        <v/>
      </c>
      <c r="AN518">
        <f>1+COUNTIF(bounds,"&lt;"&amp;ROUND(AM518,12))</f>
        <v/>
      </c>
      <c r="AO518">
        <f>IF(AK518=1,AD518,NA())</f>
        <v/>
      </c>
      <c r="AP518">
        <f>IF(AK518=0,AD518,NA())</f>
        <v/>
      </c>
    </row>
    <row r="519">
      <c r="A519" t="n">
        <v>511</v>
      </c>
      <c r="B519" t="n">
        <v>3</v>
      </c>
      <c r="C519" t="n">
        <v>5</v>
      </c>
      <c r="D519" t="n">
        <v>4</v>
      </c>
      <c r="E519" t="n">
        <v>2</v>
      </c>
      <c r="F519" t="n">
        <v>5</v>
      </c>
      <c r="G519" t="n">
        <v>2</v>
      </c>
      <c r="H519" t="n">
        <v>2</v>
      </c>
      <c r="I519" t="n">
        <v>2</v>
      </c>
      <c r="J519" t="n">
        <v>5</v>
      </c>
      <c r="K519" t="n">
        <v>4</v>
      </c>
      <c r="L519" t="n">
        <v>4</v>
      </c>
      <c r="M519" t="n">
        <v>2</v>
      </c>
      <c r="N519" t="n">
        <v>4</v>
      </c>
      <c r="O519" t="n">
        <v>3</v>
      </c>
      <c r="P519" t="n">
        <v>5</v>
      </c>
      <c r="Q519" t="n">
        <v>3</v>
      </c>
      <c r="R519" t="n">
        <v>4</v>
      </c>
      <c r="S519" t="n">
        <v>2</v>
      </c>
      <c r="T519" t="n">
        <v>5</v>
      </c>
      <c r="U519" t="n">
        <v>3</v>
      </c>
      <c r="V519" t="n">
        <v>5</v>
      </c>
      <c r="W519">
        <f>(AVERAGE(B519:D519)-1)/4</f>
        <v/>
      </c>
      <c r="X519">
        <f>(AVERAGE(E519:G519)-1)/4</f>
        <v/>
      </c>
      <c r="Y519">
        <f>(AVERAGE(H519:J519)-1)/4</f>
        <v/>
      </c>
      <c r="Z519">
        <f>(AVERAGE(K519:M519)-1)/4</f>
        <v/>
      </c>
      <c r="AA519">
        <f>(AVERAGE(N519:P519)-1)/4</f>
        <v/>
      </c>
      <c r="AB519">
        <f>(AVERAGE(Q519:S519)-1)/4</f>
        <v/>
      </c>
      <c r="AC519">
        <f>(AVERAGE(T519:V519)-1)/4</f>
        <v/>
      </c>
      <c r="AD519">
        <f>AVERAGE(W519:AA519)</f>
        <v/>
      </c>
      <c r="AE519">
        <f>MIN(W519:AA519)</f>
        <v/>
      </c>
      <c r="AF519">
        <f>1-alpha*MAX(0,delta-AE519)</f>
        <v/>
      </c>
      <c r="AG519">
        <f>AD519*AF519</f>
        <v/>
      </c>
      <c r="AH519">
        <f>1+COUNTIF(bounds,"&lt;"&amp;ROUND(AD519,12))</f>
        <v/>
      </c>
      <c r="AI519">
        <f>1+COUNTIF(bounds,"&lt;"&amp;ROUND(AG519,12))</f>
        <v/>
      </c>
      <c r="AJ519">
        <f>IF(AF519&lt;1,1,0)</f>
        <v/>
      </c>
      <c r="AK519">
        <f>IF(AH519&lt;&gt;AI519,1,0)</f>
        <v/>
      </c>
      <c r="AL519">
        <f>IF(AND(AI519&gt;=3,AB519&lt;=0.2),1,0)</f>
        <v/>
      </c>
      <c r="AM519">
        <f>AVERAGE(W519:AB519)</f>
        <v/>
      </c>
      <c r="AN519">
        <f>1+COUNTIF(bounds,"&lt;"&amp;ROUND(AM519,12))</f>
        <v/>
      </c>
      <c r="AO519">
        <f>IF(AK519=1,AD519,NA())</f>
        <v/>
      </c>
      <c r="AP519">
        <f>IF(AK519=0,AD519,NA())</f>
        <v/>
      </c>
    </row>
    <row r="520">
      <c r="A520" t="n">
        <v>512</v>
      </c>
      <c r="B520" t="n">
        <v>2</v>
      </c>
      <c r="C520" t="n">
        <v>3</v>
      </c>
      <c r="D520" t="n">
        <v>2</v>
      </c>
      <c r="E520" t="n">
        <v>5</v>
      </c>
      <c r="F520" t="n">
        <v>4</v>
      </c>
      <c r="G520" t="n">
        <v>3</v>
      </c>
      <c r="H520" t="n">
        <v>4</v>
      </c>
      <c r="I520" t="n">
        <v>5</v>
      </c>
      <c r="J520" t="n">
        <v>4</v>
      </c>
      <c r="K520" t="n">
        <v>5</v>
      </c>
      <c r="L520" t="n">
        <v>1</v>
      </c>
      <c r="M520" t="n">
        <v>4</v>
      </c>
      <c r="N520" t="n">
        <v>1</v>
      </c>
      <c r="O520" t="n">
        <v>3</v>
      </c>
      <c r="P520" t="n">
        <v>1</v>
      </c>
      <c r="Q520" t="n">
        <v>5</v>
      </c>
      <c r="R520" t="n">
        <v>4</v>
      </c>
      <c r="S520" t="n">
        <v>4</v>
      </c>
      <c r="T520" t="n">
        <v>2</v>
      </c>
      <c r="U520" t="n">
        <v>3</v>
      </c>
      <c r="V520" t="n">
        <v>5</v>
      </c>
      <c r="W520">
        <f>(AVERAGE(B520:D520)-1)/4</f>
        <v/>
      </c>
      <c r="X520">
        <f>(AVERAGE(E520:G520)-1)/4</f>
        <v/>
      </c>
      <c r="Y520">
        <f>(AVERAGE(H520:J520)-1)/4</f>
        <v/>
      </c>
      <c r="Z520">
        <f>(AVERAGE(K520:M520)-1)/4</f>
        <v/>
      </c>
      <c r="AA520">
        <f>(AVERAGE(N520:P520)-1)/4</f>
        <v/>
      </c>
      <c r="AB520">
        <f>(AVERAGE(Q520:S520)-1)/4</f>
        <v/>
      </c>
      <c r="AC520">
        <f>(AVERAGE(T520:V520)-1)/4</f>
        <v/>
      </c>
      <c r="AD520">
        <f>AVERAGE(W520:AA520)</f>
        <v/>
      </c>
      <c r="AE520">
        <f>MIN(W520:AA520)</f>
        <v/>
      </c>
      <c r="AF520">
        <f>1-alpha*MAX(0,delta-AE520)</f>
        <v/>
      </c>
      <c r="AG520">
        <f>AD520*AF520</f>
        <v/>
      </c>
      <c r="AH520">
        <f>1+COUNTIF(bounds,"&lt;"&amp;ROUND(AD520,12))</f>
        <v/>
      </c>
      <c r="AI520">
        <f>1+COUNTIF(bounds,"&lt;"&amp;ROUND(AG520,12))</f>
        <v/>
      </c>
      <c r="AJ520">
        <f>IF(AF520&lt;1,1,0)</f>
        <v/>
      </c>
      <c r="AK520">
        <f>IF(AH520&lt;&gt;AI520,1,0)</f>
        <v/>
      </c>
      <c r="AL520">
        <f>IF(AND(AI520&gt;=3,AB520&lt;=0.2),1,0)</f>
        <v/>
      </c>
      <c r="AM520">
        <f>AVERAGE(W520:AB520)</f>
        <v/>
      </c>
      <c r="AN520">
        <f>1+COUNTIF(bounds,"&lt;"&amp;ROUND(AM520,12))</f>
        <v/>
      </c>
      <c r="AO520">
        <f>IF(AK520=1,AD520,NA())</f>
        <v/>
      </c>
      <c r="AP520">
        <f>IF(AK520=0,AD520,NA())</f>
        <v/>
      </c>
    </row>
    <row r="521">
      <c r="A521" t="n">
        <v>513</v>
      </c>
      <c r="B521" t="n">
        <v>2</v>
      </c>
      <c r="C521" t="n">
        <v>3</v>
      </c>
      <c r="D521" t="n">
        <v>4</v>
      </c>
      <c r="E521" t="n">
        <v>5</v>
      </c>
      <c r="F521" t="n">
        <v>2</v>
      </c>
      <c r="G521" t="n">
        <v>3</v>
      </c>
      <c r="H521" t="n">
        <v>5</v>
      </c>
      <c r="I521" t="n">
        <v>5</v>
      </c>
      <c r="J521" t="n">
        <v>1</v>
      </c>
      <c r="K521" t="n">
        <v>2</v>
      </c>
      <c r="L521" t="n">
        <v>5</v>
      </c>
      <c r="M521" t="n">
        <v>5</v>
      </c>
      <c r="N521" t="n">
        <v>2</v>
      </c>
      <c r="O521" t="n">
        <v>2</v>
      </c>
      <c r="P521" t="n">
        <v>5</v>
      </c>
      <c r="Q521" t="n">
        <v>1</v>
      </c>
      <c r="R521" t="n">
        <v>1</v>
      </c>
      <c r="S521" t="n">
        <v>2</v>
      </c>
      <c r="T521" t="n">
        <v>1</v>
      </c>
      <c r="U521" t="n">
        <v>5</v>
      </c>
      <c r="V521" t="n">
        <v>4</v>
      </c>
      <c r="W521">
        <f>(AVERAGE(B521:D521)-1)/4</f>
        <v/>
      </c>
      <c r="X521">
        <f>(AVERAGE(E521:G521)-1)/4</f>
        <v/>
      </c>
      <c r="Y521">
        <f>(AVERAGE(H521:J521)-1)/4</f>
        <v/>
      </c>
      <c r="Z521">
        <f>(AVERAGE(K521:M521)-1)/4</f>
        <v/>
      </c>
      <c r="AA521">
        <f>(AVERAGE(N521:P521)-1)/4</f>
        <v/>
      </c>
      <c r="AB521">
        <f>(AVERAGE(Q521:S521)-1)/4</f>
        <v/>
      </c>
      <c r="AC521">
        <f>(AVERAGE(T521:V521)-1)/4</f>
        <v/>
      </c>
      <c r="AD521">
        <f>AVERAGE(W521:AA521)</f>
        <v/>
      </c>
      <c r="AE521">
        <f>MIN(W521:AA521)</f>
        <v/>
      </c>
      <c r="AF521">
        <f>1-alpha*MAX(0,delta-AE521)</f>
        <v/>
      </c>
      <c r="AG521">
        <f>AD521*AF521</f>
        <v/>
      </c>
      <c r="AH521">
        <f>1+COUNTIF(bounds,"&lt;"&amp;ROUND(AD521,12))</f>
        <v/>
      </c>
      <c r="AI521">
        <f>1+COUNTIF(bounds,"&lt;"&amp;ROUND(AG521,12))</f>
        <v/>
      </c>
      <c r="AJ521">
        <f>IF(AF521&lt;1,1,0)</f>
        <v/>
      </c>
      <c r="AK521">
        <f>IF(AH521&lt;&gt;AI521,1,0)</f>
        <v/>
      </c>
      <c r="AL521">
        <f>IF(AND(AI521&gt;=3,AB521&lt;=0.2),1,0)</f>
        <v/>
      </c>
      <c r="AM521">
        <f>AVERAGE(W521:AB521)</f>
        <v/>
      </c>
      <c r="AN521">
        <f>1+COUNTIF(bounds,"&lt;"&amp;ROUND(AM521,12))</f>
        <v/>
      </c>
      <c r="AO521">
        <f>IF(AK521=1,AD521,NA())</f>
        <v/>
      </c>
      <c r="AP521">
        <f>IF(AK521=0,AD521,NA())</f>
        <v/>
      </c>
    </row>
    <row r="522">
      <c r="A522" t="n">
        <v>514</v>
      </c>
      <c r="B522" t="n">
        <v>1</v>
      </c>
      <c r="C522" t="n">
        <v>2</v>
      </c>
      <c r="D522" t="n">
        <v>2</v>
      </c>
      <c r="E522" t="n">
        <v>1</v>
      </c>
      <c r="F522" t="n">
        <v>1</v>
      </c>
      <c r="G522" t="n">
        <v>3</v>
      </c>
      <c r="H522" t="n">
        <v>2</v>
      </c>
      <c r="I522" t="n">
        <v>5</v>
      </c>
      <c r="J522" t="n">
        <v>2</v>
      </c>
      <c r="K522" t="n">
        <v>3</v>
      </c>
      <c r="L522" t="n">
        <v>4</v>
      </c>
      <c r="M522" t="n">
        <v>5</v>
      </c>
      <c r="N522" t="n">
        <v>1</v>
      </c>
      <c r="O522" t="n">
        <v>3</v>
      </c>
      <c r="P522" t="n">
        <v>1</v>
      </c>
      <c r="Q522" t="n">
        <v>3</v>
      </c>
      <c r="R522" t="n">
        <v>5</v>
      </c>
      <c r="S522" t="n">
        <v>5</v>
      </c>
      <c r="T522" t="n">
        <v>2</v>
      </c>
      <c r="U522" t="n">
        <v>3</v>
      </c>
      <c r="V522" t="n">
        <v>2</v>
      </c>
      <c r="W522">
        <f>(AVERAGE(B522:D522)-1)/4</f>
        <v/>
      </c>
      <c r="X522">
        <f>(AVERAGE(E522:G522)-1)/4</f>
        <v/>
      </c>
      <c r="Y522">
        <f>(AVERAGE(H522:J522)-1)/4</f>
        <v/>
      </c>
      <c r="Z522">
        <f>(AVERAGE(K522:M522)-1)/4</f>
        <v/>
      </c>
      <c r="AA522">
        <f>(AVERAGE(N522:P522)-1)/4</f>
        <v/>
      </c>
      <c r="AB522">
        <f>(AVERAGE(Q522:S522)-1)/4</f>
        <v/>
      </c>
      <c r="AC522">
        <f>(AVERAGE(T522:V522)-1)/4</f>
        <v/>
      </c>
      <c r="AD522">
        <f>AVERAGE(W522:AA522)</f>
        <v/>
      </c>
      <c r="AE522">
        <f>MIN(W522:AA522)</f>
        <v/>
      </c>
      <c r="AF522">
        <f>1-alpha*MAX(0,delta-AE522)</f>
        <v/>
      </c>
      <c r="AG522">
        <f>AD522*AF522</f>
        <v/>
      </c>
      <c r="AH522">
        <f>1+COUNTIF(bounds,"&lt;"&amp;ROUND(AD522,12))</f>
        <v/>
      </c>
      <c r="AI522">
        <f>1+COUNTIF(bounds,"&lt;"&amp;ROUND(AG522,12))</f>
        <v/>
      </c>
      <c r="AJ522">
        <f>IF(AF522&lt;1,1,0)</f>
        <v/>
      </c>
      <c r="AK522">
        <f>IF(AH522&lt;&gt;AI522,1,0)</f>
        <v/>
      </c>
      <c r="AL522">
        <f>IF(AND(AI522&gt;=3,AB522&lt;=0.2),1,0)</f>
        <v/>
      </c>
      <c r="AM522">
        <f>AVERAGE(W522:AB522)</f>
        <v/>
      </c>
      <c r="AN522">
        <f>1+COUNTIF(bounds,"&lt;"&amp;ROUND(AM522,12))</f>
        <v/>
      </c>
      <c r="AO522">
        <f>IF(AK522=1,AD522,NA())</f>
        <v/>
      </c>
      <c r="AP522">
        <f>IF(AK522=0,AD522,NA())</f>
        <v/>
      </c>
    </row>
    <row r="523">
      <c r="A523" t="n">
        <v>515</v>
      </c>
      <c r="B523" t="n">
        <v>2</v>
      </c>
      <c r="C523" t="n">
        <v>4</v>
      </c>
      <c r="D523" t="n">
        <v>2</v>
      </c>
      <c r="E523" t="n">
        <v>5</v>
      </c>
      <c r="F523" t="n">
        <v>4</v>
      </c>
      <c r="G523" t="n">
        <v>3</v>
      </c>
      <c r="H523" t="n">
        <v>4</v>
      </c>
      <c r="I523" t="n">
        <v>5</v>
      </c>
      <c r="J523" t="n">
        <v>2</v>
      </c>
      <c r="K523" t="n">
        <v>1</v>
      </c>
      <c r="L523" t="n">
        <v>4</v>
      </c>
      <c r="M523" t="n">
        <v>5</v>
      </c>
      <c r="N523" t="n">
        <v>2</v>
      </c>
      <c r="O523" t="n">
        <v>4</v>
      </c>
      <c r="P523" t="n">
        <v>1</v>
      </c>
      <c r="Q523" t="n">
        <v>4</v>
      </c>
      <c r="R523" t="n">
        <v>5</v>
      </c>
      <c r="S523" t="n">
        <v>2</v>
      </c>
      <c r="T523" t="n">
        <v>4</v>
      </c>
      <c r="U523" t="n">
        <v>5</v>
      </c>
      <c r="V523" t="n">
        <v>1</v>
      </c>
      <c r="W523">
        <f>(AVERAGE(B523:D523)-1)/4</f>
        <v/>
      </c>
      <c r="X523">
        <f>(AVERAGE(E523:G523)-1)/4</f>
        <v/>
      </c>
      <c r="Y523">
        <f>(AVERAGE(H523:J523)-1)/4</f>
        <v/>
      </c>
      <c r="Z523">
        <f>(AVERAGE(K523:M523)-1)/4</f>
        <v/>
      </c>
      <c r="AA523">
        <f>(AVERAGE(N523:P523)-1)/4</f>
        <v/>
      </c>
      <c r="AB523">
        <f>(AVERAGE(Q523:S523)-1)/4</f>
        <v/>
      </c>
      <c r="AC523">
        <f>(AVERAGE(T523:V523)-1)/4</f>
        <v/>
      </c>
      <c r="AD523">
        <f>AVERAGE(W523:AA523)</f>
        <v/>
      </c>
      <c r="AE523">
        <f>MIN(W523:AA523)</f>
        <v/>
      </c>
      <c r="AF523">
        <f>1-alpha*MAX(0,delta-AE523)</f>
        <v/>
      </c>
      <c r="AG523">
        <f>AD523*AF523</f>
        <v/>
      </c>
      <c r="AH523">
        <f>1+COUNTIF(bounds,"&lt;"&amp;ROUND(AD523,12))</f>
        <v/>
      </c>
      <c r="AI523">
        <f>1+COUNTIF(bounds,"&lt;"&amp;ROUND(AG523,12))</f>
        <v/>
      </c>
      <c r="AJ523">
        <f>IF(AF523&lt;1,1,0)</f>
        <v/>
      </c>
      <c r="AK523">
        <f>IF(AH523&lt;&gt;AI523,1,0)</f>
        <v/>
      </c>
      <c r="AL523">
        <f>IF(AND(AI523&gt;=3,AB523&lt;=0.2),1,0)</f>
        <v/>
      </c>
      <c r="AM523">
        <f>AVERAGE(W523:AB523)</f>
        <v/>
      </c>
      <c r="AN523">
        <f>1+COUNTIF(bounds,"&lt;"&amp;ROUND(AM523,12))</f>
        <v/>
      </c>
      <c r="AO523">
        <f>IF(AK523=1,AD523,NA())</f>
        <v/>
      </c>
      <c r="AP523">
        <f>IF(AK523=0,AD523,NA())</f>
        <v/>
      </c>
    </row>
    <row r="524">
      <c r="A524" t="n">
        <v>516</v>
      </c>
      <c r="B524" t="n">
        <v>3</v>
      </c>
      <c r="C524" t="n">
        <v>5</v>
      </c>
      <c r="D524" t="n">
        <v>5</v>
      </c>
      <c r="E524" t="n">
        <v>3</v>
      </c>
      <c r="F524" t="n">
        <v>5</v>
      </c>
      <c r="G524" t="n">
        <v>5</v>
      </c>
      <c r="H524" t="n">
        <v>5</v>
      </c>
      <c r="I524" t="n">
        <v>5</v>
      </c>
      <c r="J524" t="n">
        <v>2</v>
      </c>
      <c r="K524" t="n">
        <v>1</v>
      </c>
      <c r="L524" t="n">
        <v>5</v>
      </c>
      <c r="M524" t="n">
        <v>3</v>
      </c>
      <c r="N524" t="n">
        <v>1</v>
      </c>
      <c r="O524" t="n">
        <v>2</v>
      </c>
      <c r="P524" t="n">
        <v>5</v>
      </c>
      <c r="Q524" t="n">
        <v>4</v>
      </c>
      <c r="R524" t="n">
        <v>2</v>
      </c>
      <c r="S524" t="n">
        <v>4</v>
      </c>
      <c r="T524" t="n">
        <v>4</v>
      </c>
      <c r="U524" t="n">
        <v>2</v>
      </c>
      <c r="V524" t="n">
        <v>2</v>
      </c>
      <c r="W524">
        <f>(AVERAGE(B524:D524)-1)/4</f>
        <v/>
      </c>
      <c r="X524">
        <f>(AVERAGE(E524:G524)-1)/4</f>
        <v/>
      </c>
      <c r="Y524">
        <f>(AVERAGE(H524:J524)-1)/4</f>
        <v/>
      </c>
      <c r="Z524">
        <f>(AVERAGE(K524:M524)-1)/4</f>
        <v/>
      </c>
      <c r="AA524">
        <f>(AVERAGE(N524:P524)-1)/4</f>
        <v/>
      </c>
      <c r="AB524">
        <f>(AVERAGE(Q524:S524)-1)/4</f>
        <v/>
      </c>
      <c r="AC524">
        <f>(AVERAGE(T524:V524)-1)/4</f>
        <v/>
      </c>
      <c r="AD524">
        <f>AVERAGE(W524:AA524)</f>
        <v/>
      </c>
      <c r="AE524">
        <f>MIN(W524:AA524)</f>
        <v/>
      </c>
      <c r="AF524">
        <f>1-alpha*MAX(0,delta-AE524)</f>
        <v/>
      </c>
      <c r="AG524">
        <f>AD524*AF524</f>
        <v/>
      </c>
      <c r="AH524">
        <f>1+COUNTIF(bounds,"&lt;"&amp;ROUND(AD524,12))</f>
        <v/>
      </c>
      <c r="AI524">
        <f>1+COUNTIF(bounds,"&lt;"&amp;ROUND(AG524,12))</f>
        <v/>
      </c>
      <c r="AJ524">
        <f>IF(AF524&lt;1,1,0)</f>
        <v/>
      </c>
      <c r="AK524">
        <f>IF(AH524&lt;&gt;AI524,1,0)</f>
        <v/>
      </c>
      <c r="AL524">
        <f>IF(AND(AI524&gt;=3,AB524&lt;=0.2),1,0)</f>
        <v/>
      </c>
      <c r="AM524">
        <f>AVERAGE(W524:AB524)</f>
        <v/>
      </c>
      <c r="AN524">
        <f>1+COUNTIF(bounds,"&lt;"&amp;ROUND(AM524,12))</f>
        <v/>
      </c>
      <c r="AO524">
        <f>IF(AK524=1,AD524,NA())</f>
        <v/>
      </c>
      <c r="AP524">
        <f>IF(AK524=0,AD524,NA())</f>
        <v/>
      </c>
    </row>
    <row r="525">
      <c r="A525" t="n">
        <v>517</v>
      </c>
      <c r="B525" t="n">
        <v>1</v>
      </c>
      <c r="C525" t="n">
        <v>2</v>
      </c>
      <c r="D525" t="n">
        <v>2</v>
      </c>
      <c r="E525" t="n">
        <v>4</v>
      </c>
      <c r="F525" t="n">
        <v>2</v>
      </c>
      <c r="G525" t="n">
        <v>1</v>
      </c>
      <c r="H525" t="n">
        <v>2</v>
      </c>
      <c r="I525" t="n">
        <v>1</v>
      </c>
      <c r="J525" t="n">
        <v>2</v>
      </c>
      <c r="K525" t="n">
        <v>5</v>
      </c>
      <c r="L525" t="n">
        <v>3</v>
      </c>
      <c r="M525" t="n">
        <v>3</v>
      </c>
      <c r="N525" t="n">
        <v>2</v>
      </c>
      <c r="O525" t="n">
        <v>1</v>
      </c>
      <c r="P525" t="n">
        <v>5</v>
      </c>
      <c r="Q525" t="n">
        <v>2</v>
      </c>
      <c r="R525" t="n">
        <v>3</v>
      </c>
      <c r="S525" t="n">
        <v>5</v>
      </c>
      <c r="T525" t="n">
        <v>3</v>
      </c>
      <c r="U525" t="n">
        <v>2</v>
      </c>
      <c r="V525" t="n">
        <v>1</v>
      </c>
      <c r="W525">
        <f>(AVERAGE(B525:D525)-1)/4</f>
        <v/>
      </c>
      <c r="X525">
        <f>(AVERAGE(E525:G525)-1)/4</f>
        <v/>
      </c>
      <c r="Y525">
        <f>(AVERAGE(H525:J525)-1)/4</f>
        <v/>
      </c>
      <c r="Z525">
        <f>(AVERAGE(K525:M525)-1)/4</f>
        <v/>
      </c>
      <c r="AA525">
        <f>(AVERAGE(N525:P525)-1)/4</f>
        <v/>
      </c>
      <c r="AB525">
        <f>(AVERAGE(Q525:S525)-1)/4</f>
        <v/>
      </c>
      <c r="AC525">
        <f>(AVERAGE(T525:V525)-1)/4</f>
        <v/>
      </c>
      <c r="AD525">
        <f>AVERAGE(W525:AA525)</f>
        <v/>
      </c>
      <c r="AE525">
        <f>MIN(W525:AA525)</f>
        <v/>
      </c>
      <c r="AF525">
        <f>1-alpha*MAX(0,delta-AE525)</f>
        <v/>
      </c>
      <c r="AG525">
        <f>AD525*AF525</f>
        <v/>
      </c>
      <c r="AH525">
        <f>1+COUNTIF(bounds,"&lt;"&amp;ROUND(AD525,12))</f>
        <v/>
      </c>
      <c r="AI525">
        <f>1+COUNTIF(bounds,"&lt;"&amp;ROUND(AG525,12))</f>
        <v/>
      </c>
      <c r="AJ525">
        <f>IF(AF525&lt;1,1,0)</f>
        <v/>
      </c>
      <c r="AK525">
        <f>IF(AH525&lt;&gt;AI525,1,0)</f>
        <v/>
      </c>
      <c r="AL525">
        <f>IF(AND(AI525&gt;=3,AB525&lt;=0.2),1,0)</f>
        <v/>
      </c>
      <c r="AM525">
        <f>AVERAGE(W525:AB525)</f>
        <v/>
      </c>
      <c r="AN525">
        <f>1+COUNTIF(bounds,"&lt;"&amp;ROUND(AM525,12))</f>
        <v/>
      </c>
      <c r="AO525">
        <f>IF(AK525=1,AD525,NA())</f>
        <v/>
      </c>
      <c r="AP525">
        <f>IF(AK525=0,AD525,NA())</f>
        <v/>
      </c>
    </row>
    <row r="526">
      <c r="A526" t="n">
        <v>518</v>
      </c>
      <c r="B526" t="n">
        <v>2</v>
      </c>
      <c r="C526" t="n">
        <v>2</v>
      </c>
      <c r="D526" t="n">
        <v>4</v>
      </c>
      <c r="E526" t="n">
        <v>5</v>
      </c>
      <c r="F526" t="n">
        <v>5</v>
      </c>
      <c r="G526" t="n">
        <v>4</v>
      </c>
      <c r="H526" t="n">
        <v>5</v>
      </c>
      <c r="I526" t="n">
        <v>4</v>
      </c>
      <c r="J526" t="n">
        <v>3</v>
      </c>
      <c r="K526" t="n">
        <v>4</v>
      </c>
      <c r="L526" t="n">
        <v>2</v>
      </c>
      <c r="M526" t="n">
        <v>5</v>
      </c>
      <c r="N526" t="n">
        <v>1</v>
      </c>
      <c r="O526" t="n">
        <v>3</v>
      </c>
      <c r="P526" t="n">
        <v>4</v>
      </c>
      <c r="Q526" t="n">
        <v>1</v>
      </c>
      <c r="R526" t="n">
        <v>3</v>
      </c>
      <c r="S526" t="n">
        <v>3</v>
      </c>
      <c r="T526" t="n">
        <v>3</v>
      </c>
      <c r="U526" t="n">
        <v>4</v>
      </c>
      <c r="V526" t="n">
        <v>4</v>
      </c>
      <c r="W526">
        <f>(AVERAGE(B526:D526)-1)/4</f>
        <v/>
      </c>
      <c r="X526">
        <f>(AVERAGE(E526:G526)-1)/4</f>
        <v/>
      </c>
      <c r="Y526">
        <f>(AVERAGE(H526:J526)-1)/4</f>
        <v/>
      </c>
      <c r="Z526">
        <f>(AVERAGE(K526:M526)-1)/4</f>
        <v/>
      </c>
      <c r="AA526">
        <f>(AVERAGE(N526:P526)-1)/4</f>
        <v/>
      </c>
      <c r="AB526">
        <f>(AVERAGE(Q526:S526)-1)/4</f>
        <v/>
      </c>
      <c r="AC526">
        <f>(AVERAGE(T526:V526)-1)/4</f>
        <v/>
      </c>
      <c r="AD526">
        <f>AVERAGE(W526:AA526)</f>
        <v/>
      </c>
      <c r="AE526">
        <f>MIN(W526:AA526)</f>
        <v/>
      </c>
      <c r="AF526">
        <f>1-alpha*MAX(0,delta-AE526)</f>
        <v/>
      </c>
      <c r="AG526">
        <f>AD526*AF526</f>
        <v/>
      </c>
      <c r="AH526">
        <f>1+COUNTIF(bounds,"&lt;"&amp;ROUND(AD526,12))</f>
        <v/>
      </c>
      <c r="AI526">
        <f>1+COUNTIF(bounds,"&lt;"&amp;ROUND(AG526,12))</f>
        <v/>
      </c>
      <c r="AJ526">
        <f>IF(AF526&lt;1,1,0)</f>
        <v/>
      </c>
      <c r="AK526">
        <f>IF(AH526&lt;&gt;AI526,1,0)</f>
        <v/>
      </c>
      <c r="AL526">
        <f>IF(AND(AI526&gt;=3,AB526&lt;=0.2),1,0)</f>
        <v/>
      </c>
      <c r="AM526">
        <f>AVERAGE(W526:AB526)</f>
        <v/>
      </c>
      <c r="AN526">
        <f>1+COUNTIF(bounds,"&lt;"&amp;ROUND(AM526,12))</f>
        <v/>
      </c>
      <c r="AO526">
        <f>IF(AK526=1,AD526,NA())</f>
        <v/>
      </c>
      <c r="AP526">
        <f>IF(AK526=0,AD526,NA())</f>
        <v/>
      </c>
    </row>
    <row r="527">
      <c r="A527" t="n">
        <v>519</v>
      </c>
      <c r="B527" t="n">
        <v>3</v>
      </c>
      <c r="C527" t="n">
        <v>1</v>
      </c>
      <c r="D527" t="n">
        <v>2</v>
      </c>
      <c r="E527" t="n">
        <v>5</v>
      </c>
      <c r="F527" t="n">
        <v>2</v>
      </c>
      <c r="G527" t="n">
        <v>3</v>
      </c>
      <c r="H527" t="n">
        <v>2</v>
      </c>
      <c r="I527" t="n">
        <v>3</v>
      </c>
      <c r="J527" t="n">
        <v>2</v>
      </c>
      <c r="K527" t="n">
        <v>4</v>
      </c>
      <c r="L527" t="n">
        <v>2</v>
      </c>
      <c r="M527" t="n">
        <v>5</v>
      </c>
      <c r="N527" t="n">
        <v>3</v>
      </c>
      <c r="O527" t="n">
        <v>3</v>
      </c>
      <c r="P527" t="n">
        <v>4</v>
      </c>
      <c r="Q527" t="n">
        <v>2</v>
      </c>
      <c r="R527" t="n">
        <v>1</v>
      </c>
      <c r="S527" t="n">
        <v>2</v>
      </c>
      <c r="T527" t="n">
        <v>1</v>
      </c>
      <c r="U527" t="n">
        <v>1</v>
      </c>
      <c r="V527" t="n">
        <v>2</v>
      </c>
      <c r="W527">
        <f>(AVERAGE(B527:D527)-1)/4</f>
        <v/>
      </c>
      <c r="X527">
        <f>(AVERAGE(E527:G527)-1)/4</f>
        <v/>
      </c>
      <c r="Y527">
        <f>(AVERAGE(H527:J527)-1)/4</f>
        <v/>
      </c>
      <c r="Z527">
        <f>(AVERAGE(K527:M527)-1)/4</f>
        <v/>
      </c>
      <c r="AA527">
        <f>(AVERAGE(N527:P527)-1)/4</f>
        <v/>
      </c>
      <c r="AB527">
        <f>(AVERAGE(Q527:S527)-1)/4</f>
        <v/>
      </c>
      <c r="AC527">
        <f>(AVERAGE(T527:V527)-1)/4</f>
        <v/>
      </c>
      <c r="AD527">
        <f>AVERAGE(W527:AA527)</f>
        <v/>
      </c>
      <c r="AE527">
        <f>MIN(W527:AA527)</f>
        <v/>
      </c>
      <c r="AF527">
        <f>1-alpha*MAX(0,delta-AE527)</f>
        <v/>
      </c>
      <c r="AG527">
        <f>AD527*AF527</f>
        <v/>
      </c>
      <c r="AH527">
        <f>1+COUNTIF(bounds,"&lt;"&amp;ROUND(AD527,12))</f>
        <v/>
      </c>
      <c r="AI527">
        <f>1+COUNTIF(bounds,"&lt;"&amp;ROUND(AG527,12))</f>
        <v/>
      </c>
      <c r="AJ527">
        <f>IF(AF527&lt;1,1,0)</f>
        <v/>
      </c>
      <c r="AK527">
        <f>IF(AH527&lt;&gt;AI527,1,0)</f>
        <v/>
      </c>
      <c r="AL527">
        <f>IF(AND(AI527&gt;=3,AB527&lt;=0.2),1,0)</f>
        <v/>
      </c>
      <c r="AM527">
        <f>AVERAGE(W527:AB527)</f>
        <v/>
      </c>
      <c r="AN527">
        <f>1+COUNTIF(bounds,"&lt;"&amp;ROUND(AM527,12))</f>
        <v/>
      </c>
      <c r="AO527">
        <f>IF(AK527=1,AD527,NA())</f>
        <v/>
      </c>
      <c r="AP527">
        <f>IF(AK527=0,AD527,NA())</f>
        <v/>
      </c>
    </row>
    <row r="528">
      <c r="A528" t="n">
        <v>520</v>
      </c>
      <c r="B528" t="n">
        <v>2</v>
      </c>
      <c r="C528" t="n">
        <v>4</v>
      </c>
      <c r="D528" t="n">
        <v>1</v>
      </c>
      <c r="E528" t="n">
        <v>4</v>
      </c>
      <c r="F528" t="n">
        <v>4</v>
      </c>
      <c r="G528" t="n">
        <v>3</v>
      </c>
      <c r="H528" t="n">
        <v>4</v>
      </c>
      <c r="I528" t="n">
        <v>5</v>
      </c>
      <c r="J528" t="n">
        <v>4</v>
      </c>
      <c r="K528" t="n">
        <v>4</v>
      </c>
      <c r="L528" t="n">
        <v>1</v>
      </c>
      <c r="M528" t="n">
        <v>4</v>
      </c>
      <c r="N528" t="n">
        <v>5</v>
      </c>
      <c r="O528" t="n">
        <v>3</v>
      </c>
      <c r="P528" t="n">
        <v>1</v>
      </c>
      <c r="Q528" t="n">
        <v>2</v>
      </c>
      <c r="R528" t="n">
        <v>5</v>
      </c>
      <c r="S528" t="n">
        <v>1</v>
      </c>
      <c r="T528" t="n">
        <v>1</v>
      </c>
      <c r="U528" t="n">
        <v>2</v>
      </c>
      <c r="V528" t="n">
        <v>5</v>
      </c>
      <c r="W528">
        <f>(AVERAGE(B528:D528)-1)/4</f>
        <v/>
      </c>
      <c r="X528">
        <f>(AVERAGE(E528:G528)-1)/4</f>
        <v/>
      </c>
      <c r="Y528">
        <f>(AVERAGE(H528:J528)-1)/4</f>
        <v/>
      </c>
      <c r="Z528">
        <f>(AVERAGE(K528:M528)-1)/4</f>
        <v/>
      </c>
      <c r="AA528">
        <f>(AVERAGE(N528:P528)-1)/4</f>
        <v/>
      </c>
      <c r="AB528">
        <f>(AVERAGE(Q528:S528)-1)/4</f>
        <v/>
      </c>
      <c r="AC528">
        <f>(AVERAGE(T528:V528)-1)/4</f>
        <v/>
      </c>
      <c r="AD528">
        <f>AVERAGE(W528:AA528)</f>
        <v/>
      </c>
      <c r="AE528">
        <f>MIN(W528:AA528)</f>
        <v/>
      </c>
      <c r="AF528">
        <f>1-alpha*MAX(0,delta-AE528)</f>
        <v/>
      </c>
      <c r="AG528">
        <f>AD528*AF528</f>
        <v/>
      </c>
      <c r="AH528">
        <f>1+COUNTIF(bounds,"&lt;"&amp;ROUND(AD528,12))</f>
        <v/>
      </c>
      <c r="AI528">
        <f>1+COUNTIF(bounds,"&lt;"&amp;ROUND(AG528,12))</f>
        <v/>
      </c>
      <c r="AJ528">
        <f>IF(AF528&lt;1,1,0)</f>
        <v/>
      </c>
      <c r="AK528">
        <f>IF(AH528&lt;&gt;AI528,1,0)</f>
        <v/>
      </c>
      <c r="AL528">
        <f>IF(AND(AI528&gt;=3,AB528&lt;=0.2),1,0)</f>
        <v/>
      </c>
      <c r="AM528">
        <f>AVERAGE(W528:AB528)</f>
        <v/>
      </c>
      <c r="AN528">
        <f>1+COUNTIF(bounds,"&lt;"&amp;ROUND(AM528,12))</f>
        <v/>
      </c>
      <c r="AO528">
        <f>IF(AK528=1,AD528,NA())</f>
        <v/>
      </c>
      <c r="AP528">
        <f>IF(AK528=0,AD528,NA())</f>
        <v/>
      </c>
    </row>
    <row r="529">
      <c r="A529" t="n">
        <v>521</v>
      </c>
      <c r="B529" t="n">
        <v>1</v>
      </c>
      <c r="C529" t="n">
        <v>4</v>
      </c>
      <c r="D529" t="n">
        <v>1</v>
      </c>
      <c r="E529" t="n">
        <v>3</v>
      </c>
      <c r="F529" t="n">
        <v>5</v>
      </c>
      <c r="G529" t="n">
        <v>1</v>
      </c>
      <c r="H529" t="n">
        <v>3</v>
      </c>
      <c r="I529" t="n">
        <v>3</v>
      </c>
      <c r="J529" t="n">
        <v>3</v>
      </c>
      <c r="K529" t="n">
        <v>3</v>
      </c>
      <c r="L529" t="n">
        <v>4</v>
      </c>
      <c r="M529" t="n">
        <v>1</v>
      </c>
      <c r="N529" t="n">
        <v>3</v>
      </c>
      <c r="O529" t="n">
        <v>2</v>
      </c>
      <c r="P529" t="n">
        <v>5</v>
      </c>
      <c r="Q529" t="n">
        <v>3</v>
      </c>
      <c r="R529" t="n">
        <v>1</v>
      </c>
      <c r="S529" t="n">
        <v>4</v>
      </c>
      <c r="T529" t="n">
        <v>2</v>
      </c>
      <c r="U529" t="n">
        <v>5</v>
      </c>
      <c r="V529" t="n">
        <v>5</v>
      </c>
      <c r="W529">
        <f>(AVERAGE(B529:D529)-1)/4</f>
        <v/>
      </c>
      <c r="X529">
        <f>(AVERAGE(E529:G529)-1)/4</f>
        <v/>
      </c>
      <c r="Y529">
        <f>(AVERAGE(H529:J529)-1)/4</f>
        <v/>
      </c>
      <c r="Z529">
        <f>(AVERAGE(K529:M529)-1)/4</f>
        <v/>
      </c>
      <c r="AA529">
        <f>(AVERAGE(N529:P529)-1)/4</f>
        <v/>
      </c>
      <c r="AB529">
        <f>(AVERAGE(Q529:S529)-1)/4</f>
        <v/>
      </c>
      <c r="AC529">
        <f>(AVERAGE(T529:V529)-1)/4</f>
        <v/>
      </c>
      <c r="AD529">
        <f>AVERAGE(W529:AA529)</f>
        <v/>
      </c>
      <c r="AE529">
        <f>MIN(W529:AA529)</f>
        <v/>
      </c>
      <c r="AF529">
        <f>1-alpha*MAX(0,delta-AE529)</f>
        <v/>
      </c>
      <c r="AG529">
        <f>AD529*AF529</f>
        <v/>
      </c>
      <c r="AH529">
        <f>1+COUNTIF(bounds,"&lt;"&amp;ROUND(AD529,12))</f>
        <v/>
      </c>
      <c r="AI529">
        <f>1+COUNTIF(bounds,"&lt;"&amp;ROUND(AG529,12))</f>
        <v/>
      </c>
      <c r="AJ529">
        <f>IF(AF529&lt;1,1,0)</f>
        <v/>
      </c>
      <c r="AK529">
        <f>IF(AH529&lt;&gt;AI529,1,0)</f>
        <v/>
      </c>
      <c r="AL529">
        <f>IF(AND(AI529&gt;=3,AB529&lt;=0.2),1,0)</f>
        <v/>
      </c>
      <c r="AM529">
        <f>AVERAGE(W529:AB529)</f>
        <v/>
      </c>
      <c r="AN529">
        <f>1+COUNTIF(bounds,"&lt;"&amp;ROUND(AM529,12))</f>
        <v/>
      </c>
      <c r="AO529">
        <f>IF(AK529=1,AD529,NA())</f>
        <v/>
      </c>
      <c r="AP529">
        <f>IF(AK529=0,AD529,NA())</f>
        <v/>
      </c>
    </row>
    <row r="530">
      <c r="A530" t="n">
        <v>522</v>
      </c>
      <c r="B530" t="n">
        <v>4</v>
      </c>
      <c r="C530" t="n">
        <v>1</v>
      </c>
      <c r="D530" t="n">
        <v>4</v>
      </c>
      <c r="E530" t="n">
        <v>4</v>
      </c>
      <c r="F530" t="n">
        <v>1</v>
      </c>
      <c r="G530" t="n">
        <v>1</v>
      </c>
      <c r="H530" t="n">
        <v>5</v>
      </c>
      <c r="I530" t="n">
        <v>1</v>
      </c>
      <c r="J530" t="n">
        <v>2</v>
      </c>
      <c r="K530" t="n">
        <v>3</v>
      </c>
      <c r="L530" t="n">
        <v>2</v>
      </c>
      <c r="M530" t="n">
        <v>5</v>
      </c>
      <c r="N530" t="n">
        <v>2</v>
      </c>
      <c r="O530" t="n">
        <v>2</v>
      </c>
      <c r="P530" t="n">
        <v>2</v>
      </c>
      <c r="Q530" t="n">
        <v>5</v>
      </c>
      <c r="R530" t="n">
        <v>2</v>
      </c>
      <c r="S530" t="n">
        <v>4</v>
      </c>
      <c r="T530" t="n">
        <v>1</v>
      </c>
      <c r="U530" t="n">
        <v>5</v>
      </c>
      <c r="V530" t="n">
        <v>2</v>
      </c>
      <c r="W530">
        <f>(AVERAGE(B530:D530)-1)/4</f>
        <v/>
      </c>
      <c r="X530">
        <f>(AVERAGE(E530:G530)-1)/4</f>
        <v/>
      </c>
      <c r="Y530">
        <f>(AVERAGE(H530:J530)-1)/4</f>
        <v/>
      </c>
      <c r="Z530">
        <f>(AVERAGE(K530:M530)-1)/4</f>
        <v/>
      </c>
      <c r="AA530">
        <f>(AVERAGE(N530:P530)-1)/4</f>
        <v/>
      </c>
      <c r="AB530">
        <f>(AVERAGE(Q530:S530)-1)/4</f>
        <v/>
      </c>
      <c r="AC530">
        <f>(AVERAGE(T530:V530)-1)/4</f>
        <v/>
      </c>
      <c r="AD530">
        <f>AVERAGE(W530:AA530)</f>
        <v/>
      </c>
      <c r="AE530">
        <f>MIN(W530:AA530)</f>
        <v/>
      </c>
      <c r="AF530">
        <f>1-alpha*MAX(0,delta-AE530)</f>
        <v/>
      </c>
      <c r="AG530">
        <f>AD530*AF530</f>
        <v/>
      </c>
      <c r="AH530">
        <f>1+COUNTIF(bounds,"&lt;"&amp;ROUND(AD530,12))</f>
        <v/>
      </c>
      <c r="AI530">
        <f>1+COUNTIF(bounds,"&lt;"&amp;ROUND(AG530,12))</f>
        <v/>
      </c>
      <c r="AJ530">
        <f>IF(AF530&lt;1,1,0)</f>
        <v/>
      </c>
      <c r="AK530">
        <f>IF(AH530&lt;&gt;AI530,1,0)</f>
        <v/>
      </c>
      <c r="AL530">
        <f>IF(AND(AI530&gt;=3,AB530&lt;=0.2),1,0)</f>
        <v/>
      </c>
      <c r="AM530">
        <f>AVERAGE(W530:AB530)</f>
        <v/>
      </c>
      <c r="AN530">
        <f>1+COUNTIF(bounds,"&lt;"&amp;ROUND(AM530,12))</f>
        <v/>
      </c>
      <c r="AO530">
        <f>IF(AK530=1,AD530,NA())</f>
        <v/>
      </c>
      <c r="AP530">
        <f>IF(AK530=0,AD530,NA())</f>
        <v/>
      </c>
    </row>
    <row r="531">
      <c r="A531" t="n">
        <v>523</v>
      </c>
      <c r="B531" t="n">
        <v>2</v>
      </c>
      <c r="C531" t="n">
        <v>1</v>
      </c>
      <c r="D531" t="n">
        <v>4</v>
      </c>
      <c r="E531" t="n">
        <v>1</v>
      </c>
      <c r="F531" t="n">
        <v>1</v>
      </c>
      <c r="G531" t="n">
        <v>5</v>
      </c>
      <c r="H531" t="n">
        <v>2</v>
      </c>
      <c r="I531" t="n">
        <v>1</v>
      </c>
      <c r="J531" t="n">
        <v>5</v>
      </c>
      <c r="K531" t="n">
        <v>3</v>
      </c>
      <c r="L531" t="n">
        <v>5</v>
      </c>
      <c r="M531" t="n">
        <v>2</v>
      </c>
      <c r="N531" t="n">
        <v>3</v>
      </c>
      <c r="O531" t="n">
        <v>4</v>
      </c>
      <c r="P531" t="n">
        <v>4</v>
      </c>
      <c r="Q531" t="n">
        <v>5</v>
      </c>
      <c r="R531" t="n">
        <v>2</v>
      </c>
      <c r="S531" t="n">
        <v>4</v>
      </c>
      <c r="T531" t="n">
        <v>3</v>
      </c>
      <c r="U531" t="n">
        <v>4</v>
      </c>
      <c r="V531" t="n">
        <v>5</v>
      </c>
      <c r="W531">
        <f>(AVERAGE(B531:D531)-1)/4</f>
        <v/>
      </c>
      <c r="X531">
        <f>(AVERAGE(E531:G531)-1)/4</f>
        <v/>
      </c>
      <c r="Y531">
        <f>(AVERAGE(H531:J531)-1)/4</f>
        <v/>
      </c>
      <c r="Z531">
        <f>(AVERAGE(K531:M531)-1)/4</f>
        <v/>
      </c>
      <c r="AA531">
        <f>(AVERAGE(N531:P531)-1)/4</f>
        <v/>
      </c>
      <c r="AB531">
        <f>(AVERAGE(Q531:S531)-1)/4</f>
        <v/>
      </c>
      <c r="AC531">
        <f>(AVERAGE(T531:V531)-1)/4</f>
        <v/>
      </c>
      <c r="AD531">
        <f>AVERAGE(W531:AA531)</f>
        <v/>
      </c>
      <c r="AE531">
        <f>MIN(W531:AA531)</f>
        <v/>
      </c>
      <c r="AF531">
        <f>1-alpha*MAX(0,delta-AE531)</f>
        <v/>
      </c>
      <c r="AG531">
        <f>AD531*AF531</f>
        <v/>
      </c>
      <c r="AH531">
        <f>1+COUNTIF(bounds,"&lt;"&amp;ROUND(AD531,12))</f>
        <v/>
      </c>
      <c r="AI531">
        <f>1+COUNTIF(bounds,"&lt;"&amp;ROUND(AG531,12))</f>
        <v/>
      </c>
      <c r="AJ531">
        <f>IF(AF531&lt;1,1,0)</f>
        <v/>
      </c>
      <c r="AK531">
        <f>IF(AH531&lt;&gt;AI531,1,0)</f>
        <v/>
      </c>
      <c r="AL531">
        <f>IF(AND(AI531&gt;=3,AB531&lt;=0.2),1,0)</f>
        <v/>
      </c>
      <c r="AM531">
        <f>AVERAGE(W531:AB531)</f>
        <v/>
      </c>
      <c r="AN531">
        <f>1+COUNTIF(bounds,"&lt;"&amp;ROUND(AM531,12))</f>
        <v/>
      </c>
      <c r="AO531">
        <f>IF(AK531=1,AD531,NA())</f>
        <v/>
      </c>
      <c r="AP531">
        <f>IF(AK531=0,AD531,NA())</f>
        <v/>
      </c>
    </row>
    <row r="532">
      <c r="A532" t="n">
        <v>524</v>
      </c>
      <c r="B532" t="n">
        <v>1</v>
      </c>
      <c r="C532" t="n">
        <v>4</v>
      </c>
      <c r="D532" t="n">
        <v>5</v>
      </c>
      <c r="E532" t="n">
        <v>1</v>
      </c>
      <c r="F532" t="n">
        <v>1</v>
      </c>
      <c r="G532" t="n">
        <v>1</v>
      </c>
      <c r="H532" t="n">
        <v>2</v>
      </c>
      <c r="I532" t="n">
        <v>3</v>
      </c>
      <c r="J532" t="n">
        <v>1</v>
      </c>
      <c r="K532" t="n">
        <v>4</v>
      </c>
      <c r="L532" t="n">
        <v>4</v>
      </c>
      <c r="M532" t="n">
        <v>3</v>
      </c>
      <c r="N532" t="n">
        <v>3</v>
      </c>
      <c r="O532" t="n">
        <v>5</v>
      </c>
      <c r="P532" t="n">
        <v>1</v>
      </c>
      <c r="Q532" t="n">
        <v>2</v>
      </c>
      <c r="R532" t="n">
        <v>2</v>
      </c>
      <c r="S532" t="n">
        <v>3</v>
      </c>
      <c r="T532" t="n">
        <v>3</v>
      </c>
      <c r="U532" t="n">
        <v>5</v>
      </c>
      <c r="V532" t="n">
        <v>5</v>
      </c>
      <c r="W532">
        <f>(AVERAGE(B532:D532)-1)/4</f>
        <v/>
      </c>
      <c r="X532">
        <f>(AVERAGE(E532:G532)-1)/4</f>
        <v/>
      </c>
      <c r="Y532">
        <f>(AVERAGE(H532:J532)-1)/4</f>
        <v/>
      </c>
      <c r="Z532">
        <f>(AVERAGE(K532:M532)-1)/4</f>
        <v/>
      </c>
      <c r="AA532">
        <f>(AVERAGE(N532:P532)-1)/4</f>
        <v/>
      </c>
      <c r="AB532">
        <f>(AVERAGE(Q532:S532)-1)/4</f>
        <v/>
      </c>
      <c r="AC532">
        <f>(AVERAGE(T532:V532)-1)/4</f>
        <v/>
      </c>
      <c r="AD532">
        <f>AVERAGE(W532:AA532)</f>
        <v/>
      </c>
      <c r="AE532">
        <f>MIN(W532:AA532)</f>
        <v/>
      </c>
      <c r="AF532">
        <f>1-alpha*MAX(0,delta-AE532)</f>
        <v/>
      </c>
      <c r="AG532">
        <f>AD532*AF532</f>
        <v/>
      </c>
      <c r="AH532">
        <f>1+COUNTIF(bounds,"&lt;"&amp;ROUND(AD532,12))</f>
        <v/>
      </c>
      <c r="AI532">
        <f>1+COUNTIF(bounds,"&lt;"&amp;ROUND(AG532,12))</f>
        <v/>
      </c>
      <c r="AJ532">
        <f>IF(AF532&lt;1,1,0)</f>
        <v/>
      </c>
      <c r="AK532">
        <f>IF(AH532&lt;&gt;AI532,1,0)</f>
        <v/>
      </c>
      <c r="AL532">
        <f>IF(AND(AI532&gt;=3,AB532&lt;=0.2),1,0)</f>
        <v/>
      </c>
      <c r="AM532">
        <f>AVERAGE(W532:AB532)</f>
        <v/>
      </c>
      <c r="AN532">
        <f>1+COUNTIF(bounds,"&lt;"&amp;ROUND(AM532,12))</f>
        <v/>
      </c>
      <c r="AO532">
        <f>IF(AK532=1,AD532,NA())</f>
        <v/>
      </c>
      <c r="AP532">
        <f>IF(AK532=0,AD532,NA())</f>
        <v/>
      </c>
    </row>
    <row r="533">
      <c r="A533" t="n">
        <v>525</v>
      </c>
      <c r="B533" t="n">
        <v>2</v>
      </c>
      <c r="C533" t="n">
        <v>3</v>
      </c>
      <c r="D533" t="n">
        <v>4</v>
      </c>
      <c r="E533" t="n">
        <v>1</v>
      </c>
      <c r="F533" t="n">
        <v>3</v>
      </c>
      <c r="G533" t="n">
        <v>2</v>
      </c>
      <c r="H533" t="n">
        <v>5</v>
      </c>
      <c r="I533" t="n">
        <v>2</v>
      </c>
      <c r="J533" t="n">
        <v>4</v>
      </c>
      <c r="K533" t="n">
        <v>1</v>
      </c>
      <c r="L533" t="n">
        <v>3</v>
      </c>
      <c r="M533" t="n">
        <v>3</v>
      </c>
      <c r="N533" t="n">
        <v>4</v>
      </c>
      <c r="O533" t="n">
        <v>4</v>
      </c>
      <c r="P533" t="n">
        <v>4</v>
      </c>
      <c r="Q533" t="n">
        <v>1</v>
      </c>
      <c r="R533" t="n">
        <v>2</v>
      </c>
      <c r="S533" t="n">
        <v>4</v>
      </c>
      <c r="T533" t="n">
        <v>2</v>
      </c>
      <c r="U533" t="n">
        <v>4</v>
      </c>
      <c r="V533" t="n">
        <v>3</v>
      </c>
      <c r="W533">
        <f>(AVERAGE(B533:D533)-1)/4</f>
        <v/>
      </c>
      <c r="X533">
        <f>(AVERAGE(E533:G533)-1)/4</f>
        <v/>
      </c>
      <c r="Y533">
        <f>(AVERAGE(H533:J533)-1)/4</f>
        <v/>
      </c>
      <c r="Z533">
        <f>(AVERAGE(K533:M533)-1)/4</f>
        <v/>
      </c>
      <c r="AA533">
        <f>(AVERAGE(N533:P533)-1)/4</f>
        <v/>
      </c>
      <c r="AB533">
        <f>(AVERAGE(Q533:S533)-1)/4</f>
        <v/>
      </c>
      <c r="AC533">
        <f>(AVERAGE(T533:V533)-1)/4</f>
        <v/>
      </c>
      <c r="AD533">
        <f>AVERAGE(W533:AA533)</f>
        <v/>
      </c>
      <c r="AE533">
        <f>MIN(W533:AA533)</f>
        <v/>
      </c>
      <c r="AF533">
        <f>1-alpha*MAX(0,delta-AE533)</f>
        <v/>
      </c>
      <c r="AG533">
        <f>AD533*AF533</f>
        <v/>
      </c>
      <c r="AH533">
        <f>1+COUNTIF(bounds,"&lt;"&amp;ROUND(AD533,12))</f>
        <v/>
      </c>
      <c r="AI533">
        <f>1+COUNTIF(bounds,"&lt;"&amp;ROUND(AG533,12))</f>
        <v/>
      </c>
      <c r="AJ533">
        <f>IF(AF533&lt;1,1,0)</f>
        <v/>
      </c>
      <c r="AK533">
        <f>IF(AH533&lt;&gt;AI533,1,0)</f>
        <v/>
      </c>
      <c r="AL533">
        <f>IF(AND(AI533&gt;=3,AB533&lt;=0.2),1,0)</f>
        <v/>
      </c>
      <c r="AM533">
        <f>AVERAGE(W533:AB533)</f>
        <v/>
      </c>
      <c r="AN533">
        <f>1+COUNTIF(bounds,"&lt;"&amp;ROUND(AM533,12))</f>
        <v/>
      </c>
      <c r="AO533">
        <f>IF(AK533=1,AD533,NA())</f>
        <v/>
      </c>
      <c r="AP533">
        <f>IF(AK533=0,AD533,NA())</f>
        <v/>
      </c>
    </row>
    <row r="534">
      <c r="A534" t="n">
        <v>526</v>
      </c>
      <c r="B534" t="n">
        <v>2</v>
      </c>
      <c r="C534" t="n">
        <v>3</v>
      </c>
      <c r="D534" t="n">
        <v>1</v>
      </c>
      <c r="E534" t="n">
        <v>3</v>
      </c>
      <c r="F534" t="n">
        <v>4</v>
      </c>
      <c r="G534" t="n">
        <v>3</v>
      </c>
      <c r="H534" t="n">
        <v>1</v>
      </c>
      <c r="I534" t="n">
        <v>4</v>
      </c>
      <c r="J534" t="n">
        <v>5</v>
      </c>
      <c r="K534" t="n">
        <v>4</v>
      </c>
      <c r="L534" t="n">
        <v>3</v>
      </c>
      <c r="M534" t="n">
        <v>3</v>
      </c>
      <c r="N534" t="n">
        <v>2</v>
      </c>
      <c r="O534" t="n">
        <v>4</v>
      </c>
      <c r="P534" t="n">
        <v>5</v>
      </c>
      <c r="Q534" t="n">
        <v>3</v>
      </c>
      <c r="R534" t="n">
        <v>4</v>
      </c>
      <c r="S534" t="n">
        <v>4</v>
      </c>
      <c r="T534" t="n">
        <v>2</v>
      </c>
      <c r="U534" t="n">
        <v>1</v>
      </c>
      <c r="V534" t="n">
        <v>3</v>
      </c>
      <c r="W534">
        <f>(AVERAGE(B534:D534)-1)/4</f>
        <v/>
      </c>
      <c r="X534">
        <f>(AVERAGE(E534:G534)-1)/4</f>
        <v/>
      </c>
      <c r="Y534">
        <f>(AVERAGE(H534:J534)-1)/4</f>
        <v/>
      </c>
      <c r="Z534">
        <f>(AVERAGE(K534:M534)-1)/4</f>
        <v/>
      </c>
      <c r="AA534">
        <f>(AVERAGE(N534:P534)-1)/4</f>
        <v/>
      </c>
      <c r="AB534">
        <f>(AVERAGE(Q534:S534)-1)/4</f>
        <v/>
      </c>
      <c r="AC534">
        <f>(AVERAGE(T534:V534)-1)/4</f>
        <v/>
      </c>
      <c r="AD534">
        <f>AVERAGE(W534:AA534)</f>
        <v/>
      </c>
      <c r="AE534">
        <f>MIN(W534:AA534)</f>
        <v/>
      </c>
      <c r="AF534">
        <f>1-alpha*MAX(0,delta-AE534)</f>
        <v/>
      </c>
      <c r="AG534">
        <f>AD534*AF534</f>
        <v/>
      </c>
      <c r="AH534">
        <f>1+COUNTIF(bounds,"&lt;"&amp;ROUND(AD534,12))</f>
        <v/>
      </c>
      <c r="AI534">
        <f>1+COUNTIF(bounds,"&lt;"&amp;ROUND(AG534,12))</f>
        <v/>
      </c>
      <c r="AJ534">
        <f>IF(AF534&lt;1,1,0)</f>
        <v/>
      </c>
      <c r="AK534">
        <f>IF(AH534&lt;&gt;AI534,1,0)</f>
        <v/>
      </c>
      <c r="AL534">
        <f>IF(AND(AI534&gt;=3,AB534&lt;=0.2),1,0)</f>
        <v/>
      </c>
      <c r="AM534">
        <f>AVERAGE(W534:AB534)</f>
        <v/>
      </c>
      <c r="AN534">
        <f>1+COUNTIF(bounds,"&lt;"&amp;ROUND(AM534,12))</f>
        <v/>
      </c>
      <c r="AO534">
        <f>IF(AK534=1,AD534,NA())</f>
        <v/>
      </c>
      <c r="AP534">
        <f>IF(AK534=0,AD534,NA())</f>
        <v/>
      </c>
    </row>
    <row r="535">
      <c r="A535" t="n">
        <v>527</v>
      </c>
      <c r="B535" t="n">
        <v>2</v>
      </c>
      <c r="C535" t="n">
        <v>2</v>
      </c>
      <c r="D535" t="n">
        <v>4</v>
      </c>
      <c r="E535" t="n">
        <v>3</v>
      </c>
      <c r="F535" t="n">
        <v>2</v>
      </c>
      <c r="G535" t="n">
        <v>2</v>
      </c>
      <c r="H535" t="n">
        <v>4</v>
      </c>
      <c r="I535" t="n">
        <v>5</v>
      </c>
      <c r="J535" t="n">
        <v>4</v>
      </c>
      <c r="K535" t="n">
        <v>3</v>
      </c>
      <c r="L535" t="n">
        <v>4</v>
      </c>
      <c r="M535" t="n">
        <v>5</v>
      </c>
      <c r="N535" t="n">
        <v>5</v>
      </c>
      <c r="O535" t="n">
        <v>4</v>
      </c>
      <c r="P535" t="n">
        <v>3</v>
      </c>
      <c r="Q535" t="n">
        <v>3</v>
      </c>
      <c r="R535" t="n">
        <v>4</v>
      </c>
      <c r="S535" t="n">
        <v>1</v>
      </c>
      <c r="T535" t="n">
        <v>5</v>
      </c>
      <c r="U535" t="n">
        <v>2</v>
      </c>
      <c r="V535" t="n">
        <v>2</v>
      </c>
      <c r="W535">
        <f>(AVERAGE(B535:D535)-1)/4</f>
        <v/>
      </c>
      <c r="X535">
        <f>(AVERAGE(E535:G535)-1)/4</f>
        <v/>
      </c>
      <c r="Y535">
        <f>(AVERAGE(H535:J535)-1)/4</f>
        <v/>
      </c>
      <c r="Z535">
        <f>(AVERAGE(K535:M535)-1)/4</f>
        <v/>
      </c>
      <c r="AA535">
        <f>(AVERAGE(N535:P535)-1)/4</f>
        <v/>
      </c>
      <c r="AB535">
        <f>(AVERAGE(Q535:S535)-1)/4</f>
        <v/>
      </c>
      <c r="AC535">
        <f>(AVERAGE(T535:V535)-1)/4</f>
        <v/>
      </c>
      <c r="AD535">
        <f>AVERAGE(W535:AA535)</f>
        <v/>
      </c>
      <c r="AE535">
        <f>MIN(W535:AA535)</f>
        <v/>
      </c>
      <c r="AF535">
        <f>1-alpha*MAX(0,delta-AE535)</f>
        <v/>
      </c>
      <c r="AG535">
        <f>AD535*AF535</f>
        <v/>
      </c>
      <c r="AH535">
        <f>1+COUNTIF(bounds,"&lt;"&amp;ROUND(AD535,12))</f>
        <v/>
      </c>
      <c r="AI535">
        <f>1+COUNTIF(bounds,"&lt;"&amp;ROUND(AG535,12))</f>
        <v/>
      </c>
      <c r="AJ535">
        <f>IF(AF535&lt;1,1,0)</f>
        <v/>
      </c>
      <c r="AK535">
        <f>IF(AH535&lt;&gt;AI535,1,0)</f>
        <v/>
      </c>
      <c r="AL535">
        <f>IF(AND(AI535&gt;=3,AB535&lt;=0.2),1,0)</f>
        <v/>
      </c>
      <c r="AM535">
        <f>AVERAGE(W535:AB535)</f>
        <v/>
      </c>
      <c r="AN535">
        <f>1+COUNTIF(bounds,"&lt;"&amp;ROUND(AM535,12))</f>
        <v/>
      </c>
      <c r="AO535">
        <f>IF(AK535=1,AD535,NA())</f>
        <v/>
      </c>
      <c r="AP535">
        <f>IF(AK535=0,AD535,NA())</f>
        <v/>
      </c>
    </row>
    <row r="536">
      <c r="A536" t="n">
        <v>528</v>
      </c>
      <c r="B536" t="n">
        <v>4</v>
      </c>
      <c r="C536" t="n">
        <v>4</v>
      </c>
      <c r="D536" t="n">
        <v>5</v>
      </c>
      <c r="E536" t="n">
        <v>4</v>
      </c>
      <c r="F536" t="n">
        <v>2</v>
      </c>
      <c r="G536" t="n">
        <v>4</v>
      </c>
      <c r="H536" t="n">
        <v>4</v>
      </c>
      <c r="I536" t="n">
        <v>1</v>
      </c>
      <c r="J536" t="n">
        <v>5</v>
      </c>
      <c r="K536" t="n">
        <v>3</v>
      </c>
      <c r="L536" t="n">
        <v>1</v>
      </c>
      <c r="M536" t="n">
        <v>3</v>
      </c>
      <c r="N536" t="n">
        <v>2</v>
      </c>
      <c r="O536" t="n">
        <v>3</v>
      </c>
      <c r="P536" t="n">
        <v>5</v>
      </c>
      <c r="Q536" t="n">
        <v>5</v>
      </c>
      <c r="R536" t="n">
        <v>1</v>
      </c>
      <c r="S536" t="n">
        <v>2</v>
      </c>
      <c r="T536" t="n">
        <v>2</v>
      </c>
      <c r="U536" t="n">
        <v>3</v>
      </c>
      <c r="V536" t="n">
        <v>2</v>
      </c>
      <c r="W536">
        <f>(AVERAGE(B536:D536)-1)/4</f>
        <v/>
      </c>
      <c r="X536">
        <f>(AVERAGE(E536:G536)-1)/4</f>
        <v/>
      </c>
      <c r="Y536">
        <f>(AVERAGE(H536:J536)-1)/4</f>
        <v/>
      </c>
      <c r="Z536">
        <f>(AVERAGE(K536:M536)-1)/4</f>
        <v/>
      </c>
      <c r="AA536">
        <f>(AVERAGE(N536:P536)-1)/4</f>
        <v/>
      </c>
      <c r="AB536">
        <f>(AVERAGE(Q536:S536)-1)/4</f>
        <v/>
      </c>
      <c r="AC536">
        <f>(AVERAGE(T536:V536)-1)/4</f>
        <v/>
      </c>
      <c r="AD536">
        <f>AVERAGE(W536:AA536)</f>
        <v/>
      </c>
      <c r="AE536">
        <f>MIN(W536:AA536)</f>
        <v/>
      </c>
      <c r="AF536">
        <f>1-alpha*MAX(0,delta-AE536)</f>
        <v/>
      </c>
      <c r="AG536">
        <f>AD536*AF536</f>
        <v/>
      </c>
      <c r="AH536">
        <f>1+COUNTIF(bounds,"&lt;"&amp;ROUND(AD536,12))</f>
        <v/>
      </c>
      <c r="AI536">
        <f>1+COUNTIF(bounds,"&lt;"&amp;ROUND(AG536,12))</f>
        <v/>
      </c>
      <c r="AJ536">
        <f>IF(AF536&lt;1,1,0)</f>
        <v/>
      </c>
      <c r="AK536">
        <f>IF(AH536&lt;&gt;AI536,1,0)</f>
        <v/>
      </c>
      <c r="AL536">
        <f>IF(AND(AI536&gt;=3,AB536&lt;=0.2),1,0)</f>
        <v/>
      </c>
      <c r="AM536">
        <f>AVERAGE(W536:AB536)</f>
        <v/>
      </c>
      <c r="AN536">
        <f>1+COUNTIF(bounds,"&lt;"&amp;ROUND(AM536,12))</f>
        <v/>
      </c>
      <c r="AO536">
        <f>IF(AK536=1,AD536,NA())</f>
        <v/>
      </c>
      <c r="AP536">
        <f>IF(AK536=0,AD536,NA())</f>
        <v/>
      </c>
    </row>
    <row r="537">
      <c r="A537" t="n">
        <v>529</v>
      </c>
      <c r="B537" t="n">
        <v>5</v>
      </c>
      <c r="C537" t="n">
        <v>1</v>
      </c>
      <c r="D537" t="n">
        <v>4</v>
      </c>
      <c r="E537" t="n">
        <v>2</v>
      </c>
      <c r="F537" t="n">
        <v>4</v>
      </c>
      <c r="G537" t="n">
        <v>2</v>
      </c>
      <c r="H537" t="n">
        <v>1</v>
      </c>
      <c r="I537" t="n">
        <v>5</v>
      </c>
      <c r="J537" t="n">
        <v>2</v>
      </c>
      <c r="K537" t="n">
        <v>3</v>
      </c>
      <c r="L537" t="n">
        <v>2</v>
      </c>
      <c r="M537" t="n">
        <v>4</v>
      </c>
      <c r="N537" t="n">
        <v>1</v>
      </c>
      <c r="O537" t="n">
        <v>3</v>
      </c>
      <c r="P537" t="n">
        <v>3</v>
      </c>
      <c r="Q537" t="n">
        <v>3</v>
      </c>
      <c r="R537" t="n">
        <v>4</v>
      </c>
      <c r="S537" t="n">
        <v>2</v>
      </c>
      <c r="T537" t="n">
        <v>5</v>
      </c>
      <c r="U537" t="n">
        <v>4</v>
      </c>
      <c r="V537" t="n">
        <v>3</v>
      </c>
      <c r="W537">
        <f>(AVERAGE(B537:D537)-1)/4</f>
        <v/>
      </c>
      <c r="X537">
        <f>(AVERAGE(E537:G537)-1)/4</f>
        <v/>
      </c>
      <c r="Y537">
        <f>(AVERAGE(H537:J537)-1)/4</f>
        <v/>
      </c>
      <c r="Z537">
        <f>(AVERAGE(K537:M537)-1)/4</f>
        <v/>
      </c>
      <c r="AA537">
        <f>(AVERAGE(N537:P537)-1)/4</f>
        <v/>
      </c>
      <c r="AB537">
        <f>(AVERAGE(Q537:S537)-1)/4</f>
        <v/>
      </c>
      <c r="AC537">
        <f>(AVERAGE(T537:V537)-1)/4</f>
        <v/>
      </c>
      <c r="AD537">
        <f>AVERAGE(W537:AA537)</f>
        <v/>
      </c>
      <c r="AE537">
        <f>MIN(W537:AA537)</f>
        <v/>
      </c>
      <c r="AF537">
        <f>1-alpha*MAX(0,delta-AE537)</f>
        <v/>
      </c>
      <c r="AG537">
        <f>AD537*AF537</f>
        <v/>
      </c>
      <c r="AH537">
        <f>1+COUNTIF(bounds,"&lt;"&amp;ROUND(AD537,12))</f>
        <v/>
      </c>
      <c r="AI537">
        <f>1+COUNTIF(bounds,"&lt;"&amp;ROUND(AG537,12))</f>
        <v/>
      </c>
      <c r="AJ537">
        <f>IF(AF537&lt;1,1,0)</f>
        <v/>
      </c>
      <c r="AK537">
        <f>IF(AH537&lt;&gt;AI537,1,0)</f>
        <v/>
      </c>
      <c r="AL537">
        <f>IF(AND(AI537&gt;=3,AB537&lt;=0.2),1,0)</f>
        <v/>
      </c>
      <c r="AM537">
        <f>AVERAGE(W537:AB537)</f>
        <v/>
      </c>
      <c r="AN537">
        <f>1+COUNTIF(bounds,"&lt;"&amp;ROUND(AM537,12))</f>
        <v/>
      </c>
      <c r="AO537">
        <f>IF(AK537=1,AD537,NA())</f>
        <v/>
      </c>
      <c r="AP537">
        <f>IF(AK537=0,AD537,NA())</f>
        <v/>
      </c>
    </row>
    <row r="538">
      <c r="A538" t="n">
        <v>530</v>
      </c>
      <c r="B538" t="n">
        <v>2</v>
      </c>
      <c r="C538" t="n">
        <v>2</v>
      </c>
      <c r="D538" t="n">
        <v>5</v>
      </c>
      <c r="E538" t="n">
        <v>1</v>
      </c>
      <c r="F538" t="n">
        <v>3</v>
      </c>
      <c r="G538" t="n">
        <v>4</v>
      </c>
      <c r="H538" t="n">
        <v>3</v>
      </c>
      <c r="I538" t="n">
        <v>4</v>
      </c>
      <c r="J538" t="n">
        <v>2</v>
      </c>
      <c r="K538" t="n">
        <v>4</v>
      </c>
      <c r="L538" t="n">
        <v>4</v>
      </c>
      <c r="M538" t="n">
        <v>2</v>
      </c>
      <c r="N538" t="n">
        <v>4</v>
      </c>
      <c r="O538" t="n">
        <v>2</v>
      </c>
      <c r="P538" t="n">
        <v>5</v>
      </c>
      <c r="Q538" t="n">
        <v>4</v>
      </c>
      <c r="R538" t="n">
        <v>5</v>
      </c>
      <c r="S538" t="n">
        <v>2</v>
      </c>
      <c r="T538" t="n">
        <v>1</v>
      </c>
      <c r="U538" t="n">
        <v>1</v>
      </c>
      <c r="V538" t="n">
        <v>5</v>
      </c>
      <c r="W538">
        <f>(AVERAGE(B538:D538)-1)/4</f>
        <v/>
      </c>
      <c r="X538">
        <f>(AVERAGE(E538:G538)-1)/4</f>
        <v/>
      </c>
      <c r="Y538">
        <f>(AVERAGE(H538:J538)-1)/4</f>
        <v/>
      </c>
      <c r="Z538">
        <f>(AVERAGE(K538:M538)-1)/4</f>
        <v/>
      </c>
      <c r="AA538">
        <f>(AVERAGE(N538:P538)-1)/4</f>
        <v/>
      </c>
      <c r="AB538">
        <f>(AVERAGE(Q538:S538)-1)/4</f>
        <v/>
      </c>
      <c r="AC538">
        <f>(AVERAGE(T538:V538)-1)/4</f>
        <v/>
      </c>
      <c r="AD538">
        <f>AVERAGE(W538:AA538)</f>
        <v/>
      </c>
      <c r="AE538">
        <f>MIN(W538:AA538)</f>
        <v/>
      </c>
      <c r="AF538">
        <f>1-alpha*MAX(0,delta-AE538)</f>
        <v/>
      </c>
      <c r="AG538">
        <f>AD538*AF538</f>
        <v/>
      </c>
      <c r="AH538">
        <f>1+COUNTIF(bounds,"&lt;"&amp;ROUND(AD538,12))</f>
        <v/>
      </c>
      <c r="AI538">
        <f>1+COUNTIF(bounds,"&lt;"&amp;ROUND(AG538,12))</f>
        <v/>
      </c>
      <c r="AJ538">
        <f>IF(AF538&lt;1,1,0)</f>
        <v/>
      </c>
      <c r="AK538">
        <f>IF(AH538&lt;&gt;AI538,1,0)</f>
        <v/>
      </c>
      <c r="AL538">
        <f>IF(AND(AI538&gt;=3,AB538&lt;=0.2),1,0)</f>
        <v/>
      </c>
      <c r="AM538">
        <f>AVERAGE(W538:AB538)</f>
        <v/>
      </c>
      <c r="AN538">
        <f>1+COUNTIF(bounds,"&lt;"&amp;ROUND(AM538,12))</f>
        <v/>
      </c>
      <c r="AO538">
        <f>IF(AK538=1,AD538,NA())</f>
        <v/>
      </c>
      <c r="AP538">
        <f>IF(AK538=0,AD538,NA())</f>
        <v/>
      </c>
    </row>
    <row r="539">
      <c r="A539" t="n">
        <v>531</v>
      </c>
      <c r="B539" t="n">
        <v>3</v>
      </c>
      <c r="C539" t="n">
        <v>3</v>
      </c>
      <c r="D539" t="n">
        <v>1</v>
      </c>
      <c r="E539" t="n">
        <v>3</v>
      </c>
      <c r="F539" t="n">
        <v>5</v>
      </c>
      <c r="G539" t="n">
        <v>1</v>
      </c>
      <c r="H539" t="n">
        <v>5</v>
      </c>
      <c r="I539" t="n">
        <v>1</v>
      </c>
      <c r="J539" t="n">
        <v>3</v>
      </c>
      <c r="K539" t="n">
        <v>3</v>
      </c>
      <c r="L539" t="n">
        <v>4</v>
      </c>
      <c r="M539" t="n">
        <v>4</v>
      </c>
      <c r="N539" t="n">
        <v>1</v>
      </c>
      <c r="O539" t="n">
        <v>5</v>
      </c>
      <c r="P539" t="n">
        <v>3</v>
      </c>
      <c r="Q539" t="n">
        <v>2</v>
      </c>
      <c r="R539" t="n">
        <v>2</v>
      </c>
      <c r="S539" t="n">
        <v>3</v>
      </c>
      <c r="T539" t="n">
        <v>3</v>
      </c>
      <c r="U539" t="n">
        <v>1</v>
      </c>
      <c r="V539" t="n">
        <v>2</v>
      </c>
      <c r="W539">
        <f>(AVERAGE(B539:D539)-1)/4</f>
        <v/>
      </c>
      <c r="X539">
        <f>(AVERAGE(E539:G539)-1)/4</f>
        <v/>
      </c>
      <c r="Y539">
        <f>(AVERAGE(H539:J539)-1)/4</f>
        <v/>
      </c>
      <c r="Z539">
        <f>(AVERAGE(K539:M539)-1)/4</f>
        <v/>
      </c>
      <c r="AA539">
        <f>(AVERAGE(N539:P539)-1)/4</f>
        <v/>
      </c>
      <c r="AB539">
        <f>(AVERAGE(Q539:S539)-1)/4</f>
        <v/>
      </c>
      <c r="AC539">
        <f>(AVERAGE(T539:V539)-1)/4</f>
        <v/>
      </c>
      <c r="AD539">
        <f>AVERAGE(W539:AA539)</f>
        <v/>
      </c>
      <c r="AE539">
        <f>MIN(W539:AA539)</f>
        <v/>
      </c>
      <c r="AF539">
        <f>1-alpha*MAX(0,delta-AE539)</f>
        <v/>
      </c>
      <c r="AG539">
        <f>AD539*AF539</f>
        <v/>
      </c>
      <c r="AH539">
        <f>1+COUNTIF(bounds,"&lt;"&amp;ROUND(AD539,12))</f>
        <v/>
      </c>
      <c r="AI539">
        <f>1+COUNTIF(bounds,"&lt;"&amp;ROUND(AG539,12))</f>
        <v/>
      </c>
      <c r="AJ539">
        <f>IF(AF539&lt;1,1,0)</f>
        <v/>
      </c>
      <c r="AK539">
        <f>IF(AH539&lt;&gt;AI539,1,0)</f>
        <v/>
      </c>
      <c r="AL539">
        <f>IF(AND(AI539&gt;=3,AB539&lt;=0.2),1,0)</f>
        <v/>
      </c>
      <c r="AM539">
        <f>AVERAGE(W539:AB539)</f>
        <v/>
      </c>
      <c r="AN539">
        <f>1+COUNTIF(bounds,"&lt;"&amp;ROUND(AM539,12))</f>
        <v/>
      </c>
      <c r="AO539">
        <f>IF(AK539=1,AD539,NA())</f>
        <v/>
      </c>
      <c r="AP539">
        <f>IF(AK539=0,AD539,NA())</f>
        <v/>
      </c>
    </row>
    <row r="540">
      <c r="A540" t="n">
        <v>532</v>
      </c>
      <c r="B540" t="n">
        <v>4</v>
      </c>
      <c r="C540" t="n">
        <v>5</v>
      </c>
      <c r="D540" t="n">
        <v>4</v>
      </c>
      <c r="E540" t="n">
        <v>2</v>
      </c>
      <c r="F540" t="n">
        <v>3</v>
      </c>
      <c r="G540" t="n">
        <v>3</v>
      </c>
      <c r="H540" t="n">
        <v>3</v>
      </c>
      <c r="I540" t="n">
        <v>3</v>
      </c>
      <c r="J540" t="n">
        <v>5</v>
      </c>
      <c r="K540" t="n">
        <v>5</v>
      </c>
      <c r="L540" t="n">
        <v>4</v>
      </c>
      <c r="M540" t="n">
        <v>5</v>
      </c>
      <c r="N540" t="n">
        <v>2</v>
      </c>
      <c r="O540" t="n">
        <v>2</v>
      </c>
      <c r="P540" t="n">
        <v>1</v>
      </c>
      <c r="Q540" t="n">
        <v>2</v>
      </c>
      <c r="R540" t="n">
        <v>4</v>
      </c>
      <c r="S540" t="n">
        <v>5</v>
      </c>
      <c r="T540" t="n">
        <v>1</v>
      </c>
      <c r="U540" t="n">
        <v>2</v>
      </c>
      <c r="V540" t="n">
        <v>1</v>
      </c>
      <c r="W540">
        <f>(AVERAGE(B540:D540)-1)/4</f>
        <v/>
      </c>
      <c r="X540">
        <f>(AVERAGE(E540:G540)-1)/4</f>
        <v/>
      </c>
      <c r="Y540">
        <f>(AVERAGE(H540:J540)-1)/4</f>
        <v/>
      </c>
      <c r="Z540">
        <f>(AVERAGE(K540:M540)-1)/4</f>
        <v/>
      </c>
      <c r="AA540">
        <f>(AVERAGE(N540:P540)-1)/4</f>
        <v/>
      </c>
      <c r="AB540">
        <f>(AVERAGE(Q540:S540)-1)/4</f>
        <v/>
      </c>
      <c r="AC540">
        <f>(AVERAGE(T540:V540)-1)/4</f>
        <v/>
      </c>
      <c r="AD540">
        <f>AVERAGE(W540:AA540)</f>
        <v/>
      </c>
      <c r="AE540">
        <f>MIN(W540:AA540)</f>
        <v/>
      </c>
      <c r="AF540">
        <f>1-alpha*MAX(0,delta-AE540)</f>
        <v/>
      </c>
      <c r="AG540">
        <f>AD540*AF540</f>
        <v/>
      </c>
      <c r="AH540">
        <f>1+COUNTIF(bounds,"&lt;"&amp;ROUND(AD540,12))</f>
        <v/>
      </c>
      <c r="AI540">
        <f>1+COUNTIF(bounds,"&lt;"&amp;ROUND(AG540,12))</f>
        <v/>
      </c>
      <c r="AJ540">
        <f>IF(AF540&lt;1,1,0)</f>
        <v/>
      </c>
      <c r="AK540">
        <f>IF(AH540&lt;&gt;AI540,1,0)</f>
        <v/>
      </c>
      <c r="AL540">
        <f>IF(AND(AI540&gt;=3,AB540&lt;=0.2),1,0)</f>
        <v/>
      </c>
      <c r="AM540">
        <f>AVERAGE(W540:AB540)</f>
        <v/>
      </c>
      <c r="AN540">
        <f>1+COUNTIF(bounds,"&lt;"&amp;ROUND(AM540,12))</f>
        <v/>
      </c>
      <c r="AO540">
        <f>IF(AK540=1,AD540,NA())</f>
        <v/>
      </c>
      <c r="AP540">
        <f>IF(AK540=0,AD540,NA())</f>
        <v/>
      </c>
    </row>
    <row r="541">
      <c r="A541" t="n">
        <v>533</v>
      </c>
      <c r="B541" t="n">
        <v>4</v>
      </c>
      <c r="C541" t="n">
        <v>1</v>
      </c>
      <c r="D541" t="n">
        <v>2</v>
      </c>
      <c r="E541" t="n">
        <v>2</v>
      </c>
      <c r="F541" t="n">
        <v>2</v>
      </c>
      <c r="G541" t="n">
        <v>3</v>
      </c>
      <c r="H541" t="n">
        <v>3</v>
      </c>
      <c r="I541" t="n">
        <v>1</v>
      </c>
      <c r="J541" t="n">
        <v>2</v>
      </c>
      <c r="K541" t="n">
        <v>3</v>
      </c>
      <c r="L541" t="n">
        <v>3</v>
      </c>
      <c r="M541" t="n">
        <v>4</v>
      </c>
      <c r="N541" t="n">
        <v>4</v>
      </c>
      <c r="O541" t="n">
        <v>3</v>
      </c>
      <c r="P541" t="n">
        <v>1</v>
      </c>
      <c r="Q541" t="n">
        <v>1</v>
      </c>
      <c r="R541" t="n">
        <v>3</v>
      </c>
      <c r="S541" t="n">
        <v>1</v>
      </c>
      <c r="T541" t="n">
        <v>1</v>
      </c>
      <c r="U541" t="n">
        <v>5</v>
      </c>
      <c r="V541" t="n">
        <v>5</v>
      </c>
      <c r="W541">
        <f>(AVERAGE(B541:D541)-1)/4</f>
        <v/>
      </c>
      <c r="X541">
        <f>(AVERAGE(E541:G541)-1)/4</f>
        <v/>
      </c>
      <c r="Y541">
        <f>(AVERAGE(H541:J541)-1)/4</f>
        <v/>
      </c>
      <c r="Z541">
        <f>(AVERAGE(K541:M541)-1)/4</f>
        <v/>
      </c>
      <c r="AA541">
        <f>(AVERAGE(N541:P541)-1)/4</f>
        <v/>
      </c>
      <c r="AB541">
        <f>(AVERAGE(Q541:S541)-1)/4</f>
        <v/>
      </c>
      <c r="AC541">
        <f>(AVERAGE(T541:V541)-1)/4</f>
        <v/>
      </c>
      <c r="AD541">
        <f>AVERAGE(W541:AA541)</f>
        <v/>
      </c>
      <c r="AE541">
        <f>MIN(W541:AA541)</f>
        <v/>
      </c>
      <c r="AF541">
        <f>1-alpha*MAX(0,delta-AE541)</f>
        <v/>
      </c>
      <c r="AG541">
        <f>AD541*AF541</f>
        <v/>
      </c>
      <c r="AH541">
        <f>1+COUNTIF(bounds,"&lt;"&amp;ROUND(AD541,12))</f>
        <v/>
      </c>
      <c r="AI541">
        <f>1+COUNTIF(bounds,"&lt;"&amp;ROUND(AG541,12))</f>
        <v/>
      </c>
      <c r="AJ541">
        <f>IF(AF541&lt;1,1,0)</f>
        <v/>
      </c>
      <c r="AK541">
        <f>IF(AH541&lt;&gt;AI541,1,0)</f>
        <v/>
      </c>
      <c r="AL541">
        <f>IF(AND(AI541&gt;=3,AB541&lt;=0.2),1,0)</f>
        <v/>
      </c>
      <c r="AM541">
        <f>AVERAGE(W541:AB541)</f>
        <v/>
      </c>
      <c r="AN541">
        <f>1+COUNTIF(bounds,"&lt;"&amp;ROUND(AM541,12))</f>
        <v/>
      </c>
      <c r="AO541">
        <f>IF(AK541=1,AD541,NA())</f>
        <v/>
      </c>
      <c r="AP541">
        <f>IF(AK541=0,AD541,NA())</f>
        <v/>
      </c>
    </row>
    <row r="542">
      <c r="A542" t="n">
        <v>534</v>
      </c>
      <c r="B542" t="n">
        <v>3</v>
      </c>
      <c r="C542" t="n">
        <v>4</v>
      </c>
      <c r="D542" t="n">
        <v>1</v>
      </c>
      <c r="E542" t="n">
        <v>2</v>
      </c>
      <c r="F542" t="n">
        <v>4</v>
      </c>
      <c r="G542" t="n">
        <v>2</v>
      </c>
      <c r="H542" t="n">
        <v>1</v>
      </c>
      <c r="I542" t="n">
        <v>4</v>
      </c>
      <c r="J542" t="n">
        <v>3</v>
      </c>
      <c r="K542" t="n">
        <v>4</v>
      </c>
      <c r="L542" t="n">
        <v>4</v>
      </c>
      <c r="M542" t="n">
        <v>1</v>
      </c>
      <c r="N542" t="n">
        <v>3</v>
      </c>
      <c r="O542" t="n">
        <v>4</v>
      </c>
      <c r="P542" t="n">
        <v>2</v>
      </c>
      <c r="Q542" t="n">
        <v>2</v>
      </c>
      <c r="R542" t="n">
        <v>2</v>
      </c>
      <c r="S542" t="n">
        <v>2</v>
      </c>
      <c r="T542" t="n">
        <v>4</v>
      </c>
      <c r="U542" t="n">
        <v>5</v>
      </c>
      <c r="V542" t="n">
        <v>5</v>
      </c>
      <c r="W542">
        <f>(AVERAGE(B542:D542)-1)/4</f>
        <v/>
      </c>
      <c r="X542">
        <f>(AVERAGE(E542:G542)-1)/4</f>
        <v/>
      </c>
      <c r="Y542">
        <f>(AVERAGE(H542:J542)-1)/4</f>
        <v/>
      </c>
      <c r="Z542">
        <f>(AVERAGE(K542:M542)-1)/4</f>
        <v/>
      </c>
      <c r="AA542">
        <f>(AVERAGE(N542:P542)-1)/4</f>
        <v/>
      </c>
      <c r="AB542">
        <f>(AVERAGE(Q542:S542)-1)/4</f>
        <v/>
      </c>
      <c r="AC542">
        <f>(AVERAGE(T542:V542)-1)/4</f>
        <v/>
      </c>
      <c r="AD542">
        <f>AVERAGE(W542:AA542)</f>
        <v/>
      </c>
      <c r="AE542">
        <f>MIN(W542:AA542)</f>
        <v/>
      </c>
      <c r="AF542">
        <f>1-alpha*MAX(0,delta-AE542)</f>
        <v/>
      </c>
      <c r="AG542">
        <f>AD542*AF542</f>
        <v/>
      </c>
      <c r="AH542">
        <f>1+COUNTIF(bounds,"&lt;"&amp;ROUND(AD542,12))</f>
        <v/>
      </c>
      <c r="AI542">
        <f>1+COUNTIF(bounds,"&lt;"&amp;ROUND(AG542,12))</f>
        <v/>
      </c>
      <c r="AJ542">
        <f>IF(AF542&lt;1,1,0)</f>
        <v/>
      </c>
      <c r="AK542">
        <f>IF(AH542&lt;&gt;AI542,1,0)</f>
        <v/>
      </c>
      <c r="AL542">
        <f>IF(AND(AI542&gt;=3,AB542&lt;=0.2),1,0)</f>
        <v/>
      </c>
      <c r="AM542">
        <f>AVERAGE(W542:AB542)</f>
        <v/>
      </c>
      <c r="AN542">
        <f>1+COUNTIF(bounds,"&lt;"&amp;ROUND(AM542,12))</f>
        <v/>
      </c>
      <c r="AO542">
        <f>IF(AK542=1,AD542,NA())</f>
        <v/>
      </c>
      <c r="AP542">
        <f>IF(AK542=0,AD542,NA())</f>
        <v/>
      </c>
    </row>
    <row r="543">
      <c r="A543" t="n">
        <v>535</v>
      </c>
      <c r="B543" t="n">
        <v>2</v>
      </c>
      <c r="C543" t="n">
        <v>5</v>
      </c>
      <c r="D543" t="n">
        <v>1</v>
      </c>
      <c r="E543" t="n">
        <v>2</v>
      </c>
      <c r="F543" t="n">
        <v>2</v>
      </c>
      <c r="G543" t="n">
        <v>3</v>
      </c>
      <c r="H543" t="n">
        <v>4</v>
      </c>
      <c r="I543" t="n">
        <v>1</v>
      </c>
      <c r="J543" t="n">
        <v>1</v>
      </c>
      <c r="K543" t="n">
        <v>4</v>
      </c>
      <c r="L543" t="n">
        <v>3</v>
      </c>
      <c r="M543" t="n">
        <v>4</v>
      </c>
      <c r="N543" t="n">
        <v>2</v>
      </c>
      <c r="O543" t="n">
        <v>4</v>
      </c>
      <c r="P543" t="n">
        <v>4</v>
      </c>
      <c r="Q543" t="n">
        <v>3</v>
      </c>
      <c r="R543" t="n">
        <v>2</v>
      </c>
      <c r="S543" t="n">
        <v>1</v>
      </c>
      <c r="T543" t="n">
        <v>3</v>
      </c>
      <c r="U543" t="n">
        <v>4</v>
      </c>
      <c r="V543" t="n">
        <v>2</v>
      </c>
      <c r="W543">
        <f>(AVERAGE(B543:D543)-1)/4</f>
        <v/>
      </c>
      <c r="X543">
        <f>(AVERAGE(E543:G543)-1)/4</f>
        <v/>
      </c>
      <c r="Y543">
        <f>(AVERAGE(H543:J543)-1)/4</f>
        <v/>
      </c>
      <c r="Z543">
        <f>(AVERAGE(K543:M543)-1)/4</f>
        <v/>
      </c>
      <c r="AA543">
        <f>(AVERAGE(N543:P543)-1)/4</f>
        <v/>
      </c>
      <c r="AB543">
        <f>(AVERAGE(Q543:S543)-1)/4</f>
        <v/>
      </c>
      <c r="AC543">
        <f>(AVERAGE(T543:V543)-1)/4</f>
        <v/>
      </c>
      <c r="AD543">
        <f>AVERAGE(W543:AA543)</f>
        <v/>
      </c>
      <c r="AE543">
        <f>MIN(W543:AA543)</f>
        <v/>
      </c>
      <c r="AF543">
        <f>1-alpha*MAX(0,delta-AE543)</f>
        <v/>
      </c>
      <c r="AG543">
        <f>AD543*AF543</f>
        <v/>
      </c>
      <c r="AH543">
        <f>1+COUNTIF(bounds,"&lt;"&amp;ROUND(AD543,12))</f>
        <v/>
      </c>
      <c r="AI543">
        <f>1+COUNTIF(bounds,"&lt;"&amp;ROUND(AG543,12))</f>
        <v/>
      </c>
      <c r="AJ543">
        <f>IF(AF543&lt;1,1,0)</f>
        <v/>
      </c>
      <c r="AK543">
        <f>IF(AH543&lt;&gt;AI543,1,0)</f>
        <v/>
      </c>
      <c r="AL543">
        <f>IF(AND(AI543&gt;=3,AB543&lt;=0.2),1,0)</f>
        <v/>
      </c>
      <c r="AM543">
        <f>AVERAGE(W543:AB543)</f>
        <v/>
      </c>
      <c r="AN543">
        <f>1+COUNTIF(bounds,"&lt;"&amp;ROUND(AM543,12))</f>
        <v/>
      </c>
      <c r="AO543">
        <f>IF(AK543=1,AD543,NA())</f>
        <v/>
      </c>
      <c r="AP543">
        <f>IF(AK543=0,AD543,NA())</f>
        <v/>
      </c>
    </row>
    <row r="544">
      <c r="A544" t="n">
        <v>536</v>
      </c>
      <c r="B544" t="n">
        <v>4</v>
      </c>
      <c r="C544" t="n">
        <v>3</v>
      </c>
      <c r="D544" t="n">
        <v>5</v>
      </c>
      <c r="E544" t="n">
        <v>3</v>
      </c>
      <c r="F544" t="n">
        <v>2</v>
      </c>
      <c r="G544" t="n">
        <v>3</v>
      </c>
      <c r="H544" t="n">
        <v>2</v>
      </c>
      <c r="I544" t="n">
        <v>2</v>
      </c>
      <c r="J544" t="n">
        <v>5</v>
      </c>
      <c r="K544" t="n">
        <v>2</v>
      </c>
      <c r="L544" t="n">
        <v>1</v>
      </c>
      <c r="M544" t="n">
        <v>5</v>
      </c>
      <c r="N544" t="n">
        <v>1</v>
      </c>
      <c r="O544" t="n">
        <v>4</v>
      </c>
      <c r="P544" t="n">
        <v>3</v>
      </c>
      <c r="Q544" t="n">
        <v>5</v>
      </c>
      <c r="R544" t="n">
        <v>2</v>
      </c>
      <c r="S544" t="n">
        <v>5</v>
      </c>
      <c r="T544" t="n">
        <v>5</v>
      </c>
      <c r="U544" t="n">
        <v>3</v>
      </c>
      <c r="V544" t="n">
        <v>1</v>
      </c>
      <c r="W544">
        <f>(AVERAGE(B544:D544)-1)/4</f>
        <v/>
      </c>
      <c r="X544">
        <f>(AVERAGE(E544:G544)-1)/4</f>
        <v/>
      </c>
      <c r="Y544">
        <f>(AVERAGE(H544:J544)-1)/4</f>
        <v/>
      </c>
      <c r="Z544">
        <f>(AVERAGE(K544:M544)-1)/4</f>
        <v/>
      </c>
      <c r="AA544">
        <f>(AVERAGE(N544:P544)-1)/4</f>
        <v/>
      </c>
      <c r="AB544">
        <f>(AVERAGE(Q544:S544)-1)/4</f>
        <v/>
      </c>
      <c r="AC544">
        <f>(AVERAGE(T544:V544)-1)/4</f>
        <v/>
      </c>
      <c r="AD544">
        <f>AVERAGE(W544:AA544)</f>
        <v/>
      </c>
      <c r="AE544">
        <f>MIN(W544:AA544)</f>
        <v/>
      </c>
      <c r="AF544">
        <f>1-alpha*MAX(0,delta-AE544)</f>
        <v/>
      </c>
      <c r="AG544">
        <f>AD544*AF544</f>
        <v/>
      </c>
      <c r="AH544">
        <f>1+COUNTIF(bounds,"&lt;"&amp;ROUND(AD544,12))</f>
        <v/>
      </c>
      <c r="AI544">
        <f>1+COUNTIF(bounds,"&lt;"&amp;ROUND(AG544,12))</f>
        <v/>
      </c>
      <c r="AJ544">
        <f>IF(AF544&lt;1,1,0)</f>
        <v/>
      </c>
      <c r="AK544">
        <f>IF(AH544&lt;&gt;AI544,1,0)</f>
        <v/>
      </c>
      <c r="AL544">
        <f>IF(AND(AI544&gt;=3,AB544&lt;=0.2),1,0)</f>
        <v/>
      </c>
      <c r="AM544">
        <f>AVERAGE(W544:AB544)</f>
        <v/>
      </c>
      <c r="AN544">
        <f>1+COUNTIF(bounds,"&lt;"&amp;ROUND(AM544,12))</f>
        <v/>
      </c>
      <c r="AO544">
        <f>IF(AK544=1,AD544,NA())</f>
        <v/>
      </c>
      <c r="AP544">
        <f>IF(AK544=0,AD544,NA())</f>
        <v/>
      </c>
    </row>
    <row r="545">
      <c r="A545" t="n">
        <v>537</v>
      </c>
      <c r="B545" t="n">
        <v>1</v>
      </c>
      <c r="C545" t="n">
        <v>4</v>
      </c>
      <c r="D545" t="n">
        <v>5</v>
      </c>
      <c r="E545" t="n">
        <v>4</v>
      </c>
      <c r="F545" t="n">
        <v>5</v>
      </c>
      <c r="G545" t="n">
        <v>1</v>
      </c>
      <c r="H545" t="n">
        <v>3</v>
      </c>
      <c r="I545" t="n">
        <v>4</v>
      </c>
      <c r="J545" t="n">
        <v>1</v>
      </c>
      <c r="K545" t="n">
        <v>4</v>
      </c>
      <c r="L545" t="n">
        <v>1</v>
      </c>
      <c r="M545" t="n">
        <v>2</v>
      </c>
      <c r="N545" t="n">
        <v>5</v>
      </c>
      <c r="O545" t="n">
        <v>5</v>
      </c>
      <c r="P545" t="n">
        <v>3</v>
      </c>
      <c r="Q545" t="n">
        <v>5</v>
      </c>
      <c r="R545" t="n">
        <v>3</v>
      </c>
      <c r="S545" t="n">
        <v>4</v>
      </c>
      <c r="T545" t="n">
        <v>4</v>
      </c>
      <c r="U545" t="n">
        <v>1</v>
      </c>
      <c r="V545" t="n">
        <v>3</v>
      </c>
      <c r="W545">
        <f>(AVERAGE(B545:D545)-1)/4</f>
        <v/>
      </c>
      <c r="X545">
        <f>(AVERAGE(E545:G545)-1)/4</f>
        <v/>
      </c>
      <c r="Y545">
        <f>(AVERAGE(H545:J545)-1)/4</f>
        <v/>
      </c>
      <c r="Z545">
        <f>(AVERAGE(K545:M545)-1)/4</f>
        <v/>
      </c>
      <c r="AA545">
        <f>(AVERAGE(N545:P545)-1)/4</f>
        <v/>
      </c>
      <c r="AB545">
        <f>(AVERAGE(Q545:S545)-1)/4</f>
        <v/>
      </c>
      <c r="AC545">
        <f>(AVERAGE(T545:V545)-1)/4</f>
        <v/>
      </c>
      <c r="AD545">
        <f>AVERAGE(W545:AA545)</f>
        <v/>
      </c>
      <c r="AE545">
        <f>MIN(W545:AA545)</f>
        <v/>
      </c>
      <c r="AF545">
        <f>1-alpha*MAX(0,delta-AE545)</f>
        <v/>
      </c>
      <c r="AG545">
        <f>AD545*AF545</f>
        <v/>
      </c>
      <c r="AH545">
        <f>1+COUNTIF(bounds,"&lt;"&amp;ROUND(AD545,12))</f>
        <v/>
      </c>
      <c r="AI545">
        <f>1+COUNTIF(bounds,"&lt;"&amp;ROUND(AG545,12))</f>
        <v/>
      </c>
      <c r="AJ545">
        <f>IF(AF545&lt;1,1,0)</f>
        <v/>
      </c>
      <c r="AK545">
        <f>IF(AH545&lt;&gt;AI545,1,0)</f>
        <v/>
      </c>
      <c r="AL545">
        <f>IF(AND(AI545&gt;=3,AB545&lt;=0.2),1,0)</f>
        <v/>
      </c>
      <c r="AM545">
        <f>AVERAGE(W545:AB545)</f>
        <v/>
      </c>
      <c r="AN545">
        <f>1+COUNTIF(bounds,"&lt;"&amp;ROUND(AM545,12))</f>
        <v/>
      </c>
      <c r="AO545">
        <f>IF(AK545=1,AD545,NA())</f>
        <v/>
      </c>
      <c r="AP545">
        <f>IF(AK545=0,AD545,NA())</f>
        <v/>
      </c>
    </row>
    <row r="546">
      <c r="A546" t="n">
        <v>538</v>
      </c>
      <c r="B546" t="n">
        <v>4</v>
      </c>
      <c r="C546" t="n">
        <v>2</v>
      </c>
      <c r="D546" t="n">
        <v>5</v>
      </c>
      <c r="E546" t="n">
        <v>2</v>
      </c>
      <c r="F546" t="n">
        <v>5</v>
      </c>
      <c r="G546" t="n">
        <v>3</v>
      </c>
      <c r="H546" t="n">
        <v>2</v>
      </c>
      <c r="I546" t="n">
        <v>1</v>
      </c>
      <c r="J546" t="n">
        <v>1</v>
      </c>
      <c r="K546" t="n">
        <v>2</v>
      </c>
      <c r="L546" t="n">
        <v>2</v>
      </c>
      <c r="M546" t="n">
        <v>4</v>
      </c>
      <c r="N546" t="n">
        <v>4</v>
      </c>
      <c r="O546" t="n">
        <v>1</v>
      </c>
      <c r="P546" t="n">
        <v>2</v>
      </c>
      <c r="Q546" t="n">
        <v>5</v>
      </c>
      <c r="R546" t="n">
        <v>5</v>
      </c>
      <c r="S546" t="n">
        <v>5</v>
      </c>
      <c r="T546" t="n">
        <v>1</v>
      </c>
      <c r="U546" t="n">
        <v>5</v>
      </c>
      <c r="V546" t="n">
        <v>2</v>
      </c>
      <c r="W546">
        <f>(AVERAGE(B546:D546)-1)/4</f>
        <v/>
      </c>
      <c r="X546">
        <f>(AVERAGE(E546:G546)-1)/4</f>
        <v/>
      </c>
      <c r="Y546">
        <f>(AVERAGE(H546:J546)-1)/4</f>
        <v/>
      </c>
      <c r="Z546">
        <f>(AVERAGE(K546:M546)-1)/4</f>
        <v/>
      </c>
      <c r="AA546">
        <f>(AVERAGE(N546:P546)-1)/4</f>
        <v/>
      </c>
      <c r="AB546">
        <f>(AVERAGE(Q546:S546)-1)/4</f>
        <v/>
      </c>
      <c r="AC546">
        <f>(AVERAGE(T546:V546)-1)/4</f>
        <v/>
      </c>
      <c r="AD546">
        <f>AVERAGE(W546:AA546)</f>
        <v/>
      </c>
      <c r="AE546">
        <f>MIN(W546:AA546)</f>
        <v/>
      </c>
      <c r="AF546">
        <f>1-alpha*MAX(0,delta-AE546)</f>
        <v/>
      </c>
      <c r="AG546">
        <f>AD546*AF546</f>
        <v/>
      </c>
      <c r="AH546">
        <f>1+COUNTIF(bounds,"&lt;"&amp;ROUND(AD546,12))</f>
        <v/>
      </c>
      <c r="AI546">
        <f>1+COUNTIF(bounds,"&lt;"&amp;ROUND(AG546,12))</f>
        <v/>
      </c>
      <c r="AJ546">
        <f>IF(AF546&lt;1,1,0)</f>
        <v/>
      </c>
      <c r="AK546">
        <f>IF(AH546&lt;&gt;AI546,1,0)</f>
        <v/>
      </c>
      <c r="AL546">
        <f>IF(AND(AI546&gt;=3,AB546&lt;=0.2),1,0)</f>
        <v/>
      </c>
      <c r="AM546">
        <f>AVERAGE(W546:AB546)</f>
        <v/>
      </c>
      <c r="AN546">
        <f>1+COUNTIF(bounds,"&lt;"&amp;ROUND(AM546,12))</f>
        <v/>
      </c>
      <c r="AO546">
        <f>IF(AK546=1,AD546,NA())</f>
        <v/>
      </c>
      <c r="AP546">
        <f>IF(AK546=0,AD546,NA())</f>
        <v/>
      </c>
    </row>
    <row r="547">
      <c r="A547" t="n">
        <v>539</v>
      </c>
      <c r="B547" t="n">
        <v>5</v>
      </c>
      <c r="C547" t="n">
        <v>4</v>
      </c>
      <c r="D547" t="n">
        <v>2</v>
      </c>
      <c r="E547" t="n">
        <v>5</v>
      </c>
      <c r="F547" t="n">
        <v>1</v>
      </c>
      <c r="G547" t="n">
        <v>1</v>
      </c>
      <c r="H547" t="n">
        <v>3</v>
      </c>
      <c r="I547" t="n">
        <v>4</v>
      </c>
      <c r="J547" t="n">
        <v>1</v>
      </c>
      <c r="K547" t="n">
        <v>2</v>
      </c>
      <c r="L547" t="n">
        <v>2</v>
      </c>
      <c r="M547" t="n">
        <v>4</v>
      </c>
      <c r="N547" t="n">
        <v>4</v>
      </c>
      <c r="O547" t="n">
        <v>4</v>
      </c>
      <c r="P547" t="n">
        <v>2</v>
      </c>
      <c r="Q547" t="n">
        <v>4</v>
      </c>
      <c r="R547" t="n">
        <v>3</v>
      </c>
      <c r="S547" t="n">
        <v>3</v>
      </c>
      <c r="T547" t="n">
        <v>2</v>
      </c>
      <c r="U547" t="n">
        <v>1</v>
      </c>
      <c r="V547" t="n">
        <v>4</v>
      </c>
      <c r="W547">
        <f>(AVERAGE(B547:D547)-1)/4</f>
        <v/>
      </c>
      <c r="X547">
        <f>(AVERAGE(E547:G547)-1)/4</f>
        <v/>
      </c>
      <c r="Y547">
        <f>(AVERAGE(H547:J547)-1)/4</f>
        <v/>
      </c>
      <c r="Z547">
        <f>(AVERAGE(K547:M547)-1)/4</f>
        <v/>
      </c>
      <c r="AA547">
        <f>(AVERAGE(N547:P547)-1)/4</f>
        <v/>
      </c>
      <c r="AB547">
        <f>(AVERAGE(Q547:S547)-1)/4</f>
        <v/>
      </c>
      <c r="AC547">
        <f>(AVERAGE(T547:V547)-1)/4</f>
        <v/>
      </c>
      <c r="AD547">
        <f>AVERAGE(W547:AA547)</f>
        <v/>
      </c>
      <c r="AE547">
        <f>MIN(W547:AA547)</f>
        <v/>
      </c>
      <c r="AF547">
        <f>1-alpha*MAX(0,delta-AE547)</f>
        <v/>
      </c>
      <c r="AG547">
        <f>AD547*AF547</f>
        <v/>
      </c>
      <c r="AH547">
        <f>1+COUNTIF(bounds,"&lt;"&amp;ROUND(AD547,12))</f>
        <v/>
      </c>
      <c r="AI547">
        <f>1+COUNTIF(bounds,"&lt;"&amp;ROUND(AG547,12))</f>
        <v/>
      </c>
      <c r="AJ547">
        <f>IF(AF547&lt;1,1,0)</f>
        <v/>
      </c>
      <c r="AK547">
        <f>IF(AH547&lt;&gt;AI547,1,0)</f>
        <v/>
      </c>
      <c r="AL547">
        <f>IF(AND(AI547&gt;=3,AB547&lt;=0.2),1,0)</f>
        <v/>
      </c>
      <c r="AM547">
        <f>AVERAGE(W547:AB547)</f>
        <v/>
      </c>
      <c r="AN547">
        <f>1+COUNTIF(bounds,"&lt;"&amp;ROUND(AM547,12))</f>
        <v/>
      </c>
      <c r="AO547">
        <f>IF(AK547=1,AD547,NA())</f>
        <v/>
      </c>
      <c r="AP547">
        <f>IF(AK547=0,AD547,NA())</f>
        <v/>
      </c>
    </row>
    <row r="548">
      <c r="A548" t="n">
        <v>540</v>
      </c>
      <c r="B548" t="n">
        <v>4</v>
      </c>
      <c r="C548" t="n">
        <v>5</v>
      </c>
      <c r="D548" t="n">
        <v>4</v>
      </c>
      <c r="E548" t="n">
        <v>3</v>
      </c>
      <c r="F548" t="n">
        <v>1</v>
      </c>
      <c r="G548" t="n">
        <v>2</v>
      </c>
      <c r="H548" t="n">
        <v>2</v>
      </c>
      <c r="I548" t="n">
        <v>5</v>
      </c>
      <c r="J548" t="n">
        <v>3</v>
      </c>
      <c r="K548" t="n">
        <v>1</v>
      </c>
      <c r="L548" t="n">
        <v>5</v>
      </c>
      <c r="M548" t="n">
        <v>2</v>
      </c>
      <c r="N548" t="n">
        <v>3</v>
      </c>
      <c r="O548" t="n">
        <v>4</v>
      </c>
      <c r="P548" t="n">
        <v>2</v>
      </c>
      <c r="Q548" t="n">
        <v>1</v>
      </c>
      <c r="R548" t="n">
        <v>2</v>
      </c>
      <c r="S548" t="n">
        <v>1</v>
      </c>
      <c r="T548" t="n">
        <v>5</v>
      </c>
      <c r="U548" t="n">
        <v>3</v>
      </c>
      <c r="V548" t="n">
        <v>2</v>
      </c>
      <c r="W548">
        <f>(AVERAGE(B548:D548)-1)/4</f>
        <v/>
      </c>
      <c r="X548">
        <f>(AVERAGE(E548:G548)-1)/4</f>
        <v/>
      </c>
      <c r="Y548">
        <f>(AVERAGE(H548:J548)-1)/4</f>
        <v/>
      </c>
      <c r="Z548">
        <f>(AVERAGE(K548:M548)-1)/4</f>
        <v/>
      </c>
      <c r="AA548">
        <f>(AVERAGE(N548:P548)-1)/4</f>
        <v/>
      </c>
      <c r="AB548">
        <f>(AVERAGE(Q548:S548)-1)/4</f>
        <v/>
      </c>
      <c r="AC548">
        <f>(AVERAGE(T548:V548)-1)/4</f>
        <v/>
      </c>
      <c r="AD548">
        <f>AVERAGE(W548:AA548)</f>
        <v/>
      </c>
      <c r="AE548">
        <f>MIN(W548:AA548)</f>
        <v/>
      </c>
      <c r="AF548">
        <f>1-alpha*MAX(0,delta-AE548)</f>
        <v/>
      </c>
      <c r="AG548">
        <f>AD548*AF548</f>
        <v/>
      </c>
      <c r="AH548">
        <f>1+COUNTIF(bounds,"&lt;"&amp;ROUND(AD548,12))</f>
        <v/>
      </c>
      <c r="AI548">
        <f>1+COUNTIF(bounds,"&lt;"&amp;ROUND(AG548,12))</f>
        <v/>
      </c>
      <c r="AJ548">
        <f>IF(AF548&lt;1,1,0)</f>
        <v/>
      </c>
      <c r="AK548">
        <f>IF(AH548&lt;&gt;AI548,1,0)</f>
        <v/>
      </c>
      <c r="AL548">
        <f>IF(AND(AI548&gt;=3,AB548&lt;=0.2),1,0)</f>
        <v/>
      </c>
      <c r="AM548">
        <f>AVERAGE(W548:AB548)</f>
        <v/>
      </c>
      <c r="AN548">
        <f>1+COUNTIF(bounds,"&lt;"&amp;ROUND(AM548,12))</f>
        <v/>
      </c>
      <c r="AO548">
        <f>IF(AK548=1,AD548,NA())</f>
        <v/>
      </c>
      <c r="AP548">
        <f>IF(AK548=0,AD548,NA())</f>
        <v/>
      </c>
    </row>
    <row r="549">
      <c r="A549" t="n">
        <v>541</v>
      </c>
      <c r="B549" t="n">
        <v>2</v>
      </c>
      <c r="C549" t="n">
        <v>5</v>
      </c>
      <c r="D549" t="n">
        <v>1</v>
      </c>
      <c r="E549" t="n">
        <v>3</v>
      </c>
      <c r="F549" t="n">
        <v>5</v>
      </c>
      <c r="G549" t="n">
        <v>1</v>
      </c>
      <c r="H549" t="n">
        <v>2</v>
      </c>
      <c r="I549" t="n">
        <v>5</v>
      </c>
      <c r="J549" t="n">
        <v>2</v>
      </c>
      <c r="K549" t="n">
        <v>1</v>
      </c>
      <c r="L549" t="n">
        <v>4</v>
      </c>
      <c r="M549" t="n">
        <v>2</v>
      </c>
      <c r="N549" t="n">
        <v>2</v>
      </c>
      <c r="O549" t="n">
        <v>1</v>
      </c>
      <c r="P549" t="n">
        <v>4</v>
      </c>
      <c r="Q549" t="n">
        <v>1</v>
      </c>
      <c r="R549" t="n">
        <v>3</v>
      </c>
      <c r="S549" t="n">
        <v>4</v>
      </c>
      <c r="T549" t="n">
        <v>4</v>
      </c>
      <c r="U549" t="n">
        <v>3</v>
      </c>
      <c r="V549" t="n">
        <v>4</v>
      </c>
      <c r="W549">
        <f>(AVERAGE(B549:D549)-1)/4</f>
        <v/>
      </c>
      <c r="X549">
        <f>(AVERAGE(E549:G549)-1)/4</f>
        <v/>
      </c>
      <c r="Y549">
        <f>(AVERAGE(H549:J549)-1)/4</f>
        <v/>
      </c>
      <c r="Z549">
        <f>(AVERAGE(K549:M549)-1)/4</f>
        <v/>
      </c>
      <c r="AA549">
        <f>(AVERAGE(N549:P549)-1)/4</f>
        <v/>
      </c>
      <c r="AB549">
        <f>(AVERAGE(Q549:S549)-1)/4</f>
        <v/>
      </c>
      <c r="AC549">
        <f>(AVERAGE(T549:V549)-1)/4</f>
        <v/>
      </c>
      <c r="AD549">
        <f>AVERAGE(W549:AA549)</f>
        <v/>
      </c>
      <c r="AE549">
        <f>MIN(W549:AA549)</f>
        <v/>
      </c>
      <c r="AF549">
        <f>1-alpha*MAX(0,delta-AE549)</f>
        <v/>
      </c>
      <c r="AG549">
        <f>AD549*AF549</f>
        <v/>
      </c>
      <c r="AH549">
        <f>1+COUNTIF(bounds,"&lt;"&amp;ROUND(AD549,12))</f>
        <v/>
      </c>
      <c r="AI549">
        <f>1+COUNTIF(bounds,"&lt;"&amp;ROUND(AG549,12))</f>
        <v/>
      </c>
      <c r="AJ549">
        <f>IF(AF549&lt;1,1,0)</f>
        <v/>
      </c>
      <c r="AK549">
        <f>IF(AH549&lt;&gt;AI549,1,0)</f>
        <v/>
      </c>
      <c r="AL549">
        <f>IF(AND(AI549&gt;=3,AB549&lt;=0.2),1,0)</f>
        <v/>
      </c>
      <c r="AM549">
        <f>AVERAGE(W549:AB549)</f>
        <v/>
      </c>
      <c r="AN549">
        <f>1+COUNTIF(bounds,"&lt;"&amp;ROUND(AM549,12))</f>
        <v/>
      </c>
      <c r="AO549">
        <f>IF(AK549=1,AD549,NA())</f>
        <v/>
      </c>
      <c r="AP549">
        <f>IF(AK549=0,AD549,NA())</f>
        <v/>
      </c>
    </row>
    <row r="550">
      <c r="A550" t="n">
        <v>542</v>
      </c>
      <c r="B550" t="n">
        <v>2</v>
      </c>
      <c r="C550" t="n">
        <v>5</v>
      </c>
      <c r="D550" t="n">
        <v>4</v>
      </c>
      <c r="E550" t="n">
        <v>1</v>
      </c>
      <c r="F550" t="n">
        <v>3</v>
      </c>
      <c r="G550" t="n">
        <v>5</v>
      </c>
      <c r="H550" t="n">
        <v>2</v>
      </c>
      <c r="I550" t="n">
        <v>5</v>
      </c>
      <c r="J550" t="n">
        <v>2</v>
      </c>
      <c r="K550" t="n">
        <v>5</v>
      </c>
      <c r="L550" t="n">
        <v>5</v>
      </c>
      <c r="M550" t="n">
        <v>4</v>
      </c>
      <c r="N550" t="n">
        <v>4</v>
      </c>
      <c r="O550" t="n">
        <v>4</v>
      </c>
      <c r="P550" t="n">
        <v>3</v>
      </c>
      <c r="Q550" t="n">
        <v>2</v>
      </c>
      <c r="R550" t="n">
        <v>3</v>
      </c>
      <c r="S550" t="n">
        <v>2</v>
      </c>
      <c r="T550" t="n">
        <v>3</v>
      </c>
      <c r="U550" t="n">
        <v>3</v>
      </c>
      <c r="V550" t="n">
        <v>2</v>
      </c>
      <c r="W550">
        <f>(AVERAGE(B550:D550)-1)/4</f>
        <v/>
      </c>
      <c r="X550">
        <f>(AVERAGE(E550:G550)-1)/4</f>
        <v/>
      </c>
      <c r="Y550">
        <f>(AVERAGE(H550:J550)-1)/4</f>
        <v/>
      </c>
      <c r="Z550">
        <f>(AVERAGE(K550:M550)-1)/4</f>
        <v/>
      </c>
      <c r="AA550">
        <f>(AVERAGE(N550:P550)-1)/4</f>
        <v/>
      </c>
      <c r="AB550">
        <f>(AVERAGE(Q550:S550)-1)/4</f>
        <v/>
      </c>
      <c r="AC550">
        <f>(AVERAGE(T550:V550)-1)/4</f>
        <v/>
      </c>
      <c r="AD550">
        <f>AVERAGE(W550:AA550)</f>
        <v/>
      </c>
      <c r="AE550">
        <f>MIN(W550:AA550)</f>
        <v/>
      </c>
      <c r="AF550">
        <f>1-alpha*MAX(0,delta-AE550)</f>
        <v/>
      </c>
      <c r="AG550">
        <f>AD550*AF550</f>
        <v/>
      </c>
      <c r="AH550">
        <f>1+COUNTIF(bounds,"&lt;"&amp;ROUND(AD550,12))</f>
        <v/>
      </c>
      <c r="AI550">
        <f>1+COUNTIF(bounds,"&lt;"&amp;ROUND(AG550,12))</f>
        <v/>
      </c>
      <c r="AJ550">
        <f>IF(AF550&lt;1,1,0)</f>
        <v/>
      </c>
      <c r="AK550">
        <f>IF(AH550&lt;&gt;AI550,1,0)</f>
        <v/>
      </c>
      <c r="AL550">
        <f>IF(AND(AI550&gt;=3,AB550&lt;=0.2),1,0)</f>
        <v/>
      </c>
      <c r="AM550">
        <f>AVERAGE(W550:AB550)</f>
        <v/>
      </c>
      <c r="AN550">
        <f>1+COUNTIF(bounds,"&lt;"&amp;ROUND(AM550,12))</f>
        <v/>
      </c>
      <c r="AO550">
        <f>IF(AK550=1,AD550,NA())</f>
        <v/>
      </c>
      <c r="AP550">
        <f>IF(AK550=0,AD550,NA())</f>
        <v/>
      </c>
    </row>
    <row r="551">
      <c r="A551" t="n">
        <v>543</v>
      </c>
      <c r="B551" t="n">
        <v>1</v>
      </c>
      <c r="C551" t="n">
        <v>3</v>
      </c>
      <c r="D551" t="n">
        <v>5</v>
      </c>
      <c r="E551" t="n">
        <v>5</v>
      </c>
      <c r="F551" t="n">
        <v>2</v>
      </c>
      <c r="G551" t="n">
        <v>2</v>
      </c>
      <c r="H551" t="n">
        <v>5</v>
      </c>
      <c r="I551" t="n">
        <v>3</v>
      </c>
      <c r="J551" t="n">
        <v>4</v>
      </c>
      <c r="K551" t="n">
        <v>3</v>
      </c>
      <c r="L551" t="n">
        <v>4</v>
      </c>
      <c r="M551" t="n">
        <v>4</v>
      </c>
      <c r="N551" t="n">
        <v>5</v>
      </c>
      <c r="O551" t="n">
        <v>4</v>
      </c>
      <c r="P551" t="n">
        <v>3</v>
      </c>
      <c r="Q551" t="n">
        <v>5</v>
      </c>
      <c r="R551" t="n">
        <v>5</v>
      </c>
      <c r="S551" t="n">
        <v>4</v>
      </c>
      <c r="T551" t="n">
        <v>1</v>
      </c>
      <c r="U551" t="n">
        <v>3</v>
      </c>
      <c r="V551" t="n">
        <v>5</v>
      </c>
      <c r="W551">
        <f>(AVERAGE(B551:D551)-1)/4</f>
        <v/>
      </c>
      <c r="X551">
        <f>(AVERAGE(E551:G551)-1)/4</f>
        <v/>
      </c>
      <c r="Y551">
        <f>(AVERAGE(H551:J551)-1)/4</f>
        <v/>
      </c>
      <c r="Z551">
        <f>(AVERAGE(K551:M551)-1)/4</f>
        <v/>
      </c>
      <c r="AA551">
        <f>(AVERAGE(N551:P551)-1)/4</f>
        <v/>
      </c>
      <c r="AB551">
        <f>(AVERAGE(Q551:S551)-1)/4</f>
        <v/>
      </c>
      <c r="AC551">
        <f>(AVERAGE(T551:V551)-1)/4</f>
        <v/>
      </c>
      <c r="AD551">
        <f>AVERAGE(W551:AA551)</f>
        <v/>
      </c>
      <c r="AE551">
        <f>MIN(W551:AA551)</f>
        <v/>
      </c>
      <c r="AF551">
        <f>1-alpha*MAX(0,delta-AE551)</f>
        <v/>
      </c>
      <c r="AG551">
        <f>AD551*AF551</f>
        <v/>
      </c>
      <c r="AH551">
        <f>1+COUNTIF(bounds,"&lt;"&amp;ROUND(AD551,12))</f>
        <v/>
      </c>
      <c r="AI551">
        <f>1+COUNTIF(bounds,"&lt;"&amp;ROUND(AG551,12))</f>
        <v/>
      </c>
      <c r="AJ551">
        <f>IF(AF551&lt;1,1,0)</f>
        <v/>
      </c>
      <c r="AK551">
        <f>IF(AH551&lt;&gt;AI551,1,0)</f>
        <v/>
      </c>
      <c r="AL551">
        <f>IF(AND(AI551&gt;=3,AB551&lt;=0.2),1,0)</f>
        <v/>
      </c>
      <c r="AM551">
        <f>AVERAGE(W551:AB551)</f>
        <v/>
      </c>
      <c r="AN551">
        <f>1+COUNTIF(bounds,"&lt;"&amp;ROUND(AM551,12))</f>
        <v/>
      </c>
      <c r="AO551">
        <f>IF(AK551=1,AD551,NA())</f>
        <v/>
      </c>
      <c r="AP551">
        <f>IF(AK551=0,AD551,NA())</f>
        <v/>
      </c>
    </row>
    <row r="552">
      <c r="A552" t="n">
        <v>544</v>
      </c>
      <c r="B552" t="n">
        <v>5</v>
      </c>
      <c r="C552" t="n">
        <v>2</v>
      </c>
      <c r="D552" t="n">
        <v>2</v>
      </c>
      <c r="E552" t="n">
        <v>4</v>
      </c>
      <c r="F552" t="n">
        <v>1</v>
      </c>
      <c r="G552" t="n">
        <v>2</v>
      </c>
      <c r="H552" t="n">
        <v>4</v>
      </c>
      <c r="I552" t="n">
        <v>2</v>
      </c>
      <c r="J552" t="n">
        <v>3</v>
      </c>
      <c r="K552" t="n">
        <v>4</v>
      </c>
      <c r="L552" t="n">
        <v>5</v>
      </c>
      <c r="M552" t="n">
        <v>2</v>
      </c>
      <c r="N552" t="n">
        <v>2</v>
      </c>
      <c r="O552" t="n">
        <v>2</v>
      </c>
      <c r="P552" t="n">
        <v>1</v>
      </c>
      <c r="Q552" t="n">
        <v>2</v>
      </c>
      <c r="R552" t="n">
        <v>2</v>
      </c>
      <c r="S552" t="n">
        <v>2</v>
      </c>
      <c r="T552" t="n">
        <v>3</v>
      </c>
      <c r="U552" t="n">
        <v>1</v>
      </c>
      <c r="V552" t="n">
        <v>4</v>
      </c>
      <c r="W552">
        <f>(AVERAGE(B552:D552)-1)/4</f>
        <v/>
      </c>
      <c r="X552">
        <f>(AVERAGE(E552:G552)-1)/4</f>
        <v/>
      </c>
      <c r="Y552">
        <f>(AVERAGE(H552:J552)-1)/4</f>
        <v/>
      </c>
      <c r="Z552">
        <f>(AVERAGE(K552:M552)-1)/4</f>
        <v/>
      </c>
      <c r="AA552">
        <f>(AVERAGE(N552:P552)-1)/4</f>
        <v/>
      </c>
      <c r="AB552">
        <f>(AVERAGE(Q552:S552)-1)/4</f>
        <v/>
      </c>
      <c r="AC552">
        <f>(AVERAGE(T552:V552)-1)/4</f>
        <v/>
      </c>
      <c r="AD552">
        <f>AVERAGE(W552:AA552)</f>
        <v/>
      </c>
      <c r="AE552">
        <f>MIN(W552:AA552)</f>
        <v/>
      </c>
      <c r="AF552">
        <f>1-alpha*MAX(0,delta-AE552)</f>
        <v/>
      </c>
      <c r="AG552">
        <f>AD552*AF552</f>
        <v/>
      </c>
      <c r="AH552">
        <f>1+COUNTIF(bounds,"&lt;"&amp;ROUND(AD552,12))</f>
        <v/>
      </c>
      <c r="AI552">
        <f>1+COUNTIF(bounds,"&lt;"&amp;ROUND(AG552,12))</f>
        <v/>
      </c>
      <c r="AJ552">
        <f>IF(AF552&lt;1,1,0)</f>
        <v/>
      </c>
      <c r="AK552">
        <f>IF(AH552&lt;&gt;AI552,1,0)</f>
        <v/>
      </c>
      <c r="AL552">
        <f>IF(AND(AI552&gt;=3,AB552&lt;=0.2),1,0)</f>
        <v/>
      </c>
      <c r="AM552">
        <f>AVERAGE(W552:AB552)</f>
        <v/>
      </c>
      <c r="AN552">
        <f>1+COUNTIF(bounds,"&lt;"&amp;ROUND(AM552,12))</f>
        <v/>
      </c>
      <c r="AO552">
        <f>IF(AK552=1,AD552,NA())</f>
        <v/>
      </c>
      <c r="AP552">
        <f>IF(AK552=0,AD552,NA())</f>
        <v/>
      </c>
    </row>
    <row r="553">
      <c r="A553" t="n">
        <v>545</v>
      </c>
      <c r="B553" t="n">
        <v>2</v>
      </c>
      <c r="C553" t="n">
        <v>2</v>
      </c>
      <c r="D553" t="n">
        <v>1</v>
      </c>
      <c r="E553" t="n">
        <v>4</v>
      </c>
      <c r="F553" t="n">
        <v>3</v>
      </c>
      <c r="G553" t="n">
        <v>5</v>
      </c>
      <c r="H553" t="n">
        <v>2</v>
      </c>
      <c r="I553" t="n">
        <v>2</v>
      </c>
      <c r="J553" t="n">
        <v>5</v>
      </c>
      <c r="K553" t="n">
        <v>3</v>
      </c>
      <c r="L553" t="n">
        <v>5</v>
      </c>
      <c r="M553" t="n">
        <v>3</v>
      </c>
      <c r="N553" t="n">
        <v>2</v>
      </c>
      <c r="O553" t="n">
        <v>3</v>
      </c>
      <c r="P553" t="n">
        <v>3</v>
      </c>
      <c r="Q553" t="n">
        <v>2</v>
      </c>
      <c r="R553" t="n">
        <v>4</v>
      </c>
      <c r="S553" t="n">
        <v>4</v>
      </c>
      <c r="T553" t="n">
        <v>1</v>
      </c>
      <c r="U553" t="n">
        <v>1</v>
      </c>
      <c r="V553" t="n">
        <v>4</v>
      </c>
      <c r="W553">
        <f>(AVERAGE(B553:D553)-1)/4</f>
        <v/>
      </c>
      <c r="X553">
        <f>(AVERAGE(E553:G553)-1)/4</f>
        <v/>
      </c>
      <c r="Y553">
        <f>(AVERAGE(H553:J553)-1)/4</f>
        <v/>
      </c>
      <c r="Z553">
        <f>(AVERAGE(K553:M553)-1)/4</f>
        <v/>
      </c>
      <c r="AA553">
        <f>(AVERAGE(N553:P553)-1)/4</f>
        <v/>
      </c>
      <c r="AB553">
        <f>(AVERAGE(Q553:S553)-1)/4</f>
        <v/>
      </c>
      <c r="AC553">
        <f>(AVERAGE(T553:V553)-1)/4</f>
        <v/>
      </c>
      <c r="AD553">
        <f>AVERAGE(W553:AA553)</f>
        <v/>
      </c>
      <c r="AE553">
        <f>MIN(W553:AA553)</f>
        <v/>
      </c>
      <c r="AF553">
        <f>1-alpha*MAX(0,delta-AE553)</f>
        <v/>
      </c>
      <c r="AG553">
        <f>AD553*AF553</f>
        <v/>
      </c>
      <c r="AH553">
        <f>1+COUNTIF(bounds,"&lt;"&amp;ROUND(AD553,12))</f>
        <v/>
      </c>
      <c r="AI553">
        <f>1+COUNTIF(bounds,"&lt;"&amp;ROUND(AG553,12))</f>
        <v/>
      </c>
      <c r="AJ553">
        <f>IF(AF553&lt;1,1,0)</f>
        <v/>
      </c>
      <c r="AK553">
        <f>IF(AH553&lt;&gt;AI553,1,0)</f>
        <v/>
      </c>
      <c r="AL553">
        <f>IF(AND(AI553&gt;=3,AB553&lt;=0.2),1,0)</f>
        <v/>
      </c>
      <c r="AM553">
        <f>AVERAGE(W553:AB553)</f>
        <v/>
      </c>
      <c r="AN553">
        <f>1+COUNTIF(bounds,"&lt;"&amp;ROUND(AM553,12))</f>
        <v/>
      </c>
      <c r="AO553">
        <f>IF(AK553=1,AD553,NA())</f>
        <v/>
      </c>
      <c r="AP553">
        <f>IF(AK553=0,AD553,NA())</f>
        <v/>
      </c>
    </row>
    <row r="554">
      <c r="A554" t="n">
        <v>546</v>
      </c>
      <c r="B554" t="n">
        <v>2</v>
      </c>
      <c r="C554" t="n">
        <v>4</v>
      </c>
      <c r="D554" t="n">
        <v>3</v>
      </c>
      <c r="E554" t="n">
        <v>2</v>
      </c>
      <c r="F554" t="n">
        <v>5</v>
      </c>
      <c r="G554" t="n">
        <v>3</v>
      </c>
      <c r="H554" t="n">
        <v>3</v>
      </c>
      <c r="I554" t="n">
        <v>5</v>
      </c>
      <c r="J554" t="n">
        <v>2</v>
      </c>
      <c r="K554" t="n">
        <v>1</v>
      </c>
      <c r="L554" t="n">
        <v>3</v>
      </c>
      <c r="M554" t="n">
        <v>2</v>
      </c>
      <c r="N554" t="n">
        <v>4</v>
      </c>
      <c r="O554" t="n">
        <v>2</v>
      </c>
      <c r="P554" t="n">
        <v>3</v>
      </c>
      <c r="Q554" t="n">
        <v>3</v>
      </c>
      <c r="R554" t="n">
        <v>2</v>
      </c>
      <c r="S554" t="n">
        <v>3</v>
      </c>
      <c r="T554" t="n">
        <v>5</v>
      </c>
      <c r="U554" t="n">
        <v>3</v>
      </c>
      <c r="V554" t="n">
        <v>4</v>
      </c>
      <c r="W554">
        <f>(AVERAGE(B554:D554)-1)/4</f>
        <v/>
      </c>
      <c r="X554">
        <f>(AVERAGE(E554:G554)-1)/4</f>
        <v/>
      </c>
      <c r="Y554">
        <f>(AVERAGE(H554:J554)-1)/4</f>
        <v/>
      </c>
      <c r="Z554">
        <f>(AVERAGE(K554:M554)-1)/4</f>
        <v/>
      </c>
      <c r="AA554">
        <f>(AVERAGE(N554:P554)-1)/4</f>
        <v/>
      </c>
      <c r="AB554">
        <f>(AVERAGE(Q554:S554)-1)/4</f>
        <v/>
      </c>
      <c r="AC554">
        <f>(AVERAGE(T554:V554)-1)/4</f>
        <v/>
      </c>
      <c r="AD554">
        <f>AVERAGE(W554:AA554)</f>
        <v/>
      </c>
      <c r="AE554">
        <f>MIN(W554:AA554)</f>
        <v/>
      </c>
      <c r="AF554">
        <f>1-alpha*MAX(0,delta-AE554)</f>
        <v/>
      </c>
      <c r="AG554">
        <f>AD554*AF554</f>
        <v/>
      </c>
      <c r="AH554">
        <f>1+COUNTIF(bounds,"&lt;"&amp;ROUND(AD554,12))</f>
        <v/>
      </c>
      <c r="AI554">
        <f>1+COUNTIF(bounds,"&lt;"&amp;ROUND(AG554,12))</f>
        <v/>
      </c>
      <c r="AJ554">
        <f>IF(AF554&lt;1,1,0)</f>
        <v/>
      </c>
      <c r="AK554">
        <f>IF(AH554&lt;&gt;AI554,1,0)</f>
        <v/>
      </c>
      <c r="AL554">
        <f>IF(AND(AI554&gt;=3,AB554&lt;=0.2),1,0)</f>
        <v/>
      </c>
      <c r="AM554">
        <f>AVERAGE(W554:AB554)</f>
        <v/>
      </c>
      <c r="AN554">
        <f>1+COUNTIF(bounds,"&lt;"&amp;ROUND(AM554,12))</f>
        <v/>
      </c>
      <c r="AO554">
        <f>IF(AK554=1,AD554,NA())</f>
        <v/>
      </c>
      <c r="AP554">
        <f>IF(AK554=0,AD554,NA())</f>
        <v/>
      </c>
    </row>
    <row r="555">
      <c r="A555" t="n">
        <v>547</v>
      </c>
      <c r="B555" t="n">
        <v>2</v>
      </c>
      <c r="C555" t="n">
        <v>5</v>
      </c>
      <c r="D555" t="n">
        <v>3</v>
      </c>
      <c r="E555" t="n">
        <v>4</v>
      </c>
      <c r="F555" t="n">
        <v>2</v>
      </c>
      <c r="G555" t="n">
        <v>2</v>
      </c>
      <c r="H555" t="n">
        <v>5</v>
      </c>
      <c r="I555" t="n">
        <v>2</v>
      </c>
      <c r="J555" t="n">
        <v>1</v>
      </c>
      <c r="K555" t="n">
        <v>3</v>
      </c>
      <c r="L555" t="n">
        <v>4</v>
      </c>
      <c r="M555" t="n">
        <v>4</v>
      </c>
      <c r="N555" t="n">
        <v>1</v>
      </c>
      <c r="O555" t="n">
        <v>4</v>
      </c>
      <c r="P555" t="n">
        <v>3</v>
      </c>
      <c r="Q555" t="n">
        <v>3</v>
      </c>
      <c r="R555" t="n">
        <v>3</v>
      </c>
      <c r="S555" t="n">
        <v>5</v>
      </c>
      <c r="T555" t="n">
        <v>2</v>
      </c>
      <c r="U555" t="n">
        <v>5</v>
      </c>
      <c r="V555" t="n">
        <v>2</v>
      </c>
      <c r="W555">
        <f>(AVERAGE(B555:D555)-1)/4</f>
        <v/>
      </c>
      <c r="X555">
        <f>(AVERAGE(E555:G555)-1)/4</f>
        <v/>
      </c>
      <c r="Y555">
        <f>(AVERAGE(H555:J555)-1)/4</f>
        <v/>
      </c>
      <c r="Z555">
        <f>(AVERAGE(K555:M555)-1)/4</f>
        <v/>
      </c>
      <c r="AA555">
        <f>(AVERAGE(N555:P555)-1)/4</f>
        <v/>
      </c>
      <c r="AB555">
        <f>(AVERAGE(Q555:S555)-1)/4</f>
        <v/>
      </c>
      <c r="AC555">
        <f>(AVERAGE(T555:V555)-1)/4</f>
        <v/>
      </c>
      <c r="AD555">
        <f>AVERAGE(W555:AA555)</f>
        <v/>
      </c>
      <c r="AE555">
        <f>MIN(W555:AA555)</f>
        <v/>
      </c>
      <c r="AF555">
        <f>1-alpha*MAX(0,delta-AE555)</f>
        <v/>
      </c>
      <c r="AG555">
        <f>AD555*AF555</f>
        <v/>
      </c>
      <c r="AH555">
        <f>1+COUNTIF(bounds,"&lt;"&amp;ROUND(AD555,12))</f>
        <v/>
      </c>
      <c r="AI555">
        <f>1+COUNTIF(bounds,"&lt;"&amp;ROUND(AG555,12))</f>
        <v/>
      </c>
      <c r="AJ555">
        <f>IF(AF555&lt;1,1,0)</f>
        <v/>
      </c>
      <c r="AK555">
        <f>IF(AH555&lt;&gt;AI555,1,0)</f>
        <v/>
      </c>
      <c r="AL555">
        <f>IF(AND(AI555&gt;=3,AB555&lt;=0.2),1,0)</f>
        <v/>
      </c>
      <c r="AM555">
        <f>AVERAGE(W555:AB555)</f>
        <v/>
      </c>
      <c r="AN555">
        <f>1+COUNTIF(bounds,"&lt;"&amp;ROUND(AM555,12))</f>
        <v/>
      </c>
      <c r="AO555">
        <f>IF(AK555=1,AD555,NA())</f>
        <v/>
      </c>
      <c r="AP555">
        <f>IF(AK555=0,AD555,NA())</f>
        <v/>
      </c>
    </row>
    <row r="556">
      <c r="A556" t="n">
        <v>548</v>
      </c>
      <c r="B556" t="n">
        <v>1</v>
      </c>
      <c r="C556" t="n">
        <v>4</v>
      </c>
      <c r="D556" t="n">
        <v>1</v>
      </c>
      <c r="E556" t="n">
        <v>2</v>
      </c>
      <c r="F556" t="n">
        <v>3</v>
      </c>
      <c r="G556" t="n">
        <v>5</v>
      </c>
      <c r="H556" t="n">
        <v>2</v>
      </c>
      <c r="I556" t="n">
        <v>5</v>
      </c>
      <c r="J556" t="n">
        <v>1</v>
      </c>
      <c r="K556" t="n">
        <v>4</v>
      </c>
      <c r="L556" t="n">
        <v>2</v>
      </c>
      <c r="M556" t="n">
        <v>3</v>
      </c>
      <c r="N556" t="n">
        <v>2</v>
      </c>
      <c r="O556" t="n">
        <v>1</v>
      </c>
      <c r="P556" t="n">
        <v>2</v>
      </c>
      <c r="Q556" t="n">
        <v>5</v>
      </c>
      <c r="R556" t="n">
        <v>1</v>
      </c>
      <c r="S556" t="n">
        <v>1</v>
      </c>
      <c r="T556" t="n">
        <v>5</v>
      </c>
      <c r="U556" t="n">
        <v>5</v>
      </c>
      <c r="V556" t="n">
        <v>2</v>
      </c>
      <c r="W556">
        <f>(AVERAGE(B556:D556)-1)/4</f>
        <v/>
      </c>
      <c r="X556">
        <f>(AVERAGE(E556:G556)-1)/4</f>
        <v/>
      </c>
      <c r="Y556">
        <f>(AVERAGE(H556:J556)-1)/4</f>
        <v/>
      </c>
      <c r="Z556">
        <f>(AVERAGE(K556:M556)-1)/4</f>
        <v/>
      </c>
      <c r="AA556">
        <f>(AVERAGE(N556:P556)-1)/4</f>
        <v/>
      </c>
      <c r="AB556">
        <f>(AVERAGE(Q556:S556)-1)/4</f>
        <v/>
      </c>
      <c r="AC556">
        <f>(AVERAGE(T556:V556)-1)/4</f>
        <v/>
      </c>
      <c r="AD556">
        <f>AVERAGE(W556:AA556)</f>
        <v/>
      </c>
      <c r="AE556">
        <f>MIN(W556:AA556)</f>
        <v/>
      </c>
      <c r="AF556">
        <f>1-alpha*MAX(0,delta-AE556)</f>
        <v/>
      </c>
      <c r="AG556">
        <f>AD556*AF556</f>
        <v/>
      </c>
      <c r="AH556">
        <f>1+COUNTIF(bounds,"&lt;"&amp;ROUND(AD556,12))</f>
        <v/>
      </c>
      <c r="AI556">
        <f>1+COUNTIF(bounds,"&lt;"&amp;ROUND(AG556,12))</f>
        <v/>
      </c>
      <c r="AJ556">
        <f>IF(AF556&lt;1,1,0)</f>
        <v/>
      </c>
      <c r="AK556">
        <f>IF(AH556&lt;&gt;AI556,1,0)</f>
        <v/>
      </c>
      <c r="AL556">
        <f>IF(AND(AI556&gt;=3,AB556&lt;=0.2),1,0)</f>
        <v/>
      </c>
      <c r="AM556">
        <f>AVERAGE(W556:AB556)</f>
        <v/>
      </c>
      <c r="AN556">
        <f>1+COUNTIF(bounds,"&lt;"&amp;ROUND(AM556,12))</f>
        <v/>
      </c>
      <c r="AO556">
        <f>IF(AK556=1,AD556,NA())</f>
        <v/>
      </c>
      <c r="AP556">
        <f>IF(AK556=0,AD556,NA())</f>
        <v/>
      </c>
    </row>
    <row r="557">
      <c r="A557" t="n">
        <v>549</v>
      </c>
      <c r="B557" t="n">
        <v>1</v>
      </c>
      <c r="C557" t="n">
        <v>4</v>
      </c>
      <c r="D557" t="n">
        <v>2</v>
      </c>
      <c r="E557" t="n">
        <v>1</v>
      </c>
      <c r="F557" t="n">
        <v>1</v>
      </c>
      <c r="G557" t="n">
        <v>4</v>
      </c>
      <c r="H557" t="n">
        <v>2</v>
      </c>
      <c r="I557" t="n">
        <v>5</v>
      </c>
      <c r="J557" t="n">
        <v>2</v>
      </c>
      <c r="K557" t="n">
        <v>4</v>
      </c>
      <c r="L557" t="n">
        <v>5</v>
      </c>
      <c r="M557" t="n">
        <v>4</v>
      </c>
      <c r="N557" t="n">
        <v>2</v>
      </c>
      <c r="O557" t="n">
        <v>3</v>
      </c>
      <c r="P557" t="n">
        <v>4</v>
      </c>
      <c r="Q557" t="n">
        <v>4</v>
      </c>
      <c r="R557" t="n">
        <v>3</v>
      </c>
      <c r="S557" t="n">
        <v>1</v>
      </c>
      <c r="T557" t="n">
        <v>4</v>
      </c>
      <c r="U557" t="n">
        <v>2</v>
      </c>
      <c r="V557" t="n">
        <v>2</v>
      </c>
      <c r="W557">
        <f>(AVERAGE(B557:D557)-1)/4</f>
        <v/>
      </c>
      <c r="X557">
        <f>(AVERAGE(E557:G557)-1)/4</f>
        <v/>
      </c>
      <c r="Y557">
        <f>(AVERAGE(H557:J557)-1)/4</f>
        <v/>
      </c>
      <c r="Z557">
        <f>(AVERAGE(K557:M557)-1)/4</f>
        <v/>
      </c>
      <c r="AA557">
        <f>(AVERAGE(N557:P557)-1)/4</f>
        <v/>
      </c>
      <c r="AB557">
        <f>(AVERAGE(Q557:S557)-1)/4</f>
        <v/>
      </c>
      <c r="AC557">
        <f>(AVERAGE(T557:V557)-1)/4</f>
        <v/>
      </c>
      <c r="AD557">
        <f>AVERAGE(W557:AA557)</f>
        <v/>
      </c>
      <c r="AE557">
        <f>MIN(W557:AA557)</f>
        <v/>
      </c>
      <c r="AF557">
        <f>1-alpha*MAX(0,delta-AE557)</f>
        <v/>
      </c>
      <c r="AG557">
        <f>AD557*AF557</f>
        <v/>
      </c>
      <c r="AH557">
        <f>1+COUNTIF(bounds,"&lt;"&amp;ROUND(AD557,12))</f>
        <v/>
      </c>
      <c r="AI557">
        <f>1+COUNTIF(bounds,"&lt;"&amp;ROUND(AG557,12))</f>
        <v/>
      </c>
      <c r="AJ557">
        <f>IF(AF557&lt;1,1,0)</f>
        <v/>
      </c>
      <c r="AK557">
        <f>IF(AH557&lt;&gt;AI557,1,0)</f>
        <v/>
      </c>
      <c r="AL557">
        <f>IF(AND(AI557&gt;=3,AB557&lt;=0.2),1,0)</f>
        <v/>
      </c>
      <c r="AM557">
        <f>AVERAGE(W557:AB557)</f>
        <v/>
      </c>
      <c r="AN557">
        <f>1+COUNTIF(bounds,"&lt;"&amp;ROUND(AM557,12))</f>
        <v/>
      </c>
      <c r="AO557">
        <f>IF(AK557=1,AD557,NA())</f>
        <v/>
      </c>
      <c r="AP557">
        <f>IF(AK557=0,AD557,NA())</f>
        <v/>
      </c>
    </row>
    <row r="558">
      <c r="A558" t="n">
        <v>550</v>
      </c>
      <c r="B558" t="n">
        <v>4</v>
      </c>
      <c r="C558" t="n">
        <v>3</v>
      </c>
      <c r="D558" t="n">
        <v>5</v>
      </c>
      <c r="E558" t="n">
        <v>4</v>
      </c>
      <c r="F558" t="n">
        <v>3</v>
      </c>
      <c r="G558" t="n">
        <v>1</v>
      </c>
      <c r="H558" t="n">
        <v>4</v>
      </c>
      <c r="I558" t="n">
        <v>5</v>
      </c>
      <c r="J558" t="n">
        <v>2</v>
      </c>
      <c r="K558" t="n">
        <v>5</v>
      </c>
      <c r="L558" t="n">
        <v>4</v>
      </c>
      <c r="M558" t="n">
        <v>2</v>
      </c>
      <c r="N558" t="n">
        <v>5</v>
      </c>
      <c r="O558" t="n">
        <v>5</v>
      </c>
      <c r="P558" t="n">
        <v>1</v>
      </c>
      <c r="Q558" t="n">
        <v>3</v>
      </c>
      <c r="R558" t="n">
        <v>5</v>
      </c>
      <c r="S558" t="n">
        <v>1</v>
      </c>
      <c r="T558" t="n">
        <v>2</v>
      </c>
      <c r="U558" t="n">
        <v>3</v>
      </c>
      <c r="V558" t="n">
        <v>5</v>
      </c>
      <c r="W558">
        <f>(AVERAGE(B558:D558)-1)/4</f>
        <v/>
      </c>
      <c r="X558">
        <f>(AVERAGE(E558:G558)-1)/4</f>
        <v/>
      </c>
      <c r="Y558">
        <f>(AVERAGE(H558:J558)-1)/4</f>
        <v/>
      </c>
      <c r="Z558">
        <f>(AVERAGE(K558:M558)-1)/4</f>
        <v/>
      </c>
      <c r="AA558">
        <f>(AVERAGE(N558:P558)-1)/4</f>
        <v/>
      </c>
      <c r="AB558">
        <f>(AVERAGE(Q558:S558)-1)/4</f>
        <v/>
      </c>
      <c r="AC558">
        <f>(AVERAGE(T558:V558)-1)/4</f>
        <v/>
      </c>
      <c r="AD558">
        <f>AVERAGE(W558:AA558)</f>
        <v/>
      </c>
      <c r="AE558">
        <f>MIN(W558:AA558)</f>
        <v/>
      </c>
      <c r="AF558">
        <f>1-alpha*MAX(0,delta-AE558)</f>
        <v/>
      </c>
      <c r="AG558">
        <f>AD558*AF558</f>
        <v/>
      </c>
      <c r="AH558">
        <f>1+COUNTIF(bounds,"&lt;"&amp;ROUND(AD558,12))</f>
        <v/>
      </c>
      <c r="AI558">
        <f>1+COUNTIF(bounds,"&lt;"&amp;ROUND(AG558,12))</f>
        <v/>
      </c>
      <c r="AJ558">
        <f>IF(AF558&lt;1,1,0)</f>
        <v/>
      </c>
      <c r="AK558">
        <f>IF(AH558&lt;&gt;AI558,1,0)</f>
        <v/>
      </c>
      <c r="AL558">
        <f>IF(AND(AI558&gt;=3,AB558&lt;=0.2),1,0)</f>
        <v/>
      </c>
      <c r="AM558">
        <f>AVERAGE(W558:AB558)</f>
        <v/>
      </c>
      <c r="AN558">
        <f>1+COUNTIF(bounds,"&lt;"&amp;ROUND(AM558,12))</f>
        <v/>
      </c>
      <c r="AO558">
        <f>IF(AK558=1,AD558,NA())</f>
        <v/>
      </c>
      <c r="AP558">
        <f>IF(AK558=0,AD558,NA())</f>
        <v/>
      </c>
    </row>
    <row r="559">
      <c r="A559" t="n">
        <v>551</v>
      </c>
      <c r="B559" t="n">
        <v>1</v>
      </c>
      <c r="C559" t="n">
        <v>5</v>
      </c>
      <c r="D559" t="n">
        <v>4</v>
      </c>
      <c r="E559" t="n">
        <v>1</v>
      </c>
      <c r="F559" t="n">
        <v>4</v>
      </c>
      <c r="G559" t="n">
        <v>3</v>
      </c>
      <c r="H559" t="n">
        <v>3</v>
      </c>
      <c r="I559" t="n">
        <v>4</v>
      </c>
      <c r="J559" t="n">
        <v>3</v>
      </c>
      <c r="K559" t="n">
        <v>3</v>
      </c>
      <c r="L559" t="n">
        <v>2</v>
      </c>
      <c r="M559" t="n">
        <v>4</v>
      </c>
      <c r="N559" t="n">
        <v>5</v>
      </c>
      <c r="O559" t="n">
        <v>5</v>
      </c>
      <c r="P559" t="n">
        <v>5</v>
      </c>
      <c r="Q559" t="n">
        <v>3</v>
      </c>
      <c r="R559" t="n">
        <v>4</v>
      </c>
      <c r="S559" t="n">
        <v>1</v>
      </c>
      <c r="T559" t="n">
        <v>2</v>
      </c>
      <c r="U559" t="n">
        <v>1</v>
      </c>
      <c r="V559" t="n">
        <v>1</v>
      </c>
      <c r="W559">
        <f>(AVERAGE(B559:D559)-1)/4</f>
        <v/>
      </c>
      <c r="X559">
        <f>(AVERAGE(E559:G559)-1)/4</f>
        <v/>
      </c>
      <c r="Y559">
        <f>(AVERAGE(H559:J559)-1)/4</f>
        <v/>
      </c>
      <c r="Z559">
        <f>(AVERAGE(K559:M559)-1)/4</f>
        <v/>
      </c>
      <c r="AA559">
        <f>(AVERAGE(N559:P559)-1)/4</f>
        <v/>
      </c>
      <c r="AB559">
        <f>(AVERAGE(Q559:S559)-1)/4</f>
        <v/>
      </c>
      <c r="AC559">
        <f>(AVERAGE(T559:V559)-1)/4</f>
        <v/>
      </c>
      <c r="AD559">
        <f>AVERAGE(W559:AA559)</f>
        <v/>
      </c>
      <c r="AE559">
        <f>MIN(W559:AA559)</f>
        <v/>
      </c>
      <c r="AF559">
        <f>1-alpha*MAX(0,delta-AE559)</f>
        <v/>
      </c>
      <c r="AG559">
        <f>AD559*AF559</f>
        <v/>
      </c>
      <c r="AH559">
        <f>1+COUNTIF(bounds,"&lt;"&amp;ROUND(AD559,12))</f>
        <v/>
      </c>
      <c r="AI559">
        <f>1+COUNTIF(bounds,"&lt;"&amp;ROUND(AG559,12))</f>
        <v/>
      </c>
      <c r="AJ559">
        <f>IF(AF559&lt;1,1,0)</f>
        <v/>
      </c>
      <c r="AK559">
        <f>IF(AH559&lt;&gt;AI559,1,0)</f>
        <v/>
      </c>
      <c r="AL559">
        <f>IF(AND(AI559&gt;=3,AB559&lt;=0.2),1,0)</f>
        <v/>
      </c>
      <c r="AM559">
        <f>AVERAGE(W559:AB559)</f>
        <v/>
      </c>
      <c r="AN559">
        <f>1+COUNTIF(bounds,"&lt;"&amp;ROUND(AM559,12))</f>
        <v/>
      </c>
      <c r="AO559">
        <f>IF(AK559=1,AD559,NA())</f>
        <v/>
      </c>
      <c r="AP559">
        <f>IF(AK559=0,AD559,NA())</f>
        <v/>
      </c>
    </row>
    <row r="560">
      <c r="A560" t="n">
        <v>552</v>
      </c>
      <c r="B560" t="n">
        <v>5</v>
      </c>
      <c r="C560" t="n">
        <v>1</v>
      </c>
      <c r="D560" t="n">
        <v>2</v>
      </c>
      <c r="E560" t="n">
        <v>4</v>
      </c>
      <c r="F560" t="n">
        <v>4</v>
      </c>
      <c r="G560" t="n">
        <v>1</v>
      </c>
      <c r="H560" t="n">
        <v>2</v>
      </c>
      <c r="I560" t="n">
        <v>1</v>
      </c>
      <c r="J560" t="n">
        <v>5</v>
      </c>
      <c r="K560" t="n">
        <v>5</v>
      </c>
      <c r="L560" t="n">
        <v>2</v>
      </c>
      <c r="M560" t="n">
        <v>2</v>
      </c>
      <c r="N560" t="n">
        <v>3</v>
      </c>
      <c r="O560" t="n">
        <v>2</v>
      </c>
      <c r="P560" t="n">
        <v>2</v>
      </c>
      <c r="Q560" t="n">
        <v>4</v>
      </c>
      <c r="R560" t="n">
        <v>1</v>
      </c>
      <c r="S560" t="n">
        <v>3</v>
      </c>
      <c r="T560" t="n">
        <v>4</v>
      </c>
      <c r="U560" t="n">
        <v>4</v>
      </c>
      <c r="V560" t="n">
        <v>2</v>
      </c>
      <c r="W560">
        <f>(AVERAGE(B560:D560)-1)/4</f>
        <v/>
      </c>
      <c r="X560">
        <f>(AVERAGE(E560:G560)-1)/4</f>
        <v/>
      </c>
      <c r="Y560">
        <f>(AVERAGE(H560:J560)-1)/4</f>
        <v/>
      </c>
      <c r="Z560">
        <f>(AVERAGE(K560:M560)-1)/4</f>
        <v/>
      </c>
      <c r="AA560">
        <f>(AVERAGE(N560:P560)-1)/4</f>
        <v/>
      </c>
      <c r="AB560">
        <f>(AVERAGE(Q560:S560)-1)/4</f>
        <v/>
      </c>
      <c r="AC560">
        <f>(AVERAGE(T560:V560)-1)/4</f>
        <v/>
      </c>
      <c r="AD560">
        <f>AVERAGE(W560:AA560)</f>
        <v/>
      </c>
      <c r="AE560">
        <f>MIN(W560:AA560)</f>
        <v/>
      </c>
      <c r="AF560">
        <f>1-alpha*MAX(0,delta-AE560)</f>
        <v/>
      </c>
      <c r="AG560">
        <f>AD560*AF560</f>
        <v/>
      </c>
      <c r="AH560">
        <f>1+COUNTIF(bounds,"&lt;"&amp;ROUND(AD560,12))</f>
        <v/>
      </c>
      <c r="AI560">
        <f>1+COUNTIF(bounds,"&lt;"&amp;ROUND(AG560,12))</f>
        <v/>
      </c>
      <c r="AJ560">
        <f>IF(AF560&lt;1,1,0)</f>
        <v/>
      </c>
      <c r="AK560">
        <f>IF(AH560&lt;&gt;AI560,1,0)</f>
        <v/>
      </c>
      <c r="AL560">
        <f>IF(AND(AI560&gt;=3,AB560&lt;=0.2),1,0)</f>
        <v/>
      </c>
      <c r="AM560">
        <f>AVERAGE(W560:AB560)</f>
        <v/>
      </c>
      <c r="AN560">
        <f>1+COUNTIF(bounds,"&lt;"&amp;ROUND(AM560,12))</f>
        <v/>
      </c>
      <c r="AO560">
        <f>IF(AK560=1,AD560,NA())</f>
        <v/>
      </c>
      <c r="AP560">
        <f>IF(AK560=0,AD560,NA())</f>
        <v/>
      </c>
    </row>
    <row r="561">
      <c r="A561" t="n">
        <v>553</v>
      </c>
      <c r="B561" t="n">
        <v>1</v>
      </c>
      <c r="C561" t="n">
        <v>5</v>
      </c>
      <c r="D561" t="n">
        <v>2</v>
      </c>
      <c r="E561" t="n">
        <v>1</v>
      </c>
      <c r="F561" t="n">
        <v>4</v>
      </c>
      <c r="G561" t="n">
        <v>3</v>
      </c>
      <c r="H561" t="n">
        <v>5</v>
      </c>
      <c r="I561" t="n">
        <v>2</v>
      </c>
      <c r="J561" t="n">
        <v>2</v>
      </c>
      <c r="K561" t="n">
        <v>4</v>
      </c>
      <c r="L561" t="n">
        <v>2</v>
      </c>
      <c r="M561" t="n">
        <v>3</v>
      </c>
      <c r="N561" t="n">
        <v>2</v>
      </c>
      <c r="O561" t="n">
        <v>4</v>
      </c>
      <c r="P561" t="n">
        <v>1</v>
      </c>
      <c r="Q561" t="n">
        <v>3</v>
      </c>
      <c r="R561" t="n">
        <v>2</v>
      </c>
      <c r="S561" t="n">
        <v>5</v>
      </c>
      <c r="T561" t="n">
        <v>3</v>
      </c>
      <c r="U561" t="n">
        <v>4</v>
      </c>
      <c r="V561" t="n">
        <v>1</v>
      </c>
      <c r="W561">
        <f>(AVERAGE(B561:D561)-1)/4</f>
        <v/>
      </c>
      <c r="X561">
        <f>(AVERAGE(E561:G561)-1)/4</f>
        <v/>
      </c>
      <c r="Y561">
        <f>(AVERAGE(H561:J561)-1)/4</f>
        <v/>
      </c>
      <c r="Z561">
        <f>(AVERAGE(K561:M561)-1)/4</f>
        <v/>
      </c>
      <c r="AA561">
        <f>(AVERAGE(N561:P561)-1)/4</f>
        <v/>
      </c>
      <c r="AB561">
        <f>(AVERAGE(Q561:S561)-1)/4</f>
        <v/>
      </c>
      <c r="AC561">
        <f>(AVERAGE(T561:V561)-1)/4</f>
        <v/>
      </c>
      <c r="AD561">
        <f>AVERAGE(W561:AA561)</f>
        <v/>
      </c>
      <c r="AE561">
        <f>MIN(W561:AA561)</f>
        <v/>
      </c>
      <c r="AF561">
        <f>1-alpha*MAX(0,delta-AE561)</f>
        <v/>
      </c>
      <c r="AG561">
        <f>AD561*AF561</f>
        <v/>
      </c>
      <c r="AH561">
        <f>1+COUNTIF(bounds,"&lt;"&amp;ROUND(AD561,12))</f>
        <v/>
      </c>
      <c r="AI561">
        <f>1+COUNTIF(bounds,"&lt;"&amp;ROUND(AG561,12))</f>
        <v/>
      </c>
      <c r="AJ561">
        <f>IF(AF561&lt;1,1,0)</f>
        <v/>
      </c>
      <c r="AK561">
        <f>IF(AH561&lt;&gt;AI561,1,0)</f>
        <v/>
      </c>
      <c r="AL561">
        <f>IF(AND(AI561&gt;=3,AB561&lt;=0.2),1,0)</f>
        <v/>
      </c>
      <c r="AM561">
        <f>AVERAGE(W561:AB561)</f>
        <v/>
      </c>
      <c r="AN561">
        <f>1+COUNTIF(bounds,"&lt;"&amp;ROUND(AM561,12))</f>
        <v/>
      </c>
      <c r="AO561">
        <f>IF(AK561=1,AD561,NA())</f>
        <v/>
      </c>
      <c r="AP561">
        <f>IF(AK561=0,AD561,NA())</f>
        <v/>
      </c>
    </row>
    <row r="562">
      <c r="A562" t="n">
        <v>554</v>
      </c>
      <c r="B562" t="n">
        <v>2</v>
      </c>
      <c r="C562" t="n">
        <v>3</v>
      </c>
      <c r="D562" t="n">
        <v>5</v>
      </c>
      <c r="E562" t="n">
        <v>4</v>
      </c>
      <c r="F562" t="n">
        <v>2</v>
      </c>
      <c r="G562" t="n">
        <v>3</v>
      </c>
      <c r="H562" t="n">
        <v>1</v>
      </c>
      <c r="I562" t="n">
        <v>5</v>
      </c>
      <c r="J562" t="n">
        <v>2</v>
      </c>
      <c r="K562" t="n">
        <v>5</v>
      </c>
      <c r="L562" t="n">
        <v>3</v>
      </c>
      <c r="M562" t="n">
        <v>5</v>
      </c>
      <c r="N562" t="n">
        <v>3</v>
      </c>
      <c r="O562" t="n">
        <v>1</v>
      </c>
      <c r="P562" t="n">
        <v>2</v>
      </c>
      <c r="Q562" t="n">
        <v>2</v>
      </c>
      <c r="R562" t="n">
        <v>5</v>
      </c>
      <c r="S562" t="n">
        <v>5</v>
      </c>
      <c r="T562" t="n">
        <v>4</v>
      </c>
      <c r="U562" t="n">
        <v>4</v>
      </c>
      <c r="V562" t="n">
        <v>4</v>
      </c>
      <c r="W562">
        <f>(AVERAGE(B562:D562)-1)/4</f>
        <v/>
      </c>
      <c r="X562">
        <f>(AVERAGE(E562:G562)-1)/4</f>
        <v/>
      </c>
      <c r="Y562">
        <f>(AVERAGE(H562:J562)-1)/4</f>
        <v/>
      </c>
      <c r="Z562">
        <f>(AVERAGE(K562:M562)-1)/4</f>
        <v/>
      </c>
      <c r="AA562">
        <f>(AVERAGE(N562:P562)-1)/4</f>
        <v/>
      </c>
      <c r="AB562">
        <f>(AVERAGE(Q562:S562)-1)/4</f>
        <v/>
      </c>
      <c r="AC562">
        <f>(AVERAGE(T562:V562)-1)/4</f>
        <v/>
      </c>
      <c r="AD562">
        <f>AVERAGE(W562:AA562)</f>
        <v/>
      </c>
      <c r="AE562">
        <f>MIN(W562:AA562)</f>
        <v/>
      </c>
      <c r="AF562">
        <f>1-alpha*MAX(0,delta-AE562)</f>
        <v/>
      </c>
      <c r="AG562">
        <f>AD562*AF562</f>
        <v/>
      </c>
      <c r="AH562">
        <f>1+COUNTIF(bounds,"&lt;"&amp;ROUND(AD562,12))</f>
        <v/>
      </c>
      <c r="AI562">
        <f>1+COUNTIF(bounds,"&lt;"&amp;ROUND(AG562,12))</f>
        <v/>
      </c>
      <c r="AJ562">
        <f>IF(AF562&lt;1,1,0)</f>
        <v/>
      </c>
      <c r="AK562">
        <f>IF(AH562&lt;&gt;AI562,1,0)</f>
        <v/>
      </c>
      <c r="AL562">
        <f>IF(AND(AI562&gt;=3,AB562&lt;=0.2),1,0)</f>
        <v/>
      </c>
      <c r="AM562">
        <f>AVERAGE(W562:AB562)</f>
        <v/>
      </c>
      <c r="AN562">
        <f>1+COUNTIF(bounds,"&lt;"&amp;ROUND(AM562,12))</f>
        <v/>
      </c>
      <c r="AO562">
        <f>IF(AK562=1,AD562,NA())</f>
        <v/>
      </c>
      <c r="AP562">
        <f>IF(AK562=0,AD562,NA())</f>
        <v/>
      </c>
    </row>
    <row r="563">
      <c r="A563" t="n">
        <v>555</v>
      </c>
      <c r="B563" t="n">
        <v>3</v>
      </c>
      <c r="C563" t="n">
        <v>1</v>
      </c>
      <c r="D563" t="n">
        <v>2</v>
      </c>
      <c r="E563" t="n">
        <v>4</v>
      </c>
      <c r="F563" t="n">
        <v>1</v>
      </c>
      <c r="G563" t="n">
        <v>1</v>
      </c>
      <c r="H563" t="n">
        <v>2</v>
      </c>
      <c r="I563" t="n">
        <v>2</v>
      </c>
      <c r="J563" t="n">
        <v>3</v>
      </c>
      <c r="K563" t="n">
        <v>1</v>
      </c>
      <c r="L563" t="n">
        <v>3</v>
      </c>
      <c r="M563" t="n">
        <v>1</v>
      </c>
      <c r="N563" t="n">
        <v>4</v>
      </c>
      <c r="O563" t="n">
        <v>4</v>
      </c>
      <c r="P563" t="n">
        <v>4</v>
      </c>
      <c r="Q563" t="n">
        <v>5</v>
      </c>
      <c r="R563" t="n">
        <v>3</v>
      </c>
      <c r="S563" t="n">
        <v>3</v>
      </c>
      <c r="T563" t="n">
        <v>5</v>
      </c>
      <c r="U563" t="n">
        <v>4</v>
      </c>
      <c r="V563" t="n">
        <v>4</v>
      </c>
      <c r="W563">
        <f>(AVERAGE(B563:D563)-1)/4</f>
        <v/>
      </c>
      <c r="X563">
        <f>(AVERAGE(E563:G563)-1)/4</f>
        <v/>
      </c>
      <c r="Y563">
        <f>(AVERAGE(H563:J563)-1)/4</f>
        <v/>
      </c>
      <c r="Z563">
        <f>(AVERAGE(K563:M563)-1)/4</f>
        <v/>
      </c>
      <c r="AA563">
        <f>(AVERAGE(N563:P563)-1)/4</f>
        <v/>
      </c>
      <c r="AB563">
        <f>(AVERAGE(Q563:S563)-1)/4</f>
        <v/>
      </c>
      <c r="AC563">
        <f>(AVERAGE(T563:V563)-1)/4</f>
        <v/>
      </c>
      <c r="AD563">
        <f>AVERAGE(W563:AA563)</f>
        <v/>
      </c>
      <c r="AE563">
        <f>MIN(W563:AA563)</f>
        <v/>
      </c>
      <c r="AF563">
        <f>1-alpha*MAX(0,delta-AE563)</f>
        <v/>
      </c>
      <c r="AG563">
        <f>AD563*AF563</f>
        <v/>
      </c>
      <c r="AH563">
        <f>1+COUNTIF(bounds,"&lt;"&amp;ROUND(AD563,12))</f>
        <v/>
      </c>
      <c r="AI563">
        <f>1+COUNTIF(bounds,"&lt;"&amp;ROUND(AG563,12))</f>
        <v/>
      </c>
      <c r="AJ563">
        <f>IF(AF563&lt;1,1,0)</f>
        <v/>
      </c>
      <c r="AK563">
        <f>IF(AH563&lt;&gt;AI563,1,0)</f>
        <v/>
      </c>
      <c r="AL563">
        <f>IF(AND(AI563&gt;=3,AB563&lt;=0.2),1,0)</f>
        <v/>
      </c>
      <c r="AM563">
        <f>AVERAGE(W563:AB563)</f>
        <v/>
      </c>
      <c r="AN563">
        <f>1+COUNTIF(bounds,"&lt;"&amp;ROUND(AM563,12))</f>
        <v/>
      </c>
      <c r="AO563">
        <f>IF(AK563=1,AD563,NA())</f>
        <v/>
      </c>
      <c r="AP563">
        <f>IF(AK563=0,AD563,NA())</f>
        <v/>
      </c>
    </row>
    <row r="564">
      <c r="A564" t="n">
        <v>556</v>
      </c>
      <c r="B564" t="n">
        <v>4</v>
      </c>
      <c r="C564" t="n">
        <v>3</v>
      </c>
      <c r="D564" t="n">
        <v>2</v>
      </c>
      <c r="E564" t="n">
        <v>2</v>
      </c>
      <c r="F564" t="n">
        <v>3</v>
      </c>
      <c r="G564" t="n">
        <v>2</v>
      </c>
      <c r="H564" t="n">
        <v>1</v>
      </c>
      <c r="I564" t="n">
        <v>4</v>
      </c>
      <c r="J564" t="n">
        <v>2</v>
      </c>
      <c r="K564" t="n">
        <v>1</v>
      </c>
      <c r="L564" t="n">
        <v>4</v>
      </c>
      <c r="M564" t="n">
        <v>5</v>
      </c>
      <c r="N564" t="n">
        <v>3</v>
      </c>
      <c r="O564" t="n">
        <v>1</v>
      </c>
      <c r="P564" t="n">
        <v>1</v>
      </c>
      <c r="Q564" t="n">
        <v>3</v>
      </c>
      <c r="R564" t="n">
        <v>4</v>
      </c>
      <c r="S564" t="n">
        <v>2</v>
      </c>
      <c r="T564" t="n">
        <v>2</v>
      </c>
      <c r="U564" t="n">
        <v>2</v>
      </c>
      <c r="V564" t="n">
        <v>2</v>
      </c>
      <c r="W564">
        <f>(AVERAGE(B564:D564)-1)/4</f>
        <v/>
      </c>
      <c r="X564">
        <f>(AVERAGE(E564:G564)-1)/4</f>
        <v/>
      </c>
      <c r="Y564">
        <f>(AVERAGE(H564:J564)-1)/4</f>
        <v/>
      </c>
      <c r="Z564">
        <f>(AVERAGE(K564:M564)-1)/4</f>
        <v/>
      </c>
      <c r="AA564">
        <f>(AVERAGE(N564:P564)-1)/4</f>
        <v/>
      </c>
      <c r="AB564">
        <f>(AVERAGE(Q564:S564)-1)/4</f>
        <v/>
      </c>
      <c r="AC564">
        <f>(AVERAGE(T564:V564)-1)/4</f>
        <v/>
      </c>
      <c r="AD564">
        <f>AVERAGE(W564:AA564)</f>
        <v/>
      </c>
      <c r="AE564">
        <f>MIN(W564:AA564)</f>
        <v/>
      </c>
      <c r="AF564">
        <f>1-alpha*MAX(0,delta-AE564)</f>
        <v/>
      </c>
      <c r="AG564">
        <f>AD564*AF564</f>
        <v/>
      </c>
      <c r="AH564">
        <f>1+COUNTIF(bounds,"&lt;"&amp;ROUND(AD564,12))</f>
        <v/>
      </c>
      <c r="AI564">
        <f>1+COUNTIF(bounds,"&lt;"&amp;ROUND(AG564,12))</f>
        <v/>
      </c>
      <c r="AJ564">
        <f>IF(AF564&lt;1,1,0)</f>
        <v/>
      </c>
      <c r="AK564">
        <f>IF(AH564&lt;&gt;AI564,1,0)</f>
        <v/>
      </c>
      <c r="AL564">
        <f>IF(AND(AI564&gt;=3,AB564&lt;=0.2),1,0)</f>
        <v/>
      </c>
      <c r="AM564">
        <f>AVERAGE(W564:AB564)</f>
        <v/>
      </c>
      <c r="AN564">
        <f>1+COUNTIF(bounds,"&lt;"&amp;ROUND(AM564,12))</f>
        <v/>
      </c>
      <c r="AO564">
        <f>IF(AK564=1,AD564,NA())</f>
        <v/>
      </c>
      <c r="AP564">
        <f>IF(AK564=0,AD564,NA())</f>
        <v/>
      </c>
    </row>
    <row r="565">
      <c r="A565" t="n">
        <v>557</v>
      </c>
      <c r="B565" t="n">
        <v>2</v>
      </c>
      <c r="C565" t="n">
        <v>3</v>
      </c>
      <c r="D565" t="n">
        <v>1</v>
      </c>
      <c r="E565" t="n">
        <v>5</v>
      </c>
      <c r="F565" t="n">
        <v>2</v>
      </c>
      <c r="G565" t="n">
        <v>3</v>
      </c>
      <c r="H565" t="n">
        <v>4</v>
      </c>
      <c r="I565" t="n">
        <v>3</v>
      </c>
      <c r="J565" t="n">
        <v>3</v>
      </c>
      <c r="K565" t="n">
        <v>1</v>
      </c>
      <c r="L565" t="n">
        <v>2</v>
      </c>
      <c r="M565" t="n">
        <v>5</v>
      </c>
      <c r="N565" t="n">
        <v>3</v>
      </c>
      <c r="O565" t="n">
        <v>5</v>
      </c>
      <c r="P565" t="n">
        <v>2</v>
      </c>
      <c r="Q565" t="n">
        <v>2</v>
      </c>
      <c r="R565" t="n">
        <v>5</v>
      </c>
      <c r="S565" t="n">
        <v>2</v>
      </c>
      <c r="T565" t="n">
        <v>4</v>
      </c>
      <c r="U565" t="n">
        <v>3</v>
      </c>
      <c r="V565" t="n">
        <v>4</v>
      </c>
      <c r="W565">
        <f>(AVERAGE(B565:D565)-1)/4</f>
        <v/>
      </c>
      <c r="X565">
        <f>(AVERAGE(E565:G565)-1)/4</f>
        <v/>
      </c>
      <c r="Y565">
        <f>(AVERAGE(H565:J565)-1)/4</f>
        <v/>
      </c>
      <c r="Z565">
        <f>(AVERAGE(K565:M565)-1)/4</f>
        <v/>
      </c>
      <c r="AA565">
        <f>(AVERAGE(N565:P565)-1)/4</f>
        <v/>
      </c>
      <c r="AB565">
        <f>(AVERAGE(Q565:S565)-1)/4</f>
        <v/>
      </c>
      <c r="AC565">
        <f>(AVERAGE(T565:V565)-1)/4</f>
        <v/>
      </c>
      <c r="AD565">
        <f>AVERAGE(W565:AA565)</f>
        <v/>
      </c>
      <c r="AE565">
        <f>MIN(W565:AA565)</f>
        <v/>
      </c>
      <c r="AF565">
        <f>1-alpha*MAX(0,delta-AE565)</f>
        <v/>
      </c>
      <c r="AG565">
        <f>AD565*AF565</f>
        <v/>
      </c>
      <c r="AH565">
        <f>1+COUNTIF(bounds,"&lt;"&amp;ROUND(AD565,12))</f>
        <v/>
      </c>
      <c r="AI565">
        <f>1+COUNTIF(bounds,"&lt;"&amp;ROUND(AG565,12))</f>
        <v/>
      </c>
      <c r="AJ565">
        <f>IF(AF565&lt;1,1,0)</f>
        <v/>
      </c>
      <c r="AK565">
        <f>IF(AH565&lt;&gt;AI565,1,0)</f>
        <v/>
      </c>
      <c r="AL565">
        <f>IF(AND(AI565&gt;=3,AB565&lt;=0.2),1,0)</f>
        <v/>
      </c>
      <c r="AM565">
        <f>AVERAGE(W565:AB565)</f>
        <v/>
      </c>
      <c r="AN565">
        <f>1+COUNTIF(bounds,"&lt;"&amp;ROUND(AM565,12))</f>
        <v/>
      </c>
      <c r="AO565">
        <f>IF(AK565=1,AD565,NA())</f>
        <v/>
      </c>
      <c r="AP565">
        <f>IF(AK565=0,AD565,NA())</f>
        <v/>
      </c>
    </row>
    <row r="566">
      <c r="A566" t="n">
        <v>558</v>
      </c>
      <c r="B566" t="n">
        <v>4</v>
      </c>
      <c r="C566" t="n">
        <v>5</v>
      </c>
      <c r="D566" t="n">
        <v>1</v>
      </c>
      <c r="E566" t="n">
        <v>4</v>
      </c>
      <c r="F566" t="n">
        <v>1</v>
      </c>
      <c r="G566" t="n">
        <v>3</v>
      </c>
      <c r="H566" t="n">
        <v>3</v>
      </c>
      <c r="I566" t="n">
        <v>5</v>
      </c>
      <c r="J566" t="n">
        <v>5</v>
      </c>
      <c r="K566" t="n">
        <v>1</v>
      </c>
      <c r="L566" t="n">
        <v>1</v>
      </c>
      <c r="M566" t="n">
        <v>5</v>
      </c>
      <c r="N566" t="n">
        <v>3</v>
      </c>
      <c r="O566" t="n">
        <v>1</v>
      </c>
      <c r="P566" t="n">
        <v>5</v>
      </c>
      <c r="Q566" t="n">
        <v>4</v>
      </c>
      <c r="R566" t="n">
        <v>2</v>
      </c>
      <c r="S566" t="n">
        <v>5</v>
      </c>
      <c r="T566" t="n">
        <v>2</v>
      </c>
      <c r="U566" t="n">
        <v>5</v>
      </c>
      <c r="V566" t="n">
        <v>2</v>
      </c>
      <c r="W566">
        <f>(AVERAGE(B566:D566)-1)/4</f>
        <v/>
      </c>
      <c r="X566">
        <f>(AVERAGE(E566:G566)-1)/4</f>
        <v/>
      </c>
      <c r="Y566">
        <f>(AVERAGE(H566:J566)-1)/4</f>
        <v/>
      </c>
      <c r="Z566">
        <f>(AVERAGE(K566:M566)-1)/4</f>
        <v/>
      </c>
      <c r="AA566">
        <f>(AVERAGE(N566:P566)-1)/4</f>
        <v/>
      </c>
      <c r="AB566">
        <f>(AVERAGE(Q566:S566)-1)/4</f>
        <v/>
      </c>
      <c r="AC566">
        <f>(AVERAGE(T566:V566)-1)/4</f>
        <v/>
      </c>
      <c r="AD566">
        <f>AVERAGE(W566:AA566)</f>
        <v/>
      </c>
      <c r="AE566">
        <f>MIN(W566:AA566)</f>
        <v/>
      </c>
      <c r="AF566">
        <f>1-alpha*MAX(0,delta-AE566)</f>
        <v/>
      </c>
      <c r="AG566">
        <f>AD566*AF566</f>
        <v/>
      </c>
      <c r="AH566">
        <f>1+COUNTIF(bounds,"&lt;"&amp;ROUND(AD566,12))</f>
        <v/>
      </c>
      <c r="AI566">
        <f>1+COUNTIF(bounds,"&lt;"&amp;ROUND(AG566,12))</f>
        <v/>
      </c>
      <c r="AJ566">
        <f>IF(AF566&lt;1,1,0)</f>
        <v/>
      </c>
      <c r="AK566">
        <f>IF(AH566&lt;&gt;AI566,1,0)</f>
        <v/>
      </c>
      <c r="AL566">
        <f>IF(AND(AI566&gt;=3,AB566&lt;=0.2),1,0)</f>
        <v/>
      </c>
      <c r="AM566">
        <f>AVERAGE(W566:AB566)</f>
        <v/>
      </c>
      <c r="AN566">
        <f>1+COUNTIF(bounds,"&lt;"&amp;ROUND(AM566,12))</f>
        <v/>
      </c>
      <c r="AO566">
        <f>IF(AK566=1,AD566,NA())</f>
        <v/>
      </c>
      <c r="AP566">
        <f>IF(AK566=0,AD566,NA())</f>
        <v/>
      </c>
    </row>
    <row r="567">
      <c r="A567" t="n">
        <v>559</v>
      </c>
      <c r="B567" t="n">
        <v>4</v>
      </c>
      <c r="C567" t="n">
        <v>2</v>
      </c>
      <c r="D567" t="n">
        <v>2</v>
      </c>
      <c r="E567" t="n">
        <v>2</v>
      </c>
      <c r="F567" t="n">
        <v>1</v>
      </c>
      <c r="G567" t="n">
        <v>2</v>
      </c>
      <c r="H567" t="n">
        <v>5</v>
      </c>
      <c r="I567" t="n">
        <v>2</v>
      </c>
      <c r="J567" t="n">
        <v>5</v>
      </c>
      <c r="K567" t="n">
        <v>3</v>
      </c>
      <c r="L567" t="n">
        <v>2</v>
      </c>
      <c r="M567" t="n">
        <v>4</v>
      </c>
      <c r="N567" t="n">
        <v>5</v>
      </c>
      <c r="O567" t="n">
        <v>2</v>
      </c>
      <c r="P567" t="n">
        <v>4</v>
      </c>
      <c r="Q567" t="n">
        <v>5</v>
      </c>
      <c r="R567" t="n">
        <v>2</v>
      </c>
      <c r="S567" t="n">
        <v>5</v>
      </c>
      <c r="T567" t="n">
        <v>5</v>
      </c>
      <c r="U567" t="n">
        <v>5</v>
      </c>
      <c r="V567" t="n">
        <v>2</v>
      </c>
      <c r="W567">
        <f>(AVERAGE(B567:D567)-1)/4</f>
        <v/>
      </c>
      <c r="X567">
        <f>(AVERAGE(E567:G567)-1)/4</f>
        <v/>
      </c>
      <c r="Y567">
        <f>(AVERAGE(H567:J567)-1)/4</f>
        <v/>
      </c>
      <c r="Z567">
        <f>(AVERAGE(K567:M567)-1)/4</f>
        <v/>
      </c>
      <c r="AA567">
        <f>(AVERAGE(N567:P567)-1)/4</f>
        <v/>
      </c>
      <c r="AB567">
        <f>(AVERAGE(Q567:S567)-1)/4</f>
        <v/>
      </c>
      <c r="AC567">
        <f>(AVERAGE(T567:V567)-1)/4</f>
        <v/>
      </c>
      <c r="AD567">
        <f>AVERAGE(W567:AA567)</f>
        <v/>
      </c>
      <c r="AE567">
        <f>MIN(W567:AA567)</f>
        <v/>
      </c>
      <c r="AF567">
        <f>1-alpha*MAX(0,delta-AE567)</f>
        <v/>
      </c>
      <c r="AG567">
        <f>AD567*AF567</f>
        <v/>
      </c>
      <c r="AH567">
        <f>1+COUNTIF(bounds,"&lt;"&amp;ROUND(AD567,12))</f>
        <v/>
      </c>
      <c r="AI567">
        <f>1+COUNTIF(bounds,"&lt;"&amp;ROUND(AG567,12))</f>
        <v/>
      </c>
      <c r="AJ567">
        <f>IF(AF567&lt;1,1,0)</f>
        <v/>
      </c>
      <c r="AK567">
        <f>IF(AH567&lt;&gt;AI567,1,0)</f>
        <v/>
      </c>
      <c r="AL567">
        <f>IF(AND(AI567&gt;=3,AB567&lt;=0.2),1,0)</f>
        <v/>
      </c>
      <c r="AM567">
        <f>AVERAGE(W567:AB567)</f>
        <v/>
      </c>
      <c r="AN567">
        <f>1+COUNTIF(bounds,"&lt;"&amp;ROUND(AM567,12))</f>
        <v/>
      </c>
      <c r="AO567">
        <f>IF(AK567=1,AD567,NA())</f>
        <v/>
      </c>
      <c r="AP567">
        <f>IF(AK567=0,AD567,NA())</f>
        <v/>
      </c>
    </row>
    <row r="568">
      <c r="A568" t="n">
        <v>560</v>
      </c>
      <c r="B568" t="n">
        <v>3</v>
      </c>
      <c r="C568" t="n">
        <v>1</v>
      </c>
      <c r="D568" t="n">
        <v>2</v>
      </c>
      <c r="E568" t="n">
        <v>2</v>
      </c>
      <c r="F568" t="n">
        <v>1</v>
      </c>
      <c r="G568" t="n">
        <v>1</v>
      </c>
      <c r="H568" t="n">
        <v>3</v>
      </c>
      <c r="I568" t="n">
        <v>4</v>
      </c>
      <c r="J568" t="n">
        <v>1</v>
      </c>
      <c r="K568" t="n">
        <v>1</v>
      </c>
      <c r="L568" t="n">
        <v>5</v>
      </c>
      <c r="M568" t="n">
        <v>3</v>
      </c>
      <c r="N568" t="n">
        <v>5</v>
      </c>
      <c r="O568" t="n">
        <v>2</v>
      </c>
      <c r="P568" t="n">
        <v>2</v>
      </c>
      <c r="Q568" t="n">
        <v>4</v>
      </c>
      <c r="R568" t="n">
        <v>3</v>
      </c>
      <c r="S568" t="n">
        <v>3</v>
      </c>
      <c r="T568" t="n">
        <v>5</v>
      </c>
      <c r="U568" t="n">
        <v>5</v>
      </c>
      <c r="V568" t="n">
        <v>3</v>
      </c>
      <c r="W568">
        <f>(AVERAGE(B568:D568)-1)/4</f>
        <v/>
      </c>
      <c r="X568">
        <f>(AVERAGE(E568:G568)-1)/4</f>
        <v/>
      </c>
      <c r="Y568">
        <f>(AVERAGE(H568:J568)-1)/4</f>
        <v/>
      </c>
      <c r="Z568">
        <f>(AVERAGE(K568:M568)-1)/4</f>
        <v/>
      </c>
      <c r="AA568">
        <f>(AVERAGE(N568:P568)-1)/4</f>
        <v/>
      </c>
      <c r="AB568">
        <f>(AVERAGE(Q568:S568)-1)/4</f>
        <v/>
      </c>
      <c r="AC568">
        <f>(AVERAGE(T568:V568)-1)/4</f>
        <v/>
      </c>
      <c r="AD568">
        <f>AVERAGE(W568:AA568)</f>
        <v/>
      </c>
      <c r="AE568">
        <f>MIN(W568:AA568)</f>
        <v/>
      </c>
      <c r="AF568">
        <f>1-alpha*MAX(0,delta-AE568)</f>
        <v/>
      </c>
      <c r="AG568">
        <f>AD568*AF568</f>
        <v/>
      </c>
      <c r="AH568">
        <f>1+COUNTIF(bounds,"&lt;"&amp;ROUND(AD568,12))</f>
        <v/>
      </c>
      <c r="AI568">
        <f>1+COUNTIF(bounds,"&lt;"&amp;ROUND(AG568,12))</f>
        <v/>
      </c>
      <c r="AJ568">
        <f>IF(AF568&lt;1,1,0)</f>
        <v/>
      </c>
      <c r="AK568">
        <f>IF(AH568&lt;&gt;AI568,1,0)</f>
        <v/>
      </c>
      <c r="AL568">
        <f>IF(AND(AI568&gt;=3,AB568&lt;=0.2),1,0)</f>
        <v/>
      </c>
      <c r="AM568">
        <f>AVERAGE(W568:AB568)</f>
        <v/>
      </c>
      <c r="AN568">
        <f>1+COUNTIF(bounds,"&lt;"&amp;ROUND(AM568,12))</f>
        <v/>
      </c>
      <c r="AO568">
        <f>IF(AK568=1,AD568,NA())</f>
        <v/>
      </c>
      <c r="AP568">
        <f>IF(AK568=0,AD568,NA())</f>
        <v/>
      </c>
    </row>
    <row r="569">
      <c r="A569" t="n">
        <v>561</v>
      </c>
      <c r="B569" t="n">
        <v>5</v>
      </c>
      <c r="C569" t="n">
        <v>3</v>
      </c>
      <c r="D569" t="n">
        <v>5</v>
      </c>
      <c r="E569" t="n">
        <v>4</v>
      </c>
      <c r="F569" t="n">
        <v>2</v>
      </c>
      <c r="G569" t="n">
        <v>2</v>
      </c>
      <c r="H569" t="n">
        <v>4</v>
      </c>
      <c r="I569" t="n">
        <v>4</v>
      </c>
      <c r="J569" t="n">
        <v>3</v>
      </c>
      <c r="K569" t="n">
        <v>2</v>
      </c>
      <c r="L569" t="n">
        <v>4</v>
      </c>
      <c r="M569" t="n">
        <v>4</v>
      </c>
      <c r="N569" t="n">
        <v>5</v>
      </c>
      <c r="O569" t="n">
        <v>2</v>
      </c>
      <c r="P569" t="n">
        <v>5</v>
      </c>
      <c r="Q569" t="n">
        <v>2</v>
      </c>
      <c r="R569" t="n">
        <v>4</v>
      </c>
      <c r="S569" t="n">
        <v>3</v>
      </c>
      <c r="T569" t="n">
        <v>2</v>
      </c>
      <c r="U569" t="n">
        <v>5</v>
      </c>
      <c r="V569" t="n">
        <v>5</v>
      </c>
      <c r="W569">
        <f>(AVERAGE(B569:D569)-1)/4</f>
        <v/>
      </c>
      <c r="X569">
        <f>(AVERAGE(E569:G569)-1)/4</f>
        <v/>
      </c>
      <c r="Y569">
        <f>(AVERAGE(H569:J569)-1)/4</f>
        <v/>
      </c>
      <c r="Z569">
        <f>(AVERAGE(K569:M569)-1)/4</f>
        <v/>
      </c>
      <c r="AA569">
        <f>(AVERAGE(N569:P569)-1)/4</f>
        <v/>
      </c>
      <c r="AB569">
        <f>(AVERAGE(Q569:S569)-1)/4</f>
        <v/>
      </c>
      <c r="AC569">
        <f>(AVERAGE(T569:V569)-1)/4</f>
        <v/>
      </c>
      <c r="AD569">
        <f>AVERAGE(W569:AA569)</f>
        <v/>
      </c>
      <c r="AE569">
        <f>MIN(W569:AA569)</f>
        <v/>
      </c>
      <c r="AF569">
        <f>1-alpha*MAX(0,delta-AE569)</f>
        <v/>
      </c>
      <c r="AG569">
        <f>AD569*AF569</f>
        <v/>
      </c>
      <c r="AH569">
        <f>1+COUNTIF(bounds,"&lt;"&amp;ROUND(AD569,12))</f>
        <v/>
      </c>
      <c r="AI569">
        <f>1+COUNTIF(bounds,"&lt;"&amp;ROUND(AG569,12))</f>
        <v/>
      </c>
      <c r="AJ569">
        <f>IF(AF569&lt;1,1,0)</f>
        <v/>
      </c>
      <c r="AK569">
        <f>IF(AH569&lt;&gt;AI569,1,0)</f>
        <v/>
      </c>
      <c r="AL569">
        <f>IF(AND(AI569&gt;=3,AB569&lt;=0.2),1,0)</f>
        <v/>
      </c>
      <c r="AM569">
        <f>AVERAGE(W569:AB569)</f>
        <v/>
      </c>
      <c r="AN569">
        <f>1+COUNTIF(bounds,"&lt;"&amp;ROUND(AM569,12))</f>
        <v/>
      </c>
      <c r="AO569">
        <f>IF(AK569=1,AD569,NA())</f>
        <v/>
      </c>
      <c r="AP569">
        <f>IF(AK569=0,AD569,NA())</f>
        <v/>
      </c>
    </row>
    <row r="570">
      <c r="A570" t="n">
        <v>562</v>
      </c>
      <c r="B570" t="n">
        <v>2</v>
      </c>
      <c r="C570" t="n">
        <v>2</v>
      </c>
      <c r="D570" t="n">
        <v>3</v>
      </c>
      <c r="E570" t="n">
        <v>3</v>
      </c>
      <c r="F570" t="n">
        <v>2</v>
      </c>
      <c r="G570" t="n">
        <v>4</v>
      </c>
      <c r="H570" t="n">
        <v>5</v>
      </c>
      <c r="I570" t="n">
        <v>4</v>
      </c>
      <c r="J570" t="n">
        <v>4</v>
      </c>
      <c r="K570" t="n">
        <v>3</v>
      </c>
      <c r="L570" t="n">
        <v>3</v>
      </c>
      <c r="M570" t="n">
        <v>4</v>
      </c>
      <c r="N570" t="n">
        <v>5</v>
      </c>
      <c r="O570" t="n">
        <v>5</v>
      </c>
      <c r="P570" t="n">
        <v>5</v>
      </c>
      <c r="Q570" t="n">
        <v>4</v>
      </c>
      <c r="R570" t="n">
        <v>3</v>
      </c>
      <c r="S570" t="n">
        <v>1</v>
      </c>
      <c r="T570" t="n">
        <v>5</v>
      </c>
      <c r="U570" t="n">
        <v>3</v>
      </c>
      <c r="V570" t="n">
        <v>4</v>
      </c>
      <c r="W570">
        <f>(AVERAGE(B570:D570)-1)/4</f>
        <v/>
      </c>
      <c r="X570">
        <f>(AVERAGE(E570:G570)-1)/4</f>
        <v/>
      </c>
      <c r="Y570">
        <f>(AVERAGE(H570:J570)-1)/4</f>
        <v/>
      </c>
      <c r="Z570">
        <f>(AVERAGE(K570:M570)-1)/4</f>
        <v/>
      </c>
      <c r="AA570">
        <f>(AVERAGE(N570:P570)-1)/4</f>
        <v/>
      </c>
      <c r="AB570">
        <f>(AVERAGE(Q570:S570)-1)/4</f>
        <v/>
      </c>
      <c r="AC570">
        <f>(AVERAGE(T570:V570)-1)/4</f>
        <v/>
      </c>
      <c r="AD570">
        <f>AVERAGE(W570:AA570)</f>
        <v/>
      </c>
      <c r="AE570">
        <f>MIN(W570:AA570)</f>
        <v/>
      </c>
      <c r="AF570">
        <f>1-alpha*MAX(0,delta-AE570)</f>
        <v/>
      </c>
      <c r="AG570">
        <f>AD570*AF570</f>
        <v/>
      </c>
      <c r="AH570">
        <f>1+COUNTIF(bounds,"&lt;"&amp;ROUND(AD570,12))</f>
        <v/>
      </c>
      <c r="AI570">
        <f>1+COUNTIF(bounds,"&lt;"&amp;ROUND(AG570,12))</f>
        <v/>
      </c>
      <c r="AJ570">
        <f>IF(AF570&lt;1,1,0)</f>
        <v/>
      </c>
      <c r="AK570">
        <f>IF(AH570&lt;&gt;AI570,1,0)</f>
        <v/>
      </c>
      <c r="AL570">
        <f>IF(AND(AI570&gt;=3,AB570&lt;=0.2),1,0)</f>
        <v/>
      </c>
      <c r="AM570">
        <f>AVERAGE(W570:AB570)</f>
        <v/>
      </c>
      <c r="AN570">
        <f>1+COUNTIF(bounds,"&lt;"&amp;ROUND(AM570,12))</f>
        <v/>
      </c>
      <c r="AO570">
        <f>IF(AK570=1,AD570,NA())</f>
        <v/>
      </c>
      <c r="AP570">
        <f>IF(AK570=0,AD570,NA())</f>
        <v/>
      </c>
    </row>
    <row r="571">
      <c r="A571" t="n">
        <v>563</v>
      </c>
      <c r="B571" t="n">
        <v>5</v>
      </c>
      <c r="C571" t="n">
        <v>4</v>
      </c>
      <c r="D571" t="n">
        <v>2</v>
      </c>
      <c r="E571" t="n">
        <v>1</v>
      </c>
      <c r="F571" t="n">
        <v>4</v>
      </c>
      <c r="G571" t="n">
        <v>2</v>
      </c>
      <c r="H571" t="n">
        <v>5</v>
      </c>
      <c r="I571" t="n">
        <v>5</v>
      </c>
      <c r="J571" t="n">
        <v>5</v>
      </c>
      <c r="K571" t="n">
        <v>4</v>
      </c>
      <c r="L571" t="n">
        <v>5</v>
      </c>
      <c r="M571" t="n">
        <v>4</v>
      </c>
      <c r="N571" t="n">
        <v>1</v>
      </c>
      <c r="O571" t="n">
        <v>2</v>
      </c>
      <c r="P571" t="n">
        <v>4</v>
      </c>
      <c r="Q571" t="n">
        <v>1</v>
      </c>
      <c r="R571" t="n">
        <v>5</v>
      </c>
      <c r="S571" t="n">
        <v>4</v>
      </c>
      <c r="T571" t="n">
        <v>2</v>
      </c>
      <c r="U571" t="n">
        <v>3</v>
      </c>
      <c r="V571" t="n">
        <v>2</v>
      </c>
      <c r="W571">
        <f>(AVERAGE(B571:D571)-1)/4</f>
        <v/>
      </c>
      <c r="X571">
        <f>(AVERAGE(E571:G571)-1)/4</f>
        <v/>
      </c>
      <c r="Y571">
        <f>(AVERAGE(H571:J571)-1)/4</f>
        <v/>
      </c>
      <c r="Z571">
        <f>(AVERAGE(K571:M571)-1)/4</f>
        <v/>
      </c>
      <c r="AA571">
        <f>(AVERAGE(N571:P571)-1)/4</f>
        <v/>
      </c>
      <c r="AB571">
        <f>(AVERAGE(Q571:S571)-1)/4</f>
        <v/>
      </c>
      <c r="AC571">
        <f>(AVERAGE(T571:V571)-1)/4</f>
        <v/>
      </c>
      <c r="AD571">
        <f>AVERAGE(W571:AA571)</f>
        <v/>
      </c>
      <c r="AE571">
        <f>MIN(W571:AA571)</f>
        <v/>
      </c>
      <c r="AF571">
        <f>1-alpha*MAX(0,delta-AE571)</f>
        <v/>
      </c>
      <c r="AG571">
        <f>AD571*AF571</f>
        <v/>
      </c>
      <c r="AH571">
        <f>1+COUNTIF(bounds,"&lt;"&amp;ROUND(AD571,12))</f>
        <v/>
      </c>
      <c r="AI571">
        <f>1+COUNTIF(bounds,"&lt;"&amp;ROUND(AG571,12))</f>
        <v/>
      </c>
      <c r="AJ571">
        <f>IF(AF571&lt;1,1,0)</f>
        <v/>
      </c>
      <c r="AK571">
        <f>IF(AH571&lt;&gt;AI571,1,0)</f>
        <v/>
      </c>
      <c r="AL571">
        <f>IF(AND(AI571&gt;=3,AB571&lt;=0.2),1,0)</f>
        <v/>
      </c>
      <c r="AM571">
        <f>AVERAGE(W571:AB571)</f>
        <v/>
      </c>
      <c r="AN571">
        <f>1+COUNTIF(bounds,"&lt;"&amp;ROUND(AM571,12))</f>
        <v/>
      </c>
      <c r="AO571">
        <f>IF(AK571=1,AD571,NA())</f>
        <v/>
      </c>
      <c r="AP571">
        <f>IF(AK571=0,AD571,NA())</f>
        <v/>
      </c>
    </row>
    <row r="572">
      <c r="A572" t="n">
        <v>564</v>
      </c>
      <c r="B572" t="n">
        <v>1</v>
      </c>
      <c r="C572" t="n">
        <v>2</v>
      </c>
      <c r="D572" t="n">
        <v>3</v>
      </c>
      <c r="E572" t="n">
        <v>1</v>
      </c>
      <c r="F572" t="n">
        <v>3</v>
      </c>
      <c r="G572" t="n">
        <v>3</v>
      </c>
      <c r="H572" t="n">
        <v>5</v>
      </c>
      <c r="I572" t="n">
        <v>2</v>
      </c>
      <c r="J572" t="n">
        <v>5</v>
      </c>
      <c r="K572" t="n">
        <v>1</v>
      </c>
      <c r="L572" t="n">
        <v>1</v>
      </c>
      <c r="M572" t="n">
        <v>5</v>
      </c>
      <c r="N572" t="n">
        <v>4</v>
      </c>
      <c r="O572" t="n">
        <v>3</v>
      </c>
      <c r="P572" t="n">
        <v>5</v>
      </c>
      <c r="Q572" t="n">
        <v>5</v>
      </c>
      <c r="R572" t="n">
        <v>5</v>
      </c>
      <c r="S572" t="n">
        <v>2</v>
      </c>
      <c r="T572" t="n">
        <v>1</v>
      </c>
      <c r="U572" t="n">
        <v>5</v>
      </c>
      <c r="V572" t="n">
        <v>5</v>
      </c>
      <c r="W572">
        <f>(AVERAGE(B572:D572)-1)/4</f>
        <v/>
      </c>
      <c r="X572">
        <f>(AVERAGE(E572:G572)-1)/4</f>
        <v/>
      </c>
      <c r="Y572">
        <f>(AVERAGE(H572:J572)-1)/4</f>
        <v/>
      </c>
      <c r="Z572">
        <f>(AVERAGE(K572:M572)-1)/4</f>
        <v/>
      </c>
      <c r="AA572">
        <f>(AVERAGE(N572:P572)-1)/4</f>
        <v/>
      </c>
      <c r="AB572">
        <f>(AVERAGE(Q572:S572)-1)/4</f>
        <v/>
      </c>
      <c r="AC572">
        <f>(AVERAGE(T572:V572)-1)/4</f>
        <v/>
      </c>
      <c r="AD572">
        <f>AVERAGE(W572:AA572)</f>
        <v/>
      </c>
      <c r="AE572">
        <f>MIN(W572:AA572)</f>
        <v/>
      </c>
      <c r="AF572">
        <f>1-alpha*MAX(0,delta-AE572)</f>
        <v/>
      </c>
      <c r="AG572">
        <f>AD572*AF572</f>
        <v/>
      </c>
      <c r="AH572">
        <f>1+COUNTIF(bounds,"&lt;"&amp;ROUND(AD572,12))</f>
        <v/>
      </c>
      <c r="AI572">
        <f>1+COUNTIF(bounds,"&lt;"&amp;ROUND(AG572,12))</f>
        <v/>
      </c>
      <c r="AJ572">
        <f>IF(AF572&lt;1,1,0)</f>
        <v/>
      </c>
      <c r="AK572">
        <f>IF(AH572&lt;&gt;AI572,1,0)</f>
        <v/>
      </c>
      <c r="AL572">
        <f>IF(AND(AI572&gt;=3,AB572&lt;=0.2),1,0)</f>
        <v/>
      </c>
      <c r="AM572">
        <f>AVERAGE(W572:AB572)</f>
        <v/>
      </c>
      <c r="AN572">
        <f>1+COUNTIF(bounds,"&lt;"&amp;ROUND(AM572,12))</f>
        <v/>
      </c>
      <c r="AO572">
        <f>IF(AK572=1,AD572,NA())</f>
        <v/>
      </c>
      <c r="AP572">
        <f>IF(AK572=0,AD572,NA())</f>
        <v/>
      </c>
    </row>
    <row r="573">
      <c r="A573" t="n">
        <v>565</v>
      </c>
      <c r="B573" t="n">
        <v>1</v>
      </c>
      <c r="C573" t="n">
        <v>1</v>
      </c>
      <c r="D573" t="n">
        <v>4</v>
      </c>
      <c r="E573" t="n">
        <v>5</v>
      </c>
      <c r="F573" t="n">
        <v>1</v>
      </c>
      <c r="G573" t="n">
        <v>4</v>
      </c>
      <c r="H573" t="n">
        <v>5</v>
      </c>
      <c r="I573" t="n">
        <v>2</v>
      </c>
      <c r="J573" t="n">
        <v>1</v>
      </c>
      <c r="K573" t="n">
        <v>5</v>
      </c>
      <c r="L573" t="n">
        <v>2</v>
      </c>
      <c r="M573" t="n">
        <v>4</v>
      </c>
      <c r="N573" t="n">
        <v>2</v>
      </c>
      <c r="O573" t="n">
        <v>4</v>
      </c>
      <c r="P573" t="n">
        <v>3</v>
      </c>
      <c r="Q573" t="n">
        <v>3</v>
      </c>
      <c r="R573" t="n">
        <v>4</v>
      </c>
      <c r="S573" t="n">
        <v>3</v>
      </c>
      <c r="T573" t="n">
        <v>2</v>
      </c>
      <c r="U573" t="n">
        <v>4</v>
      </c>
      <c r="V573" t="n">
        <v>2</v>
      </c>
      <c r="W573">
        <f>(AVERAGE(B573:D573)-1)/4</f>
        <v/>
      </c>
      <c r="X573">
        <f>(AVERAGE(E573:G573)-1)/4</f>
        <v/>
      </c>
      <c r="Y573">
        <f>(AVERAGE(H573:J573)-1)/4</f>
        <v/>
      </c>
      <c r="Z573">
        <f>(AVERAGE(K573:M573)-1)/4</f>
        <v/>
      </c>
      <c r="AA573">
        <f>(AVERAGE(N573:P573)-1)/4</f>
        <v/>
      </c>
      <c r="AB573">
        <f>(AVERAGE(Q573:S573)-1)/4</f>
        <v/>
      </c>
      <c r="AC573">
        <f>(AVERAGE(T573:V573)-1)/4</f>
        <v/>
      </c>
      <c r="AD573">
        <f>AVERAGE(W573:AA573)</f>
        <v/>
      </c>
      <c r="AE573">
        <f>MIN(W573:AA573)</f>
        <v/>
      </c>
      <c r="AF573">
        <f>1-alpha*MAX(0,delta-AE573)</f>
        <v/>
      </c>
      <c r="AG573">
        <f>AD573*AF573</f>
        <v/>
      </c>
      <c r="AH573">
        <f>1+COUNTIF(bounds,"&lt;"&amp;ROUND(AD573,12))</f>
        <v/>
      </c>
      <c r="AI573">
        <f>1+COUNTIF(bounds,"&lt;"&amp;ROUND(AG573,12))</f>
        <v/>
      </c>
      <c r="AJ573">
        <f>IF(AF573&lt;1,1,0)</f>
        <v/>
      </c>
      <c r="AK573">
        <f>IF(AH573&lt;&gt;AI573,1,0)</f>
        <v/>
      </c>
      <c r="AL573">
        <f>IF(AND(AI573&gt;=3,AB573&lt;=0.2),1,0)</f>
        <v/>
      </c>
      <c r="AM573">
        <f>AVERAGE(W573:AB573)</f>
        <v/>
      </c>
      <c r="AN573">
        <f>1+COUNTIF(bounds,"&lt;"&amp;ROUND(AM573,12))</f>
        <v/>
      </c>
      <c r="AO573">
        <f>IF(AK573=1,AD573,NA())</f>
        <v/>
      </c>
      <c r="AP573">
        <f>IF(AK573=0,AD573,NA())</f>
        <v/>
      </c>
    </row>
    <row r="574">
      <c r="A574" t="n">
        <v>566</v>
      </c>
      <c r="B574" t="n">
        <v>2</v>
      </c>
      <c r="C574" t="n">
        <v>5</v>
      </c>
      <c r="D574" t="n">
        <v>3</v>
      </c>
      <c r="E574" t="n">
        <v>1</v>
      </c>
      <c r="F574" t="n">
        <v>4</v>
      </c>
      <c r="G574" t="n">
        <v>3</v>
      </c>
      <c r="H574" t="n">
        <v>1</v>
      </c>
      <c r="I574" t="n">
        <v>1</v>
      </c>
      <c r="J574" t="n">
        <v>1</v>
      </c>
      <c r="K574" t="n">
        <v>4</v>
      </c>
      <c r="L574" t="n">
        <v>2</v>
      </c>
      <c r="M574" t="n">
        <v>5</v>
      </c>
      <c r="N574" t="n">
        <v>3</v>
      </c>
      <c r="O574" t="n">
        <v>4</v>
      </c>
      <c r="P574" t="n">
        <v>2</v>
      </c>
      <c r="Q574" t="n">
        <v>5</v>
      </c>
      <c r="R574" t="n">
        <v>3</v>
      </c>
      <c r="S574" t="n">
        <v>1</v>
      </c>
      <c r="T574" t="n">
        <v>5</v>
      </c>
      <c r="U574" t="n">
        <v>1</v>
      </c>
      <c r="V574" t="n">
        <v>1</v>
      </c>
      <c r="W574">
        <f>(AVERAGE(B574:D574)-1)/4</f>
        <v/>
      </c>
      <c r="X574">
        <f>(AVERAGE(E574:G574)-1)/4</f>
        <v/>
      </c>
      <c r="Y574">
        <f>(AVERAGE(H574:J574)-1)/4</f>
        <v/>
      </c>
      <c r="Z574">
        <f>(AVERAGE(K574:M574)-1)/4</f>
        <v/>
      </c>
      <c r="AA574">
        <f>(AVERAGE(N574:P574)-1)/4</f>
        <v/>
      </c>
      <c r="AB574">
        <f>(AVERAGE(Q574:S574)-1)/4</f>
        <v/>
      </c>
      <c r="AC574">
        <f>(AVERAGE(T574:V574)-1)/4</f>
        <v/>
      </c>
      <c r="AD574">
        <f>AVERAGE(W574:AA574)</f>
        <v/>
      </c>
      <c r="AE574">
        <f>MIN(W574:AA574)</f>
        <v/>
      </c>
      <c r="AF574">
        <f>1-alpha*MAX(0,delta-AE574)</f>
        <v/>
      </c>
      <c r="AG574">
        <f>AD574*AF574</f>
        <v/>
      </c>
      <c r="AH574">
        <f>1+COUNTIF(bounds,"&lt;"&amp;ROUND(AD574,12))</f>
        <v/>
      </c>
      <c r="AI574">
        <f>1+COUNTIF(bounds,"&lt;"&amp;ROUND(AG574,12))</f>
        <v/>
      </c>
      <c r="AJ574">
        <f>IF(AF574&lt;1,1,0)</f>
        <v/>
      </c>
      <c r="AK574">
        <f>IF(AH574&lt;&gt;AI574,1,0)</f>
        <v/>
      </c>
      <c r="AL574">
        <f>IF(AND(AI574&gt;=3,AB574&lt;=0.2),1,0)</f>
        <v/>
      </c>
      <c r="AM574">
        <f>AVERAGE(W574:AB574)</f>
        <v/>
      </c>
      <c r="AN574">
        <f>1+COUNTIF(bounds,"&lt;"&amp;ROUND(AM574,12))</f>
        <v/>
      </c>
      <c r="AO574">
        <f>IF(AK574=1,AD574,NA())</f>
        <v/>
      </c>
      <c r="AP574">
        <f>IF(AK574=0,AD574,NA())</f>
        <v/>
      </c>
    </row>
    <row r="575">
      <c r="A575" t="n">
        <v>567</v>
      </c>
      <c r="B575" t="n">
        <v>1</v>
      </c>
      <c r="C575" t="n">
        <v>4</v>
      </c>
      <c r="D575" t="n">
        <v>1</v>
      </c>
      <c r="E575" t="n">
        <v>1</v>
      </c>
      <c r="F575" t="n">
        <v>3</v>
      </c>
      <c r="G575" t="n">
        <v>3</v>
      </c>
      <c r="H575" t="n">
        <v>5</v>
      </c>
      <c r="I575" t="n">
        <v>3</v>
      </c>
      <c r="J575" t="n">
        <v>1</v>
      </c>
      <c r="K575" t="n">
        <v>3</v>
      </c>
      <c r="L575" t="n">
        <v>3</v>
      </c>
      <c r="M575" t="n">
        <v>4</v>
      </c>
      <c r="N575" t="n">
        <v>4</v>
      </c>
      <c r="O575" t="n">
        <v>2</v>
      </c>
      <c r="P575" t="n">
        <v>1</v>
      </c>
      <c r="Q575" t="n">
        <v>2</v>
      </c>
      <c r="R575" t="n">
        <v>4</v>
      </c>
      <c r="S575" t="n">
        <v>5</v>
      </c>
      <c r="T575" t="n">
        <v>2</v>
      </c>
      <c r="U575" t="n">
        <v>2</v>
      </c>
      <c r="V575" t="n">
        <v>5</v>
      </c>
      <c r="W575">
        <f>(AVERAGE(B575:D575)-1)/4</f>
        <v/>
      </c>
      <c r="X575">
        <f>(AVERAGE(E575:G575)-1)/4</f>
        <v/>
      </c>
      <c r="Y575">
        <f>(AVERAGE(H575:J575)-1)/4</f>
        <v/>
      </c>
      <c r="Z575">
        <f>(AVERAGE(K575:M575)-1)/4</f>
        <v/>
      </c>
      <c r="AA575">
        <f>(AVERAGE(N575:P575)-1)/4</f>
        <v/>
      </c>
      <c r="AB575">
        <f>(AVERAGE(Q575:S575)-1)/4</f>
        <v/>
      </c>
      <c r="AC575">
        <f>(AVERAGE(T575:V575)-1)/4</f>
        <v/>
      </c>
      <c r="AD575">
        <f>AVERAGE(W575:AA575)</f>
        <v/>
      </c>
      <c r="AE575">
        <f>MIN(W575:AA575)</f>
        <v/>
      </c>
      <c r="AF575">
        <f>1-alpha*MAX(0,delta-AE575)</f>
        <v/>
      </c>
      <c r="AG575">
        <f>AD575*AF575</f>
        <v/>
      </c>
      <c r="AH575">
        <f>1+COUNTIF(bounds,"&lt;"&amp;ROUND(AD575,12))</f>
        <v/>
      </c>
      <c r="AI575">
        <f>1+COUNTIF(bounds,"&lt;"&amp;ROUND(AG575,12))</f>
        <v/>
      </c>
      <c r="AJ575">
        <f>IF(AF575&lt;1,1,0)</f>
        <v/>
      </c>
      <c r="AK575">
        <f>IF(AH575&lt;&gt;AI575,1,0)</f>
        <v/>
      </c>
      <c r="AL575">
        <f>IF(AND(AI575&gt;=3,AB575&lt;=0.2),1,0)</f>
        <v/>
      </c>
      <c r="AM575">
        <f>AVERAGE(W575:AB575)</f>
        <v/>
      </c>
      <c r="AN575">
        <f>1+COUNTIF(bounds,"&lt;"&amp;ROUND(AM575,12))</f>
        <v/>
      </c>
      <c r="AO575">
        <f>IF(AK575=1,AD575,NA())</f>
        <v/>
      </c>
      <c r="AP575">
        <f>IF(AK575=0,AD575,NA())</f>
        <v/>
      </c>
    </row>
    <row r="576">
      <c r="A576" t="n">
        <v>568</v>
      </c>
      <c r="B576" t="n">
        <v>3</v>
      </c>
      <c r="C576" t="n">
        <v>3</v>
      </c>
      <c r="D576" t="n">
        <v>1</v>
      </c>
      <c r="E576" t="n">
        <v>1</v>
      </c>
      <c r="F576" t="n">
        <v>2</v>
      </c>
      <c r="G576" t="n">
        <v>1</v>
      </c>
      <c r="H576" t="n">
        <v>4</v>
      </c>
      <c r="I576" t="n">
        <v>3</v>
      </c>
      <c r="J576" t="n">
        <v>4</v>
      </c>
      <c r="K576" t="n">
        <v>5</v>
      </c>
      <c r="L576" t="n">
        <v>1</v>
      </c>
      <c r="M576" t="n">
        <v>4</v>
      </c>
      <c r="N576" t="n">
        <v>2</v>
      </c>
      <c r="O576" t="n">
        <v>5</v>
      </c>
      <c r="P576" t="n">
        <v>5</v>
      </c>
      <c r="Q576" t="n">
        <v>2</v>
      </c>
      <c r="R576" t="n">
        <v>4</v>
      </c>
      <c r="S576" t="n">
        <v>4</v>
      </c>
      <c r="T576" t="n">
        <v>4</v>
      </c>
      <c r="U576" t="n">
        <v>3</v>
      </c>
      <c r="V576" t="n">
        <v>5</v>
      </c>
      <c r="W576">
        <f>(AVERAGE(B576:D576)-1)/4</f>
        <v/>
      </c>
      <c r="X576">
        <f>(AVERAGE(E576:G576)-1)/4</f>
        <v/>
      </c>
      <c r="Y576">
        <f>(AVERAGE(H576:J576)-1)/4</f>
        <v/>
      </c>
      <c r="Z576">
        <f>(AVERAGE(K576:M576)-1)/4</f>
        <v/>
      </c>
      <c r="AA576">
        <f>(AVERAGE(N576:P576)-1)/4</f>
        <v/>
      </c>
      <c r="AB576">
        <f>(AVERAGE(Q576:S576)-1)/4</f>
        <v/>
      </c>
      <c r="AC576">
        <f>(AVERAGE(T576:V576)-1)/4</f>
        <v/>
      </c>
      <c r="AD576">
        <f>AVERAGE(W576:AA576)</f>
        <v/>
      </c>
      <c r="AE576">
        <f>MIN(W576:AA576)</f>
        <v/>
      </c>
      <c r="AF576">
        <f>1-alpha*MAX(0,delta-AE576)</f>
        <v/>
      </c>
      <c r="AG576">
        <f>AD576*AF576</f>
        <v/>
      </c>
      <c r="AH576">
        <f>1+COUNTIF(bounds,"&lt;"&amp;ROUND(AD576,12))</f>
        <v/>
      </c>
      <c r="AI576">
        <f>1+COUNTIF(bounds,"&lt;"&amp;ROUND(AG576,12))</f>
        <v/>
      </c>
      <c r="AJ576">
        <f>IF(AF576&lt;1,1,0)</f>
        <v/>
      </c>
      <c r="AK576">
        <f>IF(AH576&lt;&gt;AI576,1,0)</f>
        <v/>
      </c>
      <c r="AL576">
        <f>IF(AND(AI576&gt;=3,AB576&lt;=0.2),1,0)</f>
        <v/>
      </c>
      <c r="AM576">
        <f>AVERAGE(W576:AB576)</f>
        <v/>
      </c>
      <c r="AN576">
        <f>1+COUNTIF(bounds,"&lt;"&amp;ROUND(AM576,12))</f>
        <v/>
      </c>
      <c r="AO576">
        <f>IF(AK576=1,AD576,NA())</f>
        <v/>
      </c>
      <c r="AP576">
        <f>IF(AK576=0,AD576,NA())</f>
        <v/>
      </c>
    </row>
    <row r="577">
      <c r="A577" t="n">
        <v>569</v>
      </c>
      <c r="B577" t="n">
        <v>5</v>
      </c>
      <c r="C577" t="n">
        <v>2</v>
      </c>
      <c r="D577" t="n">
        <v>4</v>
      </c>
      <c r="E577" t="n">
        <v>4</v>
      </c>
      <c r="F577" t="n">
        <v>5</v>
      </c>
      <c r="G577" t="n">
        <v>5</v>
      </c>
      <c r="H577" t="n">
        <v>1</v>
      </c>
      <c r="I577" t="n">
        <v>2</v>
      </c>
      <c r="J577" t="n">
        <v>1</v>
      </c>
      <c r="K577" t="n">
        <v>3</v>
      </c>
      <c r="L577" t="n">
        <v>2</v>
      </c>
      <c r="M577" t="n">
        <v>3</v>
      </c>
      <c r="N577" t="n">
        <v>5</v>
      </c>
      <c r="O577" t="n">
        <v>4</v>
      </c>
      <c r="P577" t="n">
        <v>5</v>
      </c>
      <c r="Q577" t="n">
        <v>3</v>
      </c>
      <c r="R577" t="n">
        <v>1</v>
      </c>
      <c r="S577" t="n">
        <v>1</v>
      </c>
      <c r="T577" t="n">
        <v>1</v>
      </c>
      <c r="U577" t="n">
        <v>2</v>
      </c>
      <c r="V577" t="n">
        <v>5</v>
      </c>
      <c r="W577">
        <f>(AVERAGE(B577:D577)-1)/4</f>
        <v/>
      </c>
      <c r="X577">
        <f>(AVERAGE(E577:G577)-1)/4</f>
        <v/>
      </c>
      <c r="Y577">
        <f>(AVERAGE(H577:J577)-1)/4</f>
        <v/>
      </c>
      <c r="Z577">
        <f>(AVERAGE(K577:M577)-1)/4</f>
        <v/>
      </c>
      <c r="AA577">
        <f>(AVERAGE(N577:P577)-1)/4</f>
        <v/>
      </c>
      <c r="AB577">
        <f>(AVERAGE(Q577:S577)-1)/4</f>
        <v/>
      </c>
      <c r="AC577">
        <f>(AVERAGE(T577:V577)-1)/4</f>
        <v/>
      </c>
      <c r="AD577">
        <f>AVERAGE(W577:AA577)</f>
        <v/>
      </c>
      <c r="AE577">
        <f>MIN(W577:AA577)</f>
        <v/>
      </c>
      <c r="AF577">
        <f>1-alpha*MAX(0,delta-AE577)</f>
        <v/>
      </c>
      <c r="AG577">
        <f>AD577*AF577</f>
        <v/>
      </c>
      <c r="AH577">
        <f>1+COUNTIF(bounds,"&lt;"&amp;ROUND(AD577,12))</f>
        <v/>
      </c>
      <c r="AI577">
        <f>1+COUNTIF(bounds,"&lt;"&amp;ROUND(AG577,12))</f>
        <v/>
      </c>
      <c r="AJ577">
        <f>IF(AF577&lt;1,1,0)</f>
        <v/>
      </c>
      <c r="AK577">
        <f>IF(AH577&lt;&gt;AI577,1,0)</f>
        <v/>
      </c>
      <c r="AL577">
        <f>IF(AND(AI577&gt;=3,AB577&lt;=0.2),1,0)</f>
        <v/>
      </c>
      <c r="AM577">
        <f>AVERAGE(W577:AB577)</f>
        <v/>
      </c>
      <c r="AN577">
        <f>1+COUNTIF(bounds,"&lt;"&amp;ROUND(AM577,12))</f>
        <v/>
      </c>
      <c r="AO577">
        <f>IF(AK577=1,AD577,NA())</f>
        <v/>
      </c>
      <c r="AP577">
        <f>IF(AK577=0,AD577,NA())</f>
        <v/>
      </c>
    </row>
    <row r="578">
      <c r="A578" t="n">
        <v>570</v>
      </c>
      <c r="B578" t="n">
        <v>2</v>
      </c>
      <c r="C578" t="n">
        <v>3</v>
      </c>
      <c r="D578" t="n">
        <v>5</v>
      </c>
      <c r="E578" t="n">
        <v>2</v>
      </c>
      <c r="F578" t="n">
        <v>4</v>
      </c>
      <c r="G578" t="n">
        <v>2</v>
      </c>
      <c r="H578" t="n">
        <v>1</v>
      </c>
      <c r="I578" t="n">
        <v>4</v>
      </c>
      <c r="J578" t="n">
        <v>3</v>
      </c>
      <c r="K578" t="n">
        <v>3</v>
      </c>
      <c r="L578" t="n">
        <v>1</v>
      </c>
      <c r="M578" t="n">
        <v>1</v>
      </c>
      <c r="N578" t="n">
        <v>4</v>
      </c>
      <c r="O578" t="n">
        <v>4</v>
      </c>
      <c r="P578" t="n">
        <v>3</v>
      </c>
      <c r="Q578" t="n">
        <v>4</v>
      </c>
      <c r="R578" t="n">
        <v>2</v>
      </c>
      <c r="S578" t="n">
        <v>5</v>
      </c>
      <c r="T578" t="n">
        <v>2</v>
      </c>
      <c r="U578" t="n">
        <v>4</v>
      </c>
      <c r="V578" t="n">
        <v>2</v>
      </c>
      <c r="W578">
        <f>(AVERAGE(B578:D578)-1)/4</f>
        <v/>
      </c>
      <c r="X578">
        <f>(AVERAGE(E578:G578)-1)/4</f>
        <v/>
      </c>
      <c r="Y578">
        <f>(AVERAGE(H578:J578)-1)/4</f>
        <v/>
      </c>
      <c r="Z578">
        <f>(AVERAGE(K578:M578)-1)/4</f>
        <v/>
      </c>
      <c r="AA578">
        <f>(AVERAGE(N578:P578)-1)/4</f>
        <v/>
      </c>
      <c r="AB578">
        <f>(AVERAGE(Q578:S578)-1)/4</f>
        <v/>
      </c>
      <c r="AC578">
        <f>(AVERAGE(T578:V578)-1)/4</f>
        <v/>
      </c>
      <c r="AD578">
        <f>AVERAGE(W578:AA578)</f>
        <v/>
      </c>
      <c r="AE578">
        <f>MIN(W578:AA578)</f>
        <v/>
      </c>
      <c r="AF578">
        <f>1-alpha*MAX(0,delta-AE578)</f>
        <v/>
      </c>
      <c r="AG578">
        <f>AD578*AF578</f>
        <v/>
      </c>
      <c r="AH578">
        <f>1+COUNTIF(bounds,"&lt;"&amp;ROUND(AD578,12))</f>
        <v/>
      </c>
      <c r="AI578">
        <f>1+COUNTIF(bounds,"&lt;"&amp;ROUND(AG578,12))</f>
        <v/>
      </c>
      <c r="AJ578">
        <f>IF(AF578&lt;1,1,0)</f>
        <v/>
      </c>
      <c r="AK578">
        <f>IF(AH578&lt;&gt;AI578,1,0)</f>
        <v/>
      </c>
      <c r="AL578">
        <f>IF(AND(AI578&gt;=3,AB578&lt;=0.2),1,0)</f>
        <v/>
      </c>
      <c r="AM578">
        <f>AVERAGE(W578:AB578)</f>
        <v/>
      </c>
      <c r="AN578">
        <f>1+COUNTIF(bounds,"&lt;"&amp;ROUND(AM578,12))</f>
        <v/>
      </c>
      <c r="AO578">
        <f>IF(AK578=1,AD578,NA())</f>
        <v/>
      </c>
      <c r="AP578">
        <f>IF(AK578=0,AD578,NA())</f>
        <v/>
      </c>
    </row>
    <row r="579">
      <c r="A579" t="n">
        <v>571</v>
      </c>
      <c r="B579" t="n">
        <v>1</v>
      </c>
      <c r="C579" t="n">
        <v>3</v>
      </c>
      <c r="D579" t="n">
        <v>3</v>
      </c>
      <c r="E579" t="n">
        <v>5</v>
      </c>
      <c r="F579" t="n">
        <v>2</v>
      </c>
      <c r="G579" t="n">
        <v>2</v>
      </c>
      <c r="H579" t="n">
        <v>3</v>
      </c>
      <c r="I579" t="n">
        <v>1</v>
      </c>
      <c r="J579" t="n">
        <v>5</v>
      </c>
      <c r="K579" t="n">
        <v>4</v>
      </c>
      <c r="L579" t="n">
        <v>3</v>
      </c>
      <c r="M579" t="n">
        <v>3</v>
      </c>
      <c r="N579" t="n">
        <v>4</v>
      </c>
      <c r="O579" t="n">
        <v>3</v>
      </c>
      <c r="P579" t="n">
        <v>4</v>
      </c>
      <c r="Q579" t="n">
        <v>2</v>
      </c>
      <c r="R579" t="n">
        <v>5</v>
      </c>
      <c r="S579" t="n">
        <v>2</v>
      </c>
      <c r="T579" t="n">
        <v>5</v>
      </c>
      <c r="U579" t="n">
        <v>4</v>
      </c>
      <c r="V579" t="n">
        <v>3</v>
      </c>
      <c r="W579">
        <f>(AVERAGE(B579:D579)-1)/4</f>
        <v/>
      </c>
      <c r="X579">
        <f>(AVERAGE(E579:G579)-1)/4</f>
        <v/>
      </c>
      <c r="Y579">
        <f>(AVERAGE(H579:J579)-1)/4</f>
        <v/>
      </c>
      <c r="Z579">
        <f>(AVERAGE(K579:M579)-1)/4</f>
        <v/>
      </c>
      <c r="AA579">
        <f>(AVERAGE(N579:P579)-1)/4</f>
        <v/>
      </c>
      <c r="AB579">
        <f>(AVERAGE(Q579:S579)-1)/4</f>
        <v/>
      </c>
      <c r="AC579">
        <f>(AVERAGE(T579:V579)-1)/4</f>
        <v/>
      </c>
      <c r="AD579">
        <f>AVERAGE(W579:AA579)</f>
        <v/>
      </c>
      <c r="AE579">
        <f>MIN(W579:AA579)</f>
        <v/>
      </c>
      <c r="AF579">
        <f>1-alpha*MAX(0,delta-AE579)</f>
        <v/>
      </c>
      <c r="AG579">
        <f>AD579*AF579</f>
        <v/>
      </c>
      <c r="AH579">
        <f>1+COUNTIF(bounds,"&lt;"&amp;ROUND(AD579,12))</f>
        <v/>
      </c>
      <c r="AI579">
        <f>1+COUNTIF(bounds,"&lt;"&amp;ROUND(AG579,12))</f>
        <v/>
      </c>
      <c r="AJ579">
        <f>IF(AF579&lt;1,1,0)</f>
        <v/>
      </c>
      <c r="AK579">
        <f>IF(AH579&lt;&gt;AI579,1,0)</f>
        <v/>
      </c>
      <c r="AL579">
        <f>IF(AND(AI579&gt;=3,AB579&lt;=0.2),1,0)</f>
        <v/>
      </c>
      <c r="AM579">
        <f>AVERAGE(W579:AB579)</f>
        <v/>
      </c>
      <c r="AN579">
        <f>1+COUNTIF(bounds,"&lt;"&amp;ROUND(AM579,12))</f>
        <v/>
      </c>
      <c r="AO579">
        <f>IF(AK579=1,AD579,NA())</f>
        <v/>
      </c>
      <c r="AP579">
        <f>IF(AK579=0,AD579,NA())</f>
        <v/>
      </c>
    </row>
    <row r="580">
      <c r="A580" t="n">
        <v>572</v>
      </c>
      <c r="B580" t="n">
        <v>1</v>
      </c>
      <c r="C580" t="n">
        <v>3</v>
      </c>
      <c r="D580" t="n">
        <v>5</v>
      </c>
      <c r="E580" t="n">
        <v>2</v>
      </c>
      <c r="F580" t="n">
        <v>4</v>
      </c>
      <c r="G580" t="n">
        <v>3</v>
      </c>
      <c r="H580" t="n">
        <v>2</v>
      </c>
      <c r="I580" t="n">
        <v>1</v>
      </c>
      <c r="J580" t="n">
        <v>5</v>
      </c>
      <c r="K580" t="n">
        <v>2</v>
      </c>
      <c r="L580" t="n">
        <v>3</v>
      </c>
      <c r="M580" t="n">
        <v>5</v>
      </c>
      <c r="N580" t="n">
        <v>4</v>
      </c>
      <c r="O580" t="n">
        <v>3</v>
      </c>
      <c r="P580" t="n">
        <v>1</v>
      </c>
      <c r="Q580" t="n">
        <v>2</v>
      </c>
      <c r="R580" t="n">
        <v>3</v>
      </c>
      <c r="S580" t="n">
        <v>3</v>
      </c>
      <c r="T580" t="n">
        <v>4</v>
      </c>
      <c r="U580" t="n">
        <v>5</v>
      </c>
      <c r="V580" t="n">
        <v>2</v>
      </c>
      <c r="W580">
        <f>(AVERAGE(B580:D580)-1)/4</f>
        <v/>
      </c>
      <c r="X580">
        <f>(AVERAGE(E580:G580)-1)/4</f>
        <v/>
      </c>
      <c r="Y580">
        <f>(AVERAGE(H580:J580)-1)/4</f>
        <v/>
      </c>
      <c r="Z580">
        <f>(AVERAGE(K580:M580)-1)/4</f>
        <v/>
      </c>
      <c r="AA580">
        <f>(AVERAGE(N580:P580)-1)/4</f>
        <v/>
      </c>
      <c r="AB580">
        <f>(AVERAGE(Q580:S580)-1)/4</f>
        <v/>
      </c>
      <c r="AC580">
        <f>(AVERAGE(T580:V580)-1)/4</f>
        <v/>
      </c>
      <c r="AD580">
        <f>AVERAGE(W580:AA580)</f>
        <v/>
      </c>
      <c r="AE580">
        <f>MIN(W580:AA580)</f>
        <v/>
      </c>
      <c r="AF580">
        <f>1-alpha*MAX(0,delta-AE580)</f>
        <v/>
      </c>
      <c r="AG580">
        <f>AD580*AF580</f>
        <v/>
      </c>
      <c r="AH580">
        <f>1+COUNTIF(bounds,"&lt;"&amp;ROUND(AD580,12))</f>
        <v/>
      </c>
      <c r="AI580">
        <f>1+COUNTIF(bounds,"&lt;"&amp;ROUND(AG580,12))</f>
        <v/>
      </c>
      <c r="AJ580">
        <f>IF(AF580&lt;1,1,0)</f>
        <v/>
      </c>
      <c r="AK580">
        <f>IF(AH580&lt;&gt;AI580,1,0)</f>
        <v/>
      </c>
      <c r="AL580">
        <f>IF(AND(AI580&gt;=3,AB580&lt;=0.2),1,0)</f>
        <v/>
      </c>
      <c r="AM580">
        <f>AVERAGE(W580:AB580)</f>
        <v/>
      </c>
      <c r="AN580">
        <f>1+COUNTIF(bounds,"&lt;"&amp;ROUND(AM580,12))</f>
        <v/>
      </c>
      <c r="AO580">
        <f>IF(AK580=1,AD580,NA())</f>
        <v/>
      </c>
      <c r="AP580">
        <f>IF(AK580=0,AD580,NA())</f>
        <v/>
      </c>
    </row>
    <row r="581">
      <c r="A581" t="n">
        <v>573</v>
      </c>
      <c r="B581" t="n">
        <v>5</v>
      </c>
      <c r="C581" t="n">
        <v>3</v>
      </c>
      <c r="D581" t="n">
        <v>2</v>
      </c>
      <c r="E581" t="n">
        <v>4</v>
      </c>
      <c r="F581" t="n">
        <v>3</v>
      </c>
      <c r="G581" t="n">
        <v>2</v>
      </c>
      <c r="H581" t="n">
        <v>2</v>
      </c>
      <c r="I581" t="n">
        <v>1</v>
      </c>
      <c r="J581" t="n">
        <v>1</v>
      </c>
      <c r="K581" t="n">
        <v>4</v>
      </c>
      <c r="L581" t="n">
        <v>1</v>
      </c>
      <c r="M581" t="n">
        <v>2</v>
      </c>
      <c r="N581" t="n">
        <v>5</v>
      </c>
      <c r="O581" t="n">
        <v>5</v>
      </c>
      <c r="P581" t="n">
        <v>3</v>
      </c>
      <c r="Q581" t="n">
        <v>2</v>
      </c>
      <c r="R581" t="n">
        <v>3</v>
      </c>
      <c r="S581" t="n">
        <v>2</v>
      </c>
      <c r="T581" t="n">
        <v>4</v>
      </c>
      <c r="U581" t="n">
        <v>4</v>
      </c>
      <c r="V581" t="n">
        <v>2</v>
      </c>
      <c r="W581">
        <f>(AVERAGE(B581:D581)-1)/4</f>
        <v/>
      </c>
      <c r="X581">
        <f>(AVERAGE(E581:G581)-1)/4</f>
        <v/>
      </c>
      <c r="Y581">
        <f>(AVERAGE(H581:J581)-1)/4</f>
        <v/>
      </c>
      <c r="Z581">
        <f>(AVERAGE(K581:M581)-1)/4</f>
        <v/>
      </c>
      <c r="AA581">
        <f>(AVERAGE(N581:P581)-1)/4</f>
        <v/>
      </c>
      <c r="AB581">
        <f>(AVERAGE(Q581:S581)-1)/4</f>
        <v/>
      </c>
      <c r="AC581">
        <f>(AVERAGE(T581:V581)-1)/4</f>
        <v/>
      </c>
      <c r="AD581">
        <f>AVERAGE(W581:AA581)</f>
        <v/>
      </c>
      <c r="AE581">
        <f>MIN(W581:AA581)</f>
        <v/>
      </c>
      <c r="AF581">
        <f>1-alpha*MAX(0,delta-AE581)</f>
        <v/>
      </c>
      <c r="AG581">
        <f>AD581*AF581</f>
        <v/>
      </c>
      <c r="AH581">
        <f>1+COUNTIF(bounds,"&lt;"&amp;ROUND(AD581,12))</f>
        <v/>
      </c>
      <c r="AI581">
        <f>1+COUNTIF(bounds,"&lt;"&amp;ROUND(AG581,12))</f>
        <v/>
      </c>
      <c r="AJ581">
        <f>IF(AF581&lt;1,1,0)</f>
        <v/>
      </c>
      <c r="AK581">
        <f>IF(AH581&lt;&gt;AI581,1,0)</f>
        <v/>
      </c>
      <c r="AL581">
        <f>IF(AND(AI581&gt;=3,AB581&lt;=0.2),1,0)</f>
        <v/>
      </c>
      <c r="AM581">
        <f>AVERAGE(W581:AB581)</f>
        <v/>
      </c>
      <c r="AN581">
        <f>1+COUNTIF(bounds,"&lt;"&amp;ROUND(AM581,12))</f>
        <v/>
      </c>
      <c r="AO581">
        <f>IF(AK581=1,AD581,NA())</f>
        <v/>
      </c>
      <c r="AP581">
        <f>IF(AK581=0,AD581,NA())</f>
        <v/>
      </c>
    </row>
    <row r="582">
      <c r="A582" t="n">
        <v>574</v>
      </c>
      <c r="B582" t="n">
        <v>1</v>
      </c>
      <c r="C582" t="n">
        <v>5</v>
      </c>
      <c r="D582" t="n">
        <v>4</v>
      </c>
      <c r="E582" t="n">
        <v>4</v>
      </c>
      <c r="F582" t="n">
        <v>3</v>
      </c>
      <c r="G582" t="n">
        <v>2</v>
      </c>
      <c r="H582" t="n">
        <v>4</v>
      </c>
      <c r="I582" t="n">
        <v>4</v>
      </c>
      <c r="J582" t="n">
        <v>1</v>
      </c>
      <c r="K582" t="n">
        <v>3</v>
      </c>
      <c r="L582" t="n">
        <v>5</v>
      </c>
      <c r="M582" t="n">
        <v>1</v>
      </c>
      <c r="N582" t="n">
        <v>1</v>
      </c>
      <c r="O582" t="n">
        <v>1</v>
      </c>
      <c r="P582" t="n">
        <v>5</v>
      </c>
      <c r="Q582" t="n">
        <v>3</v>
      </c>
      <c r="R582" t="n">
        <v>4</v>
      </c>
      <c r="S582" t="n">
        <v>1</v>
      </c>
      <c r="T582" t="n">
        <v>5</v>
      </c>
      <c r="U582" t="n">
        <v>4</v>
      </c>
      <c r="V582" t="n">
        <v>1</v>
      </c>
      <c r="W582">
        <f>(AVERAGE(B582:D582)-1)/4</f>
        <v/>
      </c>
      <c r="X582">
        <f>(AVERAGE(E582:G582)-1)/4</f>
        <v/>
      </c>
      <c r="Y582">
        <f>(AVERAGE(H582:J582)-1)/4</f>
        <v/>
      </c>
      <c r="Z582">
        <f>(AVERAGE(K582:M582)-1)/4</f>
        <v/>
      </c>
      <c r="AA582">
        <f>(AVERAGE(N582:P582)-1)/4</f>
        <v/>
      </c>
      <c r="AB582">
        <f>(AVERAGE(Q582:S582)-1)/4</f>
        <v/>
      </c>
      <c r="AC582">
        <f>(AVERAGE(T582:V582)-1)/4</f>
        <v/>
      </c>
      <c r="AD582">
        <f>AVERAGE(W582:AA582)</f>
        <v/>
      </c>
      <c r="AE582">
        <f>MIN(W582:AA582)</f>
        <v/>
      </c>
      <c r="AF582">
        <f>1-alpha*MAX(0,delta-AE582)</f>
        <v/>
      </c>
      <c r="AG582">
        <f>AD582*AF582</f>
        <v/>
      </c>
      <c r="AH582">
        <f>1+COUNTIF(bounds,"&lt;"&amp;ROUND(AD582,12))</f>
        <v/>
      </c>
      <c r="AI582">
        <f>1+COUNTIF(bounds,"&lt;"&amp;ROUND(AG582,12))</f>
        <v/>
      </c>
      <c r="AJ582">
        <f>IF(AF582&lt;1,1,0)</f>
        <v/>
      </c>
      <c r="AK582">
        <f>IF(AH582&lt;&gt;AI582,1,0)</f>
        <v/>
      </c>
      <c r="AL582">
        <f>IF(AND(AI582&gt;=3,AB582&lt;=0.2),1,0)</f>
        <v/>
      </c>
      <c r="AM582">
        <f>AVERAGE(W582:AB582)</f>
        <v/>
      </c>
      <c r="AN582">
        <f>1+COUNTIF(bounds,"&lt;"&amp;ROUND(AM582,12))</f>
        <v/>
      </c>
      <c r="AO582">
        <f>IF(AK582=1,AD582,NA())</f>
        <v/>
      </c>
      <c r="AP582">
        <f>IF(AK582=0,AD582,NA())</f>
        <v/>
      </c>
    </row>
    <row r="583">
      <c r="A583" t="n">
        <v>575</v>
      </c>
      <c r="B583" t="n">
        <v>4</v>
      </c>
      <c r="C583" t="n">
        <v>3</v>
      </c>
      <c r="D583" t="n">
        <v>1</v>
      </c>
      <c r="E583" t="n">
        <v>2</v>
      </c>
      <c r="F583" t="n">
        <v>5</v>
      </c>
      <c r="G583" t="n">
        <v>3</v>
      </c>
      <c r="H583" t="n">
        <v>3</v>
      </c>
      <c r="I583" t="n">
        <v>1</v>
      </c>
      <c r="J583" t="n">
        <v>2</v>
      </c>
      <c r="K583" t="n">
        <v>5</v>
      </c>
      <c r="L583" t="n">
        <v>2</v>
      </c>
      <c r="M583" t="n">
        <v>4</v>
      </c>
      <c r="N583" t="n">
        <v>1</v>
      </c>
      <c r="O583" t="n">
        <v>3</v>
      </c>
      <c r="P583" t="n">
        <v>4</v>
      </c>
      <c r="Q583" t="n">
        <v>1</v>
      </c>
      <c r="R583" t="n">
        <v>4</v>
      </c>
      <c r="S583" t="n">
        <v>3</v>
      </c>
      <c r="T583" t="n">
        <v>3</v>
      </c>
      <c r="U583" t="n">
        <v>5</v>
      </c>
      <c r="V583" t="n">
        <v>2</v>
      </c>
      <c r="W583">
        <f>(AVERAGE(B583:D583)-1)/4</f>
        <v/>
      </c>
      <c r="X583">
        <f>(AVERAGE(E583:G583)-1)/4</f>
        <v/>
      </c>
      <c r="Y583">
        <f>(AVERAGE(H583:J583)-1)/4</f>
        <v/>
      </c>
      <c r="Z583">
        <f>(AVERAGE(K583:M583)-1)/4</f>
        <v/>
      </c>
      <c r="AA583">
        <f>(AVERAGE(N583:P583)-1)/4</f>
        <v/>
      </c>
      <c r="AB583">
        <f>(AVERAGE(Q583:S583)-1)/4</f>
        <v/>
      </c>
      <c r="AC583">
        <f>(AVERAGE(T583:V583)-1)/4</f>
        <v/>
      </c>
      <c r="AD583">
        <f>AVERAGE(W583:AA583)</f>
        <v/>
      </c>
      <c r="AE583">
        <f>MIN(W583:AA583)</f>
        <v/>
      </c>
      <c r="AF583">
        <f>1-alpha*MAX(0,delta-AE583)</f>
        <v/>
      </c>
      <c r="AG583">
        <f>AD583*AF583</f>
        <v/>
      </c>
      <c r="AH583">
        <f>1+COUNTIF(bounds,"&lt;"&amp;ROUND(AD583,12))</f>
        <v/>
      </c>
      <c r="AI583">
        <f>1+COUNTIF(bounds,"&lt;"&amp;ROUND(AG583,12))</f>
        <v/>
      </c>
      <c r="AJ583">
        <f>IF(AF583&lt;1,1,0)</f>
        <v/>
      </c>
      <c r="AK583">
        <f>IF(AH583&lt;&gt;AI583,1,0)</f>
        <v/>
      </c>
      <c r="AL583">
        <f>IF(AND(AI583&gt;=3,AB583&lt;=0.2),1,0)</f>
        <v/>
      </c>
      <c r="AM583">
        <f>AVERAGE(W583:AB583)</f>
        <v/>
      </c>
      <c r="AN583">
        <f>1+COUNTIF(bounds,"&lt;"&amp;ROUND(AM583,12))</f>
        <v/>
      </c>
      <c r="AO583">
        <f>IF(AK583=1,AD583,NA())</f>
        <v/>
      </c>
      <c r="AP583">
        <f>IF(AK583=0,AD583,NA())</f>
        <v/>
      </c>
    </row>
    <row r="584">
      <c r="A584" t="n">
        <v>576</v>
      </c>
      <c r="B584" t="n">
        <v>3</v>
      </c>
      <c r="C584" t="n">
        <v>3</v>
      </c>
      <c r="D584" t="n">
        <v>1</v>
      </c>
      <c r="E584" t="n">
        <v>3</v>
      </c>
      <c r="F584" t="n">
        <v>2</v>
      </c>
      <c r="G584" t="n">
        <v>4</v>
      </c>
      <c r="H584" t="n">
        <v>4</v>
      </c>
      <c r="I584" t="n">
        <v>3</v>
      </c>
      <c r="J584" t="n">
        <v>4</v>
      </c>
      <c r="K584" t="n">
        <v>2</v>
      </c>
      <c r="L584" t="n">
        <v>3</v>
      </c>
      <c r="M584" t="n">
        <v>4</v>
      </c>
      <c r="N584" t="n">
        <v>5</v>
      </c>
      <c r="O584" t="n">
        <v>1</v>
      </c>
      <c r="P584" t="n">
        <v>4</v>
      </c>
      <c r="Q584" t="n">
        <v>5</v>
      </c>
      <c r="R584" t="n">
        <v>2</v>
      </c>
      <c r="S584" t="n">
        <v>4</v>
      </c>
      <c r="T584" t="n">
        <v>5</v>
      </c>
      <c r="U584" t="n">
        <v>2</v>
      </c>
      <c r="V584" t="n">
        <v>5</v>
      </c>
      <c r="W584">
        <f>(AVERAGE(B584:D584)-1)/4</f>
        <v/>
      </c>
      <c r="X584">
        <f>(AVERAGE(E584:G584)-1)/4</f>
        <v/>
      </c>
      <c r="Y584">
        <f>(AVERAGE(H584:J584)-1)/4</f>
        <v/>
      </c>
      <c r="Z584">
        <f>(AVERAGE(K584:M584)-1)/4</f>
        <v/>
      </c>
      <c r="AA584">
        <f>(AVERAGE(N584:P584)-1)/4</f>
        <v/>
      </c>
      <c r="AB584">
        <f>(AVERAGE(Q584:S584)-1)/4</f>
        <v/>
      </c>
      <c r="AC584">
        <f>(AVERAGE(T584:V584)-1)/4</f>
        <v/>
      </c>
      <c r="AD584">
        <f>AVERAGE(W584:AA584)</f>
        <v/>
      </c>
      <c r="AE584">
        <f>MIN(W584:AA584)</f>
        <v/>
      </c>
      <c r="AF584">
        <f>1-alpha*MAX(0,delta-AE584)</f>
        <v/>
      </c>
      <c r="AG584">
        <f>AD584*AF584</f>
        <v/>
      </c>
      <c r="AH584">
        <f>1+COUNTIF(bounds,"&lt;"&amp;ROUND(AD584,12))</f>
        <v/>
      </c>
      <c r="AI584">
        <f>1+COUNTIF(bounds,"&lt;"&amp;ROUND(AG584,12))</f>
        <v/>
      </c>
      <c r="AJ584">
        <f>IF(AF584&lt;1,1,0)</f>
        <v/>
      </c>
      <c r="AK584">
        <f>IF(AH584&lt;&gt;AI584,1,0)</f>
        <v/>
      </c>
      <c r="AL584">
        <f>IF(AND(AI584&gt;=3,AB584&lt;=0.2),1,0)</f>
        <v/>
      </c>
      <c r="AM584">
        <f>AVERAGE(W584:AB584)</f>
        <v/>
      </c>
      <c r="AN584">
        <f>1+COUNTIF(bounds,"&lt;"&amp;ROUND(AM584,12))</f>
        <v/>
      </c>
      <c r="AO584">
        <f>IF(AK584=1,AD584,NA())</f>
        <v/>
      </c>
      <c r="AP584">
        <f>IF(AK584=0,AD584,NA())</f>
        <v/>
      </c>
    </row>
    <row r="585">
      <c r="A585" t="n">
        <v>577</v>
      </c>
      <c r="B585" t="n">
        <v>2</v>
      </c>
      <c r="C585" t="n">
        <v>4</v>
      </c>
      <c r="D585" t="n">
        <v>1</v>
      </c>
      <c r="E585" t="n">
        <v>5</v>
      </c>
      <c r="F585" t="n">
        <v>5</v>
      </c>
      <c r="G585" t="n">
        <v>1</v>
      </c>
      <c r="H585" t="n">
        <v>2</v>
      </c>
      <c r="I585" t="n">
        <v>3</v>
      </c>
      <c r="J585" t="n">
        <v>4</v>
      </c>
      <c r="K585" t="n">
        <v>5</v>
      </c>
      <c r="L585" t="n">
        <v>5</v>
      </c>
      <c r="M585" t="n">
        <v>3</v>
      </c>
      <c r="N585" t="n">
        <v>2</v>
      </c>
      <c r="O585" t="n">
        <v>2</v>
      </c>
      <c r="P585" t="n">
        <v>3</v>
      </c>
      <c r="Q585" t="n">
        <v>2</v>
      </c>
      <c r="R585" t="n">
        <v>3</v>
      </c>
      <c r="S585" t="n">
        <v>1</v>
      </c>
      <c r="T585" t="n">
        <v>1</v>
      </c>
      <c r="U585" t="n">
        <v>3</v>
      </c>
      <c r="V585" t="n">
        <v>1</v>
      </c>
      <c r="W585">
        <f>(AVERAGE(B585:D585)-1)/4</f>
        <v/>
      </c>
      <c r="X585">
        <f>(AVERAGE(E585:G585)-1)/4</f>
        <v/>
      </c>
      <c r="Y585">
        <f>(AVERAGE(H585:J585)-1)/4</f>
        <v/>
      </c>
      <c r="Z585">
        <f>(AVERAGE(K585:M585)-1)/4</f>
        <v/>
      </c>
      <c r="AA585">
        <f>(AVERAGE(N585:P585)-1)/4</f>
        <v/>
      </c>
      <c r="AB585">
        <f>(AVERAGE(Q585:S585)-1)/4</f>
        <v/>
      </c>
      <c r="AC585">
        <f>(AVERAGE(T585:V585)-1)/4</f>
        <v/>
      </c>
      <c r="AD585">
        <f>AVERAGE(W585:AA585)</f>
        <v/>
      </c>
      <c r="AE585">
        <f>MIN(W585:AA585)</f>
        <v/>
      </c>
      <c r="AF585">
        <f>1-alpha*MAX(0,delta-AE585)</f>
        <v/>
      </c>
      <c r="AG585">
        <f>AD585*AF585</f>
        <v/>
      </c>
      <c r="AH585">
        <f>1+COUNTIF(bounds,"&lt;"&amp;ROUND(AD585,12))</f>
        <v/>
      </c>
      <c r="AI585">
        <f>1+COUNTIF(bounds,"&lt;"&amp;ROUND(AG585,12))</f>
        <v/>
      </c>
      <c r="AJ585">
        <f>IF(AF585&lt;1,1,0)</f>
        <v/>
      </c>
      <c r="AK585">
        <f>IF(AH585&lt;&gt;AI585,1,0)</f>
        <v/>
      </c>
      <c r="AL585">
        <f>IF(AND(AI585&gt;=3,AB585&lt;=0.2),1,0)</f>
        <v/>
      </c>
      <c r="AM585">
        <f>AVERAGE(W585:AB585)</f>
        <v/>
      </c>
      <c r="AN585">
        <f>1+COUNTIF(bounds,"&lt;"&amp;ROUND(AM585,12))</f>
        <v/>
      </c>
      <c r="AO585">
        <f>IF(AK585=1,AD585,NA())</f>
        <v/>
      </c>
      <c r="AP585">
        <f>IF(AK585=0,AD585,NA())</f>
        <v/>
      </c>
    </row>
    <row r="586">
      <c r="A586" t="n">
        <v>578</v>
      </c>
      <c r="B586" t="n">
        <v>2</v>
      </c>
      <c r="C586" t="n">
        <v>2</v>
      </c>
      <c r="D586" t="n">
        <v>4</v>
      </c>
      <c r="E586" t="n">
        <v>3</v>
      </c>
      <c r="F586" t="n">
        <v>1</v>
      </c>
      <c r="G586" t="n">
        <v>4</v>
      </c>
      <c r="H586" t="n">
        <v>2</v>
      </c>
      <c r="I586" t="n">
        <v>1</v>
      </c>
      <c r="J586" t="n">
        <v>2</v>
      </c>
      <c r="K586" t="n">
        <v>1</v>
      </c>
      <c r="L586" t="n">
        <v>1</v>
      </c>
      <c r="M586" t="n">
        <v>5</v>
      </c>
      <c r="N586" t="n">
        <v>4</v>
      </c>
      <c r="O586" t="n">
        <v>1</v>
      </c>
      <c r="P586" t="n">
        <v>1</v>
      </c>
      <c r="Q586" t="n">
        <v>2</v>
      </c>
      <c r="R586" t="n">
        <v>5</v>
      </c>
      <c r="S586" t="n">
        <v>3</v>
      </c>
      <c r="T586" t="n">
        <v>2</v>
      </c>
      <c r="U586" t="n">
        <v>1</v>
      </c>
      <c r="V586" t="n">
        <v>4</v>
      </c>
      <c r="W586">
        <f>(AVERAGE(B586:D586)-1)/4</f>
        <v/>
      </c>
      <c r="X586">
        <f>(AVERAGE(E586:G586)-1)/4</f>
        <v/>
      </c>
      <c r="Y586">
        <f>(AVERAGE(H586:J586)-1)/4</f>
        <v/>
      </c>
      <c r="Z586">
        <f>(AVERAGE(K586:M586)-1)/4</f>
        <v/>
      </c>
      <c r="AA586">
        <f>(AVERAGE(N586:P586)-1)/4</f>
        <v/>
      </c>
      <c r="AB586">
        <f>(AVERAGE(Q586:S586)-1)/4</f>
        <v/>
      </c>
      <c r="AC586">
        <f>(AVERAGE(T586:V586)-1)/4</f>
        <v/>
      </c>
      <c r="AD586">
        <f>AVERAGE(W586:AA586)</f>
        <v/>
      </c>
      <c r="AE586">
        <f>MIN(W586:AA586)</f>
        <v/>
      </c>
      <c r="AF586">
        <f>1-alpha*MAX(0,delta-AE586)</f>
        <v/>
      </c>
      <c r="AG586">
        <f>AD586*AF586</f>
        <v/>
      </c>
      <c r="AH586">
        <f>1+COUNTIF(bounds,"&lt;"&amp;ROUND(AD586,12))</f>
        <v/>
      </c>
      <c r="AI586">
        <f>1+COUNTIF(bounds,"&lt;"&amp;ROUND(AG586,12))</f>
        <v/>
      </c>
      <c r="AJ586">
        <f>IF(AF586&lt;1,1,0)</f>
        <v/>
      </c>
      <c r="AK586">
        <f>IF(AH586&lt;&gt;AI586,1,0)</f>
        <v/>
      </c>
      <c r="AL586">
        <f>IF(AND(AI586&gt;=3,AB586&lt;=0.2),1,0)</f>
        <v/>
      </c>
      <c r="AM586">
        <f>AVERAGE(W586:AB586)</f>
        <v/>
      </c>
      <c r="AN586">
        <f>1+COUNTIF(bounds,"&lt;"&amp;ROUND(AM586,12))</f>
        <v/>
      </c>
      <c r="AO586">
        <f>IF(AK586=1,AD586,NA())</f>
        <v/>
      </c>
      <c r="AP586">
        <f>IF(AK586=0,AD586,NA())</f>
        <v/>
      </c>
    </row>
    <row r="587">
      <c r="A587" t="n">
        <v>579</v>
      </c>
      <c r="B587" t="n">
        <v>2</v>
      </c>
      <c r="C587" t="n">
        <v>4</v>
      </c>
      <c r="D587" t="n">
        <v>2</v>
      </c>
      <c r="E587" t="n">
        <v>5</v>
      </c>
      <c r="F587" t="n">
        <v>1</v>
      </c>
      <c r="G587" t="n">
        <v>5</v>
      </c>
      <c r="H587" t="n">
        <v>1</v>
      </c>
      <c r="I587" t="n">
        <v>1</v>
      </c>
      <c r="J587" t="n">
        <v>5</v>
      </c>
      <c r="K587" t="n">
        <v>3</v>
      </c>
      <c r="L587" t="n">
        <v>2</v>
      </c>
      <c r="M587" t="n">
        <v>2</v>
      </c>
      <c r="N587" t="n">
        <v>3</v>
      </c>
      <c r="O587" t="n">
        <v>2</v>
      </c>
      <c r="P587" t="n">
        <v>2</v>
      </c>
      <c r="Q587" t="n">
        <v>5</v>
      </c>
      <c r="R587" t="n">
        <v>2</v>
      </c>
      <c r="S587" t="n">
        <v>3</v>
      </c>
      <c r="T587" t="n">
        <v>2</v>
      </c>
      <c r="U587" t="n">
        <v>5</v>
      </c>
      <c r="V587" t="n">
        <v>2</v>
      </c>
      <c r="W587">
        <f>(AVERAGE(B587:D587)-1)/4</f>
        <v/>
      </c>
      <c r="X587">
        <f>(AVERAGE(E587:G587)-1)/4</f>
        <v/>
      </c>
      <c r="Y587">
        <f>(AVERAGE(H587:J587)-1)/4</f>
        <v/>
      </c>
      <c r="Z587">
        <f>(AVERAGE(K587:M587)-1)/4</f>
        <v/>
      </c>
      <c r="AA587">
        <f>(AVERAGE(N587:P587)-1)/4</f>
        <v/>
      </c>
      <c r="AB587">
        <f>(AVERAGE(Q587:S587)-1)/4</f>
        <v/>
      </c>
      <c r="AC587">
        <f>(AVERAGE(T587:V587)-1)/4</f>
        <v/>
      </c>
      <c r="AD587">
        <f>AVERAGE(W587:AA587)</f>
        <v/>
      </c>
      <c r="AE587">
        <f>MIN(W587:AA587)</f>
        <v/>
      </c>
      <c r="AF587">
        <f>1-alpha*MAX(0,delta-AE587)</f>
        <v/>
      </c>
      <c r="AG587">
        <f>AD587*AF587</f>
        <v/>
      </c>
      <c r="AH587">
        <f>1+COUNTIF(bounds,"&lt;"&amp;ROUND(AD587,12))</f>
        <v/>
      </c>
      <c r="AI587">
        <f>1+COUNTIF(bounds,"&lt;"&amp;ROUND(AG587,12))</f>
        <v/>
      </c>
      <c r="AJ587">
        <f>IF(AF587&lt;1,1,0)</f>
        <v/>
      </c>
      <c r="AK587">
        <f>IF(AH587&lt;&gt;AI587,1,0)</f>
        <v/>
      </c>
      <c r="AL587">
        <f>IF(AND(AI587&gt;=3,AB587&lt;=0.2),1,0)</f>
        <v/>
      </c>
      <c r="AM587">
        <f>AVERAGE(W587:AB587)</f>
        <v/>
      </c>
      <c r="AN587">
        <f>1+COUNTIF(bounds,"&lt;"&amp;ROUND(AM587,12))</f>
        <v/>
      </c>
      <c r="AO587">
        <f>IF(AK587=1,AD587,NA())</f>
        <v/>
      </c>
      <c r="AP587">
        <f>IF(AK587=0,AD587,NA())</f>
        <v/>
      </c>
    </row>
    <row r="588">
      <c r="A588" t="n">
        <v>580</v>
      </c>
      <c r="B588" t="n">
        <v>3</v>
      </c>
      <c r="C588" t="n">
        <v>1</v>
      </c>
      <c r="D588" t="n">
        <v>3</v>
      </c>
      <c r="E588" t="n">
        <v>1</v>
      </c>
      <c r="F588" t="n">
        <v>1</v>
      </c>
      <c r="G588" t="n">
        <v>5</v>
      </c>
      <c r="H588" t="n">
        <v>5</v>
      </c>
      <c r="I588" t="n">
        <v>3</v>
      </c>
      <c r="J588" t="n">
        <v>4</v>
      </c>
      <c r="K588" t="n">
        <v>1</v>
      </c>
      <c r="L588" t="n">
        <v>4</v>
      </c>
      <c r="M588" t="n">
        <v>1</v>
      </c>
      <c r="N588" t="n">
        <v>2</v>
      </c>
      <c r="O588" t="n">
        <v>5</v>
      </c>
      <c r="P588" t="n">
        <v>2</v>
      </c>
      <c r="Q588" t="n">
        <v>5</v>
      </c>
      <c r="R588" t="n">
        <v>4</v>
      </c>
      <c r="S588" t="n">
        <v>2</v>
      </c>
      <c r="T588" t="n">
        <v>3</v>
      </c>
      <c r="U588" t="n">
        <v>5</v>
      </c>
      <c r="V588" t="n">
        <v>1</v>
      </c>
      <c r="W588">
        <f>(AVERAGE(B588:D588)-1)/4</f>
        <v/>
      </c>
      <c r="X588">
        <f>(AVERAGE(E588:G588)-1)/4</f>
        <v/>
      </c>
      <c r="Y588">
        <f>(AVERAGE(H588:J588)-1)/4</f>
        <v/>
      </c>
      <c r="Z588">
        <f>(AVERAGE(K588:M588)-1)/4</f>
        <v/>
      </c>
      <c r="AA588">
        <f>(AVERAGE(N588:P588)-1)/4</f>
        <v/>
      </c>
      <c r="AB588">
        <f>(AVERAGE(Q588:S588)-1)/4</f>
        <v/>
      </c>
      <c r="AC588">
        <f>(AVERAGE(T588:V588)-1)/4</f>
        <v/>
      </c>
      <c r="AD588">
        <f>AVERAGE(W588:AA588)</f>
        <v/>
      </c>
      <c r="AE588">
        <f>MIN(W588:AA588)</f>
        <v/>
      </c>
      <c r="AF588">
        <f>1-alpha*MAX(0,delta-AE588)</f>
        <v/>
      </c>
      <c r="AG588">
        <f>AD588*AF588</f>
        <v/>
      </c>
      <c r="AH588">
        <f>1+COUNTIF(bounds,"&lt;"&amp;ROUND(AD588,12))</f>
        <v/>
      </c>
      <c r="AI588">
        <f>1+COUNTIF(bounds,"&lt;"&amp;ROUND(AG588,12))</f>
        <v/>
      </c>
      <c r="AJ588">
        <f>IF(AF588&lt;1,1,0)</f>
        <v/>
      </c>
      <c r="AK588">
        <f>IF(AH588&lt;&gt;AI588,1,0)</f>
        <v/>
      </c>
      <c r="AL588">
        <f>IF(AND(AI588&gt;=3,AB588&lt;=0.2),1,0)</f>
        <v/>
      </c>
      <c r="AM588">
        <f>AVERAGE(W588:AB588)</f>
        <v/>
      </c>
      <c r="AN588">
        <f>1+COUNTIF(bounds,"&lt;"&amp;ROUND(AM588,12))</f>
        <v/>
      </c>
      <c r="AO588">
        <f>IF(AK588=1,AD588,NA())</f>
        <v/>
      </c>
      <c r="AP588">
        <f>IF(AK588=0,AD588,NA())</f>
        <v/>
      </c>
    </row>
    <row r="589">
      <c r="A589" t="n">
        <v>581</v>
      </c>
      <c r="B589" t="n">
        <v>5</v>
      </c>
      <c r="C589" t="n">
        <v>4</v>
      </c>
      <c r="D589" t="n">
        <v>4</v>
      </c>
      <c r="E589" t="n">
        <v>3</v>
      </c>
      <c r="F589" t="n">
        <v>4</v>
      </c>
      <c r="G589" t="n">
        <v>1</v>
      </c>
      <c r="H589" t="n">
        <v>3</v>
      </c>
      <c r="I589" t="n">
        <v>3</v>
      </c>
      <c r="J589" t="n">
        <v>2</v>
      </c>
      <c r="K589" t="n">
        <v>2</v>
      </c>
      <c r="L589" t="n">
        <v>3</v>
      </c>
      <c r="M589" t="n">
        <v>4</v>
      </c>
      <c r="N589" t="n">
        <v>1</v>
      </c>
      <c r="O589" t="n">
        <v>3</v>
      </c>
      <c r="P589" t="n">
        <v>1</v>
      </c>
      <c r="Q589" t="n">
        <v>3</v>
      </c>
      <c r="R589" t="n">
        <v>5</v>
      </c>
      <c r="S589" t="n">
        <v>4</v>
      </c>
      <c r="T589" t="n">
        <v>4</v>
      </c>
      <c r="U589" t="n">
        <v>1</v>
      </c>
      <c r="V589" t="n">
        <v>4</v>
      </c>
      <c r="W589">
        <f>(AVERAGE(B589:D589)-1)/4</f>
        <v/>
      </c>
      <c r="X589">
        <f>(AVERAGE(E589:G589)-1)/4</f>
        <v/>
      </c>
      <c r="Y589">
        <f>(AVERAGE(H589:J589)-1)/4</f>
        <v/>
      </c>
      <c r="Z589">
        <f>(AVERAGE(K589:M589)-1)/4</f>
        <v/>
      </c>
      <c r="AA589">
        <f>(AVERAGE(N589:P589)-1)/4</f>
        <v/>
      </c>
      <c r="AB589">
        <f>(AVERAGE(Q589:S589)-1)/4</f>
        <v/>
      </c>
      <c r="AC589">
        <f>(AVERAGE(T589:V589)-1)/4</f>
        <v/>
      </c>
      <c r="AD589">
        <f>AVERAGE(W589:AA589)</f>
        <v/>
      </c>
      <c r="AE589">
        <f>MIN(W589:AA589)</f>
        <v/>
      </c>
      <c r="AF589">
        <f>1-alpha*MAX(0,delta-AE589)</f>
        <v/>
      </c>
      <c r="AG589">
        <f>AD589*AF589</f>
        <v/>
      </c>
      <c r="AH589">
        <f>1+COUNTIF(bounds,"&lt;"&amp;ROUND(AD589,12))</f>
        <v/>
      </c>
      <c r="AI589">
        <f>1+COUNTIF(bounds,"&lt;"&amp;ROUND(AG589,12))</f>
        <v/>
      </c>
      <c r="AJ589">
        <f>IF(AF589&lt;1,1,0)</f>
        <v/>
      </c>
      <c r="AK589">
        <f>IF(AH589&lt;&gt;AI589,1,0)</f>
        <v/>
      </c>
      <c r="AL589">
        <f>IF(AND(AI589&gt;=3,AB589&lt;=0.2),1,0)</f>
        <v/>
      </c>
      <c r="AM589">
        <f>AVERAGE(W589:AB589)</f>
        <v/>
      </c>
      <c r="AN589">
        <f>1+COUNTIF(bounds,"&lt;"&amp;ROUND(AM589,12))</f>
        <v/>
      </c>
      <c r="AO589">
        <f>IF(AK589=1,AD589,NA())</f>
        <v/>
      </c>
      <c r="AP589">
        <f>IF(AK589=0,AD589,NA())</f>
        <v/>
      </c>
    </row>
    <row r="590">
      <c r="A590" t="n">
        <v>582</v>
      </c>
      <c r="B590" t="n">
        <v>5</v>
      </c>
      <c r="C590" t="n">
        <v>1</v>
      </c>
      <c r="D590" t="n">
        <v>4</v>
      </c>
      <c r="E590" t="n">
        <v>1</v>
      </c>
      <c r="F590" t="n">
        <v>3</v>
      </c>
      <c r="G590" t="n">
        <v>3</v>
      </c>
      <c r="H590" t="n">
        <v>2</v>
      </c>
      <c r="I590" t="n">
        <v>1</v>
      </c>
      <c r="J590" t="n">
        <v>5</v>
      </c>
      <c r="K590" t="n">
        <v>3</v>
      </c>
      <c r="L590" t="n">
        <v>4</v>
      </c>
      <c r="M590" t="n">
        <v>2</v>
      </c>
      <c r="N590" t="n">
        <v>2</v>
      </c>
      <c r="O590" t="n">
        <v>1</v>
      </c>
      <c r="P590" t="n">
        <v>5</v>
      </c>
      <c r="Q590" t="n">
        <v>2</v>
      </c>
      <c r="R590" t="n">
        <v>4</v>
      </c>
      <c r="S590" t="n">
        <v>3</v>
      </c>
      <c r="T590" t="n">
        <v>2</v>
      </c>
      <c r="U590" t="n">
        <v>1</v>
      </c>
      <c r="V590" t="n">
        <v>2</v>
      </c>
      <c r="W590">
        <f>(AVERAGE(B590:D590)-1)/4</f>
        <v/>
      </c>
      <c r="X590">
        <f>(AVERAGE(E590:G590)-1)/4</f>
        <v/>
      </c>
      <c r="Y590">
        <f>(AVERAGE(H590:J590)-1)/4</f>
        <v/>
      </c>
      <c r="Z590">
        <f>(AVERAGE(K590:M590)-1)/4</f>
        <v/>
      </c>
      <c r="AA590">
        <f>(AVERAGE(N590:P590)-1)/4</f>
        <v/>
      </c>
      <c r="AB590">
        <f>(AVERAGE(Q590:S590)-1)/4</f>
        <v/>
      </c>
      <c r="AC590">
        <f>(AVERAGE(T590:V590)-1)/4</f>
        <v/>
      </c>
      <c r="AD590">
        <f>AVERAGE(W590:AA590)</f>
        <v/>
      </c>
      <c r="AE590">
        <f>MIN(W590:AA590)</f>
        <v/>
      </c>
      <c r="AF590">
        <f>1-alpha*MAX(0,delta-AE590)</f>
        <v/>
      </c>
      <c r="AG590">
        <f>AD590*AF590</f>
        <v/>
      </c>
      <c r="AH590">
        <f>1+COUNTIF(bounds,"&lt;"&amp;ROUND(AD590,12))</f>
        <v/>
      </c>
      <c r="AI590">
        <f>1+COUNTIF(bounds,"&lt;"&amp;ROUND(AG590,12))</f>
        <v/>
      </c>
      <c r="AJ590">
        <f>IF(AF590&lt;1,1,0)</f>
        <v/>
      </c>
      <c r="AK590">
        <f>IF(AH590&lt;&gt;AI590,1,0)</f>
        <v/>
      </c>
      <c r="AL590">
        <f>IF(AND(AI590&gt;=3,AB590&lt;=0.2),1,0)</f>
        <v/>
      </c>
      <c r="AM590">
        <f>AVERAGE(W590:AB590)</f>
        <v/>
      </c>
      <c r="AN590">
        <f>1+COUNTIF(bounds,"&lt;"&amp;ROUND(AM590,12))</f>
        <v/>
      </c>
      <c r="AO590">
        <f>IF(AK590=1,AD590,NA())</f>
        <v/>
      </c>
      <c r="AP590">
        <f>IF(AK590=0,AD590,NA())</f>
        <v/>
      </c>
    </row>
    <row r="591">
      <c r="A591" t="n">
        <v>583</v>
      </c>
      <c r="B591" t="n">
        <v>4</v>
      </c>
      <c r="C591" t="n">
        <v>4</v>
      </c>
      <c r="D591" t="n">
        <v>5</v>
      </c>
      <c r="E591" t="n">
        <v>1</v>
      </c>
      <c r="F591" t="n">
        <v>5</v>
      </c>
      <c r="G591" t="n">
        <v>2</v>
      </c>
      <c r="H591" t="n">
        <v>5</v>
      </c>
      <c r="I591" t="n">
        <v>3</v>
      </c>
      <c r="J591" t="n">
        <v>2</v>
      </c>
      <c r="K591" t="n">
        <v>1</v>
      </c>
      <c r="L591" t="n">
        <v>3</v>
      </c>
      <c r="M591" t="n">
        <v>3</v>
      </c>
      <c r="N591" t="n">
        <v>3</v>
      </c>
      <c r="O591" t="n">
        <v>2</v>
      </c>
      <c r="P591" t="n">
        <v>1</v>
      </c>
      <c r="Q591" t="n">
        <v>3</v>
      </c>
      <c r="R591" t="n">
        <v>4</v>
      </c>
      <c r="S591" t="n">
        <v>2</v>
      </c>
      <c r="T591" t="n">
        <v>4</v>
      </c>
      <c r="U591" t="n">
        <v>2</v>
      </c>
      <c r="V591" t="n">
        <v>1</v>
      </c>
      <c r="W591">
        <f>(AVERAGE(B591:D591)-1)/4</f>
        <v/>
      </c>
      <c r="X591">
        <f>(AVERAGE(E591:G591)-1)/4</f>
        <v/>
      </c>
      <c r="Y591">
        <f>(AVERAGE(H591:J591)-1)/4</f>
        <v/>
      </c>
      <c r="Z591">
        <f>(AVERAGE(K591:M591)-1)/4</f>
        <v/>
      </c>
      <c r="AA591">
        <f>(AVERAGE(N591:P591)-1)/4</f>
        <v/>
      </c>
      <c r="AB591">
        <f>(AVERAGE(Q591:S591)-1)/4</f>
        <v/>
      </c>
      <c r="AC591">
        <f>(AVERAGE(T591:V591)-1)/4</f>
        <v/>
      </c>
      <c r="AD591">
        <f>AVERAGE(W591:AA591)</f>
        <v/>
      </c>
      <c r="AE591">
        <f>MIN(W591:AA591)</f>
        <v/>
      </c>
      <c r="AF591">
        <f>1-alpha*MAX(0,delta-AE591)</f>
        <v/>
      </c>
      <c r="AG591">
        <f>AD591*AF591</f>
        <v/>
      </c>
      <c r="AH591">
        <f>1+COUNTIF(bounds,"&lt;"&amp;ROUND(AD591,12))</f>
        <v/>
      </c>
      <c r="AI591">
        <f>1+COUNTIF(bounds,"&lt;"&amp;ROUND(AG591,12))</f>
        <v/>
      </c>
      <c r="AJ591">
        <f>IF(AF591&lt;1,1,0)</f>
        <v/>
      </c>
      <c r="AK591">
        <f>IF(AH591&lt;&gt;AI591,1,0)</f>
        <v/>
      </c>
      <c r="AL591">
        <f>IF(AND(AI591&gt;=3,AB591&lt;=0.2),1,0)</f>
        <v/>
      </c>
      <c r="AM591">
        <f>AVERAGE(W591:AB591)</f>
        <v/>
      </c>
      <c r="AN591">
        <f>1+COUNTIF(bounds,"&lt;"&amp;ROUND(AM591,12))</f>
        <v/>
      </c>
      <c r="AO591">
        <f>IF(AK591=1,AD591,NA())</f>
        <v/>
      </c>
      <c r="AP591">
        <f>IF(AK591=0,AD591,NA())</f>
        <v/>
      </c>
    </row>
    <row r="592">
      <c r="A592" t="n">
        <v>584</v>
      </c>
      <c r="B592" t="n">
        <v>1</v>
      </c>
      <c r="C592" t="n">
        <v>1</v>
      </c>
      <c r="D592" t="n">
        <v>5</v>
      </c>
      <c r="E592" t="n">
        <v>5</v>
      </c>
      <c r="F592" t="n">
        <v>2</v>
      </c>
      <c r="G592" t="n">
        <v>1</v>
      </c>
      <c r="H592" t="n">
        <v>1</v>
      </c>
      <c r="I592" t="n">
        <v>4</v>
      </c>
      <c r="J592" t="n">
        <v>3</v>
      </c>
      <c r="K592" t="n">
        <v>2</v>
      </c>
      <c r="L592" t="n">
        <v>3</v>
      </c>
      <c r="M592" t="n">
        <v>1</v>
      </c>
      <c r="N592" t="n">
        <v>2</v>
      </c>
      <c r="O592" t="n">
        <v>1</v>
      </c>
      <c r="P592" t="n">
        <v>5</v>
      </c>
      <c r="Q592" t="n">
        <v>1</v>
      </c>
      <c r="R592" t="n">
        <v>4</v>
      </c>
      <c r="S592" t="n">
        <v>2</v>
      </c>
      <c r="T592" t="n">
        <v>1</v>
      </c>
      <c r="U592" t="n">
        <v>5</v>
      </c>
      <c r="V592" t="n">
        <v>1</v>
      </c>
      <c r="W592">
        <f>(AVERAGE(B592:D592)-1)/4</f>
        <v/>
      </c>
      <c r="X592">
        <f>(AVERAGE(E592:G592)-1)/4</f>
        <v/>
      </c>
      <c r="Y592">
        <f>(AVERAGE(H592:J592)-1)/4</f>
        <v/>
      </c>
      <c r="Z592">
        <f>(AVERAGE(K592:M592)-1)/4</f>
        <v/>
      </c>
      <c r="AA592">
        <f>(AVERAGE(N592:P592)-1)/4</f>
        <v/>
      </c>
      <c r="AB592">
        <f>(AVERAGE(Q592:S592)-1)/4</f>
        <v/>
      </c>
      <c r="AC592">
        <f>(AVERAGE(T592:V592)-1)/4</f>
        <v/>
      </c>
      <c r="AD592">
        <f>AVERAGE(W592:AA592)</f>
        <v/>
      </c>
      <c r="AE592">
        <f>MIN(W592:AA592)</f>
        <v/>
      </c>
      <c r="AF592">
        <f>1-alpha*MAX(0,delta-AE592)</f>
        <v/>
      </c>
      <c r="AG592">
        <f>AD592*AF592</f>
        <v/>
      </c>
      <c r="AH592">
        <f>1+COUNTIF(bounds,"&lt;"&amp;ROUND(AD592,12))</f>
        <v/>
      </c>
      <c r="AI592">
        <f>1+COUNTIF(bounds,"&lt;"&amp;ROUND(AG592,12))</f>
        <v/>
      </c>
      <c r="AJ592">
        <f>IF(AF592&lt;1,1,0)</f>
        <v/>
      </c>
      <c r="AK592">
        <f>IF(AH592&lt;&gt;AI592,1,0)</f>
        <v/>
      </c>
      <c r="AL592">
        <f>IF(AND(AI592&gt;=3,AB592&lt;=0.2),1,0)</f>
        <v/>
      </c>
      <c r="AM592">
        <f>AVERAGE(W592:AB592)</f>
        <v/>
      </c>
      <c r="AN592">
        <f>1+COUNTIF(bounds,"&lt;"&amp;ROUND(AM592,12))</f>
        <v/>
      </c>
      <c r="AO592">
        <f>IF(AK592=1,AD592,NA())</f>
        <v/>
      </c>
      <c r="AP592">
        <f>IF(AK592=0,AD592,NA())</f>
        <v/>
      </c>
    </row>
    <row r="593">
      <c r="A593" t="n">
        <v>585</v>
      </c>
      <c r="B593" t="n">
        <v>3</v>
      </c>
      <c r="C593" t="n">
        <v>5</v>
      </c>
      <c r="D593" t="n">
        <v>3</v>
      </c>
      <c r="E593" t="n">
        <v>4</v>
      </c>
      <c r="F593" t="n">
        <v>5</v>
      </c>
      <c r="G593" t="n">
        <v>1</v>
      </c>
      <c r="H593" t="n">
        <v>5</v>
      </c>
      <c r="I593" t="n">
        <v>3</v>
      </c>
      <c r="J593" t="n">
        <v>3</v>
      </c>
      <c r="K593" t="n">
        <v>2</v>
      </c>
      <c r="L593" t="n">
        <v>4</v>
      </c>
      <c r="M593" t="n">
        <v>2</v>
      </c>
      <c r="N593" t="n">
        <v>1</v>
      </c>
      <c r="O593" t="n">
        <v>4</v>
      </c>
      <c r="P593" t="n">
        <v>1</v>
      </c>
      <c r="Q593" t="n">
        <v>1</v>
      </c>
      <c r="R593" t="n">
        <v>3</v>
      </c>
      <c r="S593" t="n">
        <v>1</v>
      </c>
      <c r="T593" t="n">
        <v>5</v>
      </c>
      <c r="U593" t="n">
        <v>4</v>
      </c>
      <c r="V593" t="n">
        <v>1</v>
      </c>
      <c r="W593">
        <f>(AVERAGE(B593:D593)-1)/4</f>
        <v/>
      </c>
      <c r="X593">
        <f>(AVERAGE(E593:G593)-1)/4</f>
        <v/>
      </c>
      <c r="Y593">
        <f>(AVERAGE(H593:J593)-1)/4</f>
        <v/>
      </c>
      <c r="Z593">
        <f>(AVERAGE(K593:M593)-1)/4</f>
        <v/>
      </c>
      <c r="AA593">
        <f>(AVERAGE(N593:P593)-1)/4</f>
        <v/>
      </c>
      <c r="AB593">
        <f>(AVERAGE(Q593:S593)-1)/4</f>
        <v/>
      </c>
      <c r="AC593">
        <f>(AVERAGE(T593:V593)-1)/4</f>
        <v/>
      </c>
      <c r="AD593">
        <f>AVERAGE(W593:AA593)</f>
        <v/>
      </c>
      <c r="AE593">
        <f>MIN(W593:AA593)</f>
        <v/>
      </c>
      <c r="AF593">
        <f>1-alpha*MAX(0,delta-AE593)</f>
        <v/>
      </c>
      <c r="AG593">
        <f>AD593*AF593</f>
        <v/>
      </c>
      <c r="AH593">
        <f>1+COUNTIF(bounds,"&lt;"&amp;ROUND(AD593,12))</f>
        <v/>
      </c>
      <c r="AI593">
        <f>1+COUNTIF(bounds,"&lt;"&amp;ROUND(AG593,12))</f>
        <v/>
      </c>
      <c r="AJ593">
        <f>IF(AF593&lt;1,1,0)</f>
        <v/>
      </c>
      <c r="AK593">
        <f>IF(AH593&lt;&gt;AI593,1,0)</f>
        <v/>
      </c>
      <c r="AL593">
        <f>IF(AND(AI593&gt;=3,AB593&lt;=0.2),1,0)</f>
        <v/>
      </c>
      <c r="AM593">
        <f>AVERAGE(W593:AB593)</f>
        <v/>
      </c>
      <c r="AN593">
        <f>1+COUNTIF(bounds,"&lt;"&amp;ROUND(AM593,12))</f>
        <v/>
      </c>
      <c r="AO593">
        <f>IF(AK593=1,AD593,NA())</f>
        <v/>
      </c>
      <c r="AP593">
        <f>IF(AK593=0,AD593,NA())</f>
        <v/>
      </c>
    </row>
    <row r="594">
      <c r="A594" t="n">
        <v>586</v>
      </c>
      <c r="B594" t="n">
        <v>3</v>
      </c>
      <c r="C594" t="n">
        <v>5</v>
      </c>
      <c r="D594" t="n">
        <v>3</v>
      </c>
      <c r="E594" t="n">
        <v>5</v>
      </c>
      <c r="F594" t="n">
        <v>5</v>
      </c>
      <c r="G594" t="n">
        <v>3</v>
      </c>
      <c r="H594" t="n">
        <v>5</v>
      </c>
      <c r="I594" t="n">
        <v>1</v>
      </c>
      <c r="J594" t="n">
        <v>1</v>
      </c>
      <c r="K594" t="n">
        <v>3</v>
      </c>
      <c r="L594" t="n">
        <v>3</v>
      </c>
      <c r="M594" t="n">
        <v>5</v>
      </c>
      <c r="N594" t="n">
        <v>4</v>
      </c>
      <c r="O594" t="n">
        <v>2</v>
      </c>
      <c r="P594" t="n">
        <v>1</v>
      </c>
      <c r="Q594" t="n">
        <v>5</v>
      </c>
      <c r="R594" t="n">
        <v>2</v>
      </c>
      <c r="S594" t="n">
        <v>5</v>
      </c>
      <c r="T594" t="n">
        <v>5</v>
      </c>
      <c r="U594" t="n">
        <v>3</v>
      </c>
      <c r="V594" t="n">
        <v>2</v>
      </c>
      <c r="W594">
        <f>(AVERAGE(B594:D594)-1)/4</f>
        <v/>
      </c>
      <c r="X594">
        <f>(AVERAGE(E594:G594)-1)/4</f>
        <v/>
      </c>
      <c r="Y594">
        <f>(AVERAGE(H594:J594)-1)/4</f>
        <v/>
      </c>
      <c r="Z594">
        <f>(AVERAGE(K594:M594)-1)/4</f>
        <v/>
      </c>
      <c r="AA594">
        <f>(AVERAGE(N594:P594)-1)/4</f>
        <v/>
      </c>
      <c r="AB594">
        <f>(AVERAGE(Q594:S594)-1)/4</f>
        <v/>
      </c>
      <c r="AC594">
        <f>(AVERAGE(T594:V594)-1)/4</f>
        <v/>
      </c>
      <c r="AD594">
        <f>AVERAGE(W594:AA594)</f>
        <v/>
      </c>
      <c r="AE594">
        <f>MIN(W594:AA594)</f>
        <v/>
      </c>
      <c r="AF594">
        <f>1-alpha*MAX(0,delta-AE594)</f>
        <v/>
      </c>
      <c r="AG594">
        <f>AD594*AF594</f>
        <v/>
      </c>
      <c r="AH594">
        <f>1+COUNTIF(bounds,"&lt;"&amp;ROUND(AD594,12))</f>
        <v/>
      </c>
      <c r="AI594">
        <f>1+COUNTIF(bounds,"&lt;"&amp;ROUND(AG594,12))</f>
        <v/>
      </c>
      <c r="AJ594">
        <f>IF(AF594&lt;1,1,0)</f>
        <v/>
      </c>
      <c r="AK594">
        <f>IF(AH594&lt;&gt;AI594,1,0)</f>
        <v/>
      </c>
      <c r="AL594">
        <f>IF(AND(AI594&gt;=3,AB594&lt;=0.2),1,0)</f>
        <v/>
      </c>
      <c r="AM594">
        <f>AVERAGE(W594:AB594)</f>
        <v/>
      </c>
      <c r="AN594">
        <f>1+COUNTIF(bounds,"&lt;"&amp;ROUND(AM594,12))</f>
        <v/>
      </c>
      <c r="AO594">
        <f>IF(AK594=1,AD594,NA())</f>
        <v/>
      </c>
      <c r="AP594">
        <f>IF(AK594=0,AD594,NA())</f>
        <v/>
      </c>
    </row>
    <row r="595">
      <c r="A595" t="n">
        <v>587</v>
      </c>
      <c r="B595" t="n">
        <v>1</v>
      </c>
      <c r="C595" t="n">
        <v>3</v>
      </c>
      <c r="D595" t="n">
        <v>2</v>
      </c>
      <c r="E595" t="n">
        <v>5</v>
      </c>
      <c r="F595" t="n">
        <v>3</v>
      </c>
      <c r="G595" t="n">
        <v>1</v>
      </c>
      <c r="H595" t="n">
        <v>1</v>
      </c>
      <c r="I595" t="n">
        <v>1</v>
      </c>
      <c r="J595" t="n">
        <v>4</v>
      </c>
      <c r="K595" t="n">
        <v>3</v>
      </c>
      <c r="L595" t="n">
        <v>5</v>
      </c>
      <c r="M595" t="n">
        <v>4</v>
      </c>
      <c r="N595" t="n">
        <v>1</v>
      </c>
      <c r="O595" t="n">
        <v>4</v>
      </c>
      <c r="P595" t="n">
        <v>1</v>
      </c>
      <c r="Q595" t="n">
        <v>2</v>
      </c>
      <c r="R595" t="n">
        <v>2</v>
      </c>
      <c r="S595" t="n">
        <v>4</v>
      </c>
      <c r="T595" t="n">
        <v>4</v>
      </c>
      <c r="U595" t="n">
        <v>1</v>
      </c>
      <c r="V595" t="n">
        <v>1</v>
      </c>
      <c r="W595">
        <f>(AVERAGE(B595:D595)-1)/4</f>
        <v/>
      </c>
      <c r="X595">
        <f>(AVERAGE(E595:G595)-1)/4</f>
        <v/>
      </c>
      <c r="Y595">
        <f>(AVERAGE(H595:J595)-1)/4</f>
        <v/>
      </c>
      <c r="Z595">
        <f>(AVERAGE(K595:M595)-1)/4</f>
        <v/>
      </c>
      <c r="AA595">
        <f>(AVERAGE(N595:P595)-1)/4</f>
        <v/>
      </c>
      <c r="AB595">
        <f>(AVERAGE(Q595:S595)-1)/4</f>
        <v/>
      </c>
      <c r="AC595">
        <f>(AVERAGE(T595:V595)-1)/4</f>
        <v/>
      </c>
      <c r="AD595">
        <f>AVERAGE(W595:AA595)</f>
        <v/>
      </c>
      <c r="AE595">
        <f>MIN(W595:AA595)</f>
        <v/>
      </c>
      <c r="AF595">
        <f>1-alpha*MAX(0,delta-AE595)</f>
        <v/>
      </c>
      <c r="AG595">
        <f>AD595*AF595</f>
        <v/>
      </c>
      <c r="AH595">
        <f>1+COUNTIF(bounds,"&lt;"&amp;ROUND(AD595,12))</f>
        <v/>
      </c>
      <c r="AI595">
        <f>1+COUNTIF(bounds,"&lt;"&amp;ROUND(AG595,12))</f>
        <v/>
      </c>
      <c r="AJ595">
        <f>IF(AF595&lt;1,1,0)</f>
        <v/>
      </c>
      <c r="AK595">
        <f>IF(AH595&lt;&gt;AI595,1,0)</f>
        <v/>
      </c>
      <c r="AL595">
        <f>IF(AND(AI595&gt;=3,AB595&lt;=0.2),1,0)</f>
        <v/>
      </c>
      <c r="AM595">
        <f>AVERAGE(W595:AB595)</f>
        <v/>
      </c>
      <c r="AN595">
        <f>1+COUNTIF(bounds,"&lt;"&amp;ROUND(AM595,12))</f>
        <v/>
      </c>
      <c r="AO595">
        <f>IF(AK595=1,AD595,NA())</f>
        <v/>
      </c>
      <c r="AP595">
        <f>IF(AK595=0,AD595,NA())</f>
        <v/>
      </c>
    </row>
    <row r="596">
      <c r="A596" t="n">
        <v>588</v>
      </c>
      <c r="B596" t="n">
        <v>5</v>
      </c>
      <c r="C596" t="n">
        <v>5</v>
      </c>
      <c r="D596" t="n">
        <v>1</v>
      </c>
      <c r="E596" t="n">
        <v>4</v>
      </c>
      <c r="F596" t="n">
        <v>3</v>
      </c>
      <c r="G596" t="n">
        <v>5</v>
      </c>
      <c r="H596" t="n">
        <v>4</v>
      </c>
      <c r="I596" t="n">
        <v>2</v>
      </c>
      <c r="J596" t="n">
        <v>1</v>
      </c>
      <c r="K596" t="n">
        <v>4</v>
      </c>
      <c r="L596" t="n">
        <v>1</v>
      </c>
      <c r="M596" t="n">
        <v>4</v>
      </c>
      <c r="N596" t="n">
        <v>2</v>
      </c>
      <c r="O596" t="n">
        <v>2</v>
      </c>
      <c r="P596" t="n">
        <v>3</v>
      </c>
      <c r="Q596" t="n">
        <v>3</v>
      </c>
      <c r="R596" t="n">
        <v>1</v>
      </c>
      <c r="S596" t="n">
        <v>5</v>
      </c>
      <c r="T596" t="n">
        <v>1</v>
      </c>
      <c r="U596" t="n">
        <v>4</v>
      </c>
      <c r="V596" t="n">
        <v>5</v>
      </c>
      <c r="W596">
        <f>(AVERAGE(B596:D596)-1)/4</f>
        <v/>
      </c>
      <c r="X596">
        <f>(AVERAGE(E596:G596)-1)/4</f>
        <v/>
      </c>
      <c r="Y596">
        <f>(AVERAGE(H596:J596)-1)/4</f>
        <v/>
      </c>
      <c r="Z596">
        <f>(AVERAGE(K596:M596)-1)/4</f>
        <v/>
      </c>
      <c r="AA596">
        <f>(AVERAGE(N596:P596)-1)/4</f>
        <v/>
      </c>
      <c r="AB596">
        <f>(AVERAGE(Q596:S596)-1)/4</f>
        <v/>
      </c>
      <c r="AC596">
        <f>(AVERAGE(T596:V596)-1)/4</f>
        <v/>
      </c>
      <c r="AD596">
        <f>AVERAGE(W596:AA596)</f>
        <v/>
      </c>
      <c r="AE596">
        <f>MIN(W596:AA596)</f>
        <v/>
      </c>
      <c r="AF596">
        <f>1-alpha*MAX(0,delta-AE596)</f>
        <v/>
      </c>
      <c r="AG596">
        <f>AD596*AF596</f>
        <v/>
      </c>
      <c r="AH596">
        <f>1+COUNTIF(bounds,"&lt;"&amp;ROUND(AD596,12))</f>
        <v/>
      </c>
      <c r="AI596">
        <f>1+COUNTIF(bounds,"&lt;"&amp;ROUND(AG596,12))</f>
        <v/>
      </c>
      <c r="AJ596">
        <f>IF(AF596&lt;1,1,0)</f>
        <v/>
      </c>
      <c r="AK596">
        <f>IF(AH596&lt;&gt;AI596,1,0)</f>
        <v/>
      </c>
      <c r="AL596">
        <f>IF(AND(AI596&gt;=3,AB596&lt;=0.2),1,0)</f>
        <v/>
      </c>
      <c r="AM596">
        <f>AVERAGE(W596:AB596)</f>
        <v/>
      </c>
      <c r="AN596">
        <f>1+COUNTIF(bounds,"&lt;"&amp;ROUND(AM596,12))</f>
        <v/>
      </c>
      <c r="AO596">
        <f>IF(AK596=1,AD596,NA())</f>
        <v/>
      </c>
      <c r="AP596">
        <f>IF(AK596=0,AD596,NA())</f>
        <v/>
      </c>
    </row>
    <row r="597">
      <c r="A597" t="n">
        <v>589</v>
      </c>
      <c r="B597" t="n">
        <v>2</v>
      </c>
      <c r="C597" t="n">
        <v>5</v>
      </c>
      <c r="D597" t="n">
        <v>1</v>
      </c>
      <c r="E597" t="n">
        <v>3</v>
      </c>
      <c r="F597" t="n">
        <v>1</v>
      </c>
      <c r="G597" t="n">
        <v>3</v>
      </c>
      <c r="H597" t="n">
        <v>2</v>
      </c>
      <c r="I597" t="n">
        <v>5</v>
      </c>
      <c r="J597" t="n">
        <v>5</v>
      </c>
      <c r="K597" t="n">
        <v>1</v>
      </c>
      <c r="L597" t="n">
        <v>5</v>
      </c>
      <c r="M597" t="n">
        <v>3</v>
      </c>
      <c r="N597" t="n">
        <v>1</v>
      </c>
      <c r="O597" t="n">
        <v>3</v>
      </c>
      <c r="P597" t="n">
        <v>3</v>
      </c>
      <c r="Q597" t="n">
        <v>5</v>
      </c>
      <c r="R597" t="n">
        <v>2</v>
      </c>
      <c r="S597" t="n">
        <v>5</v>
      </c>
      <c r="T597" t="n">
        <v>4</v>
      </c>
      <c r="U597" t="n">
        <v>5</v>
      </c>
      <c r="V597" t="n">
        <v>1</v>
      </c>
      <c r="W597">
        <f>(AVERAGE(B597:D597)-1)/4</f>
        <v/>
      </c>
      <c r="X597">
        <f>(AVERAGE(E597:G597)-1)/4</f>
        <v/>
      </c>
      <c r="Y597">
        <f>(AVERAGE(H597:J597)-1)/4</f>
        <v/>
      </c>
      <c r="Z597">
        <f>(AVERAGE(K597:M597)-1)/4</f>
        <v/>
      </c>
      <c r="AA597">
        <f>(AVERAGE(N597:P597)-1)/4</f>
        <v/>
      </c>
      <c r="AB597">
        <f>(AVERAGE(Q597:S597)-1)/4</f>
        <v/>
      </c>
      <c r="AC597">
        <f>(AVERAGE(T597:V597)-1)/4</f>
        <v/>
      </c>
      <c r="AD597">
        <f>AVERAGE(W597:AA597)</f>
        <v/>
      </c>
      <c r="AE597">
        <f>MIN(W597:AA597)</f>
        <v/>
      </c>
      <c r="AF597">
        <f>1-alpha*MAX(0,delta-AE597)</f>
        <v/>
      </c>
      <c r="AG597">
        <f>AD597*AF597</f>
        <v/>
      </c>
      <c r="AH597">
        <f>1+COUNTIF(bounds,"&lt;"&amp;ROUND(AD597,12))</f>
        <v/>
      </c>
      <c r="AI597">
        <f>1+COUNTIF(bounds,"&lt;"&amp;ROUND(AG597,12))</f>
        <v/>
      </c>
      <c r="AJ597">
        <f>IF(AF597&lt;1,1,0)</f>
        <v/>
      </c>
      <c r="AK597">
        <f>IF(AH597&lt;&gt;AI597,1,0)</f>
        <v/>
      </c>
      <c r="AL597">
        <f>IF(AND(AI597&gt;=3,AB597&lt;=0.2),1,0)</f>
        <v/>
      </c>
      <c r="AM597">
        <f>AVERAGE(W597:AB597)</f>
        <v/>
      </c>
      <c r="AN597">
        <f>1+COUNTIF(bounds,"&lt;"&amp;ROUND(AM597,12))</f>
        <v/>
      </c>
      <c r="AO597">
        <f>IF(AK597=1,AD597,NA())</f>
        <v/>
      </c>
      <c r="AP597">
        <f>IF(AK597=0,AD597,NA())</f>
        <v/>
      </c>
    </row>
    <row r="598">
      <c r="A598" t="n">
        <v>590</v>
      </c>
      <c r="B598" t="n">
        <v>1</v>
      </c>
      <c r="C598" t="n">
        <v>1</v>
      </c>
      <c r="D598" t="n">
        <v>5</v>
      </c>
      <c r="E598" t="n">
        <v>2</v>
      </c>
      <c r="F598" t="n">
        <v>5</v>
      </c>
      <c r="G598" t="n">
        <v>2</v>
      </c>
      <c r="H598" t="n">
        <v>2</v>
      </c>
      <c r="I598" t="n">
        <v>2</v>
      </c>
      <c r="J598" t="n">
        <v>3</v>
      </c>
      <c r="K598" t="n">
        <v>4</v>
      </c>
      <c r="L598" t="n">
        <v>3</v>
      </c>
      <c r="M598" t="n">
        <v>3</v>
      </c>
      <c r="N598" t="n">
        <v>5</v>
      </c>
      <c r="O598" t="n">
        <v>2</v>
      </c>
      <c r="P598" t="n">
        <v>1</v>
      </c>
      <c r="Q598" t="n">
        <v>2</v>
      </c>
      <c r="R598" t="n">
        <v>2</v>
      </c>
      <c r="S598" t="n">
        <v>1</v>
      </c>
      <c r="T598" t="n">
        <v>5</v>
      </c>
      <c r="U598" t="n">
        <v>3</v>
      </c>
      <c r="V598" t="n">
        <v>3</v>
      </c>
      <c r="W598">
        <f>(AVERAGE(B598:D598)-1)/4</f>
        <v/>
      </c>
      <c r="X598">
        <f>(AVERAGE(E598:G598)-1)/4</f>
        <v/>
      </c>
      <c r="Y598">
        <f>(AVERAGE(H598:J598)-1)/4</f>
        <v/>
      </c>
      <c r="Z598">
        <f>(AVERAGE(K598:M598)-1)/4</f>
        <v/>
      </c>
      <c r="AA598">
        <f>(AVERAGE(N598:P598)-1)/4</f>
        <v/>
      </c>
      <c r="AB598">
        <f>(AVERAGE(Q598:S598)-1)/4</f>
        <v/>
      </c>
      <c r="AC598">
        <f>(AVERAGE(T598:V598)-1)/4</f>
        <v/>
      </c>
      <c r="AD598">
        <f>AVERAGE(W598:AA598)</f>
        <v/>
      </c>
      <c r="AE598">
        <f>MIN(W598:AA598)</f>
        <v/>
      </c>
      <c r="AF598">
        <f>1-alpha*MAX(0,delta-AE598)</f>
        <v/>
      </c>
      <c r="AG598">
        <f>AD598*AF598</f>
        <v/>
      </c>
      <c r="AH598">
        <f>1+COUNTIF(bounds,"&lt;"&amp;ROUND(AD598,12))</f>
        <v/>
      </c>
      <c r="AI598">
        <f>1+COUNTIF(bounds,"&lt;"&amp;ROUND(AG598,12))</f>
        <v/>
      </c>
      <c r="AJ598">
        <f>IF(AF598&lt;1,1,0)</f>
        <v/>
      </c>
      <c r="AK598">
        <f>IF(AH598&lt;&gt;AI598,1,0)</f>
        <v/>
      </c>
      <c r="AL598">
        <f>IF(AND(AI598&gt;=3,AB598&lt;=0.2),1,0)</f>
        <v/>
      </c>
      <c r="AM598">
        <f>AVERAGE(W598:AB598)</f>
        <v/>
      </c>
      <c r="AN598">
        <f>1+COUNTIF(bounds,"&lt;"&amp;ROUND(AM598,12))</f>
        <v/>
      </c>
      <c r="AO598">
        <f>IF(AK598=1,AD598,NA())</f>
        <v/>
      </c>
      <c r="AP598">
        <f>IF(AK598=0,AD598,NA())</f>
        <v/>
      </c>
    </row>
    <row r="599">
      <c r="A599" t="n">
        <v>591</v>
      </c>
      <c r="B599" t="n">
        <v>3</v>
      </c>
      <c r="C599" t="n">
        <v>1</v>
      </c>
      <c r="D599" t="n">
        <v>2</v>
      </c>
      <c r="E599" t="n">
        <v>5</v>
      </c>
      <c r="F599" t="n">
        <v>2</v>
      </c>
      <c r="G599" t="n">
        <v>4</v>
      </c>
      <c r="H599" t="n">
        <v>4</v>
      </c>
      <c r="I599" t="n">
        <v>1</v>
      </c>
      <c r="J599" t="n">
        <v>1</v>
      </c>
      <c r="K599" t="n">
        <v>3</v>
      </c>
      <c r="L599" t="n">
        <v>2</v>
      </c>
      <c r="M599" t="n">
        <v>5</v>
      </c>
      <c r="N599" t="n">
        <v>2</v>
      </c>
      <c r="O599" t="n">
        <v>5</v>
      </c>
      <c r="P599" t="n">
        <v>2</v>
      </c>
      <c r="Q599" t="n">
        <v>4</v>
      </c>
      <c r="R599" t="n">
        <v>4</v>
      </c>
      <c r="S599" t="n">
        <v>1</v>
      </c>
      <c r="T599" t="n">
        <v>1</v>
      </c>
      <c r="U599" t="n">
        <v>5</v>
      </c>
      <c r="V599" t="n">
        <v>4</v>
      </c>
      <c r="W599">
        <f>(AVERAGE(B599:D599)-1)/4</f>
        <v/>
      </c>
      <c r="X599">
        <f>(AVERAGE(E599:G599)-1)/4</f>
        <v/>
      </c>
      <c r="Y599">
        <f>(AVERAGE(H599:J599)-1)/4</f>
        <v/>
      </c>
      <c r="Z599">
        <f>(AVERAGE(K599:M599)-1)/4</f>
        <v/>
      </c>
      <c r="AA599">
        <f>(AVERAGE(N599:P599)-1)/4</f>
        <v/>
      </c>
      <c r="AB599">
        <f>(AVERAGE(Q599:S599)-1)/4</f>
        <v/>
      </c>
      <c r="AC599">
        <f>(AVERAGE(T599:V599)-1)/4</f>
        <v/>
      </c>
      <c r="AD599">
        <f>AVERAGE(W599:AA599)</f>
        <v/>
      </c>
      <c r="AE599">
        <f>MIN(W599:AA599)</f>
        <v/>
      </c>
      <c r="AF599">
        <f>1-alpha*MAX(0,delta-AE599)</f>
        <v/>
      </c>
      <c r="AG599">
        <f>AD599*AF599</f>
        <v/>
      </c>
      <c r="AH599">
        <f>1+COUNTIF(bounds,"&lt;"&amp;ROUND(AD599,12))</f>
        <v/>
      </c>
      <c r="AI599">
        <f>1+COUNTIF(bounds,"&lt;"&amp;ROUND(AG599,12))</f>
        <v/>
      </c>
      <c r="AJ599">
        <f>IF(AF599&lt;1,1,0)</f>
        <v/>
      </c>
      <c r="AK599">
        <f>IF(AH599&lt;&gt;AI599,1,0)</f>
        <v/>
      </c>
      <c r="AL599">
        <f>IF(AND(AI599&gt;=3,AB599&lt;=0.2),1,0)</f>
        <v/>
      </c>
      <c r="AM599">
        <f>AVERAGE(W599:AB599)</f>
        <v/>
      </c>
      <c r="AN599">
        <f>1+COUNTIF(bounds,"&lt;"&amp;ROUND(AM599,12))</f>
        <v/>
      </c>
      <c r="AO599">
        <f>IF(AK599=1,AD599,NA())</f>
        <v/>
      </c>
      <c r="AP599">
        <f>IF(AK599=0,AD599,NA())</f>
        <v/>
      </c>
    </row>
    <row r="600">
      <c r="A600" t="n">
        <v>592</v>
      </c>
      <c r="B600" t="n">
        <v>1</v>
      </c>
      <c r="C600" t="n">
        <v>3</v>
      </c>
      <c r="D600" t="n">
        <v>2</v>
      </c>
      <c r="E600" t="n">
        <v>4</v>
      </c>
      <c r="F600" t="n">
        <v>4</v>
      </c>
      <c r="G600" t="n">
        <v>1</v>
      </c>
      <c r="H600" t="n">
        <v>4</v>
      </c>
      <c r="I600" t="n">
        <v>4</v>
      </c>
      <c r="J600" t="n">
        <v>5</v>
      </c>
      <c r="K600" t="n">
        <v>3</v>
      </c>
      <c r="L600" t="n">
        <v>4</v>
      </c>
      <c r="M600" t="n">
        <v>4</v>
      </c>
      <c r="N600" t="n">
        <v>2</v>
      </c>
      <c r="O600" t="n">
        <v>1</v>
      </c>
      <c r="P600" t="n">
        <v>4</v>
      </c>
      <c r="Q600" t="n">
        <v>4</v>
      </c>
      <c r="R600" t="n">
        <v>3</v>
      </c>
      <c r="S600" t="n">
        <v>3</v>
      </c>
      <c r="T600" t="n">
        <v>3</v>
      </c>
      <c r="U600" t="n">
        <v>4</v>
      </c>
      <c r="V600" t="n">
        <v>1</v>
      </c>
      <c r="W600">
        <f>(AVERAGE(B600:D600)-1)/4</f>
        <v/>
      </c>
      <c r="X600">
        <f>(AVERAGE(E600:G600)-1)/4</f>
        <v/>
      </c>
      <c r="Y600">
        <f>(AVERAGE(H600:J600)-1)/4</f>
        <v/>
      </c>
      <c r="Z600">
        <f>(AVERAGE(K600:M600)-1)/4</f>
        <v/>
      </c>
      <c r="AA600">
        <f>(AVERAGE(N600:P600)-1)/4</f>
        <v/>
      </c>
      <c r="AB600">
        <f>(AVERAGE(Q600:S600)-1)/4</f>
        <v/>
      </c>
      <c r="AC600">
        <f>(AVERAGE(T600:V600)-1)/4</f>
        <v/>
      </c>
      <c r="AD600">
        <f>AVERAGE(W600:AA600)</f>
        <v/>
      </c>
      <c r="AE600">
        <f>MIN(W600:AA600)</f>
        <v/>
      </c>
      <c r="AF600">
        <f>1-alpha*MAX(0,delta-AE600)</f>
        <v/>
      </c>
      <c r="AG600">
        <f>AD600*AF600</f>
        <v/>
      </c>
      <c r="AH600">
        <f>1+COUNTIF(bounds,"&lt;"&amp;ROUND(AD600,12))</f>
        <v/>
      </c>
      <c r="AI600">
        <f>1+COUNTIF(bounds,"&lt;"&amp;ROUND(AG600,12))</f>
        <v/>
      </c>
      <c r="AJ600">
        <f>IF(AF600&lt;1,1,0)</f>
        <v/>
      </c>
      <c r="AK600">
        <f>IF(AH600&lt;&gt;AI600,1,0)</f>
        <v/>
      </c>
      <c r="AL600">
        <f>IF(AND(AI600&gt;=3,AB600&lt;=0.2),1,0)</f>
        <v/>
      </c>
      <c r="AM600">
        <f>AVERAGE(W600:AB600)</f>
        <v/>
      </c>
      <c r="AN600">
        <f>1+COUNTIF(bounds,"&lt;"&amp;ROUND(AM600,12))</f>
        <v/>
      </c>
      <c r="AO600">
        <f>IF(AK600=1,AD600,NA())</f>
        <v/>
      </c>
      <c r="AP600">
        <f>IF(AK600=0,AD600,NA())</f>
        <v/>
      </c>
    </row>
    <row r="601">
      <c r="A601" t="n">
        <v>593</v>
      </c>
      <c r="B601" t="n">
        <v>4</v>
      </c>
      <c r="C601" t="n">
        <v>5</v>
      </c>
      <c r="D601" t="n">
        <v>4</v>
      </c>
      <c r="E601" t="n">
        <v>4</v>
      </c>
      <c r="F601" t="n">
        <v>1</v>
      </c>
      <c r="G601" t="n">
        <v>3</v>
      </c>
      <c r="H601" t="n">
        <v>4</v>
      </c>
      <c r="I601" t="n">
        <v>2</v>
      </c>
      <c r="J601" t="n">
        <v>1</v>
      </c>
      <c r="K601" t="n">
        <v>1</v>
      </c>
      <c r="L601" t="n">
        <v>4</v>
      </c>
      <c r="M601" t="n">
        <v>3</v>
      </c>
      <c r="N601" t="n">
        <v>1</v>
      </c>
      <c r="O601" t="n">
        <v>2</v>
      </c>
      <c r="P601" t="n">
        <v>3</v>
      </c>
      <c r="Q601" t="n">
        <v>1</v>
      </c>
      <c r="R601" t="n">
        <v>4</v>
      </c>
      <c r="S601" t="n">
        <v>5</v>
      </c>
      <c r="T601" t="n">
        <v>3</v>
      </c>
      <c r="U601" t="n">
        <v>2</v>
      </c>
      <c r="V601" t="n">
        <v>1</v>
      </c>
      <c r="W601">
        <f>(AVERAGE(B601:D601)-1)/4</f>
        <v/>
      </c>
      <c r="X601">
        <f>(AVERAGE(E601:G601)-1)/4</f>
        <v/>
      </c>
      <c r="Y601">
        <f>(AVERAGE(H601:J601)-1)/4</f>
        <v/>
      </c>
      <c r="Z601">
        <f>(AVERAGE(K601:M601)-1)/4</f>
        <v/>
      </c>
      <c r="AA601">
        <f>(AVERAGE(N601:P601)-1)/4</f>
        <v/>
      </c>
      <c r="AB601">
        <f>(AVERAGE(Q601:S601)-1)/4</f>
        <v/>
      </c>
      <c r="AC601">
        <f>(AVERAGE(T601:V601)-1)/4</f>
        <v/>
      </c>
      <c r="AD601">
        <f>AVERAGE(W601:AA601)</f>
        <v/>
      </c>
      <c r="AE601">
        <f>MIN(W601:AA601)</f>
        <v/>
      </c>
      <c r="AF601">
        <f>1-alpha*MAX(0,delta-AE601)</f>
        <v/>
      </c>
      <c r="AG601">
        <f>AD601*AF601</f>
        <v/>
      </c>
      <c r="AH601">
        <f>1+COUNTIF(bounds,"&lt;"&amp;ROUND(AD601,12))</f>
        <v/>
      </c>
      <c r="AI601">
        <f>1+COUNTIF(bounds,"&lt;"&amp;ROUND(AG601,12))</f>
        <v/>
      </c>
      <c r="AJ601">
        <f>IF(AF601&lt;1,1,0)</f>
        <v/>
      </c>
      <c r="AK601">
        <f>IF(AH601&lt;&gt;AI601,1,0)</f>
        <v/>
      </c>
      <c r="AL601">
        <f>IF(AND(AI601&gt;=3,AB601&lt;=0.2),1,0)</f>
        <v/>
      </c>
      <c r="AM601">
        <f>AVERAGE(W601:AB601)</f>
        <v/>
      </c>
      <c r="AN601">
        <f>1+COUNTIF(bounds,"&lt;"&amp;ROUND(AM601,12))</f>
        <v/>
      </c>
      <c r="AO601">
        <f>IF(AK601=1,AD601,NA())</f>
        <v/>
      </c>
      <c r="AP601">
        <f>IF(AK601=0,AD601,NA())</f>
        <v/>
      </c>
    </row>
    <row r="602">
      <c r="A602" t="n">
        <v>594</v>
      </c>
      <c r="B602" t="n">
        <v>2</v>
      </c>
      <c r="C602" t="n">
        <v>1</v>
      </c>
      <c r="D602" t="n">
        <v>2</v>
      </c>
      <c r="E602" t="n">
        <v>2</v>
      </c>
      <c r="F602" t="n">
        <v>2</v>
      </c>
      <c r="G602" t="n">
        <v>3</v>
      </c>
      <c r="H602" t="n">
        <v>4</v>
      </c>
      <c r="I602" t="n">
        <v>4</v>
      </c>
      <c r="J602" t="n">
        <v>1</v>
      </c>
      <c r="K602" t="n">
        <v>5</v>
      </c>
      <c r="L602" t="n">
        <v>3</v>
      </c>
      <c r="M602" t="n">
        <v>2</v>
      </c>
      <c r="N602" t="n">
        <v>2</v>
      </c>
      <c r="O602" t="n">
        <v>4</v>
      </c>
      <c r="P602" t="n">
        <v>4</v>
      </c>
      <c r="Q602" t="n">
        <v>2</v>
      </c>
      <c r="R602" t="n">
        <v>4</v>
      </c>
      <c r="S602" t="n">
        <v>1</v>
      </c>
      <c r="T602" t="n">
        <v>1</v>
      </c>
      <c r="U602" t="n">
        <v>3</v>
      </c>
      <c r="V602" t="n">
        <v>2</v>
      </c>
      <c r="W602">
        <f>(AVERAGE(B602:D602)-1)/4</f>
        <v/>
      </c>
      <c r="X602">
        <f>(AVERAGE(E602:G602)-1)/4</f>
        <v/>
      </c>
      <c r="Y602">
        <f>(AVERAGE(H602:J602)-1)/4</f>
        <v/>
      </c>
      <c r="Z602">
        <f>(AVERAGE(K602:M602)-1)/4</f>
        <v/>
      </c>
      <c r="AA602">
        <f>(AVERAGE(N602:P602)-1)/4</f>
        <v/>
      </c>
      <c r="AB602">
        <f>(AVERAGE(Q602:S602)-1)/4</f>
        <v/>
      </c>
      <c r="AC602">
        <f>(AVERAGE(T602:V602)-1)/4</f>
        <v/>
      </c>
      <c r="AD602">
        <f>AVERAGE(W602:AA602)</f>
        <v/>
      </c>
      <c r="AE602">
        <f>MIN(W602:AA602)</f>
        <v/>
      </c>
      <c r="AF602">
        <f>1-alpha*MAX(0,delta-AE602)</f>
        <v/>
      </c>
      <c r="AG602">
        <f>AD602*AF602</f>
        <v/>
      </c>
      <c r="AH602">
        <f>1+COUNTIF(bounds,"&lt;"&amp;ROUND(AD602,12))</f>
        <v/>
      </c>
      <c r="AI602">
        <f>1+COUNTIF(bounds,"&lt;"&amp;ROUND(AG602,12))</f>
        <v/>
      </c>
      <c r="AJ602">
        <f>IF(AF602&lt;1,1,0)</f>
        <v/>
      </c>
      <c r="AK602">
        <f>IF(AH602&lt;&gt;AI602,1,0)</f>
        <v/>
      </c>
      <c r="AL602">
        <f>IF(AND(AI602&gt;=3,AB602&lt;=0.2),1,0)</f>
        <v/>
      </c>
      <c r="AM602">
        <f>AVERAGE(W602:AB602)</f>
        <v/>
      </c>
      <c r="AN602">
        <f>1+COUNTIF(bounds,"&lt;"&amp;ROUND(AM602,12))</f>
        <v/>
      </c>
      <c r="AO602">
        <f>IF(AK602=1,AD602,NA())</f>
        <v/>
      </c>
      <c r="AP602">
        <f>IF(AK602=0,AD602,NA())</f>
        <v/>
      </c>
    </row>
    <row r="603">
      <c r="A603" t="n">
        <v>595</v>
      </c>
      <c r="B603" t="n">
        <v>3</v>
      </c>
      <c r="C603" t="n">
        <v>2</v>
      </c>
      <c r="D603" t="n">
        <v>1</v>
      </c>
      <c r="E603" t="n">
        <v>4</v>
      </c>
      <c r="F603" t="n">
        <v>2</v>
      </c>
      <c r="G603" t="n">
        <v>3</v>
      </c>
      <c r="H603" t="n">
        <v>3</v>
      </c>
      <c r="I603" t="n">
        <v>2</v>
      </c>
      <c r="J603" t="n">
        <v>1</v>
      </c>
      <c r="K603" t="n">
        <v>4</v>
      </c>
      <c r="L603" t="n">
        <v>4</v>
      </c>
      <c r="M603" t="n">
        <v>5</v>
      </c>
      <c r="N603" t="n">
        <v>4</v>
      </c>
      <c r="O603" t="n">
        <v>2</v>
      </c>
      <c r="P603" t="n">
        <v>5</v>
      </c>
      <c r="Q603" t="n">
        <v>4</v>
      </c>
      <c r="R603" t="n">
        <v>2</v>
      </c>
      <c r="S603" t="n">
        <v>2</v>
      </c>
      <c r="T603" t="n">
        <v>4</v>
      </c>
      <c r="U603" t="n">
        <v>5</v>
      </c>
      <c r="V603" t="n">
        <v>4</v>
      </c>
      <c r="W603">
        <f>(AVERAGE(B603:D603)-1)/4</f>
        <v/>
      </c>
      <c r="X603">
        <f>(AVERAGE(E603:G603)-1)/4</f>
        <v/>
      </c>
      <c r="Y603">
        <f>(AVERAGE(H603:J603)-1)/4</f>
        <v/>
      </c>
      <c r="Z603">
        <f>(AVERAGE(K603:M603)-1)/4</f>
        <v/>
      </c>
      <c r="AA603">
        <f>(AVERAGE(N603:P603)-1)/4</f>
        <v/>
      </c>
      <c r="AB603">
        <f>(AVERAGE(Q603:S603)-1)/4</f>
        <v/>
      </c>
      <c r="AC603">
        <f>(AVERAGE(T603:V603)-1)/4</f>
        <v/>
      </c>
      <c r="AD603">
        <f>AVERAGE(W603:AA603)</f>
        <v/>
      </c>
      <c r="AE603">
        <f>MIN(W603:AA603)</f>
        <v/>
      </c>
      <c r="AF603">
        <f>1-alpha*MAX(0,delta-AE603)</f>
        <v/>
      </c>
      <c r="AG603">
        <f>AD603*AF603</f>
        <v/>
      </c>
      <c r="AH603">
        <f>1+COUNTIF(bounds,"&lt;"&amp;ROUND(AD603,12))</f>
        <v/>
      </c>
      <c r="AI603">
        <f>1+COUNTIF(bounds,"&lt;"&amp;ROUND(AG603,12))</f>
        <v/>
      </c>
      <c r="AJ603">
        <f>IF(AF603&lt;1,1,0)</f>
        <v/>
      </c>
      <c r="AK603">
        <f>IF(AH603&lt;&gt;AI603,1,0)</f>
        <v/>
      </c>
      <c r="AL603">
        <f>IF(AND(AI603&gt;=3,AB603&lt;=0.2),1,0)</f>
        <v/>
      </c>
      <c r="AM603">
        <f>AVERAGE(W603:AB603)</f>
        <v/>
      </c>
      <c r="AN603">
        <f>1+COUNTIF(bounds,"&lt;"&amp;ROUND(AM603,12))</f>
        <v/>
      </c>
      <c r="AO603">
        <f>IF(AK603=1,AD603,NA())</f>
        <v/>
      </c>
      <c r="AP603">
        <f>IF(AK603=0,AD603,NA())</f>
        <v/>
      </c>
    </row>
    <row r="604">
      <c r="A604" t="n">
        <v>596</v>
      </c>
      <c r="B604" t="n">
        <v>4</v>
      </c>
      <c r="C604" t="n">
        <v>3</v>
      </c>
      <c r="D604" t="n">
        <v>4</v>
      </c>
      <c r="E604" t="n">
        <v>5</v>
      </c>
      <c r="F604" t="n">
        <v>1</v>
      </c>
      <c r="G604" t="n">
        <v>4</v>
      </c>
      <c r="H604" t="n">
        <v>4</v>
      </c>
      <c r="I604" t="n">
        <v>2</v>
      </c>
      <c r="J604" t="n">
        <v>3</v>
      </c>
      <c r="K604" t="n">
        <v>1</v>
      </c>
      <c r="L604" t="n">
        <v>2</v>
      </c>
      <c r="M604" t="n">
        <v>1</v>
      </c>
      <c r="N604" t="n">
        <v>5</v>
      </c>
      <c r="O604" t="n">
        <v>3</v>
      </c>
      <c r="P604" t="n">
        <v>5</v>
      </c>
      <c r="Q604" t="n">
        <v>1</v>
      </c>
      <c r="R604" t="n">
        <v>3</v>
      </c>
      <c r="S604" t="n">
        <v>4</v>
      </c>
      <c r="T604" t="n">
        <v>2</v>
      </c>
      <c r="U604" t="n">
        <v>5</v>
      </c>
      <c r="V604" t="n">
        <v>2</v>
      </c>
      <c r="W604">
        <f>(AVERAGE(B604:D604)-1)/4</f>
        <v/>
      </c>
      <c r="X604">
        <f>(AVERAGE(E604:G604)-1)/4</f>
        <v/>
      </c>
      <c r="Y604">
        <f>(AVERAGE(H604:J604)-1)/4</f>
        <v/>
      </c>
      <c r="Z604">
        <f>(AVERAGE(K604:M604)-1)/4</f>
        <v/>
      </c>
      <c r="AA604">
        <f>(AVERAGE(N604:P604)-1)/4</f>
        <v/>
      </c>
      <c r="AB604">
        <f>(AVERAGE(Q604:S604)-1)/4</f>
        <v/>
      </c>
      <c r="AC604">
        <f>(AVERAGE(T604:V604)-1)/4</f>
        <v/>
      </c>
      <c r="AD604">
        <f>AVERAGE(W604:AA604)</f>
        <v/>
      </c>
      <c r="AE604">
        <f>MIN(W604:AA604)</f>
        <v/>
      </c>
      <c r="AF604">
        <f>1-alpha*MAX(0,delta-AE604)</f>
        <v/>
      </c>
      <c r="AG604">
        <f>AD604*AF604</f>
        <v/>
      </c>
      <c r="AH604">
        <f>1+COUNTIF(bounds,"&lt;"&amp;ROUND(AD604,12))</f>
        <v/>
      </c>
      <c r="AI604">
        <f>1+COUNTIF(bounds,"&lt;"&amp;ROUND(AG604,12))</f>
        <v/>
      </c>
      <c r="AJ604">
        <f>IF(AF604&lt;1,1,0)</f>
        <v/>
      </c>
      <c r="AK604">
        <f>IF(AH604&lt;&gt;AI604,1,0)</f>
        <v/>
      </c>
      <c r="AL604">
        <f>IF(AND(AI604&gt;=3,AB604&lt;=0.2),1,0)</f>
        <v/>
      </c>
      <c r="AM604">
        <f>AVERAGE(W604:AB604)</f>
        <v/>
      </c>
      <c r="AN604">
        <f>1+COUNTIF(bounds,"&lt;"&amp;ROUND(AM604,12))</f>
        <v/>
      </c>
      <c r="AO604">
        <f>IF(AK604=1,AD604,NA())</f>
        <v/>
      </c>
      <c r="AP604">
        <f>IF(AK604=0,AD604,NA())</f>
        <v/>
      </c>
    </row>
    <row r="605">
      <c r="A605" t="n">
        <v>597</v>
      </c>
      <c r="B605" t="n">
        <v>2</v>
      </c>
      <c r="C605" t="n">
        <v>2</v>
      </c>
      <c r="D605" t="n">
        <v>4</v>
      </c>
      <c r="E605" t="n">
        <v>3</v>
      </c>
      <c r="F605" t="n">
        <v>3</v>
      </c>
      <c r="G605" t="n">
        <v>2</v>
      </c>
      <c r="H605" t="n">
        <v>2</v>
      </c>
      <c r="I605" t="n">
        <v>5</v>
      </c>
      <c r="J605" t="n">
        <v>1</v>
      </c>
      <c r="K605" t="n">
        <v>4</v>
      </c>
      <c r="L605" t="n">
        <v>2</v>
      </c>
      <c r="M605" t="n">
        <v>4</v>
      </c>
      <c r="N605" t="n">
        <v>4</v>
      </c>
      <c r="O605" t="n">
        <v>3</v>
      </c>
      <c r="P605" t="n">
        <v>1</v>
      </c>
      <c r="Q605" t="n">
        <v>2</v>
      </c>
      <c r="R605" t="n">
        <v>2</v>
      </c>
      <c r="S605" t="n">
        <v>1</v>
      </c>
      <c r="T605" t="n">
        <v>1</v>
      </c>
      <c r="U605" t="n">
        <v>3</v>
      </c>
      <c r="V605" t="n">
        <v>1</v>
      </c>
      <c r="W605">
        <f>(AVERAGE(B605:D605)-1)/4</f>
        <v/>
      </c>
      <c r="X605">
        <f>(AVERAGE(E605:G605)-1)/4</f>
        <v/>
      </c>
      <c r="Y605">
        <f>(AVERAGE(H605:J605)-1)/4</f>
        <v/>
      </c>
      <c r="Z605">
        <f>(AVERAGE(K605:M605)-1)/4</f>
        <v/>
      </c>
      <c r="AA605">
        <f>(AVERAGE(N605:P605)-1)/4</f>
        <v/>
      </c>
      <c r="AB605">
        <f>(AVERAGE(Q605:S605)-1)/4</f>
        <v/>
      </c>
      <c r="AC605">
        <f>(AVERAGE(T605:V605)-1)/4</f>
        <v/>
      </c>
      <c r="AD605">
        <f>AVERAGE(W605:AA605)</f>
        <v/>
      </c>
      <c r="AE605">
        <f>MIN(W605:AA605)</f>
        <v/>
      </c>
      <c r="AF605">
        <f>1-alpha*MAX(0,delta-AE605)</f>
        <v/>
      </c>
      <c r="AG605">
        <f>AD605*AF605</f>
        <v/>
      </c>
      <c r="AH605">
        <f>1+COUNTIF(bounds,"&lt;"&amp;ROUND(AD605,12))</f>
        <v/>
      </c>
      <c r="AI605">
        <f>1+COUNTIF(bounds,"&lt;"&amp;ROUND(AG605,12))</f>
        <v/>
      </c>
      <c r="AJ605">
        <f>IF(AF605&lt;1,1,0)</f>
        <v/>
      </c>
      <c r="AK605">
        <f>IF(AH605&lt;&gt;AI605,1,0)</f>
        <v/>
      </c>
      <c r="AL605">
        <f>IF(AND(AI605&gt;=3,AB605&lt;=0.2),1,0)</f>
        <v/>
      </c>
      <c r="AM605">
        <f>AVERAGE(W605:AB605)</f>
        <v/>
      </c>
      <c r="AN605">
        <f>1+COUNTIF(bounds,"&lt;"&amp;ROUND(AM605,12))</f>
        <v/>
      </c>
      <c r="AO605">
        <f>IF(AK605=1,AD605,NA())</f>
        <v/>
      </c>
      <c r="AP605">
        <f>IF(AK605=0,AD605,NA())</f>
        <v/>
      </c>
    </row>
    <row r="606">
      <c r="A606" t="n">
        <v>598</v>
      </c>
      <c r="B606" t="n">
        <v>3</v>
      </c>
      <c r="C606" t="n">
        <v>2</v>
      </c>
      <c r="D606" t="n">
        <v>5</v>
      </c>
      <c r="E606" t="n">
        <v>1</v>
      </c>
      <c r="F606" t="n">
        <v>5</v>
      </c>
      <c r="G606" t="n">
        <v>3</v>
      </c>
      <c r="H606" t="n">
        <v>3</v>
      </c>
      <c r="I606" t="n">
        <v>4</v>
      </c>
      <c r="J606" t="n">
        <v>4</v>
      </c>
      <c r="K606" t="n">
        <v>2</v>
      </c>
      <c r="L606" t="n">
        <v>4</v>
      </c>
      <c r="M606" t="n">
        <v>1</v>
      </c>
      <c r="N606" t="n">
        <v>4</v>
      </c>
      <c r="O606" t="n">
        <v>4</v>
      </c>
      <c r="P606" t="n">
        <v>3</v>
      </c>
      <c r="Q606" t="n">
        <v>1</v>
      </c>
      <c r="R606" t="n">
        <v>4</v>
      </c>
      <c r="S606" t="n">
        <v>5</v>
      </c>
      <c r="T606" t="n">
        <v>3</v>
      </c>
      <c r="U606" t="n">
        <v>5</v>
      </c>
      <c r="V606" t="n">
        <v>4</v>
      </c>
      <c r="W606">
        <f>(AVERAGE(B606:D606)-1)/4</f>
        <v/>
      </c>
      <c r="X606">
        <f>(AVERAGE(E606:G606)-1)/4</f>
        <v/>
      </c>
      <c r="Y606">
        <f>(AVERAGE(H606:J606)-1)/4</f>
        <v/>
      </c>
      <c r="Z606">
        <f>(AVERAGE(K606:M606)-1)/4</f>
        <v/>
      </c>
      <c r="AA606">
        <f>(AVERAGE(N606:P606)-1)/4</f>
        <v/>
      </c>
      <c r="AB606">
        <f>(AVERAGE(Q606:S606)-1)/4</f>
        <v/>
      </c>
      <c r="AC606">
        <f>(AVERAGE(T606:V606)-1)/4</f>
        <v/>
      </c>
      <c r="AD606">
        <f>AVERAGE(W606:AA606)</f>
        <v/>
      </c>
      <c r="AE606">
        <f>MIN(W606:AA606)</f>
        <v/>
      </c>
      <c r="AF606">
        <f>1-alpha*MAX(0,delta-AE606)</f>
        <v/>
      </c>
      <c r="AG606">
        <f>AD606*AF606</f>
        <v/>
      </c>
      <c r="AH606">
        <f>1+COUNTIF(bounds,"&lt;"&amp;ROUND(AD606,12))</f>
        <v/>
      </c>
      <c r="AI606">
        <f>1+COUNTIF(bounds,"&lt;"&amp;ROUND(AG606,12))</f>
        <v/>
      </c>
      <c r="AJ606">
        <f>IF(AF606&lt;1,1,0)</f>
        <v/>
      </c>
      <c r="AK606">
        <f>IF(AH606&lt;&gt;AI606,1,0)</f>
        <v/>
      </c>
      <c r="AL606">
        <f>IF(AND(AI606&gt;=3,AB606&lt;=0.2),1,0)</f>
        <v/>
      </c>
      <c r="AM606">
        <f>AVERAGE(W606:AB606)</f>
        <v/>
      </c>
      <c r="AN606">
        <f>1+COUNTIF(bounds,"&lt;"&amp;ROUND(AM606,12))</f>
        <v/>
      </c>
      <c r="AO606">
        <f>IF(AK606=1,AD606,NA())</f>
        <v/>
      </c>
      <c r="AP606">
        <f>IF(AK606=0,AD606,NA())</f>
        <v/>
      </c>
    </row>
    <row r="607">
      <c r="A607" t="n">
        <v>599</v>
      </c>
      <c r="B607" t="n">
        <v>5</v>
      </c>
      <c r="C607" t="n">
        <v>4</v>
      </c>
      <c r="D607" t="n">
        <v>5</v>
      </c>
      <c r="E607" t="n">
        <v>5</v>
      </c>
      <c r="F607" t="n">
        <v>3</v>
      </c>
      <c r="G607" t="n">
        <v>3</v>
      </c>
      <c r="H607" t="n">
        <v>4</v>
      </c>
      <c r="I607" t="n">
        <v>4</v>
      </c>
      <c r="J607" t="n">
        <v>4</v>
      </c>
      <c r="K607" t="n">
        <v>4</v>
      </c>
      <c r="L607" t="n">
        <v>5</v>
      </c>
      <c r="M607" t="n">
        <v>5</v>
      </c>
      <c r="N607" t="n">
        <v>4</v>
      </c>
      <c r="O607" t="n">
        <v>5</v>
      </c>
      <c r="P607" t="n">
        <v>1</v>
      </c>
      <c r="Q607" t="n">
        <v>1</v>
      </c>
      <c r="R607" t="n">
        <v>2</v>
      </c>
      <c r="S607" t="n">
        <v>4</v>
      </c>
      <c r="T607" t="n">
        <v>1</v>
      </c>
      <c r="U607" t="n">
        <v>3</v>
      </c>
      <c r="V607" t="n">
        <v>5</v>
      </c>
      <c r="W607">
        <f>(AVERAGE(B607:D607)-1)/4</f>
        <v/>
      </c>
      <c r="X607">
        <f>(AVERAGE(E607:G607)-1)/4</f>
        <v/>
      </c>
      <c r="Y607">
        <f>(AVERAGE(H607:J607)-1)/4</f>
        <v/>
      </c>
      <c r="Z607">
        <f>(AVERAGE(K607:M607)-1)/4</f>
        <v/>
      </c>
      <c r="AA607">
        <f>(AVERAGE(N607:P607)-1)/4</f>
        <v/>
      </c>
      <c r="AB607">
        <f>(AVERAGE(Q607:S607)-1)/4</f>
        <v/>
      </c>
      <c r="AC607">
        <f>(AVERAGE(T607:V607)-1)/4</f>
        <v/>
      </c>
      <c r="AD607">
        <f>AVERAGE(W607:AA607)</f>
        <v/>
      </c>
      <c r="AE607">
        <f>MIN(W607:AA607)</f>
        <v/>
      </c>
      <c r="AF607">
        <f>1-alpha*MAX(0,delta-AE607)</f>
        <v/>
      </c>
      <c r="AG607">
        <f>AD607*AF607</f>
        <v/>
      </c>
      <c r="AH607">
        <f>1+COUNTIF(bounds,"&lt;"&amp;ROUND(AD607,12))</f>
        <v/>
      </c>
      <c r="AI607">
        <f>1+COUNTIF(bounds,"&lt;"&amp;ROUND(AG607,12))</f>
        <v/>
      </c>
      <c r="AJ607">
        <f>IF(AF607&lt;1,1,0)</f>
        <v/>
      </c>
      <c r="AK607">
        <f>IF(AH607&lt;&gt;AI607,1,0)</f>
        <v/>
      </c>
      <c r="AL607">
        <f>IF(AND(AI607&gt;=3,AB607&lt;=0.2),1,0)</f>
        <v/>
      </c>
      <c r="AM607">
        <f>AVERAGE(W607:AB607)</f>
        <v/>
      </c>
      <c r="AN607">
        <f>1+COUNTIF(bounds,"&lt;"&amp;ROUND(AM607,12))</f>
        <v/>
      </c>
      <c r="AO607">
        <f>IF(AK607=1,AD607,NA())</f>
        <v/>
      </c>
      <c r="AP607">
        <f>IF(AK607=0,AD607,NA())</f>
        <v/>
      </c>
    </row>
    <row r="608">
      <c r="A608" t="n">
        <v>600</v>
      </c>
      <c r="B608" t="n">
        <v>3</v>
      </c>
      <c r="C608" t="n">
        <v>2</v>
      </c>
      <c r="D608" t="n">
        <v>5</v>
      </c>
      <c r="E608" t="n">
        <v>4</v>
      </c>
      <c r="F608" t="n">
        <v>4</v>
      </c>
      <c r="G608" t="n">
        <v>3</v>
      </c>
      <c r="H608" t="n">
        <v>1</v>
      </c>
      <c r="I608" t="n">
        <v>2</v>
      </c>
      <c r="J608" t="n">
        <v>3</v>
      </c>
      <c r="K608" t="n">
        <v>2</v>
      </c>
      <c r="L608" t="n">
        <v>1</v>
      </c>
      <c r="M608" t="n">
        <v>4</v>
      </c>
      <c r="N608" t="n">
        <v>3</v>
      </c>
      <c r="O608" t="n">
        <v>1</v>
      </c>
      <c r="P608" t="n">
        <v>3</v>
      </c>
      <c r="Q608" t="n">
        <v>3</v>
      </c>
      <c r="R608" t="n">
        <v>3</v>
      </c>
      <c r="S608" t="n">
        <v>2</v>
      </c>
      <c r="T608" t="n">
        <v>4</v>
      </c>
      <c r="U608" t="n">
        <v>5</v>
      </c>
      <c r="V608" t="n">
        <v>2</v>
      </c>
      <c r="W608">
        <f>(AVERAGE(B608:D608)-1)/4</f>
        <v/>
      </c>
      <c r="X608">
        <f>(AVERAGE(E608:G608)-1)/4</f>
        <v/>
      </c>
      <c r="Y608">
        <f>(AVERAGE(H608:J608)-1)/4</f>
        <v/>
      </c>
      <c r="Z608">
        <f>(AVERAGE(K608:M608)-1)/4</f>
        <v/>
      </c>
      <c r="AA608">
        <f>(AVERAGE(N608:P608)-1)/4</f>
        <v/>
      </c>
      <c r="AB608">
        <f>(AVERAGE(Q608:S608)-1)/4</f>
        <v/>
      </c>
      <c r="AC608">
        <f>(AVERAGE(T608:V608)-1)/4</f>
        <v/>
      </c>
      <c r="AD608">
        <f>AVERAGE(W608:AA608)</f>
        <v/>
      </c>
      <c r="AE608">
        <f>MIN(W608:AA608)</f>
        <v/>
      </c>
      <c r="AF608">
        <f>1-alpha*MAX(0,delta-AE608)</f>
        <v/>
      </c>
      <c r="AG608">
        <f>AD608*AF608</f>
        <v/>
      </c>
      <c r="AH608">
        <f>1+COUNTIF(bounds,"&lt;"&amp;ROUND(AD608,12))</f>
        <v/>
      </c>
      <c r="AI608">
        <f>1+COUNTIF(bounds,"&lt;"&amp;ROUND(AG608,12))</f>
        <v/>
      </c>
      <c r="AJ608">
        <f>IF(AF608&lt;1,1,0)</f>
        <v/>
      </c>
      <c r="AK608">
        <f>IF(AH608&lt;&gt;AI608,1,0)</f>
        <v/>
      </c>
      <c r="AL608">
        <f>IF(AND(AI608&gt;=3,AB608&lt;=0.2),1,0)</f>
        <v/>
      </c>
      <c r="AM608">
        <f>AVERAGE(W608:AB608)</f>
        <v/>
      </c>
      <c r="AN608">
        <f>1+COUNTIF(bounds,"&lt;"&amp;ROUND(AM608,12))</f>
        <v/>
      </c>
      <c r="AO608">
        <f>IF(AK608=1,AD608,NA())</f>
        <v/>
      </c>
      <c r="AP608">
        <f>IF(AK608=0,AD608,NA())</f>
        <v/>
      </c>
    </row>
    <row r="609">
      <c r="A609" t="n">
        <v>601</v>
      </c>
      <c r="B609" t="n">
        <v>4</v>
      </c>
      <c r="C609" t="n">
        <v>1</v>
      </c>
      <c r="D609" t="n">
        <v>5</v>
      </c>
      <c r="E609" t="n">
        <v>1</v>
      </c>
      <c r="F609" t="n">
        <v>2</v>
      </c>
      <c r="G609" t="n">
        <v>2</v>
      </c>
      <c r="H609" t="n">
        <v>1</v>
      </c>
      <c r="I609" t="n">
        <v>1</v>
      </c>
      <c r="J609" t="n">
        <v>2</v>
      </c>
      <c r="K609" t="n">
        <v>3</v>
      </c>
      <c r="L609" t="n">
        <v>5</v>
      </c>
      <c r="M609" t="n">
        <v>4</v>
      </c>
      <c r="N609" t="n">
        <v>4</v>
      </c>
      <c r="O609" t="n">
        <v>1</v>
      </c>
      <c r="P609" t="n">
        <v>1</v>
      </c>
      <c r="Q609" t="n">
        <v>5</v>
      </c>
      <c r="R609" t="n">
        <v>3</v>
      </c>
      <c r="S609" t="n">
        <v>3</v>
      </c>
      <c r="T609" t="n">
        <v>3</v>
      </c>
      <c r="U609" t="n">
        <v>2</v>
      </c>
      <c r="V609" t="n">
        <v>3</v>
      </c>
      <c r="W609">
        <f>(AVERAGE(B609:D609)-1)/4</f>
        <v/>
      </c>
      <c r="X609">
        <f>(AVERAGE(E609:G609)-1)/4</f>
        <v/>
      </c>
      <c r="Y609">
        <f>(AVERAGE(H609:J609)-1)/4</f>
        <v/>
      </c>
      <c r="Z609">
        <f>(AVERAGE(K609:M609)-1)/4</f>
        <v/>
      </c>
      <c r="AA609">
        <f>(AVERAGE(N609:P609)-1)/4</f>
        <v/>
      </c>
      <c r="AB609">
        <f>(AVERAGE(Q609:S609)-1)/4</f>
        <v/>
      </c>
      <c r="AC609">
        <f>(AVERAGE(T609:V609)-1)/4</f>
        <v/>
      </c>
      <c r="AD609">
        <f>AVERAGE(W609:AA609)</f>
        <v/>
      </c>
      <c r="AE609">
        <f>MIN(W609:AA609)</f>
        <v/>
      </c>
      <c r="AF609">
        <f>1-alpha*MAX(0,delta-AE609)</f>
        <v/>
      </c>
      <c r="AG609">
        <f>AD609*AF609</f>
        <v/>
      </c>
      <c r="AH609">
        <f>1+COUNTIF(bounds,"&lt;"&amp;ROUND(AD609,12))</f>
        <v/>
      </c>
      <c r="AI609">
        <f>1+COUNTIF(bounds,"&lt;"&amp;ROUND(AG609,12))</f>
        <v/>
      </c>
      <c r="AJ609">
        <f>IF(AF609&lt;1,1,0)</f>
        <v/>
      </c>
      <c r="AK609">
        <f>IF(AH609&lt;&gt;AI609,1,0)</f>
        <v/>
      </c>
      <c r="AL609">
        <f>IF(AND(AI609&gt;=3,AB609&lt;=0.2),1,0)</f>
        <v/>
      </c>
      <c r="AM609">
        <f>AVERAGE(W609:AB609)</f>
        <v/>
      </c>
      <c r="AN609">
        <f>1+COUNTIF(bounds,"&lt;"&amp;ROUND(AM609,12))</f>
        <v/>
      </c>
      <c r="AO609">
        <f>IF(AK609=1,AD609,NA())</f>
        <v/>
      </c>
      <c r="AP609">
        <f>IF(AK609=0,AD609,NA())</f>
        <v/>
      </c>
    </row>
    <row r="610">
      <c r="A610" t="n">
        <v>602</v>
      </c>
      <c r="B610" t="n">
        <v>5</v>
      </c>
      <c r="C610" t="n">
        <v>2</v>
      </c>
      <c r="D610" t="n">
        <v>3</v>
      </c>
      <c r="E610" t="n">
        <v>5</v>
      </c>
      <c r="F610" t="n">
        <v>1</v>
      </c>
      <c r="G610" t="n">
        <v>1</v>
      </c>
      <c r="H610" t="n">
        <v>5</v>
      </c>
      <c r="I610" t="n">
        <v>2</v>
      </c>
      <c r="J610" t="n">
        <v>2</v>
      </c>
      <c r="K610" t="n">
        <v>2</v>
      </c>
      <c r="L610" t="n">
        <v>1</v>
      </c>
      <c r="M610" t="n">
        <v>2</v>
      </c>
      <c r="N610" t="n">
        <v>4</v>
      </c>
      <c r="O610" t="n">
        <v>5</v>
      </c>
      <c r="P610" t="n">
        <v>4</v>
      </c>
      <c r="Q610" t="n">
        <v>5</v>
      </c>
      <c r="R610" t="n">
        <v>2</v>
      </c>
      <c r="S610" t="n">
        <v>3</v>
      </c>
      <c r="T610" t="n">
        <v>1</v>
      </c>
      <c r="U610" t="n">
        <v>5</v>
      </c>
      <c r="V610" t="n">
        <v>1</v>
      </c>
      <c r="W610">
        <f>(AVERAGE(B610:D610)-1)/4</f>
        <v/>
      </c>
      <c r="X610">
        <f>(AVERAGE(E610:G610)-1)/4</f>
        <v/>
      </c>
      <c r="Y610">
        <f>(AVERAGE(H610:J610)-1)/4</f>
        <v/>
      </c>
      <c r="Z610">
        <f>(AVERAGE(K610:M610)-1)/4</f>
        <v/>
      </c>
      <c r="AA610">
        <f>(AVERAGE(N610:P610)-1)/4</f>
        <v/>
      </c>
      <c r="AB610">
        <f>(AVERAGE(Q610:S610)-1)/4</f>
        <v/>
      </c>
      <c r="AC610">
        <f>(AVERAGE(T610:V610)-1)/4</f>
        <v/>
      </c>
      <c r="AD610">
        <f>AVERAGE(W610:AA610)</f>
        <v/>
      </c>
      <c r="AE610">
        <f>MIN(W610:AA610)</f>
        <v/>
      </c>
      <c r="AF610">
        <f>1-alpha*MAX(0,delta-AE610)</f>
        <v/>
      </c>
      <c r="AG610">
        <f>AD610*AF610</f>
        <v/>
      </c>
      <c r="AH610">
        <f>1+COUNTIF(bounds,"&lt;"&amp;ROUND(AD610,12))</f>
        <v/>
      </c>
      <c r="AI610">
        <f>1+COUNTIF(bounds,"&lt;"&amp;ROUND(AG610,12))</f>
        <v/>
      </c>
      <c r="AJ610">
        <f>IF(AF610&lt;1,1,0)</f>
        <v/>
      </c>
      <c r="AK610">
        <f>IF(AH610&lt;&gt;AI610,1,0)</f>
        <v/>
      </c>
      <c r="AL610">
        <f>IF(AND(AI610&gt;=3,AB610&lt;=0.2),1,0)</f>
        <v/>
      </c>
      <c r="AM610">
        <f>AVERAGE(W610:AB610)</f>
        <v/>
      </c>
      <c r="AN610">
        <f>1+COUNTIF(bounds,"&lt;"&amp;ROUND(AM610,12))</f>
        <v/>
      </c>
      <c r="AO610">
        <f>IF(AK610=1,AD610,NA())</f>
        <v/>
      </c>
      <c r="AP610">
        <f>IF(AK610=0,AD610,NA())</f>
        <v/>
      </c>
    </row>
    <row r="611">
      <c r="A611" t="n">
        <v>603</v>
      </c>
      <c r="B611" t="n">
        <v>3</v>
      </c>
      <c r="C611" t="n">
        <v>3</v>
      </c>
      <c r="D611" t="n">
        <v>2</v>
      </c>
      <c r="E611" t="n">
        <v>5</v>
      </c>
      <c r="F611" t="n">
        <v>1</v>
      </c>
      <c r="G611" t="n">
        <v>1</v>
      </c>
      <c r="H611" t="n">
        <v>5</v>
      </c>
      <c r="I611" t="n">
        <v>4</v>
      </c>
      <c r="J611" t="n">
        <v>1</v>
      </c>
      <c r="K611" t="n">
        <v>5</v>
      </c>
      <c r="L611" t="n">
        <v>3</v>
      </c>
      <c r="M611" t="n">
        <v>1</v>
      </c>
      <c r="N611" t="n">
        <v>3</v>
      </c>
      <c r="O611" t="n">
        <v>1</v>
      </c>
      <c r="P611" t="n">
        <v>5</v>
      </c>
      <c r="Q611" t="n">
        <v>1</v>
      </c>
      <c r="R611" t="n">
        <v>2</v>
      </c>
      <c r="S611" t="n">
        <v>4</v>
      </c>
      <c r="T611" t="n">
        <v>4</v>
      </c>
      <c r="U611" t="n">
        <v>2</v>
      </c>
      <c r="V611" t="n">
        <v>4</v>
      </c>
      <c r="W611">
        <f>(AVERAGE(B611:D611)-1)/4</f>
        <v/>
      </c>
      <c r="X611">
        <f>(AVERAGE(E611:G611)-1)/4</f>
        <v/>
      </c>
      <c r="Y611">
        <f>(AVERAGE(H611:J611)-1)/4</f>
        <v/>
      </c>
      <c r="Z611">
        <f>(AVERAGE(K611:M611)-1)/4</f>
        <v/>
      </c>
      <c r="AA611">
        <f>(AVERAGE(N611:P611)-1)/4</f>
        <v/>
      </c>
      <c r="AB611">
        <f>(AVERAGE(Q611:S611)-1)/4</f>
        <v/>
      </c>
      <c r="AC611">
        <f>(AVERAGE(T611:V611)-1)/4</f>
        <v/>
      </c>
      <c r="AD611">
        <f>AVERAGE(W611:AA611)</f>
        <v/>
      </c>
      <c r="AE611">
        <f>MIN(W611:AA611)</f>
        <v/>
      </c>
      <c r="AF611">
        <f>1-alpha*MAX(0,delta-AE611)</f>
        <v/>
      </c>
      <c r="AG611">
        <f>AD611*AF611</f>
        <v/>
      </c>
      <c r="AH611">
        <f>1+COUNTIF(bounds,"&lt;"&amp;ROUND(AD611,12))</f>
        <v/>
      </c>
      <c r="AI611">
        <f>1+COUNTIF(bounds,"&lt;"&amp;ROUND(AG611,12))</f>
        <v/>
      </c>
      <c r="AJ611">
        <f>IF(AF611&lt;1,1,0)</f>
        <v/>
      </c>
      <c r="AK611">
        <f>IF(AH611&lt;&gt;AI611,1,0)</f>
        <v/>
      </c>
      <c r="AL611">
        <f>IF(AND(AI611&gt;=3,AB611&lt;=0.2),1,0)</f>
        <v/>
      </c>
      <c r="AM611">
        <f>AVERAGE(W611:AB611)</f>
        <v/>
      </c>
      <c r="AN611">
        <f>1+COUNTIF(bounds,"&lt;"&amp;ROUND(AM611,12))</f>
        <v/>
      </c>
      <c r="AO611">
        <f>IF(AK611=1,AD611,NA())</f>
        <v/>
      </c>
      <c r="AP611">
        <f>IF(AK611=0,AD611,NA())</f>
        <v/>
      </c>
    </row>
    <row r="612">
      <c r="A612" t="n">
        <v>604</v>
      </c>
      <c r="B612" t="n">
        <v>1</v>
      </c>
      <c r="C612" t="n">
        <v>5</v>
      </c>
      <c r="D612" t="n">
        <v>4</v>
      </c>
      <c r="E612" t="n">
        <v>4</v>
      </c>
      <c r="F612" t="n">
        <v>3</v>
      </c>
      <c r="G612" t="n">
        <v>2</v>
      </c>
      <c r="H612" t="n">
        <v>4</v>
      </c>
      <c r="I612" t="n">
        <v>3</v>
      </c>
      <c r="J612" t="n">
        <v>1</v>
      </c>
      <c r="K612" t="n">
        <v>3</v>
      </c>
      <c r="L612" t="n">
        <v>4</v>
      </c>
      <c r="M612" t="n">
        <v>2</v>
      </c>
      <c r="N612" t="n">
        <v>2</v>
      </c>
      <c r="O612" t="n">
        <v>1</v>
      </c>
      <c r="P612" t="n">
        <v>4</v>
      </c>
      <c r="Q612" t="n">
        <v>3</v>
      </c>
      <c r="R612" t="n">
        <v>5</v>
      </c>
      <c r="S612" t="n">
        <v>5</v>
      </c>
      <c r="T612" t="n">
        <v>2</v>
      </c>
      <c r="U612" t="n">
        <v>3</v>
      </c>
      <c r="V612" t="n">
        <v>4</v>
      </c>
      <c r="W612">
        <f>(AVERAGE(B612:D612)-1)/4</f>
        <v/>
      </c>
      <c r="X612">
        <f>(AVERAGE(E612:G612)-1)/4</f>
        <v/>
      </c>
      <c r="Y612">
        <f>(AVERAGE(H612:J612)-1)/4</f>
        <v/>
      </c>
      <c r="Z612">
        <f>(AVERAGE(K612:M612)-1)/4</f>
        <v/>
      </c>
      <c r="AA612">
        <f>(AVERAGE(N612:P612)-1)/4</f>
        <v/>
      </c>
      <c r="AB612">
        <f>(AVERAGE(Q612:S612)-1)/4</f>
        <v/>
      </c>
      <c r="AC612">
        <f>(AVERAGE(T612:V612)-1)/4</f>
        <v/>
      </c>
      <c r="AD612">
        <f>AVERAGE(W612:AA612)</f>
        <v/>
      </c>
      <c r="AE612">
        <f>MIN(W612:AA612)</f>
        <v/>
      </c>
      <c r="AF612">
        <f>1-alpha*MAX(0,delta-AE612)</f>
        <v/>
      </c>
      <c r="AG612">
        <f>AD612*AF612</f>
        <v/>
      </c>
      <c r="AH612">
        <f>1+COUNTIF(bounds,"&lt;"&amp;ROUND(AD612,12))</f>
        <v/>
      </c>
      <c r="AI612">
        <f>1+COUNTIF(bounds,"&lt;"&amp;ROUND(AG612,12))</f>
        <v/>
      </c>
      <c r="AJ612">
        <f>IF(AF612&lt;1,1,0)</f>
        <v/>
      </c>
      <c r="AK612">
        <f>IF(AH612&lt;&gt;AI612,1,0)</f>
        <v/>
      </c>
      <c r="AL612">
        <f>IF(AND(AI612&gt;=3,AB612&lt;=0.2),1,0)</f>
        <v/>
      </c>
      <c r="AM612">
        <f>AVERAGE(W612:AB612)</f>
        <v/>
      </c>
      <c r="AN612">
        <f>1+COUNTIF(bounds,"&lt;"&amp;ROUND(AM612,12))</f>
        <v/>
      </c>
      <c r="AO612">
        <f>IF(AK612=1,AD612,NA())</f>
        <v/>
      </c>
      <c r="AP612">
        <f>IF(AK612=0,AD612,NA())</f>
        <v/>
      </c>
    </row>
    <row r="613">
      <c r="A613" t="n">
        <v>605</v>
      </c>
      <c r="B613" t="n">
        <v>5</v>
      </c>
      <c r="C613" t="n">
        <v>4</v>
      </c>
      <c r="D613" t="n">
        <v>2</v>
      </c>
      <c r="E613" t="n">
        <v>5</v>
      </c>
      <c r="F613" t="n">
        <v>1</v>
      </c>
      <c r="G613" t="n">
        <v>4</v>
      </c>
      <c r="H613" t="n">
        <v>2</v>
      </c>
      <c r="I613" t="n">
        <v>2</v>
      </c>
      <c r="J613" t="n">
        <v>5</v>
      </c>
      <c r="K613" t="n">
        <v>5</v>
      </c>
      <c r="L613" t="n">
        <v>4</v>
      </c>
      <c r="M613" t="n">
        <v>5</v>
      </c>
      <c r="N613" t="n">
        <v>2</v>
      </c>
      <c r="O613" t="n">
        <v>5</v>
      </c>
      <c r="P613" t="n">
        <v>5</v>
      </c>
      <c r="Q613" t="n">
        <v>1</v>
      </c>
      <c r="R613" t="n">
        <v>5</v>
      </c>
      <c r="S613" t="n">
        <v>1</v>
      </c>
      <c r="T613" t="n">
        <v>5</v>
      </c>
      <c r="U613" t="n">
        <v>3</v>
      </c>
      <c r="V613" t="n">
        <v>2</v>
      </c>
      <c r="W613">
        <f>(AVERAGE(B613:D613)-1)/4</f>
        <v/>
      </c>
      <c r="X613">
        <f>(AVERAGE(E613:G613)-1)/4</f>
        <v/>
      </c>
      <c r="Y613">
        <f>(AVERAGE(H613:J613)-1)/4</f>
        <v/>
      </c>
      <c r="Z613">
        <f>(AVERAGE(K613:M613)-1)/4</f>
        <v/>
      </c>
      <c r="AA613">
        <f>(AVERAGE(N613:P613)-1)/4</f>
        <v/>
      </c>
      <c r="AB613">
        <f>(AVERAGE(Q613:S613)-1)/4</f>
        <v/>
      </c>
      <c r="AC613">
        <f>(AVERAGE(T613:V613)-1)/4</f>
        <v/>
      </c>
      <c r="AD613">
        <f>AVERAGE(W613:AA613)</f>
        <v/>
      </c>
      <c r="AE613">
        <f>MIN(W613:AA613)</f>
        <v/>
      </c>
      <c r="AF613">
        <f>1-alpha*MAX(0,delta-AE613)</f>
        <v/>
      </c>
      <c r="AG613">
        <f>AD613*AF613</f>
        <v/>
      </c>
      <c r="AH613">
        <f>1+COUNTIF(bounds,"&lt;"&amp;ROUND(AD613,12))</f>
        <v/>
      </c>
      <c r="AI613">
        <f>1+COUNTIF(bounds,"&lt;"&amp;ROUND(AG613,12))</f>
        <v/>
      </c>
      <c r="AJ613">
        <f>IF(AF613&lt;1,1,0)</f>
        <v/>
      </c>
      <c r="AK613">
        <f>IF(AH613&lt;&gt;AI613,1,0)</f>
        <v/>
      </c>
      <c r="AL613">
        <f>IF(AND(AI613&gt;=3,AB613&lt;=0.2),1,0)</f>
        <v/>
      </c>
      <c r="AM613">
        <f>AVERAGE(W613:AB613)</f>
        <v/>
      </c>
      <c r="AN613">
        <f>1+COUNTIF(bounds,"&lt;"&amp;ROUND(AM613,12))</f>
        <v/>
      </c>
      <c r="AO613">
        <f>IF(AK613=1,AD613,NA())</f>
        <v/>
      </c>
      <c r="AP613">
        <f>IF(AK613=0,AD613,NA())</f>
        <v/>
      </c>
    </row>
    <row r="614">
      <c r="A614" t="n">
        <v>606</v>
      </c>
      <c r="B614" t="n">
        <v>5</v>
      </c>
      <c r="C614" t="n">
        <v>2</v>
      </c>
      <c r="D614" t="n">
        <v>5</v>
      </c>
      <c r="E614" t="n">
        <v>4</v>
      </c>
      <c r="F614" t="n">
        <v>2</v>
      </c>
      <c r="G614" t="n">
        <v>2</v>
      </c>
      <c r="H614" t="n">
        <v>2</v>
      </c>
      <c r="I614" t="n">
        <v>4</v>
      </c>
      <c r="J614" t="n">
        <v>2</v>
      </c>
      <c r="K614" t="n">
        <v>3</v>
      </c>
      <c r="L614" t="n">
        <v>5</v>
      </c>
      <c r="M614" t="n">
        <v>1</v>
      </c>
      <c r="N614" t="n">
        <v>4</v>
      </c>
      <c r="O614" t="n">
        <v>3</v>
      </c>
      <c r="P614" t="n">
        <v>1</v>
      </c>
      <c r="Q614" t="n">
        <v>4</v>
      </c>
      <c r="R614" t="n">
        <v>1</v>
      </c>
      <c r="S614" t="n">
        <v>4</v>
      </c>
      <c r="T614" t="n">
        <v>3</v>
      </c>
      <c r="U614" t="n">
        <v>5</v>
      </c>
      <c r="V614" t="n">
        <v>1</v>
      </c>
      <c r="W614">
        <f>(AVERAGE(B614:D614)-1)/4</f>
        <v/>
      </c>
      <c r="X614">
        <f>(AVERAGE(E614:G614)-1)/4</f>
        <v/>
      </c>
      <c r="Y614">
        <f>(AVERAGE(H614:J614)-1)/4</f>
        <v/>
      </c>
      <c r="Z614">
        <f>(AVERAGE(K614:M614)-1)/4</f>
        <v/>
      </c>
      <c r="AA614">
        <f>(AVERAGE(N614:P614)-1)/4</f>
        <v/>
      </c>
      <c r="AB614">
        <f>(AVERAGE(Q614:S614)-1)/4</f>
        <v/>
      </c>
      <c r="AC614">
        <f>(AVERAGE(T614:V614)-1)/4</f>
        <v/>
      </c>
      <c r="AD614">
        <f>AVERAGE(W614:AA614)</f>
        <v/>
      </c>
      <c r="AE614">
        <f>MIN(W614:AA614)</f>
        <v/>
      </c>
      <c r="AF614">
        <f>1-alpha*MAX(0,delta-AE614)</f>
        <v/>
      </c>
      <c r="AG614">
        <f>AD614*AF614</f>
        <v/>
      </c>
      <c r="AH614">
        <f>1+COUNTIF(bounds,"&lt;"&amp;ROUND(AD614,12))</f>
        <v/>
      </c>
      <c r="AI614">
        <f>1+COUNTIF(bounds,"&lt;"&amp;ROUND(AG614,12))</f>
        <v/>
      </c>
      <c r="AJ614">
        <f>IF(AF614&lt;1,1,0)</f>
        <v/>
      </c>
      <c r="AK614">
        <f>IF(AH614&lt;&gt;AI614,1,0)</f>
        <v/>
      </c>
      <c r="AL614">
        <f>IF(AND(AI614&gt;=3,AB614&lt;=0.2),1,0)</f>
        <v/>
      </c>
      <c r="AM614">
        <f>AVERAGE(W614:AB614)</f>
        <v/>
      </c>
      <c r="AN614">
        <f>1+COUNTIF(bounds,"&lt;"&amp;ROUND(AM614,12))</f>
        <v/>
      </c>
      <c r="AO614">
        <f>IF(AK614=1,AD614,NA())</f>
        <v/>
      </c>
      <c r="AP614">
        <f>IF(AK614=0,AD614,NA())</f>
        <v/>
      </c>
    </row>
    <row r="615">
      <c r="A615" t="n">
        <v>607</v>
      </c>
      <c r="B615" t="n">
        <v>2</v>
      </c>
      <c r="C615" t="n">
        <v>3</v>
      </c>
      <c r="D615" t="n">
        <v>4</v>
      </c>
      <c r="E615" t="n">
        <v>3</v>
      </c>
      <c r="F615" t="n">
        <v>5</v>
      </c>
      <c r="G615" t="n">
        <v>4</v>
      </c>
      <c r="H615" t="n">
        <v>1</v>
      </c>
      <c r="I615" t="n">
        <v>4</v>
      </c>
      <c r="J615" t="n">
        <v>3</v>
      </c>
      <c r="K615" t="n">
        <v>3</v>
      </c>
      <c r="L615" t="n">
        <v>4</v>
      </c>
      <c r="M615" t="n">
        <v>5</v>
      </c>
      <c r="N615" t="n">
        <v>1</v>
      </c>
      <c r="O615" t="n">
        <v>2</v>
      </c>
      <c r="P615" t="n">
        <v>5</v>
      </c>
      <c r="Q615" t="n">
        <v>4</v>
      </c>
      <c r="R615" t="n">
        <v>1</v>
      </c>
      <c r="S615" t="n">
        <v>1</v>
      </c>
      <c r="T615" t="n">
        <v>4</v>
      </c>
      <c r="U615" t="n">
        <v>2</v>
      </c>
      <c r="V615" t="n">
        <v>1</v>
      </c>
      <c r="W615">
        <f>(AVERAGE(B615:D615)-1)/4</f>
        <v/>
      </c>
      <c r="X615">
        <f>(AVERAGE(E615:G615)-1)/4</f>
        <v/>
      </c>
      <c r="Y615">
        <f>(AVERAGE(H615:J615)-1)/4</f>
        <v/>
      </c>
      <c r="Z615">
        <f>(AVERAGE(K615:M615)-1)/4</f>
        <v/>
      </c>
      <c r="AA615">
        <f>(AVERAGE(N615:P615)-1)/4</f>
        <v/>
      </c>
      <c r="AB615">
        <f>(AVERAGE(Q615:S615)-1)/4</f>
        <v/>
      </c>
      <c r="AC615">
        <f>(AVERAGE(T615:V615)-1)/4</f>
        <v/>
      </c>
      <c r="AD615">
        <f>AVERAGE(W615:AA615)</f>
        <v/>
      </c>
      <c r="AE615">
        <f>MIN(W615:AA615)</f>
        <v/>
      </c>
      <c r="AF615">
        <f>1-alpha*MAX(0,delta-AE615)</f>
        <v/>
      </c>
      <c r="AG615">
        <f>AD615*AF615</f>
        <v/>
      </c>
      <c r="AH615">
        <f>1+COUNTIF(bounds,"&lt;"&amp;ROUND(AD615,12))</f>
        <v/>
      </c>
      <c r="AI615">
        <f>1+COUNTIF(bounds,"&lt;"&amp;ROUND(AG615,12))</f>
        <v/>
      </c>
      <c r="AJ615">
        <f>IF(AF615&lt;1,1,0)</f>
        <v/>
      </c>
      <c r="AK615">
        <f>IF(AH615&lt;&gt;AI615,1,0)</f>
        <v/>
      </c>
      <c r="AL615">
        <f>IF(AND(AI615&gt;=3,AB615&lt;=0.2),1,0)</f>
        <v/>
      </c>
      <c r="AM615">
        <f>AVERAGE(W615:AB615)</f>
        <v/>
      </c>
      <c r="AN615">
        <f>1+COUNTIF(bounds,"&lt;"&amp;ROUND(AM615,12))</f>
        <v/>
      </c>
      <c r="AO615">
        <f>IF(AK615=1,AD615,NA())</f>
        <v/>
      </c>
      <c r="AP615">
        <f>IF(AK615=0,AD615,NA())</f>
        <v/>
      </c>
    </row>
    <row r="616">
      <c r="A616" t="n">
        <v>608</v>
      </c>
      <c r="B616" t="n">
        <v>2</v>
      </c>
      <c r="C616" t="n">
        <v>3</v>
      </c>
      <c r="D616" t="n">
        <v>2</v>
      </c>
      <c r="E616" t="n">
        <v>1</v>
      </c>
      <c r="F616" t="n">
        <v>2</v>
      </c>
      <c r="G616" t="n">
        <v>4</v>
      </c>
      <c r="H616" t="n">
        <v>2</v>
      </c>
      <c r="I616" t="n">
        <v>1</v>
      </c>
      <c r="J616" t="n">
        <v>1</v>
      </c>
      <c r="K616" t="n">
        <v>4</v>
      </c>
      <c r="L616" t="n">
        <v>2</v>
      </c>
      <c r="M616" t="n">
        <v>1</v>
      </c>
      <c r="N616" t="n">
        <v>5</v>
      </c>
      <c r="O616" t="n">
        <v>1</v>
      </c>
      <c r="P616" t="n">
        <v>5</v>
      </c>
      <c r="Q616" t="n">
        <v>5</v>
      </c>
      <c r="R616" t="n">
        <v>4</v>
      </c>
      <c r="S616" t="n">
        <v>3</v>
      </c>
      <c r="T616" t="n">
        <v>4</v>
      </c>
      <c r="U616" t="n">
        <v>4</v>
      </c>
      <c r="V616" t="n">
        <v>2</v>
      </c>
      <c r="W616">
        <f>(AVERAGE(B616:D616)-1)/4</f>
        <v/>
      </c>
      <c r="X616">
        <f>(AVERAGE(E616:G616)-1)/4</f>
        <v/>
      </c>
      <c r="Y616">
        <f>(AVERAGE(H616:J616)-1)/4</f>
        <v/>
      </c>
      <c r="Z616">
        <f>(AVERAGE(K616:M616)-1)/4</f>
        <v/>
      </c>
      <c r="AA616">
        <f>(AVERAGE(N616:P616)-1)/4</f>
        <v/>
      </c>
      <c r="AB616">
        <f>(AVERAGE(Q616:S616)-1)/4</f>
        <v/>
      </c>
      <c r="AC616">
        <f>(AVERAGE(T616:V616)-1)/4</f>
        <v/>
      </c>
      <c r="AD616">
        <f>AVERAGE(W616:AA616)</f>
        <v/>
      </c>
      <c r="AE616">
        <f>MIN(W616:AA616)</f>
        <v/>
      </c>
      <c r="AF616">
        <f>1-alpha*MAX(0,delta-AE616)</f>
        <v/>
      </c>
      <c r="AG616">
        <f>AD616*AF616</f>
        <v/>
      </c>
      <c r="AH616">
        <f>1+COUNTIF(bounds,"&lt;"&amp;ROUND(AD616,12))</f>
        <v/>
      </c>
      <c r="AI616">
        <f>1+COUNTIF(bounds,"&lt;"&amp;ROUND(AG616,12))</f>
        <v/>
      </c>
      <c r="AJ616">
        <f>IF(AF616&lt;1,1,0)</f>
        <v/>
      </c>
      <c r="AK616">
        <f>IF(AH616&lt;&gt;AI616,1,0)</f>
        <v/>
      </c>
      <c r="AL616">
        <f>IF(AND(AI616&gt;=3,AB616&lt;=0.2),1,0)</f>
        <v/>
      </c>
      <c r="AM616">
        <f>AVERAGE(W616:AB616)</f>
        <v/>
      </c>
      <c r="AN616">
        <f>1+COUNTIF(bounds,"&lt;"&amp;ROUND(AM616,12))</f>
        <v/>
      </c>
      <c r="AO616">
        <f>IF(AK616=1,AD616,NA())</f>
        <v/>
      </c>
      <c r="AP616">
        <f>IF(AK616=0,AD616,NA())</f>
        <v/>
      </c>
    </row>
    <row r="617">
      <c r="A617" t="n">
        <v>609</v>
      </c>
      <c r="B617" t="n">
        <v>1</v>
      </c>
      <c r="C617" t="n">
        <v>3</v>
      </c>
      <c r="D617" t="n">
        <v>3</v>
      </c>
      <c r="E617" t="n">
        <v>1</v>
      </c>
      <c r="F617" t="n">
        <v>5</v>
      </c>
      <c r="G617" t="n">
        <v>5</v>
      </c>
      <c r="H617" t="n">
        <v>5</v>
      </c>
      <c r="I617" t="n">
        <v>1</v>
      </c>
      <c r="J617" t="n">
        <v>1</v>
      </c>
      <c r="K617" t="n">
        <v>2</v>
      </c>
      <c r="L617" t="n">
        <v>2</v>
      </c>
      <c r="M617" t="n">
        <v>1</v>
      </c>
      <c r="N617" t="n">
        <v>3</v>
      </c>
      <c r="O617" t="n">
        <v>1</v>
      </c>
      <c r="P617" t="n">
        <v>3</v>
      </c>
      <c r="Q617" t="n">
        <v>4</v>
      </c>
      <c r="R617" t="n">
        <v>4</v>
      </c>
      <c r="S617" t="n">
        <v>5</v>
      </c>
      <c r="T617" t="n">
        <v>4</v>
      </c>
      <c r="U617" t="n">
        <v>5</v>
      </c>
      <c r="V617" t="n">
        <v>1</v>
      </c>
      <c r="W617">
        <f>(AVERAGE(B617:D617)-1)/4</f>
        <v/>
      </c>
      <c r="X617">
        <f>(AVERAGE(E617:G617)-1)/4</f>
        <v/>
      </c>
      <c r="Y617">
        <f>(AVERAGE(H617:J617)-1)/4</f>
        <v/>
      </c>
      <c r="Z617">
        <f>(AVERAGE(K617:M617)-1)/4</f>
        <v/>
      </c>
      <c r="AA617">
        <f>(AVERAGE(N617:P617)-1)/4</f>
        <v/>
      </c>
      <c r="AB617">
        <f>(AVERAGE(Q617:S617)-1)/4</f>
        <v/>
      </c>
      <c r="AC617">
        <f>(AVERAGE(T617:V617)-1)/4</f>
        <v/>
      </c>
      <c r="AD617">
        <f>AVERAGE(W617:AA617)</f>
        <v/>
      </c>
      <c r="AE617">
        <f>MIN(W617:AA617)</f>
        <v/>
      </c>
      <c r="AF617">
        <f>1-alpha*MAX(0,delta-AE617)</f>
        <v/>
      </c>
      <c r="AG617">
        <f>AD617*AF617</f>
        <v/>
      </c>
      <c r="AH617">
        <f>1+COUNTIF(bounds,"&lt;"&amp;ROUND(AD617,12))</f>
        <v/>
      </c>
      <c r="AI617">
        <f>1+COUNTIF(bounds,"&lt;"&amp;ROUND(AG617,12))</f>
        <v/>
      </c>
      <c r="AJ617">
        <f>IF(AF617&lt;1,1,0)</f>
        <v/>
      </c>
      <c r="AK617">
        <f>IF(AH617&lt;&gt;AI617,1,0)</f>
        <v/>
      </c>
      <c r="AL617">
        <f>IF(AND(AI617&gt;=3,AB617&lt;=0.2),1,0)</f>
        <v/>
      </c>
      <c r="AM617">
        <f>AVERAGE(W617:AB617)</f>
        <v/>
      </c>
      <c r="AN617">
        <f>1+COUNTIF(bounds,"&lt;"&amp;ROUND(AM617,12))</f>
        <v/>
      </c>
      <c r="AO617">
        <f>IF(AK617=1,AD617,NA())</f>
        <v/>
      </c>
      <c r="AP617">
        <f>IF(AK617=0,AD617,NA())</f>
        <v/>
      </c>
    </row>
    <row r="618">
      <c r="A618" t="n">
        <v>610</v>
      </c>
      <c r="B618" t="n">
        <v>2</v>
      </c>
      <c r="C618" t="n">
        <v>2</v>
      </c>
      <c r="D618" t="n">
        <v>1</v>
      </c>
      <c r="E618" t="n">
        <v>3</v>
      </c>
      <c r="F618" t="n">
        <v>3</v>
      </c>
      <c r="G618" t="n">
        <v>3</v>
      </c>
      <c r="H618" t="n">
        <v>3</v>
      </c>
      <c r="I618" t="n">
        <v>5</v>
      </c>
      <c r="J618" t="n">
        <v>4</v>
      </c>
      <c r="K618" t="n">
        <v>3</v>
      </c>
      <c r="L618" t="n">
        <v>4</v>
      </c>
      <c r="M618" t="n">
        <v>5</v>
      </c>
      <c r="N618" t="n">
        <v>3</v>
      </c>
      <c r="O618" t="n">
        <v>5</v>
      </c>
      <c r="P618" t="n">
        <v>5</v>
      </c>
      <c r="Q618" t="n">
        <v>1</v>
      </c>
      <c r="R618" t="n">
        <v>4</v>
      </c>
      <c r="S618" t="n">
        <v>3</v>
      </c>
      <c r="T618" t="n">
        <v>4</v>
      </c>
      <c r="U618" t="n">
        <v>3</v>
      </c>
      <c r="V618" t="n">
        <v>5</v>
      </c>
      <c r="W618">
        <f>(AVERAGE(B618:D618)-1)/4</f>
        <v/>
      </c>
      <c r="X618">
        <f>(AVERAGE(E618:G618)-1)/4</f>
        <v/>
      </c>
      <c r="Y618">
        <f>(AVERAGE(H618:J618)-1)/4</f>
        <v/>
      </c>
      <c r="Z618">
        <f>(AVERAGE(K618:M618)-1)/4</f>
        <v/>
      </c>
      <c r="AA618">
        <f>(AVERAGE(N618:P618)-1)/4</f>
        <v/>
      </c>
      <c r="AB618">
        <f>(AVERAGE(Q618:S618)-1)/4</f>
        <v/>
      </c>
      <c r="AC618">
        <f>(AVERAGE(T618:V618)-1)/4</f>
        <v/>
      </c>
      <c r="AD618">
        <f>AVERAGE(W618:AA618)</f>
        <v/>
      </c>
      <c r="AE618">
        <f>MIN(W618:AA618)</f>
        <v/>
      </c>
      <c r="AF618">
        <f>1-alpha*MAX(0,delta-AE618)</f>
        <v/>
      </c>
      <c r="AG618">
        <f>AD618*AF618</f>
        <v/>
      </c>
      <c r="AH618">
        <f>1+COUNTIF(bounds,"&lt;"&amp;ROUND(AD618,12))</f>
        <v/>
      </c>
      <c r="AI618">
        <f>1+COUNTIF(bounds,"&lt;"&amp;ROUND(AG618,12))</f>
        <v/>
      </c>
      <c r="AJ618">
        <f>IF(AF618&lt;1,1,0)</f>
        <v/>
      </c>
      <c r="AK618">
        <f>IF(AH618&lt;&gt;AI618,1,0)</f>
        <v/>
      </c>
      <c r="AL618">
        <f>IF(AND(AI618&gt;=3,AB618&lt;=0.2),1,0)</f>
        <v/>
      </c>
      <c r="AM618">
        <f>AVERAGE(W618:AB618)</f>
        <v/>
      </c>
      <c r="AN618">
        <f>1+COUNTIF(bounds,"&lt;"&amp;ROUND(AM618,12))</f>
        <v/>
      </c>
      <c r="AO618">
        <f>IF(AK618=1,AD618,NA())</f>
        <v/>
      </c>
      <c r="AP618">
        <f>IF(AK618=0,AD618,NA())</f>
        <v/>
      </c>
    </row>
    <row r="619">
      <c r="A619" t="n">
        <v>611</v>
      </c>
      <c r="B619" t="n">
        <v>2</v>
      </c>
      <c r="C619" t="n">
        <v>4</v>
      </c>
      <c r="D619" t="n">
        <v>3</v>
      </c>
      <c r="E619" t="n">
        <v>2</v>
      </c>
      <c r="F619" t="n">
        <v>2</v>
      </c>
      <c r="G619" t="n">
        <v>4</v>
      </c>
      <c r="H619" t="n">
        <v>4</v>
      </c>
      <c r="I619" t="n">
        <v>5</v>
      </c>
      <c r="J619" t="n">
        <v>3</v>
      </c>
      <c r="K619" t="n">
        <v>1</v>
      </c>
      <c r="L619" t="n">
        <v>2</v>
      </c>
      <c r="M619" t="n">
        <v>4</v>
      </c>
      <c r="N619" t="n">
        <v>2</v>
      </c>
      <c r="O619" t="n">
        <v>4</v>
      </c>
      <c r="P619" t="n">
        <v>1</v>
      </c>
      <c r="Q619" t="n">
        <v>4</v>
      </c>
      <c r="R619" t="n">
        <v>1</v>
      </c>
      <c r="S619" t="n">
        <v>1</v>
      </c>
      <c r="T619" t="n">
        <v>1</v>
      </c>
      <c r="U619" t="n">
        <v>1</v>
      </c>
      <c r="V619" t="n">
        <v>4</v>
      </c>
      <c r="W619">
        <f>(AVERAGE(B619:D619)-1)/4</f>
        <v/>
      </c>
      <c r="X619">
        <f>(AVERAGE(E619:G619)-1)/4</f>
        <v/>
      </c>
      <c r="Y619">
        <f>(AVERAGE(H619:J619)-1)/4</f>
        <v/>
      </c>
      <c r="Z619">
        <f>(AVERAGE(K619:M619)-1)/4</f>
        <v/>
      </c>
      <c r="AA619">
        <f>(AVERAGE(N619:P619)-1)/4</f>
        <v/>
      </c>
      <c r="AB619">
        <f>(AVERAGE(Q619:S619)-1)/4</f>
        <v/>
      </c>
      <c r="AC619">
        <f>(AVERAGE(T619:V619)-1)/4</f>
        <v/>
      </c>
      <c r="AD619">
        <f>AVERAGE(W619:AA619)</f>
        <v/>
      </c>
      <c r="AE619">
        <f>MIN(W619:AA619)</f>
        <v/>
      </c>
      <c r="AF619">
        <f>1-alpha*MAX(0,delta-AE619)</f>
        <v/>
      </c>
      <c r="AG619">
        <f>AD619*AF619</f>
        <v/>
      </c>
      <c r="AH619">
        <f>1+COUNTIF(bounds,"&lt;"&amp;ROUND(AD619,12))</f>
        <v/>
      </c>
      <c r="AI619">
        <f>1+COUNTIF(bounds,"&lt;"&amp;ROUND(AG619,12))</f>
        <v/>
      </c>
      <c r="AJ619">
        <f>IF(AF619&lt;1,1,0)</f>
        <v/>
      </c>
      <c r="AK619">
        <f>IF(AH619&lt;&gt;AI619,1,0)</f>
        <v/>
      </c>
      <c r="AL619">
        <f>IF(AND(AI619&gt;=3,AB619&lt;=0.2),1,0)</f>
        <v/>
      </c>
      <c r="AM619">
        <f>AVERAGE(W619:AB619)</f>
        <v/>
      </c>
      <c r="AN619">
        <f>1+COUNTIF(bounds,"&lt;"&amp;ROUND(AM619,12))</f>
        <v/>
      </c>
      <c r="AO619">
        <f>IF(AK619=1,AD619,NA())</f>
        <v/>
      </c>
      <c r="AP619">
        <f>IF(AK619=0,AD619,NA())</f>
        <v/>
      </c>
    </row>
    <row r="620">
      <c r="A620" t="n">
        <v>612</v>
      </c>
      <c r="B620" t="n">
        <v>1</v>
      </c>
      <c r="C620" t="n">
        <v>1</v>
      </c>
      <c r="D620" t="n">
        <v>3</v>
      </c>
      <c r="E620" t="n">
        <v>1</v>
      </c>
      <c r="F620" t="n">
        <v>4</v>
      </c>
      <c r="G620" t="n">
        <v>5</v>
      </c>
      <c r="H620" t="n">
        <v>5</v>
      </c>
      <c r="I620" t="n">
        <v>3</v>
      </c>
      <c r="J620" t="n">
        <v>4</v>
      </c>
      <c r="K620" t="n">
        <v>4</v>
      </c>
      <c r="L620" t="n">
        <v>4</v>
      </c>
      <c r="M620" t="n">
        <v>2</v>
      </c>
      <c r="N620" t="n">
        <v>4</v>
      </c>
      <c r="O620" t="n">
        <v>2</v>
      </c>
      <c r="P620" t="n">
        <v>2</v>
      </c>
      <c r="Q620" t="n">
        <v>2</v>
      </c>
      <c r="R620" t="n">
        <v>1</v>
      </c>
      <c r="S620" t="n">
        <v>1</v>
      </c>
      <c r="T620" t="n">
        <v>4</v>
      </c>
      <c r="U620" t="n">
        <v>5</v>
      </c>
      <c r="V620" t="n">
        <v>5</v>
      </c>
      <c r="W620">
        <f>(AVERAGE(B620:D620)-1)/4</f>
        <v/>
      </c>
      <c r="X620">
        <f>(AVERAGE(E620:G620)-1)/4</f>
        <v/>
      </c>
      <c r="Y620">
        <f>(AVERAGE(H620:J620)-1)/4</f>
        <v/>
      </c>
      <c r="Z620">
        <f>(AVERAGE(K620:M620)-1)/4</f>
        <v/>
      </c>
      <c r="AA620">
        <f>(AVERAGE(N620:P620)-1)/4</f>
        <v/>
      </c>
      <c r="AB620">
        <f>(AVERAGE(Q620:S620)-1)/4</f>
        <v/>
      </c>
      <c r="AC620">
        <f>(AVERAGE(T620:V620)-1)/4</f>
        <v/>
      </c>
      <c r="AD620">
        <f>AVERAGE(W620:AA620)</f>
        <v/>
      </c>
      <c r="AE620">
        <f>MIN(W620:AA620)</f>
        <v/>
      </c>
      <c r="AF620">
        <f>1-alpha*MAX(0,delta-AE620)</f>
        <v/>
      </c>
      <c r="AG620">
        <f>AD620*AF620</f>
        <v/>
      </c>
      <c r="AH620">
        <f>1+COUNTIF(bounds,"&lt;"&amp;ROUND(AD620,12))</f>
        <v/>
      </c>
      <c r="AI620">
        <f>1+COUNTIF(bounds,"&lt;"&amp;ROUND(AG620,12))</f>
        <v/>
      </c>
      <c r="AJ620">
        <f>IF(AF620&lt;1,1,0)</f>
        <v/>
      </c>
      <c r="AK620">
        <f>IF(AH620&lt;&gt;AI620,1,0)</f>
        <v/>
      </c>
      <c r="AL620">
        <f>IF(AND(AI620&gt;=3,AB620&lt;=0.2),1,0)</f>
        <v/>
      </c>
      <c r="AM620">
        <f>AVERAGE(W620:AB620)</f>
        <v/>
      </c>
      <c r="AN620">
        <f>1+COUNTIF(bounds,"&lt;"&amp;ROUND(AM620,12))</f>
        <v/>
      </c>
      <c r="AO620">
        <f>IF(AK620=1,AD620,NA())</f>
        <v/>
      </c>
      <c r="AP620">
        <f>IF(AK620=0,AD620,NA())</f>
        <v/>
      </c>
    </row>
    <row r="621">
      <c r="A621" t="n">
        <v>613</v>
      </c>
      <c r="B621" t="n">
        <v>3</v>
      </c>
      <c r="C621" t="n">
        <v>3</v>
      </c>
      <c r="D621" t="n">
        <v>3</v>
      </c>
      <c r="E621" t="n">
        <v>2</v>
      </c>
      <c r="F621" t="n">
        <v>2</v>
      </c>
      <c r="G621" t="n">
        <v>5</v>
      </c>
      <c r="H621" t="n">
        <v>4</v>
      </c>
      <c r="I621" t="n">
        <v>3</v>
      </c>
      <c r="J621" t="n">
        <v>3</v>
      </c>
      <c r="K621" t="n">
        <v>2</v>
      </c>
      <c r="L621" t="n">
        <v>1</v>
      </c>
      <c r="M621" t="n">
        <v>2</v>
      </c>
      <c r="N621" t="n">
        <v>1</v>
      </c>
      <c r="O621" t="n">
        <v>4</v>
      </c>
      <c r="P621" t="n">
        <v>5</v>
      </c>
      <c r="Q621" t="n">
        <v>1</v>
      </c>
      <c r="R621" t="n">
        <v>5</v>
      </c>
      <c r="S621" t="n">
        <v>1</v>
      </c>
      <c r="T621" t="n">
        <v>3</v>
      </c>
      <c r="U621" t="n">
        <v>5</v>
      </c>
      <c r="V621" t="n">
        <v>4</v>
      </c>
      <c r="W621">
        <f>(AVERAGE(B621:D621)-1)/4</f>
        <v/>
      </c>
      <c r="X621">
        <f>(AVERAGE(E621:G621)-1)/4</f>
        <v/>
      </c>
      <c r="Y621">
        <f>(AVERAGE(H621:J621)-1)/4</f>
        <v/>
      </c>
      <c r="Z621">
        <f>(AVERAGE(K621:M621)-1)/4</f>
        <v/>
      </c>
      <c r="AA621">
        <f>(AVERAGE(N621:P621)-1)/4</f>
        <v/>
      </c>
      <c r="AB621">
        <f>(AVERAGE(Q621:S621)-1)/4</f>
        <v/>
      </c>
      <c r="AC621">
        <f>(AVERAGE(T621:V621)-1)/4</f>
        <v/>
      </c>
      <c r="AD621">
        <f>AVERAGE(W621:AA621)</f>
        <v/>
      </c>
      <c r="AE621">
        <f>MIN(W621:AA621)</f>
        <v/>
      </c>
      <c r="AF621">
        <f>1-alpha*MAX(0,delta-AE621)</f>
        <v/>
      </c>
      <c r="AG621">
        <f>AD621*AF621</f>
        <v/>
      </c>
      <c r="AH621">
        <f>1+COUNTIF(bounds,"&lt;"&amp;ROUND(AD621,12))</f>
        <v/>
      </c>
      <c r="AI621">
        <f>1+COUNTIF(bounds,"&lt;"&amp;ROUND(AG621,12))</f>
        <v/>
      </c>
      <c r="AJ621">
        <f>IF(AF621&lt;1,1,0)</f>
        <v/>
      </c>
      <c r="AK621">
        <f>IF(AH621&lt;&gt;AI621,1,0)</f>
        <v/>
      </c>
      <c r="AL621">
        <f>IF(AND(AI621&gt;=3,AB621&lt;=0.2),1,0)</f>
        <v/>
      </c>
      <c r="AM621">
        <f>AVERAGE(W621:AB621)</f>
        <v/>
      </c>
      <c r="AN621">
        <f>1+COUNTIF(bounds,"&lt;"&amp;ROUND(AM621,12))</f>
        <v/>
      </c>
      <c r="AO621">
        <f>IF(AK621=1,AD621,NA())</f>
        <v/>
      </c>
      <c r="AP621">
        <f>IF(AK621=0,AD621,NA())</f>
        <v/>
      </c>
    </row>
    <row r="622">
      <c r="A622" t="n">
        <v>614</v>
      </c>
      <c r="B622" t="n">
        <v>2</v>
      </c>
      <c r="C622" t="n">
        <v>2</v>
      </c>
      <c r="D622" t="n">
        <v>2</v>
      </c>
      <c r="E622" t="n">
        <v>3</v>
      </c>
      <c r="F622" t="n">
        <v>2</v>
      </c>
      <c r="G622" t="n">
        <v>1</v>
      </c>
      <c r="H622" t="n">
        <v>4</v>
      </c>
      <c r="I622" t="n">
        <v>1</v>
      </c>
      <c r="J622" t="n">
        <v>2</v>
      </c>
      <c r="K622" t="n">
        <v>2</v>
      </c>
      <c r="L622" t="n">
        <v>2</v>
      </c>
      <c r="M622" t="n">
        <v>1</v>
      </c>
      <c r="N622" t="n">
        <v>2</v>
      </c>
      <c r="O622" t="n">
        <v>3</v>
      </c>
      <c r="P622" t="n">
        <v>2</v>
      </c>
      <c r="Q622" t="n">
        <v>4</v>
      </c>
      <c r="R622" t="n">
        <v>5</v>
      </c>
      <c r="S622" t="n">
        <v>5</v>
      </c>
      <c r="T622" t="n">
        <v>5</v>
      </c>
      <c r="U622" t="n">
        <v>2</v>
      </c>
      <c r="V622" t="n">
        <v>4</v>
      </c>
      <c r="W622">
        <f>(AVERAGE(B622:D622)-1)/4</f>
        <v/>
      </c>
      <c r="X622">
        <f>(AVERAGE(E622:G622)-1)/4</f>
        <v/>
      </c>
      <c r="Y622">
        <f>(AVERAGE(H622:J622)-1)/4</f>
        <v/>
      </c>
      <c r="Z622">
        <f>(AVERAGE(K622:M622)-1)/4</f>
        <v/>
      </c>
      <c r="AA622">
        <f>(AVERAGE(N622:P622)-1)/4</f>
        <v/>
      </c>
      <c r="AB622">
        <f>(AVERAGE(Q622:S622)-1)/4</f>
        <v/>
      </c>
      <c r="AC622">
        <f>(AVERAGE(T622:V622)-1)/4</f>
        <v/>
      </c>
      <c r="AD622">
        <f>AVERAGE(W622:AA622)</f>
        <v/>
      </c>
      <c r="AE622">
        <f>MIN(W622:AA622)</f>
        <v/>
      </c>
      <c r="AF622">
        <f>1-alpha*MAX(0,delta-AE622)</f>
        <v/>
      </c>
      <c r="AG622">
        <f>AD622*AF622</f>
        <v/>
      </c>
      <c r="AH622">
        <f>1+COUNTIF(bounds,"&lt;"&amp;ROUND(AD622,12))</f>
        <v/>
      </c>
      <c r="AI622">
        <f>1+COUNTIF(bounds,"&lt;"&amp;ROUND(AG622,12))</f>
        <v/>
      </c>
      <c r="AJ622">
        <f>IF(AF622&lt;1,1,0)</f>
        <v/>
      </c>
      <c r="AK622">
        <f>IF(AH622&lt;&gt;AI622,1,0)</f>
        <v/>
      </c>
      <c r="AL622">
        <f>IF(AND(AI622&gt;=3,AB622&lt;=0.2),1,0)</f>
        <v/>
      </c>
      <c r="AM622">
        <f>AVERAGE(W622:AB622)</f>
        <v/>
      </c>
      <c r="AN622">
        <f>1+COUNTIF(bounds,"&lt;"&amp;ROUND(AM622,12))</f>
        <v/>
      </c>
      <c r="AO622">
        <f>IF(AK622=1,AD622,NA())</f>
        <v/>
      </c>
      <c r="AP622">
        <f>IF(AK622=0,AD622,NA())</f>
        <v/>
      </c>
    </row>
    <row r="623">
      <c r="A623" t="n">
        <v>615</v>
      </c>
      <c r="B623" t="n">
        <v>4</v>
      </c>
      <c r="C623" t="n">
        <v>1</v>
      </c>
      <c r="D623" t="n">
        <v>4</v>
      </c>
      <c r="E623" t="n">
        <v>3</v>
      </c>
      <c r="F623" t="n">
        <v>3</v>
      </c>
      <c r="G623" t="n">
        <v>5</v>
      </c>
      <c r="H623" t="n">
        <v>3</v>
      </c>
      <c r="I623" t="n">
        <v>3</v>
      </c>
      <c r="J623" t="n">
        <v>4</v>
      </c>
      <c r="K623" t="n">
        <v>2</v>
      </c>
      <c r="L623" t="n">
        <v>3</v>
      </c>
      <c r="M623" t="n">
        <v>1</v>
      </c>
      <c r="N623" t="n">
        <v>4</v>
      </c>
      <c r="O623" t="n">
        <v>1</v>
      </c>
      <c r="P623" t="n">
        <v>5</v>
      </c>
      <c r="Q623" t="n">
        <v>2</v>
      </c>
      <c r="R623" t="n">
        <v>1</v>
      </c>
      <c r="S623" t="n">
        <v>5</v>
      </c>
      <c r="T623" t="n">
        <v>1</v>
      </c>
      <c r="U623" t="n">
        <v>1</v>
      </c>
      <c r="V623" t="n">
        <v>3</v>
      </c>
      <c r="W623">
        <f>(AVERAGE(B623:D623)-1)/4</f>
        <v/>
      </c>
      <c r="X623">
        <f>(AVERAGE(E623:G623)-1)/4</f>
        <v/>
      </c>
      <c r="Y623">
        <f>(AVERAGE(H623:J623)-1)/4</f>
        <v/>
      </c>
      <c r="Z623">
        <f>(AVERAGE(K623:M623)-1)/4</f>
        <v/>
      </c>
      <c r="AA623">
        <f>(AVERAGE(N623:P623)-1)/4</f>
        <v/>
      </c>
      <c r="AB623">
        <f>(AVERAGE(Q623:S623)-1)/4</f>
        <v/>
      </c>
      <c r="AC623">
        <f>(AVERAGE(T623:V623)-1)/4</f>
        <v/>
      </c>
      <c r="AD623">
        <f>AVERAGE(W623:AA623)</f>
        <v/>
      </c>
      <c r="AE623">
        <f>MIN(W623:AA623)</f>
        <v/>
      </c>
      <c r="AF623">
        <f>1-alpha*MAX(0,delta-AE623)</f>
        <v/>
      </c>
      <c r="AG623">
        <f>AD623*AF623</f>
        <v/>
      </c>
      <c r="AH623">
        <f>1+COUNTIF(bounds,"&lt;"&amp;ROUND(AD623,12))</f>
        <v/>
      </c>
      <c r="AI623">
        <f>1+COUNTIF(bounds,"&lt;"&amp;ROUND(AG623,12))</f>
        <v/>
      </c>
      <c r="AJ623">
        <f>IF(AF623&lt;1,1,0)</f>
        <v/>
      </c>
      <c r="AK623">
        <f>IF(AH623&lt;&gt;AI623,1,0)</f>
        <v/>
      </c>
      <c r="AL623">
        <f>IF(AND(AI623&gt;=3,AB623&lt;=0.2),1,0)</f>
        <v/>
      </c>
      <c r="AM623">
        <f>AVERAGE(W623:AB623)</f>
        <v/>
      </c>
      <c r="AN623">
        <f>1+COUNTIF(bounds,"&lt;"&amp;ROUND(AM623,12))</f>
        <v/>
      </c>
      <c r="AO623">
        <f>IF(AK623=1,AD623,NA())</f>
        <v/>
      </c>
      <c r="AP623">
        <f>IF(AK623=0,AD623,NA())</f>
        <v/>
      </c>
    </row>
    <row r="624">
      <c r="A624" t="n">
        <v>616</v>
      </c>
      <c r="B624" t="n">
        <v>5</v>
      </c>
      <c r="C624" t="n">
        <v>2</v>
      </c>
      <c r="D624" t="n">
        <v>1</v>
      </c>
      <c r="E624" t="n">
        <v>4</v>
      </c>
      <c r="F624" t="n">
        <v>4</v>
      </c>
      <c r="G624" t="n">
        <v>4</v>
      </c>
      <c r="H624" t="n">
        <v>4</v>
      </c>
      <c r="I624" t="n">
        <v>2</v>
      </c>
      <c r="J624" t="n">
        <v>3</v>
      </c>
      <c r="K624" t="n">
        <v>1</v>
      </c>
      <c r="L624" t="n">
        <v>5</v>
      </c>
      <c r="M624" t="n">
        <v>5</v>
      </c>
      <c r="N624" t="n">
        <v>2</v>
      </c>
      <c r="O624" t="n">
        <v>2</v>
      </c>
      <c r="P624" t="n">
        <v>1</v>
      </c>
      <c r="Q624" t="n">
        <v>5</v>
      </c>
      <c r="R624" t="n">
        <v>4</v>
      </c>
      <c r="S624" t="n">
        <v>1</v>
      </c>
      <c r="T624" t="n">
        <v>3</v>
      </c>
      <c r="U624" t="n">
        <v>1</v>
      </c>
      <c r="V624" t="n">
        <v>1</v>
      </c>
      <c r="W624">
        <f>(AVERAGE(B624:D624)-1)/4</f>
        <v/>
      </c>
      <c r="X624">
        <f>(AVERAGE(E624:G624)-1)/4</f>
        <v/>
      </c>
      <c r="Y624">
        <f>(AVERAGE(H624:J624)-1)/4</f>
        <v/>
      </c>
      <c r="Z624">
        <f>(AVERAGE(K624:M624)-1)/4</f>
        <v/>
      </c>
      <c r="AA624">
        <f>(AVERAGE(N624:P624)-1)/4</f>
        <v/>
      </c>
      <c r="AB624">
        <f>(AVERAGE(Q624:S624)-1)/4</f>
        <v/>
      </c>
      <c r="AC624">
        <f>(AVERAGE(T624:V624)-1)/4</f>
        <v/>
      </c>
      <c r="AD624">
        <f>AVERAGE(W624:AA624)</f>
        <v/>
      </c>
      <c r="AE624">
        <f>MIN(W624:AA624)</f>
        <v/>
      </c>
      <c r="AF624">
        <f>1-alpha*MAX(0,delta-AE624)</f>
        <v/>
      </c>
      <c r="AG624">
        <f>AD624*AF624</f>
        <v/>
      </c>
      <c r="AH624">
        <f>1+COUNTIF(bounds,"&lt;"&amp;ROUND(AD624,12))</f>
        <v/>
      </c>
      <c r="AI624">
        <f>1+COUNTIF(bounds,"&lt;"&amp;ROUND(AG624,12))</f>
        <v/>
      </c>
      <c r="AJ624">
        <f>IF(AF624&lt;1,1,0)</f>
        <v/>
      </c>
      <c r="AK624">
        <f>IF(AH624&lt;&gt;AI624,1,0)</f>
        <v/>
      </c>
      <c r="AL624">
        <f>IF(AND(AI624&gt;=3,AB624&lt;=0.2),1,0)</f>
        <v/>
      </c>
      <c r="AM624">
        <f>AVERAGE(W624:AB624)</f>
        <v/>
      </c>
      <c r="AN624">
        <f>1+COUNTIF(bounds,"&lt;"&amp;ROUND(AM624,12))</f>
        <v/>
      </c>
      <c r="AO624">
        <f>IF(AK624=1,AD624,NA())</f>
        <v/>
      </c>
      <c r="AP624">
        <f>IF(AK624=0,AD624,NA())</f>
        <v/>
      </c>
    </row>
    <row r="625">
      <c r="A625" t="n">
        <v>617</v>
      </c>
      <c r="B625" t="n">
        <v>4</v>
      </c>
      <c r="C625" t="n">
        <v>4</v>
      </c>
      <c r="D625" t="n">
        <v>4</v>
      </c>
      <c r="E625" t="n">
        <v>1</v>
      </c>
      <c r="F625" t="n">
        <v>3</v>
      </c>
      <c r="G625" t="n">
        <v>2</v>
      </c>
      <c r="H625" t="n">
        <v>5</v>
      </c>
      <c r="I625" t="n">
        <v>1</v>
      </c>
      <c r="J625" t="n">
        <v>1</v>
      </c>
      <c r="K625" t="n">
        <v>3</v>
      </c>
      <c r="L625" t="n">
        <v>3</v>
      </c>
      <c r="M625" t="n">
        <v>4</v>
      </c>
      <c r="N625" t="n">
        <v>5</v>
      </c>
      <c r="O625" t="n">
        <v>1</v>
      </c>
      <c r="P625" t="n">
        <v>4</v>
      </c>
      <c r="Q625" t="n">
        <v>5</v>
      </c>
      <c r="R625" t="n">
        <v>3</v>
      </c>
      <c r="S625" t="n">
        <v>1</v>
      </c>
      <c r="T625" t="n">
        <v>4</v>
      </c>
      <c r="U625" t="n">
        <v>4</v>
      </c>
      <c r="V625" t="n">
        <v>5</v>
      </c>
      <c r="W625">
        <f>(AVERAGE(B625:D625)-1)/4</f>
        <v/>
      </c>
      <c r="X625">
        <f>(AVERAGE(E625:G625)-1)/4</f>
        <v/>
      </c>
      <c r="Y625">
        <f>(AVERAGE(H625:J625)-1)/4</f>
        <v/>
      </c>
      <c r="Z625">
        <f>(AVERAGE(K625:M625)-1)/4</f>
        <v/>
      </c>
      <c r="AA625">
        <f>(AVERAGE(N625:P625)-1)/4</f>
        <v/>
      </c>
      <c r="AB625">
        <f>(AVERAGE(Q625:S625)-1)/4</f>
        <v/>
      </c>
      <c r="AC625">
        <f>(AVERAGE(T625:V625)-1)/4</f>
        <v/>
      </c>
      <c r="AD625">
        <f>AVERAGE(W625:AA625)</f>
        <v/>
      </c>
      <c r="AE625">
        <f>MIN(W625:AA625)</f>
        <v/>
      </c>
      <c r="AF625">
        <f>1-alpha*MAX(0,delta-AE625)</f>
        <v/>
      </c>
      <c r="AG625">
        <f>AD625*AF625</f>
        <v/>
      </c>
      <c r="AH625">
        <f>1+COUNTIF(bounds,"&lt;"&amp;ROUND(AD625,12))</f>
        <v/>
      </c>
      <c r="AI625">
        <f>1+COUNTIF(bounds,"&lt;"&amp;ROUND(AG625,12))</f>
        <v/>
      </c>
      <c r="AJ625">
        <f>IF(AF625&lt;1,1,0)</f>
        <v/>
      </c>
      <c r="AK625">
        <f>IF(AH625&lt;&gt;AI625,1,0)</f>
        <v/>
      </c>
      <c r="AL625">
        <f>IF(AND(AI625&gt;=3,AB625&lt;=0.2),1,0)</f>
        <v/>
      </c>
      <c r="AM625">
        <f>AVERAGE(W625:AB625)</f>
        <v/>
      </c>
      <c r="AN625">
        <f>1+COUNTIF(bounds,"&lt;"&amp;ROUND(AM625,12))</f>
        <v/>
      </c>
      <c r="AO625">
        <f>IF(AK625=1,AD625,NA())</f>
        <v/>
      </c>
      <c r="AP625">
        <f>IF(AK625=0,AD625,NA())</f>
        <v/>
      </c>
    </row>
    <row r="626">
      <c r="A626" t="n">
        <v>618</v>
      </c>
      <c r="B626" t="n">
        <v>1</v>
      </c>
      <c r="C626" t="n">
        <v>3</v>
      </c>
      <c r="D626" t="n">
        <v>2</v>
      </c>
      <c r="E626" t="n">
        <v>3</v>
      </c>
      <c r="F626" t="n">
        <v>2</v>
      </c>
      <c r="G626" t="n">
        <v>5</v>
      </c>
      <c r="H626" t="n">
        <v>4</v>
      </c>
      <c r="I626" t="n">
        <v>1</v>
      </c>
      <c r="J626" t="n">
        <v>2</v>
      </c>
      <c r="K626" t="n">
        <v>4</v>
      </c>
      <c r="L626" t="n">
        <v>3</v>
      </c>
      <c r="M626" t="n">
        <v>5</v>
      </c>
      <c r="N626" t="n">
        <v>3</v>
      </c>
      <c r="O626" t="n">
        <v>1</v>
      </c>
      <c r="P626" t="n">
        <v>4</v>
      </c>
      <c r="Q626" t="n">
        <v>3</v>
      </c>
      <c r="R626" t="n">
        <v>1</v>
      </c>
      <c r="S626" t="n">
        <v>3</v>
      </c>
      <c r="T626" t="n">
        <v>5</v>
      </c>
      <c r="U626" t="n">
        <v>3</v>
      </c>
      <c r="V626" t="n">
        <v>5</v>
      </c>
      <c r="W626">
        <f>(AVERAGE(B626:D626)-1)/4</f>
        <v/>
      </c>
      <c r="X626">
        <f>(AVERAGE(E626:G626)-1)/4</f>
        <v/>
      </c>
      <c r="Y626">
        <f>(AVERAGE(H626:J626)-1)/4</f>
        <v/>
      </c>
      <c r="Z626">
        <f>(AVERAGE(K626:M626)-1)/4</f>
        <v/>
      </c>
      <c r="AA626">
        <f>(AVERAGE(N626:P626)-1)/4</f>
        <v/>
      </c>
      <c r="AB626">
        <f>(AVERAGE(Q626:S626)-1)/4</f>
        <v/>
      </c>
      <c r="AC626">
        <f>(AVERAGE(T626:V626)-1)/4</f>
        <v/>
      </c>
      <c r="AD626">
        <f>AVERAGE(W626:AA626)</f>
        <v/>
      </c>
      <c r="AE626">
        <f>MIN(W626:AA626)</f>
        <v/>
      </c>
      <c r="AF626">
        <f>1-alpha*MAX(0,delta-AE626)</f>
        <v/>
      </c>
      <c r="AG626">
        <f>AD626*AF626</f>
        <v/>
      </c>
      <c r="AH626">
        <f>1+COUNTIF(bounds,"&lt;"&amp;ROUND(AD626,12))</f>
        <v/>
      </c>
      <c r="AI626">
        <f>1+COUNTIF(bounds,"&lt;"&amp;ROUND(AG626,12))</f>
        <v/>
      </c>
      <c r="AJ626">
        <f>IF(AF626&lt;1,1,0)</f>
        <v/>
      </c>
      <c r="AK626">
        <f>IF(AH626&lt;&gt;AI626,1,0)</f>
        <v/>
      </c>
      <c r="AL626">
        <f>IF(AND(AI626&gt;=3,AB626&lt;=0.2),1,0)</f>
        <v/>
      </c>
      <c r="AM626">
        <f>AVERAGE(W626:AB626)</f>
        <v/>
      </c>
      <c r="AN626">
        <f>1+COUNTIF(bounds,"&lt;"&amp;ROUND(AM626,12))</f>
        <v/>
      </c>
      <c r="AO626">
        <f>IF(AK626=1,AD626,NA())</f>
        <v/>
      </c>
      <c r="AP626">
        <f>IF(AK626=0,AD626,NA())</f>
        <v/>
      </c>
    </row>
    <row r="627">
      <c r="A627" t="n">
        <v>619</v>
      </c>
      <c r="B627" t="n">
        <v>1</v>
      </c>
      <c r="C627" t="n">
        <v>4</v>
      </c>
      <c r="D627" t="n">
        <v>3</v>
      </c>
      <c r="E627" t="n">
        <v>3</v>
      </c>
      <c r="F627" t="n">
        <v>5</v>
      </c>
      <c r="G627" t="n">
        <v>2</v>
      </c>
      <c r="H627" t="n">
        <v>2</v>
      </c>
      <c r="I627" t="n">
        <v>2</v>
      </c>
      <c r="J627" t="n">
        <v>3</v>
      </c>
      <c r="K627" t="n">
        <v>2</v>
      </c>
      <c r="L627" t="n">
        <v>4</v>
      </c>
      <c r="M627" t="n">
        <v>5</v>
      </c>
      <c r="N627" t="n">
        <v>4</v>
      </c>
      <c r="O627" t="n">
        <v>5</v>
      </c>
      <c r="P627" t="n">
        <v>1</v>
      </c>
      <c r="Q627" t="n">
        <v>3</v>
      </c>
      <c r="R627" t="n">
        <v>1</v>
      </c>
      <c r="S627" t="n">
        <v>5</v>
      </c>
      <c r="T627" t="n">
        <v>1</v>
      </c>
      <c r="U627" t="n">
        <v>3</v>
      </c>
      <c r="V627" t="n">
        <v>4</v>
      </c>
      <c r="W627">
        <f>(AVERAGE(B627:D627)-1)/4</f>
        <v/>
      </c>
      <c r="X627">
        <f>(AVERAGE(E627:G627)-1)/4</f>
        <v/>
      </c>
      <c r="Y627">
        <f>(AVERAGE(H627:J627)-1)/4</f>
        <v/>
      </c>
      <c r="Z627">
        <f>(AVERAGE(K627:M627)-1)/4</f>
        <v/>
      </c>
      <c r="AA627">
        <f>(AVERAGE(N627:P627)-1)/4</f>
        <v/>
      </c>
      <c r="AB627">
        <f>(AVERAGE(Q627:S627)-1)/4</f>
        <v/>
      </c>
      <c r="AC627">
        <f>(AVERAGE(T627:V627)-1)/4</f>
        <v/>
      </c>
      <c r="AD627">
        <f>AVERAGE(W627:AA627)</f>
        <v/>
      </c>
      <c r="AE627">
        <f>MIN(W627:AA627)</f>
        <v/>
      </c>
      <c r="AF627">
        <f>1-alpha*MAX(0,delta-AE627)</f>
        <v/>
      </c>
      <c r="AG627">
        <f>AD627*AF627</f>
        <v/>
      </c>
      <c r="AH627">
        <f>1+COUNTIF(bounds,"&lt;"&amp;ROUND(AD627,12))</f>
        <v/>
      </c>
      <c r="AI627">
        <f>1+COUNTIF(bounds,"&lt;"&amp;ROUND(AG627,12))</f>
        <v/>
      </c>
      <c r="AJ627">
        <f>IF(AF627&lt;1,1,0)</f>
        <v/>
      </c>
      <c r="AK627">
        <f>IF(AH627&lt;&gt;AI627,1,0)</f>
        <v/>
      </c>
      <c r="AL627">
        <f>IF(AND(AI627&gt;=3,AB627&lt;=0.2),1,0)</f>
        <v/>
      </c>
      <c r="AM627">
        <f>AVERAGE(W627:AB627)</f>
        <v/>
      </c>
      <c r="AN627">
        <f>1+COUNTIF(bounds,"&lt;"&amp;ROUND(AM627,12))</f>
        <v/>
      </c>
      <c r="AO627">
        <f>IF(AK627=1,AD627,NA())</f>
        <v/>
      </c>
      <c r="AP627">
        <f>IF(AK627=0,AD627,NA())</f>
        <v/>
      </c>
    </row>
    <row r="628">
      <c r="A628" t="n">
        <v>620</v>
      </c>
      <c r="B628" t="n">
        <v>5</v>
      </c>
      <c r="C628" t="n">
        <v>2</v>
      </c>
      <c r="D628" t="n">
        <v>3</v>
      </c>
      <c r="E628" t="n">
        <v>3</v>
      </c>
      <c r="F628" t="n">
        <v>1</v>
      </c>
      <c r="G628" t="n">
        <v>3</v>
      </c>
      <c r="H628" t="n">
        <v>5</v>
      </c>
      <c r="I628" t="n">
        <v>5</v>
      </c>
      <c r="J628" t="n">
        <v>2</v>
      </c>
      <c r="K628" t="n">
        <v>4</v>
      </c>
      <c r="L628" t="n">
        <v>2</v>
      </c>
      <c r="M628" t="n">
        <v>5</v>
      </c>
      <c r="N628" t="n">
        <v>3</v>
      </c>
      <c r="O628" t="n">
        <v>4</v>
      </c>
      <c r="P628" t="n">
        <v>3</v>
      </c>
      <c r="Q628" t="n">
        <v>1</v>
      </c>
      <c r="R628" t="n">
        <v>5</v>
      </c>
      <c r="S628" t="n">
        <v>4</v>
      </c>
      <c r="T628" t="n">
        <v>3</v>
      </c>
      <c r="U628" t="n">
        <v>4</v>
      </c>
      <c r="V628" t="n">
        <v>4</v>
      </c>
      <c r="W628">
        <f>(AVERAGE(B628:D628)-1)/4</f>
        <v/>
      </c>
      <c r="X628">
        <f>(AVERAGE(E628:G628)-1)/4</f>
        <v/>
      </c>
      <c r="Y628">
        <f>(AVERAGE(H628:J628)-1)/4</f>
        <v/>
      </c>
      <c r="Z628">
        <f>(AVERAGE(K628:M628)-1)/4</f>
        <v/>
      </c>
      <c r="AA628">
        <f>(AVERAGE(N628:P628)-1)/4</f>
        <v/>
      </c>
      <c r="AB628">
        <f>(AVERAGE(Q628:S628)-1)/4</f>
        <v/>
      </c>
      <c r="AC628">
        <f>(AVERAGE(T628:V628)-1)/4</f>
        <v/>
      </c>
      <c r="AD628">
        <f>AVERAGE(W628:AA628)</f>
        <v/>
      </c>
      <c r="AE628">
        <f>MIN(W628:AA628)</f>
        <v/>
      </c>
      <c r="AF628">
        <f>1-alpha*MAX(0,delta-AE628)</f>
        <v/>
      </c>
      <c r="AG628">
        <f>AD628*AF628</f>
        <v/>
      </c>
      <c r="AH628">
        <f>1+COUNTIF(bounds,"&lt;"&amp;ROUND(AD628,12))</f>
        <v/>
      </c>
      <c r="AI628">
        <f>1+COUNTIF(bounds,"&lt;"&amp;ROUND(AG628,12))</f>
        <v/>
      </c>
      <c r="AJ628">
        <f>IF(AF628&lt;1,1,0)</f>
        <v/>
      </c>
      <c r="AK628">
        <f>IF(AH628&lt;&gt;AI628,1,0)</f>
        <v/>
      </c>
      <c r="AL628">
        <f>IF(AND(AI628&gt;=3,AB628&lt;=0.2),1,0)</f>
        <v/>
      </c>
      <c r="AM628">
        <f>AVERAGE(W628:AB628)</f>
        <v/>
      </c>
      <c r="AN628">
        <f>1+COUNTIF(bounds,"&lt;"&amp;ROUND(AM628,12))</f>
        <v/>
      </c>
      <c r="AO628">
        <f>IF(AK628=1,AD628,NA())</f>
        <v/>
      </c>
      <c r="AP628">
        <f>IF(AK628=0,AD628,NA())</f>
        <v/>
      </c>
    </row>
    <row r="629">
      <c r="A629" t="n">
        <v>621</v>
      </c>
      <c r="B629" t="n">
        <v>2</v>
      </c>
      <c r="C629" t="n">
        <v>3</v>
      </c>
      <c r="D629" t="n">
        <v>3</v>
      </c>
      <c r="E629" t="n">
        <v>3</v>
      </c>
      <c r="F629" t="n">
        <v>3</v>
      </c>
      <c r="G629" t="n">
        <v>5</v>
      </c>
      <c r="H629" t="n">
        <v>2</v>
      </c>
      <c r="I629" t="n">
        <v>3</v>
      </c>
      <c r="J629" t="n">
        <v>1</v>
      </c>
      <c r="K629" t="n">
        <v>2</v>
      </c>
      <c r="L629" t="n">
        <v>3</v>
      </c>
      <c r="M629" t="n">
        <v>2</v>
      </c>
      <c r="N629" t="n">
        <v>5</v>
      </c>
      <c r="O629" t="n">
        <v>1</v>
      </c>
      <c r="P629" t="n">
        <v>2</v>
      </c>
      <c r="Q629" t="n">
        <v>5</v>
      </c>
      <c r="R629" t="n">
        <v>1</v>
      </c>
      <c r="S629" t="n">
        <v>4</v>
      </c>
      <c r="T629" t="n">
        <v>5</v>
      </c>
      <c r="U629" t="n">
        <v>3</v>
      </c>
      <c r="V629" t="n">
        <v>5</v>
      </c>
      <c r="W629">
        <f>(AVERAGE(B629:D629)-1)/4</f>
        <v/>
      </c>
      <c r="X629">
        <f>(AVERAGE(E629:G629)-1)/4</f>
        <v/>
      </c>
      <c r="Y629">
        <f>(AVERAGE(H629:J629)-1)/4</f>
        <v/>
      </c>
      <c r="Z629">
        <f>(AVERAGE(K629:M629)-1)/4</f>
        <v/>
      </c>
      <c r="AA629">
        <f>(AVERAGE(N629:P629)-1)/4</f>
        <v/>
      </c>
      <c r="AB629">
        <f>(AVERAGE(Q629:S629)-1)/4</f>
        <v/>
      </c>
      <c r="AC629">
        <f>(AVERAGE(T629:V629)-1)/4</f>
        <v/>
      </c>
      <c r="AD629">
        <f>AVERAGE(W629:AA629)</f>
        <v/>
      </c>
      <c r="AE629">
        <f>MIN(W629:AA629)</f>
        <v/>
      </c>
      <c r="AF629">
        <f>1-alpha*MAX(0,delta-AE629)</f>
        <v/>
      </c>
      <c r="AG629">
        <f>AD629*AF629</f>
        <v/>
      </c>
      <c r="AH629">
        <f>1+COUNTIF(bounds,"&lt;"&amp;ROUND(AD629,12))</f>
        <v/>
      </c>
      <c r="AI629">
        <f>1+COUNTIF(bounds,"&lt;"&amp;ROUND(AG629,12))</f>
        <v/>
      </c>
      <c r="AJ629">
        <f>IF(AF629&lt;1,1,0)</f>
        <v/>
      </c>
      <c r="AK629">
        <f>IF(AH629&lt;&gt;AI629,1,0)</f>
        <v/>
      </c>
      <c r="AL629">
        <f>IF(AND(AI629&gt;=3,AB629&lt;=0.2),1,0)</f>
        <v/>
      </c>
      <c r="AM629">
        <f>AVERAGE(W629:AB629)</f>
        <v/>
      </c>
      <c r="AN629">
        <f>1+COUNTIF(bounds,"&lt;"&amp;ROUND(AM629,12))</f>
        <v/>
      </c>
      <c r="AO629">
        <f>IF(AK629=1,AD629,NA())</f>
        <v/>
      </c>
      <c r="AP629">
        <f>IF(AK629=0,AD629,NA())</f>
        <v/>
      </c>
    </row>
    <row r="630">
      <c r="A630" t="n">
        <v>622</v>
      </c>
      <c r="B630" t="n">
        <v>1</v>
      </c>
      <c r="C630" t="n">
        <v>5</v>
      </c>
      <c r="D630" t="n">
        <v>5</v>
      </c>
      <c r="E630" t="n">
        <v>4</v>
      </c>
      <c r="F630" t="n">
        <v>4</v>
      </c>
      <c r="G630" t="n">
        <v>1</v>
      </c>
      <c r="H630" t="n">
        <v>5</v>
      </c>
      <c r="I630" t="n">
        <v>2</v>
      </c>
      <c r="J630" t="n">
        <v>3</v>
      </c>
      <c r="K630" t="n">
        <v>3</v>
      </c>
      <c r="L630" t="n">
        <v>1</v>
      </c>
      <c r="M630" t="n">
        <v>2</v>
      </c>
      <c r="N630" t="n">
        <v>1</v>
      </c>
      <c r="O630" t="n">
        <v>1</v>
      </c>
      <c r="P630" t="n">
        <v>1</v>
      </c>
      <c r="Q630" t="n">
        <v>5</v>
      </c>
      <c r="R630" t="n">
        <v>3</v>
      </c>
      <c r="S630" t="n">
        <v>4</v>
      </c>
      <c r="T630" t="n">
        <v>2</v>
      </c>
      <c r="U630" t="n">
        <v>3</v>
      </c>
      <c r="V630" t="n">
        <v>5</v>
      </c>
      <c r="W630">
        <f>(AVERAGE(B630:D630)-1)/4</f>
        <v/>
      </c>
      <c r="X630">
        <f>(AVERAGE(E630:G630)-1)/4</f>
        <v/>
      </c>
      <c r="Y630">
        <f>(AVERAGE(H630:J630)-1)/4</f>
        <v/>
      </c>
      <c r="Z630">
        <f>(AVERAGE(K630:M630)-1)/4</f>
        <v/>
      </c>
      <c r="AA630">
        <f>(AVERAGE(N630:P630)-1)/4</f>
        <v/>
      </c>
      <c r="AB630">
        <f>(AVERAGE(Q630:S630)-1)/4</f>
        <v/>
      </c>
      <c r="AC630">
        <f>(AVERAGE(T630:V630)-1)/4</f>
        <v/>
      </c>
      <c r="AD630">
        <f>AVERAGE(W630:AA630)</f>
        <v/>
      </c>
      <c r="AE630">
        <f>MIN(W630:AA630)</f>
        <v/>
      </c>
      <c r="AF630">
        <f>1-alpha*MAX(0,delta-AE630)</f>
        <v/>
      </c>
      <c r="AG630">
        <f>AD630*AF630</f>
        <v/>
      </c>
      <c r="AH630">
        <f>1+COUNTIF(bounds,"&lt;"&amp;ROUND(AD630,12))</f>
        <v/>
      </c>
      <c r="AI630">
        <f>1+COUNTIF(bounds,"&lt;"&amp;ROUND(AG630,12))</f>
        <v/>
      </c>
      <c r="AJ630">
        <f>IF(AF630&lt;1,1,0)</f>
        <v/>
      </c>
      <c r="AK630">
        <f>IF(AH630&lt;&gt;AI630,1,0)</f>
        <v/>
      </c>
      <c r="AL630">
        <f>IF(AND(AI630&gt;=3,AB630&lt;=0.2),1,0)</f>
        <v/>
      </c>
      <c r="AM630">
        <f>AVERAGE(W630:AB630)</f>
        <v/>
      </c>
      <c r="AN630">
        <f>1+COUNTIF(bounds,"&lt;"&amp;ROUND(AM630,12))</f>
        <v/>
      </c>
      <c r="AO630">
        <f>IF(AK630=1,AD630,NA())</f>
        <v/>
      </c>
      <c r="AP630">
        <f>IF(AK630=0,AD630,NA())</f>
        <v/>
      </c>
    </row>
    <row r="631">
      <c r="A631" t="n">
        <v>623</v>
      </c>
      <c r="B631" t="n">
        <v>5</v>
      </c>
      <c r="C631" t="n">
        <v>3</v>
      </c>
      <c r="D631" t="n">
        <v>2</v>
      </c>
      <c r="E631" t="n">
        <v>5</v>
      </c>
      <c r="F631" t="n">
        <v>5</v>
      </c>
      <c r="G631" t="n">
        <v>1</v>
      </c>
      <c r="H631" t="n">
        <v>1</v>
      </c>
      <c r="I631" t="n">
        <v>3</v>
      </c>
      <c r="J631" t="n">
        <v>1</v>
      </c>
      <c r="K631" t="n">
        <v>2</v>
      </c>
      <c r="L631" t="n">
        <v>2</v>
      </c>
      <c r="M631" t="n">
        <v>5</v>
      </c>
      <c r="N631" t="n">
        <v>3</v>
      </c>
      <c r="O631" t="n">
        <v>5</v>
      </c>
      <c r="P631" t="n">
        <v>3</v>
      </c>
      <c r="Q631" t="n">
        <v>4</v>
      </c>
      <c r="R631" t="n">
        <v>2</v>
      </c>
      <c r="S631" t="n">
        <v>2</v>
      </c>
      <c r="T631" t="n">
        <v>4</v>
      </c>
      <c r="U631" t="n">
        <v>4</v>
      </c>
      <c r="V631" t="n">
        <v>5</v>
      </c>
      <c r="W631">
        <f>(AVERAGE(B631:D631)-1)/4</f>
        <v/>
      </c>
      <c r="X631">
        <f>(AVERAGE(E631:G631)-1)/4</f>
        <v/>
      </c>
      <c r="Y631">
        <f>(AVERAGE(H631:J631)-1)/4</f>
        <v/>
      </c>
      <c r="Z631">
        <f>(AVERAGE(K631:M631)-1)/4</f>
        <v/>
      </c>
      <c r="AA631">
        <f>(AVERAGE(N631:P631)-1)/4</f>
        <v/>
      </c>
      <c r="AB631">
        <f>(AVERAGE(Q631:S631)-1)/4</f>
        <v/>
      </c>
      <c r="AC631">
        <f>(AVERAGE(T631:V631)-1)/4</f>
        <v/>
      </c>
      <c r="AD631">
        <f>AVERAGE(W631:AA631)</f>
        <v/>
      </c>
      <c r="AE631">
        <f>MIN(W631:AA631)</f>
        <v/>
      </c>
      <c r="AF631">
        <f>1-alpha*MAX(0,delta-AE631)</f>
        <v/>
      </c>
      <c r="AG631">
        <f>AD631*AF631</f>
        <v/>
      </c>
      <c r="AH631">
        <f>1+COUNTIF(bounds,"&lt;"&amp;ROUND(AD631,12))</f>
        <v/>
      </c>
      <c r="AI631">
        <f>1+COUNTIF(bounds,"&lt;"&amp;ROUND(AG631,12))</f>
        <v/>
      </c>
      <c r="AJ631">
        <f>IF(AF631&lt;1,1,0)</f>
        <v/>
      </c>
      <c r="AK631">
        <f>IF(AH631&lt;&gt;AI631,1,0)</f>
        <v/>
      </c>
      <c r="AL631">
        <f>IF(AND(AI631&gt;=3,AB631&lt;=0.2),1,0)</f>
        <v/>
      </c>
      <c r="AM631">
        <f>AVERAGE(W631:AB631)</f>
        <v/>
      </c>
      <c r="AN631">
        <f>1+COUNTIF(bounds,"&lt;"&amp;ROUND(AM631,12))</f>
        <v/>
      </c>
      <c r="AO631">
        <f>IF(AK631=1,AD631,NA())</f>
        <v/>
      </c>
      <c r="AP631">
        <f>IF(AK631=0,AD631,NA())</f>
        <v/>
      </c>
    </row>
    <row r="632">
      <c r="A632" t="n">
        <v>624</v>
      </c>
      <c r="B632" t="n">
        <v>4</v>
      </c>
      <c r="C632" t="n">
        <v>5</v>
      </c>
      <c r="D632" t="n">
        <v>4</v>
      </c>
      <c r="E632" t="n">
        <v>4</v>
      </c>
      <c r="F632" t="n">
        <v>3</v>
      </c>
      <c r="G632" t="n">
        <v>1</v>
      </c>
      <c r="H632" t="n">
        <v>5</v>
      </c>
      <c r="I632" t="n">
        <v>5</v>
      </c>
      <c r="J632" t="n">
        <v>1</v>
      </c>
      <c r="K632" t="n">
        <v>5</v>
      </c>
      <c r="L632" t="n">
        <v>5</v>
      </c>
      <c r="M632" t="n">
        <v>5</v>
      </c>
      <c r="N632" t="n">
        <v>2</v>
      </c>
      <c r="O632" t="n">
        <v>4</v>
      </c>
      <c r="P632" t="n">
        <v>2</v>
      </c>
      <c r="Q632" t="n">
        <v>2</v>
      </c>
      <c r="R632" t="n">
        <v>3</v>
      </c>
      <c r="S632" t="n">
        <v>4</v>
      </c>
      <c r="T632" t="n">
        <v>4</v>
      </c>
      <c r="U632" t="n">
        <v>4</v>
      </c>
      <c r="V632" t="n">
        <v>2</v>
      </c>
      <c r="W632">
        <f>(AVERAGE(B632:D632)-1)/4</f>
        <v/>
      </c>
      <c r="X632">
        <f>(AVERAGE(E632:G632)-1)/4</f>
        <v/>
      </c>
      <c r="Y632">
        <f>(AVERAGE(H632:J632)-1)/4</f>
        <v/>
      </c>
      <c r="Z632">
        <f>(AVERAGE(K632:M632)-1)/4</f>
        <v/>
      </c>
      <c r="AA632">
        <f>(AVERAGE(N632:P632)-1)/4</f>
        <v/>
      </c>
      <c r="AB632">
        <f>(AVERAGE(Q632:S632)-1)/4</f>
        <v/>
      </c>
      <c r="AC632">
        <f>(AVERAGE(T632:V632)-1)/4</f>
        <v/>
      </c>
      <c r="AD632">
        <f>AVERAGE(W632:AA632)</f>
        <v/>
      </c>
      <c r="AE632">
        <f>MIN(W632:AA632)</f>
        <v/>
      </c>
      <c r="AF632">
        <f>1-alpha*MAX(0,delta-AE632)</f>
        <v/>
      </c>
      <c r="AG632">
        <f>AD632*AF632</f>
        <v/>
      </c>
      <c r="AH632">
        <f>1+COUNTIF(bounds,"&lt;"&amp;ROUND(AD632,12))</f>
        <v/>
      </c>
      <c r="AI632">
        <f>1+COUNTIF(bounds,"&lt;"&amp;ROUND(AG632,12))</f>
        <v/>
      </c>
      <c r="AJ632">
        <f>IF(AF632&lt;1,1,0)</f>
        <v/>
      </c>
      <c r="AK632">
        <f>IF(AH632&lt;&gt;AI632,1,0)</f>
        <v/>
      </c>
      <c r="AL632">
        <f>IF(AND(AI632&gt;=3,AB632&lt;=0.2),1,0)</f>
        <v/>
      </c>
      <c r="AM632">
        <f>AVERAGE(W632:AB632)</f>
        <v/>
      </c>
      <c r="AN632">
        <f>1+COUNTIF(bounds,"&lt;"&amp;ROUND(AM632,12))</f>
        <v/>
      </c>
      <c r="AO632">
        <f>IF(AK632=1,AD632,NA())</f>
        <v/>
      </c>
      <c r="AP632">
        <f>IF(AK632=0,AD632,NA())</f>
        <v/>
      </c>
    </row>
    <row r="633">
      <c r="A633" t="n">
        <v>625</v>
      </c>
      <c r="B633" t="n">
        <v>1</v>
      </c>
      <c r="C633" t="n">
        <v>5</v>
      </c>
      <c r="D633" t="n">
        <v>3</v>
      </c>
      <c r="E633" t="n">
        <v>1</v>
      </c>
      <c r="F633" t="n">
        <v>4</v>
      </c>
      <c r="G633" t="n">
        <v>3</v>
      </c>
      <c r="H633" t="n">
        <v>1</v>
      </c>
      <c r="I633" t="n">
        <v>5</v>
      </c>
      <c r="J633" t="n">
        <v>3</v>
      </c>
      <c r="K633" t="n">
        <v>2</v>
      </c>
      <c r="L633" t="n">
        <v>2</v>
      </c>
      <c r="M633" t="n">
        <v>4</v>
      </c>
      <c r="N633" t="n">
        <v>3</v>
      </c>
      <c r="O633" t="n">
        <v>1</v>
      </c>
      <c r="P633" t="n">
        <v>5</v>
      </c>
      <c r="Q633" t="n">
        <v>1</v>
      </c>
      <c r="R633" t="n">
        <v>2</v>
      </c>
      <c r="S633" t="n">
        <v>5</v>
      </c>
      <c r="T633" t="n">
        <v>2</v>
      </c>
      <c r="U633" t="n">
        <v>2</v>
      </c>
      <c r="V633" t="n">
        <v>3</v>
      </c>
      <c r="W633">
        <f>(AVERAGE(B633:D633)-1)/4</f>
        <v/>
      </c>
      <c r="X633">
        <f>(AVERAGE(E633:G633)-1)/4</f>
        <v/>
      </c>
      <c r="Y633">
        <f>(AVERAGE(H633:J633)-1)/4</f>
        <v/>
      </c>
      <c r="Z633">
        <f>(AVERAGE(K633:M633)-1)/4</f>
        <v/>
      </c>
      <c r="AA633">
        <f>(AVERAGE(N633:P633)-1)/4</f>
        <v/>
      </c>
      <c r="AB633">
        <f>(AVERAGE(Q633:S633)-1)/4</f>
        <v/>
      </c>
      <c r="AC633">
        <f>(AVERAGE(T633:V633)-1)/4</f>
        <v/>
      </c>
      <c r="AD633">
        <f>AVERAGE(W633:AA633)</f>
        <v/>
      </c>
      <c r="AE633">
        <f>MIN(W633:AA633)</f>
        <v/>
      </c>
      <c r="AF633">
        <f>1-alpha*MAX(0,delta-AE633)</f>
        <v/>
      </c>
      <c r="AG633">
        <f>AD633*AF633</f>
        <v/>
      </c>
      <c r="AH633">
        <f>1+COUNTIF(bounds,"&lt;"&amp;ROUND(AD633,12))</f>
        <v/>
      </c>
      <c r="AI633">
        <f>1+COUNTIF(bounds,"&lt;"&amp;ROUND(AG633,12))</f>
        <v/>
      </c>
      <c r="AJ633">
        <f>IF(AF633&lt;1,1,0)</f>
        <v/>
      </c>
      <c r="AK633">
        <f>IF(AH633&lt;&gt;AI633,1,0)</f>
        <v/>
      </c>
      <c r="AL633">
        <f>IF(AND(AI633&gt;=3,AB633&lt;=0.2),1,0)</f>
        <v/>
      </c>
      <c r="AM633">
        <f>AVERAGE(W633:AB633)</f>
        <v/>
      </c>
      <c r="AN633">
        <f>1+COUNTIF(bounds,"&lt;"&amp;ROUND(AM633,12))</f>
        <v/>
      </c>
      <c r="AO633">
        <f>IF(AK633=1,AD633,NA())</f>
        <v/>
      </c>
      <c r="AP633">
        <f>IF(AK633=0,AD633,NA())</f>
        <v/>
      </c>
    </row>
    <row r="634">
      <c r="A634" t="n">
        <v>626</v>
      </c>
      <c r="B634" t="n">
        <v>1</v>
      </c>
      <c r="C634" t="n">
        <v>2</v>
      </c>
      <c r="D634" t="n">
        <v>5</v>
      </c>
      <c r="E634" t="n">
        <v>1</v>
      </c>
      <c r="F634" t="n">
        <v>3</v>
      </c>
      <c r="G634" t="n">
        <v>4</v>
      </c>
      <c r="H634" t="n">
        <v>5</v>
      </c>
      <c r="I634" t="n">
        <v>5</v>
      </c>
      <c r="J634" t="n">
        <v>4</v>
      </c>
      <c r="K634" t="n">
        <v>3</v>
      </c>
      <c r="L634" t="n">
        <v>1</v>
      </c>
      <c r="M634" t="n">
        <v>5</v>
      </c>
      <c r="N634" t="n">
        <v>1</v>
      </c>
      <c r="O634" t="n">
        <v>1</v>
      </c>
      <c r="P634" t="n">
        <v>5</v>
      </c>
      <c r="Q634" t="n">
        <v>2</v>
      </c>
      <c r="R634" t="n">
        <v>1</v>
      </c>
      <c r="S634" t="n">
        <v>2</v>
      </c>
      <c r="T634" t="n">
        <v>2</v>
      </c>
      <c r="U634" t="n">
        <v>4</v>
      </c>
      <c r="V634" t="n">
        <v>1</v>
      </c>
      <c r="W634">
        <f>(AVERAGE(B634:D634)-1)/4</f>
        <v/>
      </c>
      <c r="X634">
        <f>(AVERAGE(E634:G634)-1)/4</f>
        <v/>
      </c>
      <c r="Y634">
        <f>(AVERAGE(H634:J634)-1)/4</f>
        <v/>
      </c>
      <c r="Z634">
        <f>(AVERAGE(K634:M634)-1)/4</f>
        <v/>
      </c>
      <c r="AA634">
        <f>(AVERAGE(N634:P634)-1)/4</f>
        <v/>
      </c>
      <c r="AB634">
        <f>(AVERAGE(Q634:S634)-1)/4</f>
        <v/>
      </c>
      <c r="AC634">
        <f>(AVERAGE(T634:V634)-1)/4</f>
        <v/>
      </c>
      <c r="AD634">
        <f>AVERAGE(W634:AA634)</f>
        <v/>
      </c>
      <c r="AE634">
        <f>MIN(W634:AA634)</f>
        <v/>
      </c>
      <c r="AF634">
        <f>1-alpha*MAX(0,delta-AE634)</f>
        <v/>
      </c>
      <c r="AG634">
        <f>AD634*AF634</f>
        <v/>
      </c>
      <c r="AH634">
        <f>1+COUNTIF(bounds,"&lt;"&amp;ROUND(AD634,12))</f>
        <v/>
      </c>
      <c r="AI634">
        <f>1+COUNTIF(bounds,"&lt;"&amp;ROUND(AG634,12))</f>
        <v/>
      </c>
      <c r="AJ634">
        <f>IF(AF634&lt;1,1,0)</f>
        <v/>
      </c>
      <c r="AK634">
        <f>IF(AH634&lt;&gt;AI634,1,0)</f>
        <v/>
      </c>
      <c r="AL634">
        <f>IF(AND(AI634&gt;=3,AB634&lt;=0.2),1,0)</f>
        <v/>
      </c>
      <c r="AM634">
        <f>AVERAGE(W634:AB634)</f>
        <v/>
      </c>
      <c r="AN634">
        <f>1+COUNTIF(bounds,"&lt;"&amp;ROUND(AM634,12))</f>
        <v/>
      </c>
      <c r="AO634">
        <f>IF(AK634=1,AD634,NA())</f>
        <v/>
      </c>
      <c r="AP634">
        <f>IF(AK634=0,AD634,NA())</f>
        <v/>
      </c>
    </row>
    <row r="635">
      <c r="A635" t="n">
        <v>627</v>
      </c>
      <c r="B635" t="n">
        <v>3</v>
      </c>
      <c r="C635" t="n">
        <v>4</v>
      </c>
      <c r="D635" t="n">
        <v>3</v>
      </c>
      <c r="E635" t="n">
        <v>5</v>
      </c>
      <c r="F635" t="n">
        <v>1</v>
      </c>
      <c r="G635" t="n">
        <v>1</v>
      </c>
      <c r="H635" t="n">
        <v>2</v>
      </c>
      <c r="I635" t="n">
        <v>3</v>
      </c>
      <c r="J635" t="n">
        <v>3</v>
      </c>
      <c r="K635" t="n">
        <v>3</v>
      </c>
      <c r="L635" t="n">
        <v>2</v>
      </c>
      <c r="M635" t="n">
        <v>3</v>
      </c>
      <c r="N635" t="n">
        <v>1</v>
      </c>
      <c r="O635" t="n">
        <v>1</v>
      </c>
      <c r="P635" t="n">
        <v>1</v>
      </c>
      <c r="Q635" t="n">
        <v>2</v>
      </c>
      <c r="R635" t="n">
        <v>5</v>
      </c>
      <c r="S635" t="n">
        <v>3</v>
      </c>
      <c r="T635" t="n">
        <v>4</v>
      </c>
      <c r="U635" t="n">
        <v>1</v>
      </c>
      <c r="V635" t="n">
        <v>4</v>
      </c>
      <c r="W635">
        <f>(AVERAGE(B635:D635)-1)/4</f>
        <v/>
      </c>
      <c r="X635">
        <f>(AVERAGE(E635:G635)-1)/4</f>
        <v/>
      </c>
      <c r="Y635">
        <f>(AVERAGE(H635:J635)-1)/4</f>
        <v/>
      </c>
      <c r="Z635">
        <f>(AVERAGE(K635:M635)-1)/4</f>
        <v/>
      </c>
      <c r="AA635">
        <f>(AVERAGE(N635:P635)-1)/4</f>
        <v/>
      </c>
      <c r="AB635">
        <f>(AVERAGE(Q635:S635)-1)/4</f>
        <v/>
      </c>
      <c r="AC635">
        <f>(AVERAGE(T635:V635)-1)/4</f>
        <v/>
      </c>
      <c r="AD635">
        <f>AVERAGE(W635:AA635)</f>
        <v/>
      </c>
      <c r="AE635">
        <f>MIN(W635:AA635)</f>
        <v/>
      </c>
      <c r="AF635">
        <f>1-alpha*MAX(0,delta-AE635)</f>
        <v/>
      </c>
      <c r="AG635">
        <f>AD635*AF635</f>
        <v/>
      </c>
      <c r="AH635">
        <f>1+COUNTIF(bounds,"&lt;"&amp;ROUND(AD635,12))</f>
        <v/>
      </c>
      <c r="AI635">
        <f>1+COUNTIF(bounds,"&lt;"&amp;ROUND(AG635,12))</f>
        <v/>
      </c>
      <c r="AJ635">
        <f>IF(AF635&lt;1,1,0)</f>
        <v/>
      </c>
      <c r="AK635">
        <f>IF(AH635&lt;&gt;AI635,1,0)</f>
        <v/>
      </c>
      <c r="AL635">
        <f>IF(AND(AI635&gt;=3,AB635&lt;=0.2),1,0)</f>
        <v/>
      </c>
      <c r="AM635">
        <f>AVERAGE(W635:AB635)</f>
        <v/>
      </c>
      <c r="AN635">
        <f>1+COUNTIF(bounds,"&lt;"&amp;ROUND(AM635,12))</f>
        <v/>
      </c>
      <c r="AO635">
        <f>IF(AK635=1,AD635,NA())</f>
        <v/>
      </c>
      <c r="AP635">
        <f>IF(AK635=0,AD635,NA())</f>
        <v/>
      </c>
    </row>
    <row r="636">
      <c r="A636" t="n">
        <v>628</v>
      </c>
      <c r="B636" t="n">
        <v>1</v>
      </c>
      <c r="C636" t="n">
        <v>4</v>
      </c>
      <c r="D636" t="n">
        <v>2</v>
      </c>
      <c r="E636" t="n">
        <v>1</v>
      </c>
      <c r="F636" t="n">
        <v>3</v>
      </c>
      <c r="G636" t="n">
        <v>5</v>
      </c>
      <c r="H636" t="n">
        <v>4</v>
      </c>
      <c r="I636" t="n">
        <v>3</v>
      </c>
      <c r="J636" t="n">
        <v>3</v>
      </c>
      <c r="K636" t="n">
        <v>4</v>
      </c>
      <c r="L636" t="n">
        <v>4</v>
      </c>
      <c r="M636" t="n">
        <v>4</v>
      </c>
      <c r="N636" t="n">
        <v>1</v>
      </c>
      <c r="O636" t="n">
        <v>3</v>
      </c>
      <c r="P636" t="n">
        <v>4</v>
      </c>
      <c r="Q636" t="n">
        <v>4</v>
      </c>
      <c r="R636" t="n">
        <v>5</v>
      </c>
      <c r="S636" t="n">
        <v>5</v>
      </c>
      <c r="T636" t="n">
        <v>5</v>
      </c>
      <c r="U636" t="n">
        <v>3</v>
      </c>
      <c r="V636" t="n">
        <v>5</v>
      </c>
      <c r="W636">
        <f>(AVERAGE(B636:D636)-1)/4</f>
        <v/>
      </c>
      <c r="X636">
        <f>(AVERAGE(E636:G636)-1)/4</f>
        <v/>
      </c>
      <c r="Y636">
        <f>(AVERAGE(H636:J636)-1)/4</f>
        <v/>
      </c>
      <c r="Z636">
        <f>(AVERAGE(K636:M636)-1)/4</f>
        <v/>
      </c>
      <c r="AA636">
        <f>(AVERAGE(N636:P636)-1)/4</f>
        <v/>
      </c>
      <c r="AB636">
        <f>(AVERAGE(Q636:S636)-1)/4</f>
        <v/>
      </c>
      <c r="AC636">
        <f>(AVERAGE(T636:V636)-1)/4</f>
        <v/>
      </c>
      <c r="AD636">
        <f>AVERAGE(W636:AA636)</f>
        <v/>
      </c>
      <c r="AE636">
        <f>MIN(W636:AA636)</f>
        <v/>
      </c>
      <c r="AF636">
        <f>1-alpha*MAX(0,delta-AE636)</f>
        <v/>
      </c>
      <c r="AG636">
        <f>AD636*AF636</f>
        <v/>
      </c>
      <c r="AH636">
        <f>1+COUNTIF(bounds,"&lt;"&amp;ROUND(AD636,12))</f>
        <v/>
      </c>
      <c r="AI636">
        <f>1+COUNTIF(bounds,"&lt;"&amp;ROUND(AG636,12))</f>
        <v/>
      </c>
      <c r="AJ636">
        <f>IF(AF636&lt;1,1,0)</f>
        <v/>
      </c>
      <c r="AK636">
        <f>IF(AH636&lt;&gt;AI636,1,0)</f>
        <v/>
      </c>
      <c r="AL636">
        <f>IF(AND(AI636&gt;=3,AB636&lt;=0.2),1,0)</f>
        <v/>
      </c>
      <c r="AM636">
        <f>AVERAGE(W636:AB636)</f>
        <v/>
      </c>
      <c r="AN636">
        <f>1+COUNTIF(bounds,"&lt;"&amp;ROUND(AM636,12))</f>
        <v/>
      </c>
      <c r="AO636">
        <f>IF(AK636=1,AD636,NA())</f>
        <v/>
      </c>
      <c r="AP636">
        <f>IF(AK636=0,AD636,NA())</f>
        <v/>
      </c>
    </row>
    <row r="637">
      <c r="A637" t="n">
        <v>629</v>
      </c>
      <c r="B637" t="n">
        <v>1</v>
      </c>
      <c r="C637" t="n">
        <v>4</v>
      </c>
      <c r="D637" t="n">
        <v>4</v>
      </c>
      <c r="E637" t="n">
        <v>2</v>
      </c>
      <c r="F637" t="n">
        <v>1</v>
      </c>
      <c r="G637" t="n">
        <v>4</v>
      </c>
      <c r="H637" t="n">
        <v>2</v>
      </c>
      <c r="I637" t="n">
        <v>3</v>
      </c>
      <c r="J637" t="n">
        <v>4</v>
      </c>
      <c r="K637" t="n">
        <v>1</v>
      </c>
      <c r="L637" t="n">
        <v>2</v>
      </c>
      <c r="M637" t="n">
        <v>1</v>
      </c>
      <c r="N637" t="n">
        <v>4</v>
      </c>
      <c r="O637" t="n">
        <v>5</v>
      </c>
      <c r="P637" t="n">
        <v>1</v>
      </c>
      <c r="Q637" t="n">
        <v>1</v>
      </c>
      <c r="R637" t="n">
        <v>5</v>
      </c>
      <c r="S637" t="n">
        <v>4</v>
      </c>
      <c r="T637" t="n">
        <v>5</v>
      </c>
      <c r="U637" t="n">
        <v>3</v>
      </c>
      <c r="V637" t="n">
        <v>4</v>
      </c>
      <c r="W637">
        <f>(AVERAGE(B637:D637)-1)/4</f>
        <v/>
      </c>
      <c r="X637">
        <f>(AVERAGE(E637:G637)-1)/4</f>
        <v/>
      </c>
      <c r="Y637">
        <f>(AVERAGE(H637:J637)-1)/4</f>
        <v/>
      </c>
      <c r="Z637">
        <f>(AVERAGE(K637:M637)-1)/4</f>
        <v/>
      </c>
      <c r="AA637">
        <f>(AVERAGE(N637:P637)-1)/4</f>
        <v/>
      </c>
      <c r="AB637">
        <f>(AVERAGE(Q637:S637)-1)/4</f>
        <v/>
      </c>
      <c r="AC637">
        <f>(AVERAGE(T637:V637)-1)/4</f>
        <v/>
      </c>
      <c r="AD637">
        <f>AVERAGE(W637:AA637)</f>
        <v/>
      </c>
      <c r="AE637">
        <f>MIN(W637:AA637)</f>
        <v/>
      </c>
      <c r="AF637">
        <f>1-alpha*MAX(0,delta-AE637)</f>
        <v/>
      </c>
      <c r="AG637">
        <f>AD637*AF637</f>
        <v/>
      </c>
      <c r="AH637">
        <f>1+COUNTIF(bounds,"&lt;"&amp;ROUND(AD637,12))</f>
        <v/>
      </c>
      <c r="AI637">
        <f>1+COUNTIF(bounds,"&lt;"&amp;ROUND(AG637,12))</f>
        <v/>
      </c>
      <c r="AJ637">
        <f>IF(AF637&lt;1,1,0)</f>
        <v/>
      </c>
      <c r="AK637">
        <f>IF(AH637&lt;&gt;AI637,1,0)</f>
        <v/>
      </c>
      <c r="AL637">
        <f>IF(AND(AI637&gt;=3,AB637&lt;=0.2),1,0)</f>
        <v/>
      </c>
      <c r="AM637">
        <f>AVERAGE(W637:AB637)</f>
        <v/>
      </c>
      <c r="AN637">
        <f>1+COUNTIF(bounds,"&lt;"&amp;ROUND(AM637,12))</f>
        <v/>
      </c>
      <c r="AO637">
        <f>IF(AK637=1,AD637,NA())</f>
        <v/>
      </c>
      <c r="AP637">
        <f>IF(AK637=0,AD637,NA())</f>
        <v/>
      </c>
    </row>
    <row r="638">
      <c r="A638" t="n">
        <v>630</v>
      </c>
      <c r="B638" t="n">
        <v>2</v>
      </c>
      <c r="C638" t="n">
        <v>1</v>
      </c>
      <c r="D638" t="n">
        <v>5</v>
      </c>
      <c r="E638" t="n">
        <v>2</v>
      </c>
      <c r="F638" t="n">
        <v>2</v>
      </c>
      <c r="G638" t="n">
        <v>5</v>
      </c>
      <c r="H638" t="n">
        <v>4</v>
      </c>
      <c r="I638" t="n">
        <v>3</v>
      </c>
      <c r="J638" t="n">
        <v>2</v>
      </c>
      <c r="K638" t="n">
        <v>2</v>
      </c>
      <c r="L638" t="n">
        <v>3</v>
      </c>
      <c r="M638" t="n">
        <v>1</v>
      </c>
      <c r="N638" t="n">
        <v>3</v>
      </c>
      <c r="O638" t="n">
        <v>2</v>
      </c>
      <c r="P638" t="n">
        <v>3</v>
      </c>
      <c r="Q638" t="n">
        <v>3</v>
      </c>
      <c r="R638" t="n">
        <v>5</v>
      </c>
      <c r="S638" t="n">
        <v>3</v>
      </c>
      <c r="T638" t="n">
        <v>2</v>
      </c>
      <c r="U638" t="n">
        <v>4</v>
      </c>
      <c r="V638" t="n">
        <v>5</v>
      </c>
      <c r="W638">
        <f>(AVERAGE(B638:D638)-1)/4</f>
        <v/>
      </c>
      <c r="X638">
        <f>(AVERAGE(E638:G638)-1)/4</f>
        <v/>
      </c>
      <c r="Y638">
        <f>(AVERAGE(H638:J638)-1)/4</f>
        <v/>
      </c>
      <c r="Z638">
        <f>(AVERAGE(K638:M638)-1)/4</f>
        <v/>
      </c>
      <c r="AA638">
        <f>(AVERAGE(N638:P638)-1)/4</f>
        <v/>
      </c>
      <c r="AB638">
        <f>(AVERAGE(Q638:S638)-1)/4</f>
        <v/>
      </c>
      <c r="AC638">
        <f>(AVERAGE(T638:V638)-1)/4</f>
        <v/>
      </c>
      <c r="AD638">
        <f>AVERAGE(W638:AA638)</f>
        <v/>
      </c>
      <c r="AE638">
        <f>MIN(W638:AA638)</f>
        <v/>
      </c>
      <c r="AF638">
        <f>1-alpha*MAX(0,delta-AE638)</f>
        <v/>
      </c>
      <c r="AG638">
        <f>AD638*AF638</f>
        <v/>
      </c>
      <c r="AH638">
        <f>1+COUNTIF(bounds,"&lt;"&amp;ROUND(AD638,12))</f>
        <v/>
      </c>
      <c r="AI638">
        <f>1+COUNTIF(bounds,"&lt;"&amp;ROUND(AG638,12))</f>
        <v/>
      </c>
      <c r="AJ638">
        <f>IF(AF638&lt;1,1,0)</f>
        <v/>
      </c>
      <c r="AK638">
        <f>IF(AH638&lt;&gt;AI638,1,0)</f>
        <v/>
      </c>
      <c r="AL638">
        <f>IF(AND(AI638&gt;=3,AB638&lt;=0.2),1,0)</f>
        <v/>
      </c>
      <c r="AM638">
        <f>AVERAGE(W638:AB638)</f>
        <v/>
      </c>
      <c r="AN638">
        <f>1+COUNTIF(bounds,"&lt;"&amp;ROUND(AM638,12))</f>
        <v/>
      </c>
      <c r="AO638">
        <f>IF(AK638=1,AD638,NA())</f>
        <v/>
      </c>
      <c r="AP638">
        <f>IF(AK638=0,AD638,NA())</f>
        <v/>
      </c>
    </row>
    <row r="639">
      <c r="A639" t="n">
        <v>631</v>
      </c>
      <c r="B639" t="n">
        <v>4</v>
      </c>
      <c r="C639" t="n">
        <v>1</v>
      </c>
      <c r="D639" t="n">
        <v>4</v>
      </c>
      <c r="E639" t="n">
        <v>3</v>
      </c>
      <c r="F639" t="n">
        <v>1</v>
      </c>
      <c r="G639" t="n">
        <v>5</v>
      </c>
      <c r="H639" t="n">
        <v>1</v>
      </c>
      <c r="I639" t="n">
        <v>4</v>
      </c>
      <c r="J639" t="n">
        <v>1</v>
      </c>
      <c r="K639" t="n">
        <v>4</v>
      </c>
      <c r="L639" t="n">
        <v>5</v>
      </c>
      <c r="M639" t="n">
        <v>1</v>
      </c>
      <c r="N639" t="n">
        <v>5</v>
      </c>
      <c r="O639" t="n">
        <v>2</v>
      </c>
      <c r="P639" t="n">
        <v>2</v>
      </c>
      <c r="Q639" t="n">
        <v>5</v>
      </c>
      <c r="R639" t="n">
        <v>2</v>
      </c>
      <c r="S639" t="n">
        <v>3</v>
      </c>
      <c r="T639" t="n">
        <v>4</v>
      </c>
      <c r="U639" t="n">
        <v>1</v>
      </c>
      <c r="V639" t="n">
        <v>1</v>
      </c>
      <c r="W639">
        <f>(AVERAGE(B639:D639)-1)/4</f>
        <v/>
      </c>
      <c r="X639">
        <f>(AVERAGE(E639:G639)-1)/4</f>
        <v/>
      </c>
      <c r="Y639">
        <f>(AVERAGE(H639:J639)-1)/4</f>
        <v/>
      </c>
      <c r="Z639">
        <f>(AVERAGE(K639:M639)-1)/4</f>
        <v/>
      </c>
      <c r="AA639">
        <f>(AVERAGE(N639:P639)-1)/4</f>
        <v/>
      </c>
      <c r="AB639">
        <f>(AVERAGE(Q639:S639)-1)/4</f>
        <v/>
      </c>
      <c r="AC639">
        <f>(AVERAGE(T639:V639)-1)/4</f>
        <v/>
      </c>
      <c r="AD639">
        <f>AVERAGE(W639:AA639)</f>
        <v/>
      </c>
      <c r="AE639">
        <f>MIN(W639:AA639)</f>
        <v/>
      </c>
      <c r="AF639">
        <f>1-alpha*MAX(0,delta-AE639)</f>
        <v/>
      </c>
      <c r="AG639">
        <f>AD639*AF639</f>
        <v/>
      </c>
      <c r="AH639">
        <f>1+COUNTIF(bounds,"&lt;"&amp;ROUND(AD639,12))</f>
        <v/>
      </c>
      <c r="AI639">
        <f>1+COUNTIF(bounds,"&lt;"&amp;ROUND(AG639,12))</f>
        <v/>
      </c>
      <c r="AJ639">
        <f>IF(AF639&lt;1,1,0)</f>
        <v/>
      </c>
      <c r="AK639">
        <f>IF(AH639&lt;&gt;AI639,1,0)</f>
        <v/>
      </c>
      <c r="AL639">
        <f>IF(AND(AI639&gt;=3,AB639&lt;=0.2),1,0)</f>
        <v/>
      </c>
      <c r="AM639">
        <f>AVERAGE(W639:AB639)</f>
        <v/>
      </c>
      <c r="AN639">
        <f>1+COUNTIF(bounds,"&lt;"&amp;ROUND(AM639,12))</f>
        <v/>
      </c>
      <c r="AO639">
        <f>IF(AK639=1,AD639,NA())</f>
        <v/>
      </c>
      <c r="AP639">
        <f>IF(AK639=0,AD639,NA())</f>
        <v/>
      </c>
    </row>
    <row r="640">
      <c r="A640" t="n">
        <v>632</v>
      </c>
      <c r="B640" t="n">
        <v>2</v>
      </c>
      <c r="C640" t="n">
        <v>4</v>
      </c>
      <c r="D640" t="n">
        <v>5</v>
      </c>
      <c r="E640" t="n">
        <v>4</v>
      </c>
      <c r="F640" t="n">
        <v>4</v>
      </c>
      <c r="G640" t="n">
        <v>4</v>
      </c>
      <c r="H640" t="n">
        <v>2</v>
      </c>
      <c r="I640" t="n">
        <v>5</v>
      </c>
      <c r="J640" t="n">
        <v>5</v>
      </c>
      <c r="K640" t="n">
        <v>3</v>
      </c>
      <c r="L640" t="n">
        <v>5</v>
      </c>
      <c r="M640" t="n">
        <v>2</v>
      </c>
      <c r="N640" t="n">
        <v>2</v>
      </c>
      <c r="O640" t="n">
        <v>1</v>
      </c>
      <c r="P640" t="n">
        <v>1</v>
      </c>
      <c r="Q640" t="n">
        <v>3</v>
      </c>
      <c r="R640" t="n">
        <v>2</v>
      </c>
      <c r="S640" t="n">
        <v>1</v>
      </c>
      <c r="T640" t="n">
        <v>2</v>
      </c>
      <c r="U640" t="n">
        <v>1</v>
      </c>
      <c r="V640" t="n">
        <v>2</v>
      </c>
      <c r="W640">
        <f>(AVERAGE(B640:D640)-1)/4</f>
        <v/>
      </c>
      <c r="X640">
        <f>(AVERAGE(E640:G640)-1)/4</f>
        <v/>
      </c>
      <c r="Y640">
        <f>(AVERAGE(H640:J640)-1)/4</f>
        <v/>
      </c>
      <c r="Z640">
        <f>(AVERAGE(K640:M640)-1)/4</f>
        <v/>
      </c>
      <c r="AA640">
        <f>(AVERAGE(N640:P640)-1)/4</f>
        <v/>
      </c>
      <c r="AB640">
        <f>(AVERAGE(Q640:S640)-1)/4</f>
        <v/>
      </c>
      <c r="AC640">
        <f>(AVERAGE(T640:V640)-1)/4</f>
        <v/>
      </c>
      <c r="AD640">
        <f>AVERAGE(W640:AA640)</f>
        <v/>
      </c>
      <c r="AE640">
        <f>MIN(W640:AA640)</f>
        <v/>
      </c>
      <c r="AF640">
        <f>1-alpha*MAX(0,delta-AE640)</f>
        <v/>
      </c>
      <c r="AG640">
        <f>AD640*AF640</f>
        <v/>
      </c>
      <c r="AH640">
        <f>1+COUNTIF(bounds,"&lt;"&amp;ROUND(AD640,12))</f>
        <v/>
      </c>
      <c r="AI640">
        <f>1+COUNTIF(bounds,"&lt;"&amp;ROUND(AG640,12))</f>
        <v/>
      </c>
      <c r="AJ640">
        <f>IF(AF640&lt;1,1,0)</f>
        <v/>
      </c>
      <c r="AK640">
        <f>IF(AH640&lt;&gt;AI640,1,0)</f>
        <v/>
      </c>
      <c r="AL640">
        <f>IF(AND(AI640&gt;=3,AB640&lt;=0.2),1,0)</f>
        <v/>
      </c>
      <c r="AM640">
        <f>AVERAGE(W640:AB640)</f>
        <v/>
      </c>
      <c r="AN640">
        <f>1+COUNTIF(bounds,"&lt;"&amp;ROUND(AM640,12))</f>
        <v/>
      </c>
      <c r="AO640">
        <f>IF(AK640=1,AD640,NA())</f>
        <v/>
      </c>
      <c r="AP640">
        <f>IF(AK640=0,AD640,NA())</f>
        <v/>
      </c>
    </row>
    <row r="641">
      <c r="A641" t="n">
        <v>633</v>
      </c>
      <c r="B641" t="n">
        <v>1</v>
      </c>
      <c r="C641" t="n">
        <v>3</v>
      </c>
      <c r="D641" t="n">
        <v>4</v>
      </c>
      <c r="E641" t="n">
        <v>5</v>
      </c>
      <c r="F641" t="n">
        <v>3</v>
      </c>
      <c r="G641" t="n">
        <v>3</v>
      </c>
      <c r="H641" t="n">
        <v>5</v>
      </c>
      <c r="I641" t="n">
        <v>1</v>
      </c>
      <c r="J641" t="n">
        <v>2</v>
      </c>
      <c r="K641" t="n">
        <v>3</v>
      </c>
      <c r="L641" t="n">
        <v>2</v>
      </c>
      <c r="M641" t="n">
        <v>3</v>
      </c>
      <c r="N641" t="n">
        <v>3</v>
      </c>
      <c r="O641" t="n">
        <v>1</v>
      </c>
      <c r="P641" t="n">
        <v>1</v>
      </c>
      <c r="Q641" t="n">
        <v>1</v>
      </c>
      <c r="R641" t="n">
        <v>4</v>
      </c>
      <c r="S641" t="n">
        <v>3</v>
      </c>
      <c r="T641" t="n">
        <v>5</v>
      </c>
      <c r="U641" t="n">
        <v>1</v>
      </c>
      <c r="V641" t="n">
        <v>2</v>
      </c>
      <c r="W641">
        <f>(AVERAGE(B641:D641)-1)/4</f>
        <v/>
      </c>
      <c r="X641">
        <f>(AVERAGE(E641:G641)-1)/4</f>
        <v/>
      </c>
      <c r="Y641">
        <f>(AVERAGE(H641:J641)-1)/4</f>
        <v/>
      </c>
      <c r="Z641">
        <f>(AVERAGE(K641:M641)-1)/4</f>
        <v/>
      </c>
      <c r="AA641">
        <f>(AVERAGE(N641:P641)-1)/4</f>
        <v/>
      </c>
      <c r="AB641">
        <f>(AVERAGE(Q641:S641)-1)/4</f>
        <v/>
      </c>
      <c r="AC641">
        <f>(AVERAGE(T641:V641)-1)/4</f>
        <v/>
      </c>
      <c r="AD641">
        <f>AVERAGE(W641:AA641)</f>
        <v/>
      </c>
      <c r="AE641">
        <f>MIN(W641:AA641)</f>
        <v/>
      </c>
      <c r="AF641">
        <f>1-alpha*MAX(0,delta-AE641)</f>
        <v/>
      </c>
      <c r="AG641">
        <f>AD641*AF641</f>
        <v/>
      </c>
      <c r="AH641">
        <f>1+COUNTIF(bounds,"&lt;"&amp;ROUND(AD641,12))</f>
        <v/>
      </c>
      <c r="AI641">
        <f>1+COUNTIF(bounds,"&lt;"&amp;ROUND(AG641,12))</f>
        <v/>
      </c>
      <c r="AJ641">
        <f>IF(AF641&lt;1,1,0)</f>
        <v/>
      </c>
      <c r="AK641">
        <f>IF(AH641&lt;&gt;AI641,1,0)</f>
        <v/>
      </c>
      <c r="AL641">
        <f>IF(AND(AI641&gt;=3,AB641&lt;=0.2),1,0)</f>
        <v/>
      </c>
      <c r="AM641">
        <f>AVERAGE(W641:AB641)</f>
        <v/>
      </c>
      <c r="AN641">
        <f>1+COUNTIF(bounds,"&lt;"&amp;ROUND(AM641,12))</f>
        <v/>
      </c>
      <c r="AO641">
        <f>IF(AK641=1,AD641,NA())</f>
        <v/>
      </c>
      <c r="AP641">
        <f>IF(AK641=0,AD641,NA())</f>
        <v/>
      </c>
    </row>
    <row r="642">
      <c r="A642" t="n">
        <v>634</v>
      </c>
      <c r="B642" t="n">
        <v>5</v>
      </c>
      <c r="C642" t="n">
        <v>4</v>
      </c>
      <c r="D642" t="n">
        <v>4</v>
      </c>
      <c r="E642" t="n">
        <v>4</v>
      </c>
      <c r="F642" t="n">
        <v>5</v>
      </c>
      <c r="G642" t="n">
        <v>4</v>
      </c>
      <c r="H642" t="n">
        <v>1</v>
      </c>
      <c r="I642" t="n">
        <v>3</v>
      </c>
      <c r="J642" t="n">
        <v>2</v>
      </c>
      <c r="K642" t="n">
        <v>1</v>
      </c>
      <c r="L642" t="n">
        <v>1</v>
      </c>
      <c r="M642" t="n">
        <v>2</v>
      </c>
      <c r="N642" t="n">
        <v>5</v>
      </c>
      <c r="O642" t="n">
        <v>1</v>
      </c>
      <c r="P642" t="n">
        <v>4</v>
      </c>
      <c r="Q642" t="n">
        <v>2</v>
      </c>
      <c r="R642" t="n">
        <v>2</v>
      </c>
      <c r="S642" t="n">
        <v>5</v>
      </c>
      <c r="T642" t="n">
        <v>2</v>
      </c>
      <c r="U642" t="n">
        <v>3</v>
      </c>
      <c r="V642" t="n">
        <v>5</v>
      </c>
      <c r="W642">
        <f>(AVERAGE(B642:D642)-1)/4</f>
        <v/>
      </c>
      <c r="X642">
        <f>(AVERAGE(E642:G642)-1)/4</f>
        <v/>
      </c>
      <c r="Y642">
        <f>(AVERAGE(H642:J642)-1)/4</f>
        <v/>
      </c>
      <c r="Z642">
        <f>(AVERAGE(K642:M642)-1)/4</f>
        <v/>
      </c>
      <c r="AA642">
        <f>(AVERAGE(N642:P642)-1)/4</f>
        <v/>
      </c>
      <c r="AB642">
        <f>(AVERAGE(Q642:S642)-1)/4</f>
        <v/>
      </c>
      <c r="AC642">
        <f>(AVERAGE(T642:V642)-1)/4</f>
        <v/>
      </c>
      <c r="AD642">
        <f>AVERAGE(W642:AA642)</f>
        <v/>
      </c>
      <c r="AE642">
        <f>MIN(W642:AA642)</f>
        <v/>
      </c>
      <c r="AF642">
        <f>1-alpha*MAX(0,delta-AE642)</f>
        <v/>
      </c>
      <c r="AG642">
        <f>AD642*AF642</f>
        <v/>
      </c>
      <c r="AH642">
        <f>1+COUNTIF(bounds,"&lt;"&amp;ROUND(AD642,12))</f>
        <v/>
      </c>
      <c r="AI642">
        <f>1+COUNTIF(bounds,"&lt;"&amp;ROUND(AG642,12))</f>
        <v/>
      </c>
      <c r="AJ642">
        <f>IF(AF642&lt;1,1,0)</f>
        <v/>
      </c>
      <c r="AK642">
        <f>IF(AH642&lt;&gt;AI642,1,0)</f>
        <v/>
      </c>
      <c r="AL642">
        <f>IF(AND(AI642&gt;=3,AB642&lt;=0.2),1,0)</f>
        <v/>
      </c>
      <c r="AM642">
        <f>AVERAGE(W642:AB642)</f>
        <v/>
      </c>
      <c r="AN642">
        <f>1+COUNTIF(bounds,"&lt;"&amp;ROUND(AM642,12))</f>
        <v/>
      </c>
      <c r="AO642">
        <f>IF(AK642=1,AD642,NA())</f>
        <v/>
      </c>
      <c r="AP642">
        <f>IF(AK642=0,AD642,NA())</f>
        <v/>
      </c>
    </row>
    <row r="643">
      <c r="A643" t="n">
        <v>635</v>
      </c>
      <c r="B643" t="n">
        <v>5</v>
      </c>
      <c r="C643" t="n">
        <v>1</v>
      </c>
      <c r="D643" t="n">
        <v>4</v>
      </c>
      <c r="E643" t="n">
        <v>4</v>
      </c>
      <c r="F643" t="n">
        <v>2</v>
      </c>
      <c r="G643" t="n">
        <v>5</v>
      </c>
      <c r="H643" t="n">
        <v>2</v>
      </c>
      <c r="I643" t="n">
        <v>5</v>
      </c>
      <c r="J643" t="n">
        <v>1</v>
      </c>
      <c r="K643" t="n">
        <v>1</v>
      </c>
      <c r="L643" t="n">
        <v>2</v>
      </c>
      <c r="M643" t="n">
        <v>5</v>
      </c>
      <c r="N643" t="n">
        <v>1</v>
      </c>
      <c r="O643" t="n">
        <v>2</v>
      </c>
      <c r="P643" t="n">
        <v>2</v>
      </c>
      <c r="Q643" t="n">
        <v>5</v>
      </c>
      <c r="R643" t="n">
        <v>1</v>
      </c>
      <c r="S643" t="n">
        <v>3</v>
      </c>
      <c r="T643" t="n">
        <v>5</v>
      </c>
      <c r="U643" t="n">
        <v>1</v>
      </c>
      <c r="V643" t="n">
        <v>1</v>
      </c>
      <c r="W643">
        <f>(AVERAGE(B643:D643)-1)/4</f>
        <v/>
      </c>
      <c r="X643">
        <f>(AVERAGE(E643:G643)-1)/4</f>
        <v/>
      </c>
      <c r="Y643">
        <f>(AVERAGE(H643:J643)-1)/4</f>
        <v/>
      </c>
      <c r="Z643">
        <f>(AVERAGE(K643:M643)-1)/4</f>
        <v/>
      </c>
      <c r="AA643">
        <f>(AVERAGE(N643:P643)-1)/4</f>
        <v/>
      </c>
      <c r="AB643">
        <f>(AVERAGE(Q643:S643)-1)/4</f>
        <v/>
      </c>
      <c r="AC643">
        <f>(AVERAGE(T643:V643)-1)/4</f>
        <v/>
      </c>
      <c r="AD643">
        <f>AVERAGE(W643:AA643)</f>
        <v/>
      </c>
      <c r="AE643">
        <f>MIN(W643:AA643)</f>
        <v/>
      </c>
      <c r="AF643">
        <f>1-alpha*MAX(0,delta-AE643)</f>
        <v/>
      </c>
      <c r="AG643">
        <f>AD643*AF643</f>
        <v/>
      </c>
      <c r="AH643">
        <f>1+COUNTIF(bounds,"&lt;"&amp;ROUND(AD643,12))</f>
        <v/>
      </c>
      <c r="AI643">
        <f>1+COUNTIF(bounds,"&lt;"&amp;ROUND(AG643,12))</f>
        <v/>
      </c>
      <c r="AJ643">
        <f>IF(AF643&lt;1,1,0)</f>
        <v/>
      </c>
      <c r="AK643">
        <f>IF(AH643&lt;&gt;AI643,1,0)</f>
        <v/>
      </c>
      <c r="AL643">
        <f>IF(AND(AI643&gt;=3,AB643&lt;=0.2),1,0)</f>
        <v/>
      </c>
      <c r="AM643">
        <f>AVERAGE(W643:AB643)</f>
        <v/>
      </c>
      <c r="AN643">
        <f>1+COUNTIF(bounds,"&lt;"&amp;ROUND(AM643,12))</f>
        <v/>
      </c>
      <c r="AO643">
        <f>IF(AK643=1,AD643,NA())</f>
        <v/>
      </c>
      <c r="AP643">
        <f>IF(AK643=0,AD643,NA())</f>
        <v/>
      </c>
    </row>
    <row r="644">
      <c r="A644" t="n">
        <v>636</v>
      </c>
      <c r="B644" t="n">
        <v>4</v>
      </c>
      <c r="C644" t="n">
        <v>2</v>
      </c>
      <c r="D644" t="n">
        <v>3</v>
      </c>
      <c r="E644" t="n">
        <v>2</v>
      </c>
      <c r="F644" t="n">
        <v>5</v>
      </c>
      <c r="G644" t="n">
        <v>1</v>
      </c>
      <c r="H644" t="n">
        <v>2</v>
      </c>
      <c r="I644" t="n">
        <v>1</v>
      </c>
      <c r="J644" t="n">
        <v>1</v>
      </c>
      <c r="K644" t="n">
        <v>1</v>
      </c>
      <c r="L644" t="n">
        <v>5</v>
      </c>
      <c r="M644" t="n">
        <v>1</v>
      </c>
      <c r="N644" t="n">
        <v>1</v>
      </c>
      <c r="O644" t="n">
        <v>1</v>
      </c>
      <c r="P644" t="n">
        <v>1</v>
      </c>
      <c r="Q644" t="n">
        <v>4</v>
      </c>
      <c r="R644" t="n">
        <v>2</v>
      </c>
      <c r="S644" t="n">
        <v>3</v>
      </c>
      <c r="T644" t="n">
        <v>4</v>
      </c>
      <c r="U644" t="n">
        <v>1</v>
      </c>
      <c r="V644" t="n">
        <v>5</v>
      </c>
      <c r="W644">
        <f>(AVERAGE(B644:D644)-1)/4</f>
        <v/>
      </c>
      <c r="X644">
        <f>(AVERAGE(E644:G644)-1)/4</f>
        <v/>
      </c>
      <c r="Y644">
        <f>(AVERAGE(H644:J644)-1)/4</f>
        <v/>
      </c>
      <c r="Z644">
        <f>(AVERAGE(K644:M644)-1)/4</f>
        <v/>
      </c>
      <c r="AA644">
        <f>(AVERAGE(N644:P644)-1)/4</f>
        <v/>
      </c>
      <c r="AB644">
        <f>(AVERAGE(Q644:S644)-1)/4</f>
        <v/>
      </c>
      <c r="AC644">
        <f>(AVERAGE(T644:V644)-1)/4</f>
        <v/>
      </c>
      <c r="AD644">
        <f>AVERAGE(W644:AA644)</f>
        <v/>
      </c>
      <c r="AE644">
        <f>MIN(W644:AA644)</f>
        <v/>
      </c>
      <c r="AF644">
        <f>1-alpha*MAX(0,delta-AE644)</f>
        <v/>
      </c>
      <c r="AG644">
        <f>AD644*AF644</f>
        <v/>
      </c>
      <c r="AH644">
        <f>1+COUNTIF(bounds,"&lt;"&amp;ROUND(AD644,12))</f>
        <v/>
      </c>
      <c r="AI644">
        <f>1+COUNTIF(bounds,"&lt;"&amp;ROUND(AG644,12))</f>
        <v/>
      </c>
      <c r="AJ644">
        <f>IF(AF644&lt;1,1,0)</f>
        <v/>
      </c>
      <c r="AK644">
        <f>IF(AH644&lt;&gt;AI644,1,0)</f>
        <v/>
      </c>
      <c r="AL644">
        <f>IF(AND(AI644&gt;=3,AB644&lt;=0.2),1,0)</f>
        <v/>
      </c>
      <c r="AM644">
        <f>AVERAGE(W644:AB644)</f>
        <v/>
      </c>
      <c r="AN644">
        <f>1+COUNTIF(bounds,"&lt;"&amp;ROUND(AM644,12))</f>
        <v/>
      </c>
      <c r="AO644">
        <f>IF(AK644=1,AD644,NA())</f>
        <v/>
      </c>
      <c r="AP644">
        <f>IF(AK644=0,AD644,NA())</f>
        <v/>
      </c>
    </row>
    <row r="645">
      <c r="A645" t="n">
        <v>637</v>
      </c>
      <c r="B645" t="n">
        <v>3</v>
      </c>
      <c r="C645" t="n">
        <v>1</v>
      </c>
      <c r="D645" t="n">
        <v>2</v>
      </c>
      <c r="E645" t="n">
        <v>3</v>
      </c>
      <c r="F645" t="n">
        <v>2</v>
      </c>
      <c r="G645" t="n">
        <v>2</v>
      </c>
      <c r="H645" t="n">
        <v>5</v>
      </c>
      <c r="I645" t="n">
        <v>3</v>
      </c>
      <c r="J645" t="n">
        <v>4</v>
      </c>
      <c r="K645" t="n">
        <v>5</v>
      </c>
      <c r="L645" t="n">
        <v>2</v>
      </c>
      <c r="M645" t="n">
        <v>4</v>
      </c>
      <c r="N645" t="n">
        <v>1</v>
      </c>
      <c r="O645" t="n">
        <v>1</v>
      </c>
      <c r="P645" t="n">
        <v>4</v>
      </c>
      <c r="Q645" t="n">
        <v>3</v>
      </c>
      <c r="R645" t="n">
        <v>3</v>
      </c>
      <c r="S645" t="n">
        <v>4</v>
      </c>
      <c r="T645" t="n">
        <v>3</v>
      </c>
      <c r="U645" t="n">
        <v>4</v>
      </c>
      <c r="V645" t="n">
        <v>4</v>
      </c>
      <c r="W645">
        <f>(AVERAGE(B645:D645)-1)/4</f>
        <v/>
      </c>
      <c r="X645">
        <f>(AVERAGE(E645:G645)-1)/4</f>
        <v/>
      </c>
      <c r="Y645">
        <f>(AVERAGE(H645:J645)-1)/4</f>
        <v/>
      </c>
      <c r="Z645">
        <f>(AVERAGE(K645:M645)-1)/4</f>
        <v/>
      </c>
      <c r="AA645">
        <f>(AVERAGE(N645:P645)-1)/4</f>
        <v/>
      </c>
      <c r="AB645">
        <f>(AVERAGE(Q645:S645)-1)/4</f>
        <v/>
      </c>
      <c r="AC645">
        <f>(AVERAGE(T645:V645)-1)/4</f>
        <v/>
      </c>
      <c r="AD645">
        <f>AVERAGE(W645:AA645)</f>
        <v/>
      </c>
      <c r="AE645">
        <f>MIN(W645:AA645)</f>
        <v/>
      </c>
      <c r="AF645">
        <f>1-alpha*MAX(0,delta-AE645)</f>
        <v/>
      </c>
      <c r="AG645">
        <f>AD645*AF645</f>
        <v/>
      </c>
      <c r="AH645">
        <f>1+COUNTIF(bounds,"&lt;"&amp;ROUND(AD645,12))</f>
        <v/>
      </c>
      <c r="AI645">
        <f>1+COUNTIF(bounds,"&lt;"&amp;ROUND(AG645,12))</f>
        <v/>
      </c>
      <c r="AJ645">
        <f>IF(AF645&lt;1,1,0)</f>
        <v/>
      </c>
      <c r="AK645">
        <f>IF(AH645&lt;&gt;AI645,1,0)</f>
        <v/>
      </c>
      <c r="AL645">
        <f>IF(AND(AI645&gt;=3,AB645&lt;=0.2),1,0)</f>
        <v/>
      </c>
      <c r="AM645">
        <f>AVERAGE(W645:AB645)</f>
        <v/>
      </c>
      <c r="AN645">
        <f>1+COUNTIF(bounds,"&lt;"&amp;ROUND(AM645,12))</f>
        <v/>
      </c>
      <c r="AO645">
        <f>IF(AK645=1,AD645,NA())</f>
        <v/>
      </c>
      <c r="AP645">
        <f>IF(AK645=0,AD645,NA())</f>
        <v/>
      </c>
    </row>
    <row r="646">
      <c r="A646" t="n">
        <v>638</v>
      </c>
      <c r="B646" t="n">
        <v>1</v>
      </c>
      <c r="C646" t="n">
        <v>4</v>
      </c>
      <c r="D646" t="n">
        <v>5</v>
      </c>
      <c r="E646" t="n">
        <v>5</v>
      </c>
      <c r="F646" t="n">
        <v>1</v>
      </c>
      <c r="G646" t="n">
        <v>3</v>
      </c>
      <c r="H646" t="n">
        <v>4</v>
      </c>
      <c r="I646" t="n">
        <v>3</v>
      </c>
      <c r="J646" t="n">
        <v>5</v>
      </c>
      <c r="K646" t="n">
        <v>2</v>
      </c>
      <c r="L646" t="n">
        <v>4</v>
      </c>
      <c r="M646" t="n">
        <v>1</v>
      </c>
      <c r="N646" t="n">
        <v>5</v>
      </c>
      <c r="O646" t="n">
        <v>2</v>
      </c>
      <c r="P646" t="n">
        <v>2</v>
      </c>
      <c r="Q646" t="n">
        <v>2</v>
      </c>
      <c r="R646" t="n">
        <v>2</v>
      </c>
      <c r="S646" t="n">
        <v>1</v>
      </c>
      <c r="T646" t="n">
        <v>3</v>
      </c>
      <c r="U646" t="n">
        <v>5</v>
      </c>
      <c r="V646" t="n">
        <v>4</v>
      </c>
      <c r="W646">
        <f>(AVERAGE(B646:D646)-1)/4</f>
        <v/>
      </c>
      <c r="X646">
        <f>(AVERAGE(E646:G646)-1)/4</f>
        <v/>
      </c>
      <c r="Y646">
        <f>(AVERAGE(H646:J646)-1)/4</f>
        <v/>
      </c>
      <c r="Z646">
        <f>(AVERAGE(K646:M646)-1)/4</f>
        <v/>
      </c>
      <c r="AA646">
        <f>(AVERAGE(N646:P646)-1)/4</f>
        <v/>
      </c>
      <c r="AB646">
        <f>(AVERAGE(Q646:S646)-1)/4</f>
        <v/>
      </c>
      <c r="AC646">
        <f>(AVERAGE(T646:V646)-1)/4</f>
        <v/>
      </c>
      <c r="AD646">
        <f>AVERAGE(W646:AA646)</f>
        <v/>
      </c>
      <c r="AE646">
        <f>MIN(W646:AA646)</f>
        <v/>
      </c>
      <c r="AF646">
        <f>1-alpha*MAX(0,delta-AE646)</f>
        <v/>
      </c>
      <c r="AG646">
        <f>AD646*AF646</f>
        <v/>
      </c>
      <c r="AH646">
        <f>1+COUNTIF(bounds,"&lt;"&amp;ROUND(AD646,12))</f>
        <v/>
      </c>
      <c r="AI646">
        <f>1+COUNTIF(bounds,"&lt;"&amp;ROUND(AG646,12))</f>
        <v/>
      </c>
      <c r="AJ646">
        <f>IF(AF646&lt;1,1,0)</f>
        <v/>
      </c>
      <c r="AK646">
        <f>IF(AH646&lt;&gt;AI646,1,0)</f>
        <v/>
      </c>
      <c r="AL646">
        <f>IF(AND(AI646&gt;=3,AB646&lt;=0.2),1,0)</f>
        <v/>
      </c>
      <c r="AM646">
        <f>AVERAGE(W646:AB646)</f>
        <v/>
      </c>
      <c r="AN646">
        <f>1+COUNTIF(bounds,"&lt;"&amp;ROUND(AM646,12))</f>
        <v/>
      </c>
      <c r="AO646">
        <f>IF(AK646=1,AD646,NA())</f>
        <v/>
      </c>
      <c r="AP646">
        <f>IF(AK646=0,AD646,NA())</f>
        <v/>
      </c>
    </row>
    <row r="647">
      <c r="A647" t="n">
        <v>639</v>
      </c>
      <c r="B647" t="n">
        <v>1</v>
      </c>
      <c r="C647" t="n">
        <v>5</v>
      </c>
      <c r="D647" t="n">
        <v>2</v>
      </c>
      <c r="E647" t="n">
        <v>2</v>
      </c>
      <c r="F647" t="n">
        <v>4</v>
      </c>
      <c r="G647" t="n">
        <v>2</v>
      </c>
      <c r="H647" t="n">
        <v>4</v>
      </c>
      <c r="I647" t="n">
        <v>4</v>
      </c>
      <c r="J647" t="n">
        <v>4</v>
      </c>
      <c r="K647" t="n">
        <v>5</v>
      </c>
      <c r="L647" t="n">
        <v>5</v>
      </c>
      <c r="M647" t="n">
        <v>5</v>
      </c>
      <c r="N647" t="n">
        <v>1</v>
      </c>
      <c r="O647" t="n">
        <v>3</v>
      </c>
      <c r="P647" t="n">
        <v>5</v>
      </c>
      <c r="Q647" t="n">
        <v>5</v>
      </c>
      <c r="R647" t="n">
        <v>4</v>
      </c>
      <c r="S647" t="n">
        <v>4</v>
      </c>
      <c r="T647" t="n">
        <v>4</v>
      </c>
      <c r="U647" t="n">
        <v>3</v>
      </c>
      <c r="V647" t="n">
        <v>1</v>
      </c>
      <c r="W647">
        <f>(AVERAGE(B647:D647)-1)/4</f>
        <v/>
      </c>
      <c r="X647">
        <f>(AVERAGE(E647:G647)-1)/4</f>
        <v/>
      </c>
      <c r="Y647">
        <f>(AVERAGE(H647:J647)-1)/4</f>
        <v/>
      </c>
      <c r="Z647">
        <f>(AVERAGE(K647:M647)-1)/4</f>
        <v/>
      </c>
      <c r="AA647">
        <f>(AVERAGE(N647:P647)-1)/4</f>
        <v/>
      </c>
      <c r="AB647">
        <f>(AVERAGE(Q647:S647)-1)/4</f>
        <v/>
      </c>
      <c r="AC647">
        <f>(AVERAGE(T647:V647)-1)/4</f>
        <v/>
      </c>
      <c r="AD647">
        <f>AVERAGE(W647:AA647)</f>
        <v/>
      </c>
      <c r="AE647">
        <f>MIN(W647:AA647)</f>
        <v/>
      </c>
      <c r="AF647">
        <f>1-alpha*MAX(0,delta-AE647)</f>
        <v/>
      </c>
      <c r="AG647">
        <f>AD647*AF647</f>
        <v/>
      </c>
      <c r="AH647">
        <f>1+COUNTIF(bounds,"&lt;"&amp;ROUND(AD647,12))</f>
        <v/>
      </c>
      <c r="AI647">
        <f>1+COUNTIF(bounds,"&lt;"&amp;ROUND(AG647,12))</f>
        <v/>
      </c>
      <c r="AJ647">
        <f>IF(AF647&lt;1,1,0)</f>
        <v/>
      </c>
      <c r="AK647">
        <f>IF(AH647&lt;&gt;AI647,1,0)</f>
        <v/>
      </c>
      <c r="AL647">
        <f>IF(AND(AI647&gt;=3,AB647&lt;=0.2),1,0)</f>
        <v/>
      </c>
      <c r="AM647">
        <f>AVERAGE(W647:AB647)</f>
        <v/>
      </c>
      <c r="AN647">
        <f>1+COUNTIF(bounds,"&lt;"&amp;ROUND(AM647,12))</f>
        <v/>
      </c>
      <c r="AO647">
        <f>IF(AK647=1,AD647,NA())</f>
        <v/>
      </c>
      <c r="AP647">
        <f>IF(AK647=0,AD647,NA())</f>
        <v/>
      </c>
    </row>
    <row r="648">
      <c r="A648" t="n">
        <v>640</v>
      </c>
      <c r="B648" t="n">
        <v>1</v>
      </c>
      <c r="C648" t="n">
        <v>2</v>
      </c>
      <c r="D648" t="n">
        <v>3</v>
      </c>
      <c r="E648" t="n">
        <v>5</v>
      </c>
      <c r="F648" t="n">
        <v>3</v>
      </c>
      <c r="G648" t="n">
        <v>1</v>
      </c>
      <c r="H648" t="n">
        <v>2</v>
      </c>
      <c r="I648" t="n">
        <v>3</v>
      </c>
      <c r="J648" t="n">
        <v>1</v>
      </c>
      <c r="K648" t="n">
        <v>4</v>
      </c>
      <c r="L648" t="n">
        <v>4</v>
      </c>
      <c r="M648" t="n">
        <v>2</v>
      </c>
      <c r="N648" t="n">
        <v>1</v>
      </c>
      <c r="O648" t="n">
        <v>4</v>
      </c>
      <c r="P648" t="n">
        <v>3</v>
      </c>
      <c r="Q648" t="n">
        <v>2</v>
      </c>
      <c r="R648" t="n">
        <v>5</v>
      </c>
      <c r="S648" t="n">
        <v>4</v>
      </c>
      <c r="T648" t="n">
        <v>4</v>
      </c>
      <c r="U648" t="n">
        <v>4</v>
      </c>
      <c r="V648" t="n">
        <v>1</v>
      </c>
      <c r="W648">
        <f>(AVERAGE(B648:D648)-1)/4</f>
        <v/>
      </c>
      <c r="X648">
        <f>(AVERAGE(E648:G648)-1)/4</f>
        <v/>
      </c>
      <c r="Y648">
        <f>(AVERAGE(H648:J648)-1)/4</f>
        <v/>
      </c>
      <c r="Z648">
        <f>(AVERAGE(K648:M648)-1)/4</f>
        <v/>
      </c>
      <c r="AA648">
        <f>(AVERAGE(N648:P648)-1)/4</f>
        <v/>
      </c>
      <c r="AB648">
        <f>(AVERAGE(Q648:S648)-1)/4</f>
        <v/>
      </c>
      <c r="AC648">
        <f>(AVERAGE(T648:V648)-1)/4</f>
        <v/>
      </c>
      <c r="AD648">
        <f>AVERAGE(W648:AA648)</f>
        <v/>
      </c>
      <c r="AE648">
        <f>MIN(W648:AA648)</f>
        <v/>
      </c>
      <c r="AF648">
        <f>1-alpha*MAX(0,delta-AE648)</f>
        <v/>
      </c>
      <c r="AG648">
        <f>AD648*AF648</f>
        <v/>
      </c>
      <c r="AH648">
        <f>1+COUNTIF(bounds,"&lt;"&amp;ROUND(AD648,12))</f>
        <v/>
      </c>
      <c r="AI648">
        <f>1+COUNTIF(bounds,"&lt;"&amp;ROUND(AG648,12))</f>
        <v/>
      </c>
      <c r="AJ648">
        <f>IF(AF648&lt;1,1,0)</f>
        <v/>
      </c>
      <c r="AK648">
        <f>IF(AH648&lt;&gt;AI648,1,0)</f>
        <v/>
      </c>
      <c r="AL648">
        <f>IF(AND(AI648&gt;=3,AB648&lt;=0.2),1,0)</f>
        <v/>
      </c>
      <c r="AM648">
        <f>AVERAGE(W648:AB648)</f>
        <v/>
      </c>
      <c r="AN648">
        <f>1+COUNTIF(bounds,"&lt;"&amp;ROUND(AM648,12))</f>
        <v/>
      </c>
      <c r="AO648">
        <f>IF(AK648=1,AD648,NA())</f>
        <v/>
      </c>
      <c r="AP648">
        <f>IF(AK648=0,AD648,NA())</f>
        <v/>
      </c>
    </row>
    <row r="649">
      <c r="A649" t="n">
        <v>641</v>
      </c>
      <c r="B649" t="n">
        <v>5</v>
      </c>
      <c r="C649" t="n">
        <v>3</v>
      </c>
      <c r="D649" t="n">
        <v>1</v>
      </c>
      <c r="E649" t="n">
        <v>2</v>
      </c>
      <c r="F649" t="n">
        <v>4</v>
      </c>
      <c r="G649" t="n">
        <v>4</v>
      </c>
      <c r="H649" t="n">
        <v>2</v>
      </c>
      <c r="I649" t="n">
        <v>5</v>
      </c>
      <c r="J649" t="n">
        <v>2</v>
      </c>
      <c r="K649" t="n">
        <v>1</v>
      </c>
      <c r="L649" t="n">
        <v>1</v>
      </c>
      <c r="M649" t="n">
        <v>4</v>
      </c>
      <c r="N649" t="n">
        <v>4</v>
      </c>
      <c r="O649" t="n">
        <v>5</v>
      </c>
      <c r="P649" t="n">
        <v>1</v>
      </c>
      <c r="Q649" t="n">
        <v>2</v>
      </c>
      <c r="R649" t="n">
        <v>4</v>
      </c>
      <c r="S649" t="n">
        <v>1</v>
      </c>
      <c r="T649" t="n">
        <v>1</v>
      </c>
      <c r="U649" t="n">
        <v>2</v>
      </c>
      <c r="V649" t="n">
        <v>5</v>
      </c>
      <c r="W649">
        <f>(AVERAGE(B649:D649)-1)/4</f>
        <v/>
      </c>
      <c r="X649">
        <f>(AVERAGE(E649:G649)-1)/4</f>
        <v/>
      </c>
      <c r="Y649">
        <f>(AVERAGE(H649:J649)-1)/4</f>
        <v/>
      </c>
      <c r="Z649">
        <f>(AVERAGE(K649:M649)-1)/4</f>
        <v/>
      </c>
      <c r="AA649">
        <f>(AVERAGE(N649:P649)-1)/4</f>
        <v/>
      </c>
      <c r="AB649">
        <f>(AVERAGE(Q649:S649)-1)/4</f>
        <v/>
      </c>
      <c r="AC649">
        <f>(AVERAGE(T649:V649)-1)/4</f>
        <v/>
      </c>
      <c r="AD649">
        <f>AVERAGE(W649:AA649)</f>
        <v/>
      </c>
      <c r="AE649">
        <f>MIN(W649:AA649)</f>
        <v/>
      </c>
      <c r="AF649">
        <f>1-alpha*MAX(0,delta-AE649)</f>
        <v/>
      </c>
      <c r="AG649">
        <f>AD649*AF649</f>
        <v/>
      </c>
      <c r="AH649">
        <f>1+COUNTIF(bounds,"&lt;"&amp;ROUND(AD649,12))</f>
        <v/>
      </c>
      <c r="AI649">
        <f>1+COUNTIF(bounds,"&lt;"&amp;ROUND(AG649,12))</f>
        <v/>
      </c>
      <c r="AJ649">
        <f>IF(AF649&lt;1,1,0)</f>
        <v/>
      </c>
      <c r="AK649">
        <f>IF(AH649&lt;&gt;AI649,1,0)</f>
        <v/>
      </c>
      <c r="AL649">
        <f>IF(AND(AI649&gt;=3,AB649&lt;=0.2),1,0)</f>
        <v/>
      </c>
      <c r="AM649">
        <f>AVERAGE(W649:AB649)</f>
        <v/>
      </c>
      <c r="AN649">
        <f>1+COUNTIF(bounds,"&lt;"&amp;ROUND(AM649,12))</f>
        <v/>
      </c>
      <c r="AO649">
        <f>IF(AK649=1,AD649,NA())</f>
        <v/>
      </c>
      <c r="AP649">
        <f>IF(AK649=0,AD649,NA())</f>
        <v/>
      </c>
    </row>
    <row r="650">
      <c r="A650" t="n">
        <v>642</v>
      </c>
      <c r="B650" t="n">
        <v>2</v>
      </c>
      <c r="C650" t="n">
        <v>4</v>
      </c>
      <c r="D650" t="n">
        <v>3</v>
      </c>
      <c r="E650" t="n">
        <v>4</v>
      </c>
      <c r="F650" t="n">
        <v>4</v>
      </c>
      <c r="G650" t="n">
        <v>5</v>
      </c>
      <c r="H650" t="n">
        <v>2</v>
      </c>
      <c r="I650" t="n">
        <v>2</v>
      </c>
      <c r="J650" t="n">
        <v>3</v>
      </c>
      <c r="K650" t="n">
        <v>3</v>
      </c>
      <c r="L650" t="n">
        <v>2</v>
      </c>
      <c r="M650" t="n">
        <v>2</v>
      </c>
      <c r="N650" t="n">
        <v>2</v>
      </c>
      <c r="O650" t="n">
        <v>5</v>
      </c>
      <c r="P650" t="n">
        <v>4</v>
      </c>
      <c r="Q650" t="n">
        <v>5</v>
      </c>
      <c r="R650" t="n">
        <v>1</v>
      </c>
      <c r="S650" t="n">
        <v>4</v>
      </c>
      <c r="T650" t="n">
        <v>4</v>
      </c>
      <c r="U650" t="n">
        <v>5</v>
      </c>
      <c r="V650" t="n">
        <v>2</v>
      </c>
      <c r="W650">
        <f>(AVERAGE(B650:D650)-1)/4</f>
        <v/>
      </c>
      <c r="X650">
        <f>(AVERAGE(E650:G650)-1)/4</f>
        <v/>
      </c>
      <c r="Y650">
        <f>(AVERAGE(H650:J650)-1)/4</f>
        <v/>
      </c>
      <c r="Z650">
        <f>(AVERAGE(K650:M650)-1)/4</f>
        <v/>
      </c>
      <c r="AA650">
        <f>(AVERAGE(N650:P650)-1)/4</f>
        <v/>
      </c>
      <c r="AB650">
        <f>(AVERAGE(Q650:S650)-1)/4</f>
        <v/>
      </c>
      <c r="AC650">
        <f>(AVERAGE(T650:V650)-1)/4</f>
        <v/>
      </c>
      <c r="AD650">
        <f>AVERAGE(W650:AA650)</f>
        <v/>
      </c>
      <c r="AE650">
        <f>MIN(W650:AA650)</f>
        <v/>
      </c>
      <c r="AF650">
        <f>1-alpha*MAX(0,delta-AE650)</f>
        <v/>
      </c>
      <c r="AG650">
        <f>AD650*AF650</f>
        <v/>
      </c>
      <c r="AH650">
        <f>1+COUNTIF(bounds,"&lt;"&amp;ROUND(AD650,12))</f>
        <v/>
      </c>
      <c r="AI650">
        <f>1+COUNTIF(bounds,"&lt;"&amp;ROUND(AG650,12))</f>
        <v/>
      </c>
      <c r="AJ650">
        <f>IF(AF650&lt;1,1,0)</f>
        <v/>
      </c>
      <c r="AK650">
        <f>IF(AH650&lt;&gt;AI650,1,0)</f>
        <v/>
      </c>
      <c r="AL650">
        <f>IF(AND(AI650&gt;=3,AB650&lt;=0.2),1,0)</f>
        <v/>
      </c>
      <c r="AM650">
        <f>AVERAGE(W650:AB650)</f>
        <v/>
      </c>
      <c r="AN650">
        <f>1+COUNTIF(bounds,"&lt;"&amp;ROUND(AM650,12))</f>
        <v/>
      </c>
      <c r="AO650">
        <f>IF(AK650=1,AD650,NA())</f>
        <v/>
      </c>
      <c r="AP650">
        <f>IF(AK650=0,AD650,NA())</f>
        <v/>
      </c>
    </row>
    <row r="651">
      <c r="A651" t="n">
        <v>643</v>
      </c>
      <c r="B651" t="n">
        <v>4</v>
      </c>
      <c r="C651" t="n">
        <v>1</v>
      </c>
      <c r="D651" t="n">
        <v>3</v>
      </c>
      <c r="E651" t="n">
        <v>2</v>
      </c>
      <c r="F651" t="n">
        <v>2</v>
      </c>
      <c r="G651" t="n">
        <v>3</v>
      </c>
      <c r="H651" t="n">
        <v>5</v>
      </c>
      <c r="I651" t="n">
        <v>5</v>
      </c>
      <c r="J651" t="n">
        <v>3</v>
      </c>
      <c r="K651" t="n">
        <v>1</v>
      </c>
      <c r="L651" t="n">
        <v>4</v>
      </c>
      <c r="M651" t="n">
        <v>2</v>
      </c>
      <c r="N651" t="n">
        <v>5</v>
      </c>
      <c r="O651" t="n">
        <v>1</v>
      </c>
      <c r="P651" t="n">
        <v>3</v>
      </c>
      <c r="Q651" t="n">
        <v>5</v>
      </c>
      <c r="R651" t="n">
        <v>5</v>
      </c>
      <c r="S651" t="n">
        <v>2</v>
      </c>
      <c r="T651" t="n">
        <v>5</v>
      </c>
      <c r="U651" t="n">
        <v>4</v>
      </c>
      <c r="V651" t="n">
        <v>2</v>
      </c>
      <c r="W651">
        <f>(AVERAGE(B651:D651)-1)/4</f>
        <v/>
      </c>
      <c r="X651">
        <f>(AVERAGE(E651:G651)-1)/4</f>
        <v/>
      </c>
      <c r="Y651">
        <f>(AVERAGE(H651:J651)-1)/4</f>
        <v/>
      </c>
      <c r="Z651">
        <f>(AVERAGE(K651:M651)-1)/4</f>
        <v/>
      </c>
      <c r="AA651">
        <f>(AVERAGE(N651:P651)-1)/4</f>
        <v/>
      </c>
      <c r="AB651">
        <f>(AVERAGE(Q651:S651)-1)/4</f>
        <v/>
      </c>
      <c r="AC651">
        <f>(AVERAGE(T651:V651)-1)/4</f>
        <v/>
      </c>
      <c r="AD651">
        <f>AVERAGE(W651:AA651)</f>
        <v/>
      </c>
      <c r="AE651">
        <f>MIN(W651:AA651)</f>
        <v/>
      </c>
      <c r="AF651">
        <f>1-alpha*MAX(0,delta-AE651)</f>
        <v/>
      </c>
      <c r="AG651">
        <f>AD651*AF651</f>
        <v/>
      </c>
      <c r="AH651">
        <f>1+COUNTIF(bounds,"&lt;"&amp;ROUND(AD651,12))</f>
        <v/>
      </c>
      <c r="AI651">
        <f>1+COUNTIF(bounds,"&lt;"&amp;ROUND(AG651,12))</f>
        <v/>
      </c>
      <c r="AJ651">
        <f>IF(AF651&lt;1,1,0)</f>
        <v/>
      </c>
      <c r="AK651">
        <f>IF(AH651&lt;&gt;AI651,1,0)</f>
        <v/>
      </c>
      <c r="AL651">
        <f>IF(AND(AI651&gt;=3,AB651&lt;=0.2),1,0)</f>
        <v/>
      </c>
      <c r="AM651">
        <f>AVERAGE(W651:AB651)</f>
        <v/>
      </c>
      <c r="AN651">
        <f>1+COUNTIF(bounds,"&lt;"&amp;ROUND(AM651,12))</f>
        <v/>
      </c>
      <c r="AO651">
        <f>IF(AK651=1,AD651,NA())</f>
        <v/>
      </c>
      <c r="AP651">
        <f>IF(AK651=0,AD651,NA())</f>
        <v/>
      </c>
    </row>
    <row r="652">
      <c r="A652" t="n">
        <v>644</v>
      </c>
      <c r="B652" t="n">
        <v>2</v>
      </c>
      <c r="C652" t="n">
        <v>1</v>
      </c>
      <c r="D652" t="n">
        <v>2</v>
      </c>
      <c r="E652" t="n">
        <v>4</v>
      </c>
      <c r="F652" t="n">
        <v>4</v>
      </c>
      <c r="G652" t="n">
        <v>1</v>
      </c>
      <c r="H652" t="n">
        <v>5</v>
      </c>
      <c r="I652" t="n">
        <v>1</v>
      </c>
      <c r="J652" t="n">
        <v>2</v>
      </c>
      <c r="K652" t="n">
        <v>4</v>
      </c>
      <c r="L652" t="n">
        <v>2</v>
      </c>
      <c r="M652" t="n">
        <v>4</v>
      </c>
      <c r="N652" t="n">
        <v>3</v>
      </c>
      <c r="O652" t="n">
        <v>5</v>
      </c>
      <c r="P652" t="n">
        <v>2</v>
      </c>
      <c r="Q652" t="n">
        <v>5</v>
      </c>
      <c r="R652" t="n">
        <v>3</v>
      </c>
      <c r="S652" t="n">
        <v>5</v>
      </c>
      <c r="T652" t="n">
        <v>1</v>
      </c>
      <c r="U652" t="n">
        <v>1</v>
      </c>
      <c r="V652" t="n">
        <v>4</v>
      </c>
      <c r="W652">
        <f>(AVERAGE(B652:D652)-1)/4</f>
        <v/>
      </c>
      <c r="X652">
        <f>(AVERAGE(E652:G652)-1)/4</f>
        <v/>
      </c>
      <c r="Y652">
        <f>(AVERAGE(H652:J652)-1)/4</f>
        <v/>
      </c>
      <c r="Z652">
        <f>(AVERAGE(K652:M652)-1)/4</f>
        <v/>
      </c>
      <c r="AA652">
        <f>(AVERAGE(N652:P652)-1)/4</f>
        <v/>
      </c>
      <c r="AB652">
        <f>(AVERAGE(Q652:S652)-1)/4</f>
        <v/>
      </c>
      <c r="AC652">
        <f>(AVERAGE(T652:V652)-1)/4</f>
        <v/>
      </c>
      <c r="AD652">
        <f>AVERAGE(W652:AA652)</f>
        <v/>
      </c>
      <c r="AE652">
        <f>MIN(W652:AA652)</f>
        <v/>
      </c>
      <c r="AF652">
        <f>1-alpha*MAX(0,delta-AE652)</f>
        <v/>
      </c>
      <c r="AG652">
        <f>AD652*AF652</f>
        <v/>
      </c>
      <c r="AH652">
        <f>1+COUNTIF(bounds,"&lt;"&amp;ROUND(AD652,12))</f>
        <v/>
      </c>
      <c r="AI652">
        <f>1+COUNTIF(bounds,"&lt;"&amp;ROUND(AG652,12))</f>
        <v/>
      </c>
      <c r="AJ652">
        <f>IF(AF652&lt;1,1,0)</f>
        <v/>
      </c>
      <c r="AK652">
        <f>IF(AH652&lt;&gt;AI652,1,0)</f>
        <v/>
      </c>
      <c r="AL652">
        <f>IF(AND(AI652&gt;=3,AB652&lt;=0.2),1,0)</f>
        <v/>
      </c>
      <c r="AM652">
        <f>AVERAGE(W652:AB652)</f>
        <v/>
      </c>
      <c r="AN652">
        <f>1+COUNTIF(bounds,"&lt;"&amp;ROUND(AM652,12))</f>
        <v/>
      </c>
      <c r="AO652">
        <f>IF(AK652=1,AD652,NA())</f>
        <v/>
      </c>
      <c r="AP652">
        <f>IF(AK652=0,AD652,NA())</f>
        <v/>
      </c>
    </row>
    <row r="653">
      <c r="A653" t="n">
        <v>645</v>
      </c>
      <c r="B653" t="n">
        <v>3</v>
      </c>
      <c r="C653" t="n">
        <v>3</v>
      </c>
      <c r="D653" t="n">
        <v>2</v>
      </c>
      <c r="E653" t="n">
        <v>1</v>
      </c>
      <c r="F653" t="n">
        <v>5</v>
      </c>
      <c r="G653" t="n">
        <v>3</v>
      </c>
      <c r="H653" t="n">
        <v>4</v>
      </c>
      <c r="I653" t="n">
        <v>3</v>
      </c>
      <c r="J653" t="n">
        <v>4</v>
      </c>
      <c r="K653" t="n">
        <v>5</v>
      </c>
      <c r="L653" t="n">
        <v>3</v>
      </c>
      <c r="M653" t="n">
        <v>3</v>
      </c>
      <c r="N653" t="n">
        <v>5</v>
      </c>
      <c r="O653" t="n">
        <v>2</v>
      </c>
      <c r="P653" t="n">
        <v>1</v>
      </c>
      <c r="Q653" t="n">
        <v>4</v>
      </c>
      <c r="R653" t="n">
        <v>1</v>
      </c>
      <c r="S653" t="n">
        <v>5</v>
      </c>
      <c r="T653" t="n">
        <v>5</v>
      </c>
      <c r="U653" t="n">
        <v>5</v>
      </c>
      <c r="V653" t="n">
        <v>5</v>
      </c>
      <c r="W653">
        <f>(AVERAGE(B653:D653)-1)/4</f>
        <v/>
      </c>
      <c r="X653">
        <f>(AVERAGE(E653:G653)-1)/4</f>
        <v/>
      </c>
      <c r="Y653">
        <f>(AVERAGE(H653:J653)-1)/4</f>
        <v/>
      </c>
      <c r="Z653">
        <f>(AVERAGE(K653:M653)-1)/4</f>
        <v/>
      </c>
      <c r="AA653">
        <f>(AVERAGE(N653:P653)-1)/4</f>
        <v/>
      </c>
      <c r="AB653">
        <f>(AVERAGE(Q653:S653)-1)/4</f>
        <v/>
      </c>
      <c r="AC653">
        <f>(AVERAGE(T653:V653)-1)/4</f>
        <v/>
      </c>
      <c r="AD653">
        <f>AVERAGE(W653:AA653)</f>
        <v/>
      </c>
      <c r="AE653">
        <f>MIN(W653:AA653)</f>
        <v/>
      </c>
      <c r="AF653">
        <f>1-alpha*MAX(0,delta-AE653)</f>
        <v/>
      </c>
      <c r="AG653">
        <f>AD653*AF653</f>
        <v/>
      </c>
      <c r="AH653">
        <f>1+COUNTIF(bounds,"&lt;"&amp;ROUND(AD653,12))</f>
        <v/>
      </c>
      <c r="AI653">
        <f>1+COUNTIF(bounds,"&lt;"&amp;ROUND(AG653,12))</f>
        <v/>
      </c>
      <c r="AJ653">
        <f>IF(AF653&lt;1,1,0)</f>
        <v/>
      </c>
      <c r="AK653">
        <f>IF(AH653&lt;&gt;AI653,1,0)</f>
        <v/>
      </c>
      <c r="AL653">
        <f>IF(AND(AI653&gt;=3,AB653&lt;=0.2),1,0)</f>
        <v/>
      </c>
      <c r="AM653">
        <f>AVERAGE(W653:AB653)</f>
        <v/>
      </c>
      <c r="AN653">
        <f>1+COUNTIF(bounds,"&lt;"&amp;ROUND(AM653,12))</f>
        <v/>
      </c>
      <c r="AO653">
        <f>IF(AK653=1,AD653,NA())</f>
        <v/>
      </c>
      <c r="AP653">
        <f>IF(AK653=0,AD653,NA())</f>
        <v/>
      </c>
    </row>
    <row r="654">
      <c r="A654" t="n">
        <v>646</v>
      </c>
      <c r="B654" t="n">
        <v>3</v>
      </c>
      <c r="C654" t="n">
        <v>2</v>
      </c>
      <c r="D654" t="n">
        <v>3</v>
      </c>
      <c r="E654" t="n">
        <v>3</v>
      </c>
      <c r="F654" t="n">
        <v>2</v>
      </c>
      <c r="G654" t="n">
        <v>4</v>
      </c>
      <c r="H654" t="n">
        <v>3</v>
      </c>
      <c r="I654" t="n">
        <v>2</v>
      </c>
      <c r="J654" t="n">
        <v>4</v>
      </c>
      <c r="K654" t="n">
        <v>3</v>
      </c>
      <c r="L654" t="n">
        <v>4</v>
      </c>
      <c r="M654" t="n">
        <v>1</v>
      </c>
      <c r="N654" t="n">
        <v>2</v>
      </c>
      <c r="O654" t="n">
        <v>4</v>
      </c>
      <c r="P654" t="n">
        <v>2</v>
      </c>
      <c r="Q654" t="n">
        <v>5</v>
      </c>
      <c r="R654" t="n">
        <v>5</v>
      </c>
      <c r="S654" t="n">
        <v>1</v>
      </c>
      <c r="T654" t="n">
        <v>3</v>
      </c>
      <c r="U654" t="n">
        <v>4</v>
      </c>
      <c r="V654" t="n">
        <v>3</v>
      </c>
      <c r="W654">
        <f>(AVERAGE(B654:D654)-1)/4</f>
        <v/>
      </c>
      <c r="X654">
        <f>(AVERAGE(E654:G654)-1)/4</f>
        <v/>
      </c>
      <c r="Y654">
        <f>(AVERAGE(H654:J654)-1)/4</f>
        <v/>
      </c>
      <c r="Z654">
        <f>(AVERAGE(K654:M654)-1)/4</f>
        <v/>
      </c>
      <c r="AA654">
        <f>(AVERAGE(N654:P654)-1)/4</f>
        <v/>
      </c>
      <c r="AB654">
        <f>(AVERAGE(Q654:S654)-1)/4</f>
        <v/>
      </c>
      <c r="AC654">
        <f>(AVERAGE(T654:V654)-1)/4</f>
        <v/>
      </c>
      <c r="AD654">
        <f>AVERAGE(W654:AA654)</f>
        <v/>
      </c>
      <c r="AE654">
        <f>MIN(W654:AA654)</f>
        <v/>
      </c>
      <c r="AF654">
        <f>1-alpha*MAX(0,delta-AE654)</f>
        <v/>
      </c>
      <c r="AG654">
        <f>AD654*AF654</f>
        <v/>
      </c>
      <c r="AH654">
        <f>1+COUNTIF(bounds,"&lt;"&amp;ROUND(AD654,12))</f>
        <v/>
      </c>
      <c r="AI654">
        <f>1+COUNTIF(bounds,"&lt;"&amp;ROUND(AG654,12))</f>
        <v/>
      </c>
      <c r="AJ654">
        <f>IF(AF654&lt;1,1,0)</f>
        <v/>
      </c>
      <c r="AK654">
        <f>IF(AH654&lt;&gt;AI654,1,0)</f>
        <v/>
      </c>
      <c r="AL654">
        <f>IF(AND(AI654&gt;=3,AB654&lt;=0.2),1,0)</f>
        <v/>
      </c>
      <c r="AM654">
        <f>AVERAGE(W654:AB654)</f>
        <v/>
      </c>
      <c r="AN654">
        <f>1+COUNTIF(bounds,"&lt;"&amp;ROUND(AM654,12))</f>
        <v/>
      </c>
      <c r="AO654">
        <f>IF(AK654=1,AD654,NA())</f>
        <v/>
      </c>
      <c r="AP654">
        <f>IF(AK654=0,AD654,NA())</f>
        <v/>
      </c>
    </row>
    <row r="655">
      <c r="A655" t="n">
        <v>647</v>
      </c>
      <c r="B655" t="n">
        <v>4</v>
      </c>
      <c r="C655" t="n">
        <v>4</v>
      </c>
      <c r="D655" t="n">
        <v>3</v>
      </c>
      <c r="E655" t="n">
        <v>3</v>
      </c>
      <c r="F655" t="n">
        <v>1</v>
      </c>
      <c r="G655" t="n">
        <v>4</v>
      </c>
      <c r="H655" t="n">
        <v>2</v>
      </c>
      <c r="I655" t="n">
        <v>3</v>
      </c>
      <c r="J655" t="n">
        <v>4</v>
      </c>
      <c r="K655" t="n">
        <v>2</v>
      </c>
      <c r="L655" t="n">
        <v>3</v>
      </c>
      <c r="M655" t="n">
        <v>2</v>
      </c>
      <c r="N655" t="n">
        <v>5</v>
      </c>
      <c r="O655" t="n">
        <v>5</v>
      </c>
      <c r="P655" t="n">
        <v>1</v>
      </c>
      <c r="Q655" t="n">
        <v>3</v>
      </c>
      <c r="R655" t="n">
        <v>2</v>
      </c>
      <c r="S655" t="n">
        <v>1</v>
      </c>
      <c r="T655" t="n">
        <v>3</v>
      </c>
      <c r="U655" t="n">
        <v>2</v>
      </c>
      <c r="V655" t="n">
        <v>2</v>
      </c>
      <c r="W655">
        <f>(AVERAGE(B655:D655)-1)/4</f>
        <v/>
      </c>
      <c r="X655">
        <f>(AVERAGE(E655:G655)-1)/4</f>
        <v/>
      </c>
      <c r="Y655">
        <f>(AVERAGE(H655:J655)-1)/4</f>
        <v/>
      </c>
      <c r="Z655">
        <f>(AVERAGE(K655:M655)-1)/4</f>
        <v/>
      </c>
      <c r="AA655">
        <f>(AVERAGE(N655:P655)-1)/4</f>
        <v/>
      </c>
      <c r="AB655">
        <f>(AVERAGE(Q655:S655)-1)/4</f>
        <v/>
      </c>
      <c r="AC655">
        <f>(AVERAGE(T655:V655)-1)/4</f>
        <v/>
      </c>
      <c r="AD655">
        <f>AVERAGE(W655:AA655)</f>
        <v/>
      </c>
      <c r="AE655">
        <f>MIN(W655:AA655)</f>
        <v/>
      </c>
      <c r="AF655">
        <f>1-alpha*MAX(0,delta-AE655)</f>
        <v/>
      </c>
      <c r="AG655">
        <f>AD655*AF655</f>
        <v/>
      </c>
      <c r="AH655">
        <f>1+COUNTIF(bounds,"&lt;"&amp;ROUND(AD655,12))</f>
        <v/>
      </c>
      <c r="AI655">
        <f>1+COUNTIF(bounds,"&lt;"&amp;ROUND(AG655,12))</f>
        <v/>
      </c>
      <c r="AJ655">
        <f>IF(AF655&lt;1,1,0)</f>
        <v/>
      </c>
      <c r="AK655">
        <f>IF(AH655&lt;&gt;AI655,1,0)</f>
        <v/>
      </c>
      <c r="AL655">
        <f>IF(AND(AI655&gt;=3,AB655&lt;=0.2),1,0)</f>
        <v/>
      </c>
      <c r="AM655">
        <f>AVERAGE(W655:AB655)</f>
        <v/>
      </c>
      <c r="AN655">
        <f>1+COUNTIF(bounds,"&lt;"&amp;ROUND(AM655,12))</f>
        <v/>
      </c>
      <c r="AO655">
        <f>IF(AK655=1,AD655,NA())</f>
        <v/>
      </c>
      <c r="AP655">
        <f>IF(AK655=0,AD655,NA())</f>
        <v/>
      </c>
    </row>
    <row r="656">
      <c r="A656" t="n">
        <v>648</v>
      </c>
      <c r="B656" t="n">
        <v>1</v>
      </c>
      <c r="C656" t="n">
        <v>2</v>
      </c>
      <c r="D656" t="n">
        <v>4</v>
      </c>
      <c r="E656" t="n">
        <v>4</v>
      </c>
      <c r="F656" t="n">
        <v>4</v>
      </c>
      <c r="G656" t="n">
        <v>1</v>
      </c>
      <c r="H656" t="n">
        <v>5</v>
      </c>
      <c r="I656" t="n">
        <v>2</v>
      </c>
      <c r="J656" t="n">
        <v>2</v>
      </c>
      <c r="K656" t="n">
        <v>1</v>
      </c>
      <c r="L656" t="n">
        <v>5</v>
      </c>
      <c r="M656" t="n">
        <v>3</v>
      </c>
      <c r="N656" t="n">
        <v>2</v>
      </c>
      <c r="O656" t="n">
        <v>1</v>
      </c>
      <c r="P656" t="n">
        <v>3</v>
      </c>
      <c r="Q656" t="n">
        <v>5</v>
      </c>
      <c r="R656" t="n">
        <v>1</v>
      </c>
      <c r="S656" t="n">
        <v>3</v>
      </c>
      <c r="T656" t="n">
        <v>3</v>
      </c>
      <c r="U656" t="n">
        <v>5</v>
      </c>
      <c r="V656" t="n">
        <v>3</v>
      </c>
      <c r="W656">
        <f>(AVERAGE(B656:D656)-1)/4</f>
        <v/>
      </c>
      <c r="X656">
        <f>(AVERAGE(E656:G656)-1)/4</f>
        <v/>
      </c>
      <c r="Y656">
        <f>(AVERAGE(H656:J656)-1)/4</f>
        <v/>
      </c>
      <c r="Z656">
        <f>(AVERAGE(K656:M656)-1)/4</f>
        <v/>
      </c>
      <c r="AA656">
        <f>(AVERAGE(N656:P656)-1)/4</f>
        <v/>
      </c>
      <c r="AB656">
        <f>(AVERAGE(Q656:S656)-1)/4</f>
        <v/>
      </c>
      <c r="AC656">
        <f>(AVERAGE(T656:V656)-1)/4</f>
        <v/>
      </c>
      <c r="AD656">
        <f>AVERAGE(W656:AA656)</f>
        <v/>
      </c>
      <c r="AE656">
        <f>MIN(W656:AA656)</f>
        <v/>
      </c>
      <c r="AF656">
        <f>1-alpha*MAX(0,delta-AE656)</f>
        <v/>
      </c>
      <c r="AG656">
        <f>AD656*AF656</f>
        <v/>
      </c>
      <c r="AH656">
        <f>1+COUNTIF(bounds,"&lt;"&amp;ROUND(AD656,12))</f>
        <v/>
      </c>
      <c r="AI656">
        <f>1+COUNTIF(bounds,"&lt;"&amp;ROUND(AG656,12))</f>
        <v/>
      </c>
      <c r="AJ656">
        <f>IF(AF656&lt;1,1,0)</f>
        <v/>
      </c>
      <c r="AK656">
        <f>IF(AH656&lt;&gt;AI656,1,0)</f>
        <v/>
      </c>
      <c r="AL656">
        <f>IF(AND(AI656&gt;=3,AB656&lt;=0.2),1,0)</f>
        <v/>
      </c>
      <c r="AM656">
        <f>AVERAGE(W656:AB656)</f>
        <v/>
      </c>
      <c r="AN656">
        <f>1+COUNTIF(bounds,"&lt;"&amp;ROUND(AM656,12))</f>
        <v/>
      </c>
      <c r="AO656">
        <f>IF(AK656=1,AD656,NA())</f>
        <v/>
      </c>
      <c r="AP656">
        <f>IF(AK656=0,AD656,NA())</f>
        <v/>
      </c>
    </row>
    <row r="657">
      <c r="A657" t="n">
        <v>649</v>
      </c>
      <c r="B657" t="n">
        <v>2</v>
      </c>
      <c r="C657" t="n">
        <v>4</v>
      </c>
      <c r="D657" t="n">
        <v>1</v>
      </c>
      <c r="E657" t="n">
        <v>5</v>
      </c>
      <c r="F657" t="n">
        <v>1</v>
      </c>
      <c r="G657" t="n">
        <v>3</v>
      </c>
      <c r="H657" t="n">
        <v>1</v>
      </c>
      <c r="I657" t="n">
        <v>5</v>
      </c>
      <c r="J657" t="n">
        <v>5</v>
      </c>
      <c r="K657" t="n">
        <v>1</v>
      </c>
      <c r="L657" t="n">
        <v>3</v>
      </c>
      <c r="M657" t="n">
        <v>2</v>
      </c>
      <c r="N657" t="n">
        <v>3</v>
      </c>
      <c r="O657" t="n">
        <v>3</v>
      </c>
      <c r="P657" t="n">
        <v>3</v>
      </c>
      <c r="Q657" t="n">
        <v>2</v>
      </c>
      <c r="R657" t="n">
        <v>3</v>
      </c>
      <c r="S657" t="n">
        <v>4</v>
      </c>
      <c r="T657" t="n">
        <v>1</v>
      </c>
      <c r="U657" t="n">
        <v>1</v>
      </c>
      <c r="V657" t="n">
        <v>2</v>
      </c>
      <c r="W657">
        <f>(AVERAGE(B657:D657)-1)/4</f>
        <v/>
      </c>
      <c r="X657">
        <f>(AVERAGE(E657:G657)-1)/4</f>
        <v/>
      </c>
      <c r="Y657">
        <f>(AVERAGE(H657:J657)-1)/4</f>
        <v/>
      </c>
      <c r="Z657">
        <f>(AVERAGE(K657:M657)-1)/4</f>
        <v/>
      </c>
      <c r="AA657">
        <f>(AVERAGE(N657:P657)-1)/4</f>
        <v/>
      </c>
      <c r="AB657">
        <f>(AVERAGE(Q657:S657)-1)/4</f>
        <v/>
      </c>
      <c r="AC657">
        <f>(AVERAGE(T657:V657)-1)/4</f>
        <v/>
      </c>
      <c r="AD657">
        <f>AVERAGE(W657:AA657)</f>
        <v/>
      </c>
      <c r="AE657">
        <f>MIN(W657:AA657)</f>
        <v/>
      </c>
      <c r="AF657">
        <f>1-alpha*MAX(0,delta-AE657)</f>
        <v/>
      </c>
      <c r="AG657">
        <f>AD657*AF657</f>
        <v/>
      </c>
      <c r="AH657">
        <f>1+COUNTIF(bounds,"&lt;"&amp;ROUND(AD657,12))</f>
        <v/>
      </c>
      <c r="AI657">
        <f>1+COUNTIF(bounds,"&lt;"&amp;ROUND(AG657,12))</f>
        <v/>
      </c>
      <c r="AJ657">
        <f>IF(AF657&lt;1,1,0)</f>
        <v/>
      </c>
      <c r="AK657">
        <f>IF(AH657&lt;&gt;AI657,1,0)</f>
        <v/>
      </c>
      <c r="AL657">
        <f>IF(AND(AI657&gt;=3,AB657&lt;=0.2),1,0)</f>
        <v/>
      </c>
      <c r="AM657">
        <f>AVERAGE(W657:AB657)</f>
        <v/>
      </c>
      <c r="AN657">
        <f>1+COUNTIF(bounds,"&lt;"&amp;ROUND(AM657,12))</f>
        <v/>
      </c>
      <c r="AO657">
        <f>IF(AK657=1,AD657,NA())</f>
        <v/>
      </c>
      <c r="AP657">
        <f>IF(AK657=0,AD657,NA())</f>
        <v/>
      </c>
    </row>
    <row r="658">
      <c r="A658" t="n">
        <v>650</v>
      </c>
      <c r="B658" t="n">
        <v>1</v>
      </c>
      <c r="C658" t="n">
        <v>5</v>
      </c>
      <c r="D658" t="n">
        <v>4</v>
      </c>
      <c r="E658" t="n">
        <v>3</v>
      </c>
      <c r="F658" t="n">
        <v>4</v>
      </c>
      <c r="G658" t="n">
        <v>5</v>
      </c>
      <c r="H658" t="n">
        <v>5</v>
      </c>
      <c r="I658" t="n">
        <v>2</v>
      </c>
      <c r="J658" t="n">
        <v>1</v>
      </c>
      <c r="K658" t="n">
        <v>4</v>
      </c>
      <c r="L658" t="n">
        <v>1</v>
      </c>
      <c r="M658" t="n">
        <v>4</v>
      </c>
      <c r="N658" t="n">
        <v>4</v>
      </c>
      <c r="O658" t="n">
        <v>2</v>
      </c>
      <c r="P658" t="n">
        <v>2</v>
      </c>
      <c r="Q658" t="n">
        <v>1</v>
      </c>
      <c r="R658" t="n">
        <v>2</v>
      </c>
      <c r="S658" t="n">
        <v>1</v>
      </c>
      <c r="T658" t="n">
        <v>3</v>
      </c>
      <c r="U658" t="n">
        <v>5</v>
      </c>
      <c r="V658" t="n">
        <v>3</v>
      </c>
      <c r="W658">
        <f>(AVERAGE(B658:D658)-1)/4</f>
        <v/>
      </c>
      <c r="X658">
        <f>(AVERAGE(E658:G658)-1)/4</f>
        <v/>
      </c>
      <c r="Y658">
        <f>(AVERAGE(H658:J658)-1)/4</f>
        <v/>
      </c>
      <c r="Z658">
        <f>(AVERAGE(K658:M658)-1)/4</f>
        <v/>
      </c>
      <c r="AA658">
        <f>(AVERAGE(N658:P658)-1)/4</f>
        <v/>
      </c>
      <c r="AB658">
        <f>(AVERAGE(Q658:S658)-1)/4</f>
        <v/>
      </c>
      <c r="AC658">
        <f>(AVERAGE(T658:V658)-1)/4</f>
        <v/>
      </c>
      <c r="AD658">
        <f>AVERAGE(W658:AA658)</f>
        <v/>
      </c>
      <c r="AE658">
        <f>MIN(W658:AA658)</f>
        <v/>
      </c>
      <c r="AF658">
        <f>1-alpha*MAX(0,delta-AE658)</f>
        <v/>
      </c>
      <c r="AG658">
        <f>AD658*AF658</f>
        <v/>
      </c>
      <c r="AH658">
        <f>1+COUNTIF(bounds,"&lt;"&amp;ROUND(AD658,12))</f>
        <v/>
      </c>
      <c r="AI658">
        <f>1+COUNTIF(bounds,"&lt;"&amp;ROUND(AG658,12))</f>
        <v/>
      </c>
      <c r="AJ658">
        <f>IF(AF658&lt;1,1,0)</f>
        <v/>
      </c>
      <c r="AK658">
        <f>IF(AH658&lt;&gt;AI658,1,0)</f>
        <v/>
      </c>
      <c r="AL658">
        <f>IF(AND(AI658&gt;=3,AB658&lt;=0.2),1,0)</f>
        <v/>
      </c>
      <c r="AM658">
        <f>AVERAGE(W658:AB658)</f>
        <v/>
      </c>
      <c r="AN658">
        <f>1+COUNTIF(bounds,"&lt;"&amp;ROUND(AM658,12))</f>
        <v/>
      </c>
      <c r="AO658">
        <f>IF(AK658=1,AD658,NA())</f>
        <v/>
      </c>
      <c r="AP658">
        <f>IF(AK658=0,AD658,NA())</f>
        <v/>
      </c>
    </row>
    <row r="659">
      <c r="A659" t="n">
        <v>651</v>
      </c>
      <c r="B659" t="n">
        <v>1</v>
      </c>
      <c r="C659" t="n">
        <v>5</v>
      </c>
      <c r="D659" t="n">
        <v>5</v>
      </c>
      <c r="E659" t="n">
        <v>3</v>
      </c>
      <c r="F659" t="n">
        <v>2</v>
      </c>
      <c r="G659" t="n">
        <v>2</v>
      </c>
      <c r="H659" t="n">
        <v>5</v>
      </c>
      <c r="I659" t="n">
        <v>1</v>
      </c>
      <c r="J659" t="n">
        <v>1</v>
      </c>
      <c r="K659" t="n">
        <v>1</v>
      </c>
      <c r="L659" t="n">
        <v>1</v>
      </c>
      <c r="M659" t="n">
        <v>4</v>
      </c>
      <c r="N659" t="n">
        <v>1</v>
      </c>
      <c r="O659" t="n">
        <v>1</v>
      </c>
      <c r="P659" t="n">
        <v>2</v>
      </c>
      <c r="Q659" t="n">
        <v>2</v>
      </c>
      <c r="R659" t="n">
        <v>2</v>
      </c>
      <c r="S659" t="n">
        <v>4</v>
      </c>
      <c r="T659" t="n">
        <v>1</v>
      </c>
      <c r="U659" t="n">
        <v>1</v>
      </c>
      <c r="V659" t="n">
        <v>4</v>
      </c>
      <c r="W659">
        <f>(AVERAGE(B659:D659)-1)/4</f>
        <v/>
      </c>
      <c r="X659">
        <f>(AVERAGE(E659:G659)-1)/4</f>
        <v/>
      </c>
      <c r="Y659">
        <f>(AVERAGE(H659:J659)-1)/4</f>
        <v/>
      </c>
      <c r="Z659">
        <f>(AVERAGE(K659:M659)-1)/4</f>
        <v/>
      </c>
      <c r="AA659">
        <f>(AVERAGE(N659:P659)-1)/4</f>
        <v/>
      </c>
      <c r="AB659">
        <f>(AVERAGE(Q659:S659)-1)/4</f>
        <v/>
      </c>
      <c r="AC659">
        <f>(AVERAGE(T659:V659)-1)/4</f>
        <v/>
      </c>
      <c r="AD659">
        <f>AVERAGE(W659:AA659)</f>
        <v/>
      </c>
      <c r="AE659">
        <f>MIN(W659:AA659)</f>
        <v/>
      </c>
      <c r="AF659">
        <f>1-alpha*MAX(0,delta-AE659)</f>
        <v/>
      </c>
      <c r="AG659">
        <f>AD659*AF659</f>
        <v/>
      </c>
      <c r="AH659">
        <f>1+COUNTIF(bounds,"&lt;"&amp;ROUND(AD659,12))</f>
        <v/>
      </c>
      <c r="AI659">
        <f>1+COUNTIF(bounds,"&lt;"&amp;ROUND(AG659,12))</f>
        <v/>
      </c>
      <c r="AJ659">
        <f>IF(AF659&lt;1,1,0)</f>
        <v/>
      </c>
      <c r="AK659">
        <f>IF(AH659&lt;&gt;AI659,1,0)</f>
        <v/>
      </c>
      <c r="AL659">
        <f>IF(AND(AI659&gt;=3,AB659&lt;=0.2),1,0)</f>
        <v/>
      </c>
      <c r="AM659">
        <f>AVERAGE(W659:AB659)</f>
        <v/>
      </c>
      <c r="AN659">
        <f>1+COUNTIF(bounds,"&lt;"&amp;ROUND(AM659,12))</f>
        <v/>
      </c>
      <c r="AO659">
        <f>IF(AK659=1,AD659,NA())</f>
        <v/>
      </c>
      <c r="AP659">
        <f>IF(AK659=0,AD659,NA())</f>
        <v/>
      </c>
    </row>
    <row r="660">
      <c r="A660" t="n">
        <v>652</v>
      </c>
      <c r="B660" t="n">
        <v>3</v>
      </c>
      <c r="C660" t="n">
        <v>2</v>
      </c>
      <c r="D660" t="n">
        <v>2</v>
      </c>
      <c r="E660" t="n">
        <v>4</v>
      </c>
      <c r="F660" t="n">
        <v>3</v>
      </c>
      <c r="G660" t="n">
        <v>3</v>
      </c>
      <c r="H660" t="n">
        <v>2</v>
      </c>
      <c r="I660" t="n">
        <v>3</v>
      </c>
      <c r="J660" t="n">
        <v>5</v>
      </c>
      <c r="K660" t="n">
        <v>3</v>
      </c>
      <c r="L660" t="n">
        <v>5</v>
      </c>
      <c r="M660" t="n">
        <v>5</v>
      </c>
      <c r="N660" t="n">
        <v>2</v>
      </c>
      <c r="O660" t="n">
        <v>1</v>
      </c>
      <c r="P660" t="n">
        <v>4</v>
      </c>
      <c r="Q660" t="n">
        <v>2</v>
      </c>
      <c r="R660" t="n">
        <v>3</v>
      </c>
      <c r="S660" t="n">
        <v>1</v>
      </c>
      <c r="T660" t="n">
        <v>5</v>
      </c>
      <c r="U660" t="n">
        <v>2</v>
      </c>
      <c r="V660" t="n">
        <v>5</v>
      </c>
      <c r="W660">
        <f>(AVERAGE(B660:D660)-1)/4</f>
        <v/>
      </c>
      <c r="X660">
        <f>(AVERAGE(E660:G660)-1)/4</f>
        <v/>
      </c>
      <c r="Y660">
        <f>(AVERAGE(H660:J660)-1)/4</f>
        <v/>
      </c>
      <c r="Z660">
        <f>(AVERAGE(K660:M660)-1)/4</f>
        <v/>
      </c>
      <c r="AA660">
        <f>(AVERAGE(N660:P660)-1)/4</f>
        <v/>
      </c>
      <c r="AB660">
        <f>(AVERAGE(Q660:S660)-1)/4</f>
        <v/>
      </c>
      <c r="AC660">
        <f>(AVERAGE(T660:V660)-1)/4</f>
        <v/>
      </c>
      <c r="AD660">
        <f>AVERAGE(W660:AA660)</f>
        <v/>
      </c>
      <c r="AE660">
        <f>MIN(W660:AA660)</f>
        <v/>
      </c>
      <c r="AF660">
        <f>1-alpha*MAX(0,delta-AE660)</f>
        <v/>
      </c>
      <c r="AG660">
        <f>AD660*AF660</f>
        <v/>
      </c>
      <c r="AH660">
        <f>1+COUNTIF(bounds,"&lt;"&amp;ROUND(AD660,12))</f>
        <v/>
      </c>
      <c r="AI660">
        <f>1+COUNTIF(bounds,"&lt;"&amp;ROUND(AG660,12))</f>
        <v/>
      </c>
      <c r="AJ660">
        <f>IF(AF660&lt;1,1,0)</f>
        <v/>
      </c>
      <c r="AK660">
        <f>IF(AH660&lt;&gt;AI660,1,0)</f>
        <v/>
      </c>
      <c r="AL660">
        <f>IF(AND(AI660&gt;=3,AB660&lt;=0.2),1,0)</f>
        <v/>
      </c>
      <c r="AM660">
        <f>AVERAGE(W660:AB660)</f>
        <v/>
      </c>
      <c r="AN660">
        <f>1+COUNTIF(bounds,"&lt;"&amp;ROUND(AM660,12))</f>
        <v/>
      </c>
      <c r="AO660">
        <f>IF(AK660=1,AD660,NA())</f>
        <v/>
      </c>
      <c r="AP660">
        <f>IF(AK660=0,AD660,NA())</f>
        <v/>
      </c>
    </row>
    <row r="661">
      <c r="A661" t="n">
        <v>653</v>
      </c>
      <c r="B661" t="n">
        <v>2</v>
      </c>
      <c r="C661" t="n">
        <v>4</v>
      </c>
      <c r="D661" t="n">
        <v>2</v>
      </c>
      <c r="E661" t="n">
        <v>3</v>
      </c>
      <c r="F661" t="n">
        <v>3</v>
      </c>
      <c r="G661" t="n">
        <v>3</v>
      </c>
      <c r="H661" t="n">
        <v>3</v>
      </c>
      <c r="I661" t="n">
        <v>5</v>
      </c>
      <c r="J661" t="n">
        <v>2</v>
      </c>
      <c r="K661" t="n">
        <v>1</v>
      </c>
      <c r="L661" t="n">
        <v>3</v>
      </c>
      <c r="M661" t="n">
        <v>2</v>
      </c>
      <c r="N661" t="n">
        <v>1</v>
      </c>
      <c r="O661" t="n">
        <v>5</v>
      </c>
      <c r="P661" t="n">
        <v>2</v>
      </c>
      <c r="Q661" t="n">
        <v>3</v>
      </c>
      <c r="R661" t="n">
        <v>4</v>
      </c>
      <c r="S661" t="n">
        <v>5</v>
      </c>
      <c r="T661" t="n">
        <v>5</v>
      </c>
      <c r="U661" t="n">
        <v>2</v>
      </c>
      <c r="V661" t="n">
        <v>5</v>
      </c>
      <c r="W661">
        <f>(AVERAGE(B661:D661)-1)/4</f>
        <v/>
      </c>
      <c r="X661">
        <f>(AVERAGE(E661:G661)-1)/4</f>
        <v/>
      </c>
      <c r="Y661">
        <f>(AVERAGE(H661:J661)-1)/4</f>
        <v/>
      </c>
      <c r="Z661">
        <f>(AVERAGE(K661:M661)-1)/4</f>
        <v/>
      </c>
      <c r="AA661">
        <f>(AVERAGE(N661:P661)-1)/4</f>
        <v/>
      </c>
      <c r="AB661">
        <f>(AVERAGE(Q661:S661)-1)/4</f>
        <v/>
      </c>
      <c r="AC661">
        <f>(AVERAGE(T661:V661)-1)/4</f>
        <v/>
      </c>
      <c r="AD661">
        <f>AVERAGE(W661:AA661)</f>
        <v/>
      </c>
      <c r="AE661">
        <f>MIN(W661:AA661)</f>
        <v/>
      </c>
      <c r="AF661">
        <f>1-alpha*MAX(0,delta-AE661)</f>
        <v/>
      </c>
      <c r="AG661">
        <f>AD661*AF661</f>
        <v/>
      </c>
      <c r="AH661">
        <f>1+COUNTIF(bounds,"&lt;"&amp;ROUND(AD661,12))</f>
        <v/>
      </c>
      <c r="AI661">
        <f>1+COUNTIF(bounds,"&lt;"&amp;ROUND(AG661,12))</f>
        <v/>
      </c>
      <c r="AJ661">
        <f>IF(AF661&lt;1,1,0)</f>
        <v/>
      </c>
      <c r="AK661">
        <f>IF(AH661&lt;&gt;AI661,1,0)</f>
        <v/>
      </c>
      <c r="AL661">
        <f>IF(AND(AI661&gt;=3,AB661&lt;=0.2),1,0)</f>
        <v/>
      </c>
      <c r="AM661">
        <f>AVERAGE(W661:AB661)</f>
        <v/>
      </c>
      <c r="AN661">
        <f>1+COUNTIF(bounds,"&lt;"&amp;ROUND(AM661,12))</f>
        <v/>
      </c>
      <c r="AO661">
        <f>IF(AK661=1,AD661,NA())</f>
        <v/>
      </c>
      <c r="AP661">
        <f>IF(AK661=0,AD661,NA())</f>
        <v/>
      </c>
    </row>
    <row r="662">
      <c r="A662" t="n">
        <v>654</v>
      </c>
      <c r="B662" t="n">
        <v>4</v>
      </c>
      <c r="C662" t="n">
        <v>5</v>
      </c>
      <c r="D662" t="n">
        <v>4</v>
      </c>
      <c r="E662" t="n">
        <v>4</v>
      </c>
      <c r="F662" t="n">
        <v>1</v>
      </c>
      <c r="G662" t="n">
        <v>2</v>
      </c>
      <c r="H662" t="n">
        <v>2</v>
      </c>
      <c r="I662" t="n">
        <v>3</v>
      </c>
      <c r="J662" t="n">
        <v>5</v>
      </c>
      <c r="K662" t="n">
        <v>1</v>
      </c>
      <c r="L662" t="n">
        <v>1</v>
      </c>
      <c r="M662" t="n">
        <v>4</v>
      </c>
      <c r="N662" t="n">
        <v>1</v>
      </c>
      <c r="O662" t="n">
        <v>2</v>
      </c>
      <c r="P662" t="n">
        <v>2</v>
      </c>
      <c r="Q662" t="n">
        <v>2</v>
      </c>
      <c r="R662" t="n">
        <v>3</v>
      </c>
      <c r="S662" t="n">
        <v>1</v>
      </c>
      <c r="T662" t="n">
        <v>3</v>
      </c>
      <c r="U662" t="n">
        <v>5</v>
      </c>
      <c r="V662" t="n">
        <v>2</v>
      </c>
      <c r="W662">
        <f>(AVERAGE(B662:D662)-1)/4</f>
        <v/>
      </c>
      <c r="X662">
        <f>(AVERAGE(E662:G662)-1)/4</f>
        <v/>
      </c>
      <c r="Y662">
        <f>(AVERAGE(H662:J662)-1)/4</f>
        <v/>
      </c>
      <c r="Z662">
        <f>(AVERAGE(K662:M662)-1)/4</f>
        <v/>
      </c>
      <c r="AA662">
        <f>(AVERAGE(N662:P662)-1)/4</f>
        <v/>
      </c>
      <c r="AB662">
        <f>(AVERAGE(Q662:S662)-1)/4</f>
        <v/>
      </c>
      <c r="AC662">
        <f>(AVERAGE(T662:V662)-1)/4</f>
        <v/>
      </c>
      <c r="AD662">
        <f>AVERAGE(W662:AA662)</f>
        <v/>
      </c>
      <c r="AE662">
        <f>MIN(W662:AA662)</f>
        <v/>
      </c>
      <c r="AF662">
        <f>1-alpha*MAX(0,delta-AE662)</f>
        <v/>
      </c>
      <c r="AG662">
        <f>AD662*AF662</f>
        <v/>
      </c>
      <c r="AH662">
        <f>1+COUNTIF(bounds,"&lt;"&amp;ROUND(AD662,12))</f>
        <v/>
      </c>
      <c r="AI662">
        <f>1+COUNTIF(bounds,"&lt;"&amp;ROUND(AG662,12))</f>
        <v/>
      </c>
      <c r="AJ662">
        <f>IF(AF662&lt;1,1,0)</f>
        <v/>
      </c>
      <c r="AK662">
        <f>IF(AH662&lt;&gt;AI662,1,0)</f>
        <v/>
      </c>
      <c r="AL662">
        <f>IF(AND(AI662&gt;=3,AB662&lt;=0.2),1,0)</f>
        <v/>
      </c>
      <c r="AM662">
        <f>AVERAGE(W662:AB662)</f>
        <v/>
      </c>
      <c r="AN662">
        <f>1+COUNTIF(bounds,"&lt;"&amp;ROUND(AM662,12))</f>
        <v/>
      </c>
      <c r="AO662">
        <f>IF(AK662=1,AD662,NA())</f>
        <v/>
      </c>
      <c r="AP662">
        <f>IF(AK662=0,AD662,NA())</f>
        <v/>
      </c>
    </row>
    <row r="663">
      <c r="A663" t="n">
        <v>655</v>
      </c>
      <c r="B663" t="n">
        <v>1</v>
      </c>
      <c r="C663" t="n">
        <v>2</v>
      </c>
      <c r="D663" t="n">
        <v>1</v>
      </c>
      <c r="E663" t="n">
        <v>1</v>
      </c>
      <c r="F663" t="n">
        <v>2</v>
      </c>
      <c r="G663" t="n">
        <v>2</v>
      </c>
      <c r="H663" t="n">
        <v>2</v>
      </c>
      <c r="I663" t="n">
        <v>4</v>
      </c>
      <c r="J663" t="n">
        <v>3</v>
      </c>
      <c r="K663" t="n">
        <v>4</v>
      </c>
      <c r="L663" t="n">
        <v>2</v>
      </c>
      <c r="M663" t="n">
        <v>1</v>
      </c>
      <c r="N663" t="n">
        <v>5</v>
      </c>
      <c r="O663" t="n">
        <v>1</v>
      </c>
      <c r="P663" t="n">
        <v>4</v>
      </c>
      <c r="Q663" t="n">
        <v>3</v>
      </c>
      <c r="R663" t="n">
        <v>1</v>
      </c>
      <c r="S663" t="n">
        <v>2</v>
      </c>
      <c r="T663" t="n">
        <v>1</v>
      </c>
      <c r="U663" t="n">
        <v>4</v>
      </c>
      <c r="V663" t="n">
        <v>1</v>
      </c>
      <c r="W663">
        <f>(AVERAGE(B663:D663)-1)/4</f>
        <v/>
      </c>
      <c r="X663">
        <f>(AVERAGE(E663:G663)-1)/4</f>
        <v/>
      </c>
      <c r="Y663">
        <f>(AVERAGE(H663:J663)-1)/4</f>
        <v/>
      </c>
      <c r="Z663">
        <f>(AVERAGE(K663:M663)-1)/4</f>
        <v/>
      </c>
      <c r="AA663">
        <f>(AVERAGE(N663:P663)-1)/4</f>
        <v/>
      </c>
      <c r="AB663">
        <f>(AVERAGE(Q663:S663)-1)/4</f>
        <v/>
      </c>
      <c r="AC663">
        <f>(AVERAGE(T663:V663)-1)/4</f>
        <v/>
      </c>
      <c r="AD663">
        <f>AVERAGE(W663:AA663)</f>
        <v/>
      </c>
      <c r="AE663">
        <f>MIN(W663:AA663)</f>
        <v/>
      </c>
      <c r="AF663">
        <f>1-alpha*MAX(0,delta-AE663)</f>
        <v/>
      </c>
      <c r="AG663">
        <f>AD663*AF663</f>
        <v/>
      </c>
      <c r="AH663">
        <f>1+COUNTIF(bounds,"&lt;"&amp;ROUND(AD663,12))</f>
        <v/>
      </c>
      <c r="AI663">
        <f>1+COUNTIF(bounds,"&lt;"&amp;ROUND(AG663,12))</f>
        <v/>
      </c>
      <c r="AJ663">
        <f>IF(AF663&lt;1,1,0)</f>
        <v/>
      </c>
      <c r="AK663">
        <f>IF(AH663&lt;&gt;AI663,1,0)</f>
        <v/>
      </c>
      <c r="AL663">
        <f>IF(AND(AI663&gt;=3,AB663&lt;=0.2),1,0)</f>
        <v/>
      </c>
      <c r="AM663">
        <f>AVERAGE(W663:AB663)</f>
        <v/>
      </c>
      <c r="AN663">
        <f>1+COUNTIF(bounds,"&lt;"&amp;ROUND(AM663,12))</f>
        <v/>
      </c>
      <c r="AO663">
        <f>IF(AK663=1,AD663,NA())</f>
        <v/>
      </c>
      <c r="AP663">
        <f>IF(AK663=0,AD663,NA())</f>
        <v/>
      </c>
    </row>
    <row r="664">
      <c r="A664" t="n">
        <v>656</v>
      </c>
      <c r="B664" t="n">
        <v>3</v>
      </c>
      <c r="C664" t="n">
        <v>2</v>
      </c>
      <c r="D664" t="n">
        <v>2</v>
      </c>
      <c r="E664" t="n">
        <v>2</v>
      </c>
      <c r="F664" t="n">
        <v>3</v>
      </c>
      <c r="G664" t="n">
        <v>1</v>
      </c>
      <c r="H664" t="n">
        <v>4</v>
      </c>
      <c r="I664" t="n">
        <v>2</v>
      </c>
      <c r="J664" t="n">
        <v>1</v>
      </c>
      <c r="K664" t="n">
        <v>2</v>
      </c>
      <c r="L664" t="n">
        <v>3</v>
      </c>
      <c r="M664" t="n">
        <v>5</v>
      </c>
      <c r="N664" t="n">
        <v>4</v>
      </c>
      <c r="O664" t="n">
        <v>2</v>
      </c>
      <c r="P664" t="n">
        <v>5</v>
      </c>
      <c r="Q664" t="n">
        <v>3</v>
      </c>
      <c r="R664" t="n">
        <v>1</v>
      </c>
      <c r="S664" t="n">
        <v>4</v>
      </c>
      <c r="T664" t="n">
        <v>5</v>
      </c>
      <c r="U664" t="n">
        <v>4</v>
      </c>
      <c r="V664" t="n">
        <v>3</v>
      </c>
      <c r="W664">
        <f>(AVERAGE(B664:D664)-1)/4</f>
        <v/>
      </c>
      <c r="X664">
        <f>(AVERAGE(E664:G664)-1)/4</f>
        <v/>
      </c>
      <c r="Y664">
        <f>(AVERAGE(H664:J664)-1)/4</f>
        <v/>
      </c>
      <c r="Z664">
        <f>(AVERAGE(K664:M664)-1)/4</f>
        <v/>
      </c>
      <c r="AA664">
        <f>(AVERAGE(N664:P664)-1)/4</f>
        <v/>
      </c>
      <c r="AB664">
        <f>(AVERAGE(Q664:S664)-1)/4</f>
        <v/>
      </c>
      <c r="AC664">
        <f>(AVERAGE(T664:V664)-1)/4</f>
        <v/>
      </c>
      <c r="AD664">
        <f>AVERAGE(W664:AA664)</f>
        <v/>
      </c>
      <c r="AE664">
        <f>MIN(W664:AA664)</f>
        <v/>
      </c>
      <c r="AF664">
        <f>1-alpha*MAX(0,delta-AE664)</f>
        <v/>
      </c>
      <c r="AG664">
        <f>AD664*AF664</f>
        <v/>
      </c>
      <c r="AH664">
        <f>1+COUNTIF(bounds,"&lt;"&amp;ROUND(AD664,12))</f>
        <v/>
      </c>
      <c r="AI664">
        <f>1+COUNTIF(bounds,"&lt;"&amp;ROUND(AG664,12))</f>
        <v/>
      </c>
      <c r="AJ664">
        <f>IF(AF664&lt;1,1,0)</f>
        <v/>
      </c>
      <c r="AK664">
        <f>IF(AH664&lt;&gt;AI664,1,0)</f>
        <v/>
      </c>
      <c r="AL664">
        <f>IF(AND(AI664&gt;=3,AB664&lt;=0.2),1,0)</f>
        <v/>
      </c>
      <c r="AM664">
        <f>AVERAGE(W664:AB664)</f>
        <v/>
      </c>
      <c r="AN664">
        <f>1+COUNTIF(bounds,"&lt;"&amp;ROUND(AM664,12))</f>
        <v/>
      </c>
      <c r="AO664">
        <f>IF(AK664=1,AD664,NA())</f>
        <v/>
      </c>
      <c r="AP664">
        <f>IF(AK664=0,AD664,NA())</f>
        <v/>
      </c>
    </row>
    <row r="665">
      <c r="A665" t="n">
        <v>657</v>
      </c>
      <c r="B665" t="n">
        <v>1</v>
      </c>
      <c r="C665" t="n">
        <v>4</v>
      </c>
      <c r="D665" t="n">
        <v>4</v>
      </c>
      <c r="E665" t="n">
        <v>1</v>
      </c>
      <c r="F665" t="n">
        <v>3</v>
      </c>
      <c r="G665" t="n">
        <v>3</v>
      </c>
      <c r="H665" t="n">
        <v>1</v>
      </c>
      <c r="I665" t="n">
        <v>4</v>
      </c>
      <c r="J665" t="n">
        <v>5</v>
      </c>
      <c r="K665" t="n">
        <v>3</v>
      </c>
      <c r="L665" t="n">
        <v>2</v>
      </c>
      <c r="M665" t="n">
        <v>5</v>
      </c>
      <c r="N665" t="n">
        <v>1</v>
      </c>
      <c r="O665" t="n">
        <v>3</v>
      </c>
      <c r="P665" t="n">
        <v>4</v>
      </c>
      <c r="Q665" t="n">
        <v>5</v>
      </c>
      <c r="R665" t="n">
        <v>1</v>
      </c>
      <c r="S665" t="n">
        <v>1</v>
      </c>
      <c r="T665" t="n">
        <v>2</v>
      </c>
      <c r="U665" t="n">
        <v>1</v>
      </c>
      <c r="V665" t="n">
        <v>1</v>
      </c>
      <c r="W665">
        <f>(AVERAGE(B665:D665)-1)/4</f>
        <v/>
      </c>
      <c r="X665">
        <f>(AVERAGE(E665:G665)-1)/4</f>
        <v/>
      </c>
      <c r="Y665">
        <f>(AVERAGE(H665:J665)-1)/4</f>
        <v/>
      </c>
      <c r="Z665">
        <f>(AVERAGE(K665:M665)-1)/4</f>
        <v/>
      </c>
      <c r="AA665">
        <f>(AVERAGE(N665:P665)-1)/4</f>
        <v/>
      </c>
      <c r="AB665">
        <f>(AVERAGE(Q665:S665)-1)/4</f>
        <v/>
      </c>
      <c r="AC665">
        <f>(AVERAGE(T665:V665)-1)/4</f>
        <v/>
      </c>
      <c r="AD665">
        <f>AVERAGE(W665:AA665)</f>
        <v/>
      </c>
      <c r="AE665">
        <f>MIN(W665:AA665)</f>
        <v/>
      </c>
      <c r="AF665">
        <f>1-alpha*MAX(0,delta-AE665)</f>
        <v/>
      </c>
      <c r="AG665">
        <f>AD665*AF665</f>
        <v/>
      </c>
      <c r="AH665">
        <f>1+COUNTIF(bounds,"&lt;"&amp;ROUND(AD665,12))</f>
        <v/>
      </c>
      <c r="AI665">
        <f>1+COUNTIF(bounds,"&lt;"&amp;ROUND(AG665,12))</f>
        <v/>
      </c>
      <c r="AJ665">
        <f>IF(AF665&lt;1,1,0)</f>
        <v/>
      </c>
      <c r="AK665">
        <f>IF(AH665&lt;&gt;AI665,1,0)</f>
        <v/>
      </c>
      <c r="AL665">
        <f>IF(AND(AI665&gt;=3,AB665&lt;=0.2),1,0)</f>
        <v/>
      </c>
      <c r="AM665">
        <f>AVERAGE(W665:AB665)</f>
        <v/>
      </c>
      <c r="AN665">
        <f>1+COUNTIF(bounds,"&lt;"&amp;ROUND(AM665,12))</f>
        <v/>
      </c>
      <c r="AO665">
        <f>IF(AK665=1,AD665,NA())</f>
        <v/>
      </c>
      <c r="AP665">
        <f>IF(AK665=0,AD665,NA())</f>
        <v/>
      </c>
    </row>
    <row r="666">
      <c r="A666" t="n">
        <v>658</v>
      </c>
      <c r="B666" t="n">
        <v>3</v>
      </c>
      <c r="C666" t="n">
        <v>1</v>
      </c>
      <c r="D666" t="n">
        <v>4</v>
      </c>
      <c r="E666" t="n">
        <v>1</v>
      </c>
      <c r="F666" t="n">
        <v>1</v>
      </c>
      <c r="G666" t="n">
        <v>1</v>
      </c>
      <c r="H666" t="n">
        <v>2</v>
      </c>
      <c r="I666" t="n">
        <v>2</v>
      </c>
      <c r="J666" t="n">
        <v>1</v>
      </c>
      <c r="K666" t="n">
        <v>5</v>
      </c>
      <c r="L666" t="n">
        <v>5</v>
      </c>
      <c r="M666" t="n">
        <v>3</v>
      </c>
      <c r="N666" t="n">
        <v>4</v>
      </c>
      <c r="O666" t="n">
        <v>2</v>
      </c>
      <c r="P666" t="n">
        <v>5</v>
      </c>
      <c r="Q666" t="n">
        <v>1</v>
      </c>
      <c r="R666" t="n">
        <v>5</v>
      </c>
      <c r="S666" t="n">
        <v>2</v>
      </c>
      <c r="T666" t="n">
        <v>2</v>
      </c>
      <c r="U666" t="n">
        <v>2</v>
      </c>
      <c r="V666" t="n">
        <v>3</v>
      </c>
      <c r="W666">
        <f>(AVERAGE(B666:D666)-1)/4</f>
        <v/>
      </c>
      <c r="X666">
        <f>(AVERAGE(E666:G666)-1)/4</f>
        <v/>
      </c>
      <c r="Y666">
        <f>(AVERAGE(H666:J666)-1)/4</f>
        <v/>
      </c>
      <c r="Z666">
        <f>(AVERAGE(K666:M666)-1)/4</f>
        <v/>
      </c>
      <c r="AA666">
        <f>(AVERAGE(N666:P666)-1)/4</f>
        <v/>
      </c>
      <c r="AB666">
        <f>(AVERAGE(Q666:S666)-1)/4</f>
        <v/>
      </c>
      <c r="AC666">
        <f>(AVERAGE(T666:V666)-1)/4</f>
        <v/>
      </c>
      <c r="AD666">
        <f>AVERAGE(W666:AA666)</f>
        <v/>
      </c>
      <c r="AE666">
        <f>MIN(W666:AA666)</f>
        <v/>
      </c>
      <c r="AF666">
        <f>1-alpha*MAX(0,delta-AE666)</f>
        <v/>
      </c>
      <c r="AG666">
        <f>AD666*AF666</f>
        <v/>
      </c>
      <c r="AH666">
        <f>1+COUNTIF(bounds,"&lt;"&amp;ROUND(AD666,12))</f>
        <v/>
      </c>
      <c r="AI666">
        <f>1+COUNTIF(bounds,"&lt;"&amp;ROUND(AG666,12))</f>
        <v/>
      </c>
      <c r="AJ666">
        <f>IF(AF666&lt;1,1,0)</f>
        <v/>
      </c>
      <c r="AK666">
        <f>IF(AH666&lt;&gt;AI666,1,0)</f>
        <v/>
      </c>
      <c r="AL666">
        <f>IF(AND(AI666&gt;=3,AB666&lt;=0.2),1,0)</f>
        <v/>
      </c>
      <c r="AM666">
        <f>AVERAGE(W666:AB666)</f>
        <v/>
      </c>
      <c r="AN666">
        <f>1+COUNTIF(bounds,"&lt;"&amp;ROUND(AM666,12))</f>
        <v/>
      </c>
      <c r="AO666">
        <f>IF(AK666=1,AD666,NA())</f>
        <v/>
      </c>
      <c r="AP666">
        <f>IF(AK666=0,AD666,NA())</f>
        <v/>
      </c>
    </row>
    <row r="667">
      <c r="A667" t="n">
        <v>659</v>
      </c>
      <c r="B667" t="n">
        <v>5</v>
      </c>
      <c r="C667" t="n">
        <v>5</v>
      </c>
      <c r="D667" t="n">
        <v>5</v>
      </c>
      <c r="E667" t="n">
        <v>4</v>
      </c>
      <c r="F667" t="n">
        <v>3</v>
      </c>
      <c r="G667" t="n">
        <v>4</v>
      </c>
      <c r="H667" t="n">
        <v>4</v>
      </c>
      <c r="I667" t="n">
        <v>4</v>
      </c>
      <c r="J667" t="n">
        <v>5</v>
      </c>
      <c r="K667" t="n">
        <v>5</v>
      </c>
      <c r="L667" t="n">
        <v>3</v>
      </c>
      <c r="M667" t="n">
        <v>4</v>
      </c>
      <c r="N667" t="n">
        <v>4</v>
      </c>
      <c r="O667" t="n">
        <v>1</v>
      </c>
      <c r="P667" t="n">
        <v>2</v>
      </c>
      <c r="Q667" t="n">
        <v>3</v>
      </c>
      <c r="R667" t="n">
        <v>4</v>
      </c>
      <c r="S667" t="n">
        <v>4</v>
      </c>
      <c r="T667" t="n">
        <v>4</v>
      </c>
      <c r="U667" t="n">
        <v>1</v>
      </c>
      <c r="V667" t="n">
        <v>5</v>
      </c>
      <c r="W667">
        <f>(AVERAGE(B667:D667)-1)/4</f>
        <v/>
      </c>
      <c r="X667">
        <f>(AVERAGE(E667:G667)-1)/4</f>
        <v/>
      </c>
      <c r="Y667">
        <f>(AVERAGE(H667:J667)-1)/4</f>
        <v/>
      </c>
      <c r="Z667">
        <f>(AVERAGE(K667:M667)-1)/4</f>
        <v/>
      </c>
      <c r="AA667">
        <f>(AVERAGE(N667:P667)-1)/4</f>
        <v/>
      </c>
      <c r="AB667">
        <f>(AVERAGE(Q667:S667)-1)/4</f>
        <v/>
      </c>
      <c r="AC667">
        <f>(AVERAGE(T667:V667)-1)/4</f>
        <v/>
      </c>
      <c r="AD667">
        <f>AVERAGE(W667:AA667)</f>
        <v/>
      </c>
      <c r="AE667">
        <f>MIN(W667:AA667)</f>
        <v/>
      </c>
      <c r="AF667">
        <f>1-alpha*MAX(0,delta-AE667)</f>
        <v/>
      </c>
      <c r="AG667">
        <f>AD667*AF667</f>
        <v/>
      </c>
      <c r="AH667">
        <f>1+COUNTIF(bounds,"&lt;"&amp;ROUND(AD667,12))</f>
        <v/>
      </c>
      <c r="AI667">
        <f>1+COUNTIF(bounds,"&lt;"&amp;ROUND(AG667,12))</f>
        <v/>
      </c>
      <c r="AJ667">
        <f>IF(AF667&lt;1,1,0)</f>
        <v/>
      </c>
      <c r="AK667">
        <f>IF(AH667&lt;&gt;AI667,1,0)</f>
        <v/>
      </c>
      <c r="AL667">
        <f>IF(AND(AI667&gt;=3,AB667&lt;=0.2),1,0)</f>
        <v/>
      </c>
      <c r="AM667">
        <f>AVERAGE(W667:AB667)</f>
        <v/>
      </c>
      <c r="AN667">
        <f>1+COUNTIF(bounds,"&lt;"&amp;ROUND(AM667,12))</f>
        <v/>
      </c>
      <c r="AO667">
        <f>IF(AK667=1,AD667,NA())</f>
        <v/>
      </c>
      <c r="AP667">
        <f>IF(AK667=0,AD667,NA())</f>
        <v/>
      </c>
    </row>
    <row r="668">
      <c r="A668" t="n">
        <v>660</v>
      </c>
      <c r="B668" t="n">
        <v>5</v>
      </c>
      <c r="C668" t="n">
        <v>4</v>
      </c>
      <c r="D668" t="n">
        <v>1</v>
      </c>
      <c r="E668" t="n">
        <v>5</v>
      </c>
      <c r="F668" t="n">
        <v>5</v>
      </c>
      <c r="G668" t="n">
        <v>3</v>
      </c>
      <c r="H668" t="n">
        <v>3</v>
      </c>
      <c r="I668" t="n">
        <v>4</v>
      </c>
      <c r="J668" t="n">
        <v>3</v>
      </c>
      <c r="K668" t="n">
        <v>3</v>
      </c>
      <c r="L668" t="n">
        <v>2</v>
      </c>
      <c r="M668" t="n">
        <v>1</v>
      </c>
      <c r="N668" t="n">
        <v>5</v>
      </c>
      <c r="O668" t="n">
        <v>2</v>
      </c>
      <c r="P668" t="n">
        <v>5</v>
      </c>
      <c r="Q668" t="n">
        <v>1</v>
      </c>
      <c r="R668" t="n">
        <v>4</v>
      </c>
      <c r="S668" t="n">
        <v>1</v>
      </c>
      <c r="T668" t="n">
        <v>4</v>
      </c>
      <c r="U668" t="n">
        <v>2</v>
      </c>
      <c r="V668" t="n">
        <v>3</v>
      </c>
      <c r="W668">
        <f>(AVERAGE(B668:D668)-1)/4</f>
        <v/>
      </c>
      <c r="X668">
        <f>(AVERAGE(E668:G668)-1)/4</f>
        <v/>
      </c>
      <c r="Y668">
        <f>(AVERAGE(H668:J668)-1)/4</f>
        <v/>
      </c>
      <c r="Z668">
        <f>(AVERAGE(K668:M668)-1)/4</f>
        <v/>
      </c>
      <c r="AA668">
        <f>(AVERAGE(N668:P668)-1)/4</f>
        <v/>
      </c>
      <c r="AB668">
        <f>(AVERAGE(Q668:S668)-1)/4</f>
        <v/>
      </c>
      <c r="AC668">
        <f>(AVERAGE(T668:V668)-1)/4</f>
        <v/>
      </c>
      <c r="AD668">
        <f>AVERAGE(W668:AA668)</f>
        <v/>
      </c>
      <c r="AE668">
        <f>MIN(W668:AA668)</f>
        <v/>
      </c>
      <c r="AF668">
        <f>1-alpha*MAX(0,delta-AE668)</f>
        <v/>
      </c>
      <c r="AG668">
        <f>AD668*AF668</f>
        <v/>
      </c>
      <c r="AH668">
        <f>1+COUNTIF(bounds,"&lt;"&amp;ROUND(AD668,12))</f>
        <v/>
      </c>
      <c r="AI668">
        <f>1+COUNTIF(bounds,"&lt;"&amp;ROUND(AG668,12))</f>
        <v/>
      </c>
      <c r="AJ668">
        <f>IF(AF668&lt;1,1,0)</f>
        <v/>
      </c>
      <c r="AK668">
        <f>IF(AH668&lt;&gt;AI668,1,0)</f>
        <v/>
      </c>
      <c r="AL668">
        <f>IF(AND(AI668&gt;=3,AB668&lt;=0.2),1,0)</f>
        <v/>
      </c>
      <c r="AM668">
        <f>AVERAGE(W668:AB668)</f>
        <v/>
      </c>
      <c r="AN668">
        <f>1+COUNTIF(bounds,"&lt;"&amp;ROUND(AM668,12))</f>
        <v/>
      </c>
      <c r="AO668">
        <f>IF(AK668=1,AD668,NA())</f>
        <v/>
      </c>
      <c r="AP668">
        <f>IF(AK668=0,AD668,NA())</f>
        <v/>
      </c>
    </row>
    <row r="669">
      <c r="A669" t="n">
        <v>661</v>
      </c>
      <c r="B669" t="n">
        <v>5</v>
      </c>
      <c r="C669" t="n">
        <v>2</v>
      </c>
      <c r="D669" t="n">
        <v>2</v>
      </c>
      <c r="E669" t="n">
        <v>2</v>
      </c>
      <c r="F669" t="n">
        <v>1</v>
      </c>
      <c r="G669" t="n">
        <v>5</v>
      </c>
      <c r="H669" t="n">
        <v>4</v>
      </c>
      <c r="I669" t="n">
        <v>2</v>
      </c>
      <c r="J669" t="n">
        <v>4</v>
      </c>
      <c r="K669" t="n">
        <v>5</v>
      </c>
      <c r="L669" t="n">
        <v>5</v>
      </c>
      <c r="M669" t="n">
        <v>4</v>
      </c>
      <c r="N669" t="n">
        <v>4</v>
      </c>
      <c r="O669" t="n">
        <v>3</v>
      </c>
      <c r="P669" t="n">
        <v>4</v>
      </c>
      <c r="Q669" t="n">
        <v>5</v>
      </c>
      <c r="R669" t="n">
        <v>5</v>
      </c>
      <c r="S669" t="n">
        <v>2</v>
      </c>
      <c r="T669" t="n">
        <v>3</v>
      </c>
      <c r="U669" t="n">
        <v>2</v>
      </c>
      <c r="V669" t="n">
        <v>3</v>
      </c>
      <c r="W669">
        <f>(AVERAGE(B669:D669)-1)/4</f>
        <v/>
      </c>
      <c r="X669">
        <f>(AVERAGE(E669:G669)-1)/4</f>
        <v/>
      </c>
      <c r="Y669">
        <f>(AVERAGE(H669:J669)-1)/4</f>
        <v/>
      </c>
      <c r="Z669">
        <f>(AVERAGE(K669:M669)-1)/4</f>
        <v/>
      </c>
      <c r="AA669">
        <f>(AVERAGE(N669:P669)-1)/4</f>
        <v/>
      </c>
      <c r="AB669">
        <f>(AVERAGE(Q669:S669)-1)/4</f>
        <v/>
      </c>
      <c r="AC669">
        <f>(AVERAGE(T669:V669)-1)/4</f>
        <v/>
      </c>
      <c r="AD669">
        <f>AVERAGE(W669:AA669)</f>
        <v/>
      </c>
      <c r="AE669">
        <f>MIN(W669:AA669)</f>
        <v/>
      </c>
      <c r="AF669">
        <f>1-alpha*MAX(0,delta-AE669)</f>
        <v/>
      </c>
      <c r="AG669">
        <f>AD669*AF669</f>
        <v/>
      </c>
      <c r="AH669">
        <f>1+COUNTIF(bounds,"&lt;"&amp;ROUND(AD669,12))</f>
        <v/>
      </c>
      <c r="AI669">
        <f>1+COUNTIF(bounds,"&lt;"&amp;ROUND(AG669,12))</f>
        <v/>
      </c>
      <c r="AJ669">
        <f>IF(AF669&lt;1,1,0)</f>
        <v/>
      </c>
      <c r="AK669">
        <f>IF(AH669&lt;&gt;AI669,1,0)</f>
        <v/>
      </c>
      <c r="AL669">
        <f>IF(AND(AI669&gt;=3,AB669&lt;=0.2),1,0)</f>
        <v/>
      </c>
      <c r="AM669">
        <f>AVERAGE(W669:AB669)</f>
        <v/>
      </c>
      <c r="AN669">
        <f>1+COUNTIF(bounds,"&lt;"&amp;ROUND(AM669,12))</f>
        <v/>
      </c>
      <c r="AO669">
        <f>IF(AK669=1,AD669,NA())</f>
        <v/>
      </c>
      <c r="AP669">
        <f>IF(AK669=0,AD669,NA())</f>
        <v/>
      </c>
    </row>
    <row r="670">
      <c r="A670" t="n">
        <v>662</v>
      </c>
      <c r="B670" t="n">
        <v>5</v>
      </c>
      <c r="C670" t="n">
        <v>5</v>
      </c>
      <c r="D670" t="n">
        <v>2</v>
      </c>
      <c r="E670" t="n">
        <v>1</v>
      </c>
      <c r="F670" t="n">
        <v>4</v>
      </c>
      <c r="G670" t="n">
        <v>3</v>
      </c>
      <c r="H670" t="n">
        <v>4</v>
      </c>
      <c r="I670" t="n">
        <v>3</v>
      </c>
      <c r="J670" t="n">
        <v>4</v>
      </c>
      <c r="K670" t="n">
        <v>1</v>
      </c>
      <c r="L670" t="n">
        <v>1</v>
      </c>
      <c r="M670" t="n">
        <v>1</v>
      </c>
      <c r="N670" t="n">
        <v>4</v>
      </c>
      <c r="O670" t="n">
        <v>5</v>
      </c>
      <c r="P670" t="n">
        <v>5</v>
      </c>
      <c r="Q670" t="n">
        <v>1</v>
      </c>
      <c r="R670" t="n">
        <v>2</v>
      </c>
      <c r="S670" t="n">
        <v>2</v>
      </c>
      <c r="T670" t="n">
        <v>5</v>
      </c>
      <c r="U670" t="n">
        <v>3</v>
      </c>
      <c r="V670" t="n">
        <v>4</v>
      </c>
      <c r="W670">
        <f>(AVERAGE(B670:D670)-1)/4</f>
        <v/>
      </c>
      <c r="X670">
        <f>(AVERAGE(E670:G670)-1)/4</f>
        <v/>
      </c>
      <c r="Y670">
        <f>(AVERAGE(H670:J670)-1)/4</f>
        <v/>
      </c>
      <c r="Z670">
        <f>(AVERAGE(K670:M670)-1)/4</f>
        <v/>
      </c>
      <c r="AA670">
        <f>(AVERAGE(N670:P670)-1)/4</f>
        <v/>
      </c>
      <c r="AB670">
        <f>(AVERAGE(Q670:S670)-1)/4</f>
        <v/>
      </c>
      <c r="AC670">
        <f>(AVERAGE(T670:V670)-1)/4</f>
        <v/>
      </c>
      <c r="AD670">
        <f>AVERAGE(W670:AA670)</f>
        <v/>
      </c>
      <c r="AE670">
        <f>MIN(W670:AA670)</f>
        <v/>
      </c>
      <c r="AF670">
        <f>1-alpha*MAX(0,delta-AE670)</f>
        <v/>
      </c>
      <c r="AG670">
        <f>AD670*AF670</f>
        <v/>
      </c>
      <c r="AH670">
        <f>1+COUNTIF(bounds,"&lt;"&amp;ROUND(AD670,12))</f>
        <v/>
      </c>
      <c r="AI670">
        <f>1+COUNTIF(bounds,"&lt;"&amp;ROUND(AG670,12))</f>
        <v/>
      </c>
      <c r="AJ670">
        <f>IF(AF670&lt;1,1,0)</f>
        <v/>
      </c>
      <c r="AK670">
        <f>IF(AH670&lt;&gt;AI670,1,0)</f>
        <v/>
      </c>
      <c r="AL670">
        <f>IF(AND(AI670&gt;=3,AB670&lt;=0.2),1,0)</f>
        <v/>
      </c>
      <c r="AM670">
        <f>AVERAGE(W670:AB670)</f>
        <v/>
      </c>
      <c r="AN670">
        <f>1+COUNTIF(bounds,"&lt;"&amp;ROUND(AM670,12))</f>
        <v/>
      </c>
      <c r="AO670">
        <f>IF(AK670=1,AD670,NA())</f>
        <v/>
      </c>
      <c r="AP670">
        <f>IF(AK670=0,AD670,NA())</f>
        <v/>
      </c>
    </row>
    <row r="671">
      <c r="A671" t="n">
        <v>663</v>
      </c>
      <c r="B671" t="n">
        <v>5</v>
      </c>
      <c r="C671" t="n">
        <v>1</v>
      </c>
      <c r="D671" t="n">
        <v>2</v>
      </c>
      <c r="E671" t="n">
        <v>3</v>
      </c>
      <c r="F671" t="n">
        <v>4</v>
      </c>
      <c r="G671" t="n">
        <v>1</v>
      </c>
      <c r="H671" t="n">
        <v>5</v>
      </c>
      <c r="I671" t="n">
        <v>5</v>
      </c>
      <c r="J671" t="n">
        <v>4</v>
      </c>
      <c r="K671" t="n">
        <v>4</v>
      </c>
      <c r="L671" t="n">
        <v>5</v>
      </c>
      <c r="M671" t="n">
        <v>1</v>
      </c>
      <c r="N671" t="n">
        <v>2</v>
      </c>
      <c r="O671" t="n">
        <v>3</v>
      </c>
      <c r="P671" t="n">
        <v>2</v>
      </c>
      <c r="Q671" t="n">
        <v>3</v>
      </c>
      <c r="R671" t="n">
        <v>5</v>
      </c>
      <c r="S671" t="n">
        <v>2</v>
      </c>
      <c r="T671" t="n">
        <v>2</v>
      </c>
      <c r="U671" t="n">
        <v>3</v>
      </c>
      <c r="V671" t="n">
        <v>4</v>
      </c>
      <c r="W671">
        <f>(AVERAGE(B671:D671)-1)/4</f>
        <v/>
      </c>
      <c r="X671">
        <f>(AVERAGE(E671:G671)-1)/4</f>
        <v/>
      </c>
      <c r="Y671">
        <f>(AVERAGE(H671:J671)-1)/4</f>
        <v/>
      </c>
      <c r="Z671">
        <f>(AVERAGE(K671:M671)-1)/4</f>
        <v/>
      </c>
      <c r="AA671">
        <f>(AVERAGE(N671:P671)-1)/4</f>
        <v/>
      </c>
      <c r="AB671">
        <f>(AVERAGE(Q671:S671)-1)/4</f>
        <v/>
      </c>
      <c r="AC671">
        <f>(AVERAGE(T671:V671)-1)/4</f>
        <v/>
      </c>
      <c r="AD671">
        <f>AVERAGE(W671:AA671)</f>
        <v/>
      </c>
      <c r="AE671">
        <f>MIN(W671:AA671)</f>
        <v/>
      </c>
      <c r="AF671">
        <f>1-alpha*MAX(0,delta-AE671)</f>
        <v/>
      </c>
      <c r="AG671">
        <f>AD671*AF671</f>
        <v/>
      </c>
      <c r="AH671">
        <f>1+COUNTIF(bounds,"&lt;"&amp;ROUND(AD671,12))</f>
        <v/>
      </c>
      <c r="AI671">
        <f>1+COUNTIF(bounds,"&lt;"&amp;ROUND(AG671,12))</f>
        <v/>
      </c>
      <c r="AJ671">
        <f>IF(AF671&lt;1,1,0)</f>
        <v/>
      </c>
      <c r="AK671">
        <f>IF(AH671&lt;&gt;AI671,1,0)</f>
        <v/>
      </c>
      <c r="AL671">
        <f>IF(AND(AI671&gt;=3,AB671&lt;=0.2),1,0)</f>
        <v/>
      </c>
      <c r="AM671">
        <f>AVERAGE(W671:AB671)</f>
        <v/>
      </c>
      <c r="AN671">
        <f>1+COUNTIF(bounds,"&lt;"&amp;ROUND(AM671,12))</f>
        <v/>
      </c>
      <c r="AO671">
        <f>IF(AK671=1,AD671,NA())</f>
        <v/>
      </c>
      <c r="AP671">
        <f>IF(AK671=0,AD671,NA())</f>
        <v/>
      </c>
    </row>
    <row r="672">
      <c r="A672" t="n">
        <v>664</v>
      </c>
      <c r="B672" t="n">
        <v>1</v>
      </c>
      <c r="C672" t="n">
        <v>4</v>
      </c>
      <c r="D672" t="n">
        <v>1</v>
      </c>
      <c r="E672" t="n">
        <v>1</v>
      </c>
      <c r="F672" t="n">
        <v>5</v>
      </c>
      <c r="G672" t="n">
        <v>4</v>
      </c>
      <c r="H672" t="n">
        <v>4</v>
      </c>
      <c r="I672" t="n">
        <v>4</v>
      </c>
      <c r="J672" t="n">
        <v>4</v>
      </c>
      <c r="K672" t="n">
        <v>5</v>
      </c>
      <c r="L672" t="n">
        <v>5</v>
      </c>
      <c r="M672" t="n">
        <v>2</v>
      </c>
      <c r="N672" t="n">
        <v>4</v>
      </c>
      <c r="O672" t="n">
        <v>4</v>
      </c>
      <c r="P672" t="n">
        <v>5</v>
      </c>
      <c r="Q672" t="n">
        <v>3</v>
      </c>
      <c r="R672" t="n">
        <v>5</v>
      </c>
      <c r="S672" t="n">
        <v>2</v>
      </c>
      <c r="T672" t="n">
        <v>5</v>
      </c>
      <c r="U672" t="n">
        <v>5</v>
      </c>
      <c r="V672" t="n">
        <v>3</v>
      </c>
      <c r="W672">
        <f>(AVERAGE(B672:D672)-1)/4</f>
        <v/>
      </c>
      <c r="X672">
        <f>(AVERAGE(E672:G672)-1)/4</f>
        <v/>
      </c>
      <c r="Y672">
        <f>(AVERAGE(H672:J672)-1)/4</f>
        <v/>
      </c>
      <c r="Z672">
        <f>(AVERAGE(K672:M672)-1)/4</f>
        <v/>
      </c>
      <c r="AA672">
        <f>(AVERAGE(N672:P672)-1)/4</f>
        <v/>
      </c>
      <c r="AB672">
        <f>(AVERAGE(Q672:S672)-1)/4</f>
        <v/>
      </c>
      <c r="AC672">
        <f>(AVERAGE(T672:V672)-1)/4</f>
        <v/>
      </c>
      <c r="AD672">
        <f>AVERAGE(W672:AA672)</f>
        <v/>
      </c>
      <c r="AE672">
        <f>MIN(W672:AA672)</f>
        <v/>
      </c>
      <c r="AF672">
        <f>1-alpha*MAX(0,delta-AE672)</f>
        <v/>
      </c>
      <c r="AG672">
        <f>AD672*AF672</f>
        <v/>
      </c>
      <c r="AH672">
        <f>1+COUNTIF(bounds,"&lt;"&amp;ROUND(AD672,12))</f>
        <v/>
      </c>
      <c r="AI672">
        <f>1+COUNTIF(bounds,"&lt;"&amp;ROUND(AG672,12))</f>
        <v/>
      </c>
      <c r="AJ672">
        <f>IF(AF672&lt;1,1,0)</f>
        <v/>
      </c>
      <c r="AK672">
        <f>IF(AH672&lt;&gt;AI672,1,0)</f>
        <v/>
      </c>
      <c r="AL672">
        <f>IF(AND(AI672&gt;=3,AB672&lt;=0.2),1,0)</f>
        <v/>
      </c>
      <c r="AM672">
        <f>AVERAGE(W672:AB672)</f>
        <v/>
      </c>
      <c r="AN672">
        <f>1+COUNTIF(bounds,"&lt;"&amp;ROUND(AM672,12))</f>
        <v/>
      </c>
      <c r="AO672">
        <f>IF(AK672=1,AD672,NA())</f>
        <v/>
      </c>
      <c r="AP672">
        <f>IF(AK672=0,AD672,NA())</f>
        <v/>
      </c>
    </row>
    <row r="673">
      <c r="A673" t="n">
        <v>665</v>
      </c>
      <c r="B673" t="n">
        <v>3</v>
      </c>
      <c r="C673" t="n">
        <v>3</v>
      </c>
      <c r="D673" t="n">
        <v>2</v>
      </c>
      <c r="E673" t="n">
        <v>1</v>
      </c>
      <c r="F673" t="n">
        <v>2</v>
      </c>
      <c r="G673" t="n">
        <v>2</v>
      </c>
      <c r="H673" t="n">
        <v>5</v>
      </c>
      <c r="I673" t="n">
        <v>5</v>
      </c>
      <c r="J673" t="n">
        <v>5</v>
      </c>
      <c r="K673" t="n">
        <v>4</v>
      </c>
      <c r="L673" t="n">
        <v>1</v>
      </c>
      <c r="M673" t="n">
        <v>4</v>
      </c>
      <c r="N673" t="n">
        <v>3</v>
      </c>
      <c r="O673" t="n">
        <v>2</v>
      </c>
      <c r="P673" t="n">
        <v>4</v>
      </c>
      <c r="Q673" t="n">
        <v>3</v>
      </c>
      <c r="R673" t="n">
        <v>4</v>
      </c>
      <c r="S673" t="n">
        <v>3</v>
      </c>
      <c r="T673" t="n">
        <v>2</v>
      </c>
      <c r="U673" t="n">
        <v>3</v>
      </c>
      <c r="V673" t="n">
        <v>3</v>
      </c>
      <c r="W673">
        <f>(AVERAGE(B673:D673)-1)/4</f>
        <v/>
      </c>
      <c r="X673">
        <f>(AVERAGE(E673:G673)-1)/4</f>
        <v/>
      </c>
      <c r="Y673">
        <f>(AVERAGE(H673:J673)-1)/4</f>
        <v/>
      </c>
      <c r="Z673">
        <f>(AVERAGE(K673:M673)-1)/4</f>
        <v/>
      </c>
      <c r="AA673">
        <f>(AVERAGE(N673:P673)-1)/4</f>
        <v/>
      </c>
      <c r="AB673">
        <f>(AVERAGE(Q673:S673)-1)/4</f>
        <v/>
      </c>
      <c r="AC673">
        <f>(AVERAGE(T673:V673)-1)/4</f>
        <v/>
      </c>
      <c r="AD673">
        <f>AVERAGE(W673:AA673)</f>
        <v/>
      </c>
      <c r="AE673">
        <f>MIN(W673:AA673)</f>
        <v/>
      </c>
      <c r="AF673">
        <f>1-alpha*MAX(0,delta-AE673)</f>
        <v/>
      </c>
      <c r="AG673">
        <f>AD673*AF673</f>
        <v/>
      </c>
      <c r="AH673">
        <f>1+COUNTIF(bounds,"&lt;"&amp;ROUND(AD673,12))</f>
        <v/>
      </c>
      <c r="AI673">
        <f>1+COUNTIF(bounds,"&lt;"&amp;ROUND(AG673,12))</f>
        <v/>
      </c>
      <c r="AJ673">
        <f>IF(AF673&lt;1,1,0)</f>
        <v/>
      </c>
      <c r="AK673">
        <f>IF(AH673&lt;&gt;AI673,1,0)</f>
        <v/>
      </c>
      <c r="AL673">
        <f>IF(AND(AI673&gt;=3,AB673&lt;=0.2),1,0)</f>
        <v/>
      </c>
      <c r="AM673">
        <f>AVERAGE(W673:AB673)</f>
        <v/>
      </c>
      <c r="AN673">
        <f>1+COUNTIF(bounds,"&lt;"&amp;ROUND(AM673,12))</f>
        <v/>
      </c>
      <c r="AO673">
        <f>IF(AK673=1,AD673,NA())</f>
        <v/>
      </c>
      <c r="AP673">
        <f>IF(AK673=0,AD673,NA())</f>
        <v/>
      </c>
    </row>
    <row r="674">
      <c r="A674" t="n">
        <v>666</v>
      </c>
      <c r="B674" t="n">
        <v>4</v>
      </c>
      <c r="C674" t="n">
        <v>4</v>
      </c>
      <c r="D674" t="n">
        <v>2</v>
      </c>
      <c r="E674" t="n">
        <v>4</v>
      </c>
      <c r="F674" t="n">
        <v>1</v>
      </c>
      <c r="G674" t="n">
        <v>3</v>
      </c>
      <c r="H674" t="n">
        <v>3</v>
      </c>
      <c r="I674" t="n">
        <v>1</v>
      </c>
      <c r="J674" t="n">
        <v>2</v>
      </c>
      <c r="K674" t="n">
        <v>4</v>
      </c>
      <c r="L674" t="n">
        <v>1</v>
      </c>
      <c r="M674" t="n">
        <v>5</v>
      </c>
      <c r="N674" t="n">
        <v>5</v>
      </c>
      <c r="O674" t="n">
        <v>5</v>
      </c>
      <c r="P674" t="n">
        <v>3</v>
      </c>
      <c r="Q674" t="n">
        <v>1</v>
      </c>
      <c r="R674" t="n">
        <v>1</v>
      </c>
      <c r="S674" t="n">
        <v>2</v>
      </c>
      <c r="T674" t="n">
        <v>3</v>
      </c>
      <c r="U674" t="n">
        <v>2</v>
      </c>
      <c r="V674" t="n">
        <v>1</v>
      </c>
      <c r="W674">
        <f>(AVERAGE(B674:D674)-1)/4</f>
        <v/>
      </c>
      <c r="X674">
        <f>(AVERAGE(E674:G674)-1)/4</f>
        <v/>
      </c>
      <c r="Y674">
        <f>(AVERAGE(H674:J674)-1)/4</f>
        <v/>
      </c>
      <c r="Z674">
        <f>(AVERAGE(K674:M674)-1)/4</f>
        <v/>
      </c>
      <c r="AA674">
        <f>(AVERAGE(N674:P674)-1)/4</f>
        <v/>
      </c>
      <c r="AB674">
        <f>(AVERAGE(Q674:S674)-1)/4</f>
        <v/>
      </c>
      <c r="AC674">
        <f>(AVERAGE(T674:V674)-1)/4</f>
        <v/>
      </c>
      <c r="AD674">
        <f>AVERAGE(W674:AA674)</f>
        <v/>
      </c>
      <c r="AE674">
        <f>MIN(W674:AA674)</f>
        <v/>
      </c>
      <c r="AF674">
        <f>1-alpha*MAX(0,delta-AE674)</f>
        <v/>
      </c>
      <c r="AG674">
        <f>AD674*AF674</f>
        <v/>
      </c>
      <c r="AH674">
        <f>1+COUNTIF(bounds,"&lt;"&amp;ROUND(AD674,12))</f>
        <v/>
      </c>
      <c r="AI674">
        <f>1+COUNTIF(bounds,"&lt;"&amp;ROUND(AG674,12))</f>
        <v/>
      </c>
      <c r="AJ674">
        <f>IF(AF674&lt;1,1,0)</f>
        <v/>
      </c>
      <c r="AK674">
        <f>IF(AH674&lt;&gt;AI674,1,0)</f>
        <v/>
      </c>
      <c r="AL674">
        <f>IF(AND(AI674&gt;=3,AB674&lt;=0.2),1,0)</f>
        <v/>
      </c>
      <c r="AM674">
        <f>AVERAGE(W674:AB674)</f>
        <v/>
      </c>
      <c r="AN674">
        <f>1+COUNTIF(bounds,"&lt;"&amp;ROUND(AM674,12))</f>
        <v/>
      </c>
      <c r="AO674">
        <f>IF(AK674=1,AD674,NA())</f>
        <v/>
      </c>
      <c r="AP674">
        <f>IF(AK674=0,AD674,NA())</f>
        <v/>
      </c>
    </row>
    <row r="675">
      <c r="A675" t="n">
        <v>667</v>
      </c>
      <c r="B675" t="n">
        <v>2</v>
      </c>
      <c r="C675" t="n">
        <v>5</v>
      </c>
      <c r="D675" t="n">
        <v>4</v>
      </c>
      <c r="E675" t="n">
        <v>2</v>
      </c>
      <c r="F675" t="n">
        <v>3</v>
      </c>
      <c r="G675" t="n">
        <v>3</v>
      </c>
      <c r="H675" t="n">
        <v>1</v>
      </c>
      <c r="I675" t="n">
        <v>2</v>
      </c>
      <c r="J675" t="n">
        <v>3</v>
      </c>
      <c r="K675" t="n">
        <v>2</v>
      </c>
      <c r="L675" t="n">
        <v>4</v>
      </c>
      <c r="M675" t="n">
        <v>2</v>
      </c>
      <c r="N675" t="n">
        <v>5</v>
      </c>
      <c r="O675" t="n">
        <v>2</v>
      </c>
      <c r="P675" t="n">
        <v>1</v>
      </c>
      <c r="Q675" t="n">
        <v>4</v>
      </c>
      <c r="R675" t="n">
        <v>2</v>
      </c>
      <c r="S675" t="n">
        <v>1</v>
      </c>
      <c r="T675" t="n">
        <v>2</v>
      </c>
      <c r="U675" t="n">
        <v>2</v>
      </c>
      <c r="V675" t="n">
        <v>3</v>
      </c>
      <c r="W675">
        <f>(AVERAGE(B675:D675)-1)/4</f>
        <v/>
      </c>
      <c r="X675">
        <f>(AVERAGE(E675:G675)-1)/4</f>
        <v/>
      </c>
      <c r="Y675">
        <f>(AVERAGE(H675:J675)-1)/4</f>
        <v/>
      </c>
      <c r="Z675">
        <f>(AVERAGE(K675:M675)-1)/4</f>
        <v/>
      </c>
      <c r="AA675">
        <f>(AVERAGE(N675:P675)-1)/4</f>
        <v/>
      </c>
      <c r="AB675">
        <f>(AVERAGE(Q675:S675)-1)/4</f>
        <v/>
      </c>
      <c r="AC675">
        <f>(AVERAGE(T675:V675)-1)/4</f>
        <v/>
      </c>
      <c r="AD675">
        <f>AVERAGE(W675:AA675)</f>
        <v/>
      </c>
      <c r="AE675">
        <f>MIN(W675:AA675)</f>
        <v/>
      </c>
      <c r="AF675">
        <f>1-alpha*MAX(0,delta-AE675)</f>
        <v/>
      </c>
      <c r="AG675">
        <f>AD675*AF675</f>
        <v/>
      </c>
      <c r="AH675">
        <f>1+COUNTIF(bounds,"&lt;"&amp;ROUND(AD675,12))</f>
        <v/>
      </c>
      <c r="AI675">
        <f>1+COUNTIF(bounds,"&lt;"&amp;ROUND(AG675,12))</f>
        <v/>
      </c>
      <c r="AJ675">
        <f>IF(AF675&lt;1,1,0)</f>
        <v/>
      </c>
      <c r="AK675">
        <f>IF(AH675&lt;&gt;AI675,1,0)</f>
        <v/>
      </c>
      <c r="AL675">
        <f>IF(AND(AI675&gt;=3,AB675&lt;=0.2),1,0)</f>
        <v/>
      </c>
      <c r="AM675">
        <f>AVERAGE(W675:AB675)</f>
        <v/>
      </c>
      <c r="AN675">
        <f>1+COUNTIF(bounds,"&lt;"&amp;ROUND(AM675,12))</f>
        <v/>
      </c>
      <c r="AO675">
        <f>IF(AK675=1,AD675,NA())</f>
        <v/>
      </c>
      <c r="AP675">
        <f>IF(AK675=0,AD675,NA())</f>
        <v/>
      </c>
    </row>
    <row r="676">
      <c r="A676" t="n">
        <v>668</v>
      </c>
      <c r="B676" t="n">
        <v>5</v>
      </c>
      <c r="C676" t="n">
        <v>1</v>
      </c>
      <c r="D676" t="n">
        <v>5</v>
      </c>
      <c r="E676" t="n">
        <v>2</v>
      </c>
      <c r="F676" t="n">
        <v>3</v>
      </c>
      <c r="G676" t="n">
        <v>2</v>
      </c>
      <c r="H676" t="n">
        <v>2</v>
      </c>
      <c r="I676" t="n">
        <v>2</v>
      </c>
      <c r="J676" t="n">
        <v>4</v>
      </c>
      <c r="K676" t="n">
        <v>4</v>
      </c>
      <c r="L676" t="n">
        <v>1</v>
      </c>
      <c r="M676" t="n">
        <v>2</v>
      </c>
      <c r="N676" t="n">
        <v>3</v>
      </c>
      <c r="O676" t="n">
        <v>4</v>
      </c>
      <c r="P676" t="n">
        <v>2</v>
      </c>
      <c r="Q676" t="n">
        <v>5</v>
      </c>
      <c r="R676" t="n">
        <v>2</v>
      </c>
      <c r="S676" t="n">
        <v>3</v>
      </c>
      <c r="T676" t="n">
        <v>4</v>
      </c>
      <c r="U676" t="n">
        <v>2</v>
      </c>
      <c r="V676" t="n">
        <v>5</v>
      </c>
      <c r="W676">
        <f>(AVERAGE(B676:D676)-1)/4</f>
        <v/>
      </c>
      <c r="X676">
        <f>(AVERAGE(E676:G676)-1)/4</f>
        <v/>
      </c>
      <c r="Y676">
        <f>(AVERAGE(H676:J676)-1)/4</f>
        <v/>
      </c>
      <c r="Z676">
        <f>(AVERAGE(K676:M676)-1)/4</f>
        <v/>
      </c>
      <c r="AA676">
        <f>(AVERAGE(N676:P676)-1)/4</f>
        <v/>
      </c>
      <c r="AB676">
        <f>(AVERAGE(Q676:S676)-1)/4</f>
        <v/>
      </c>
      <c r="AC676">
        <f>(AVERAGE(T676:V676)-1)/4</f>
        <v/>
      </c>
      <c r="AD676">
        <f>AVERAGE(W676:AA676)</f>
        <v/>
      </c>
      <c r="AE676">
        <f>MIN(W676:AA676)</f>
        <v/>
      </c>
      <c r="AF676">
        <f>1-alpha*MAX(0,delta-AE676)</f>
        <v/>
      </c>
      <c r="AG676">
        <f>AD676*AF676</f>
        <v/>
      </c>
      <c r="AH676">
        <f>1+COUNTIF(bounds,"&lt;"&amp;ROUND(AD676,12))</f>
        <v/>
      </c>
      <c r="AI676">
        <f>1+COUNTIF(bounds,"&lt;"&amp;ROUND(AG676,12))</f>
        <v/>
      </c>
      <c r="AJ676">
        <f>IF(AF676&lt;1,1,0)</f>
        <v/>
      </c>
      <c r="AK676">
        <f>IF(AH676&lt;&gt;AI676,1,0)</f>
        <v/>
      </c>
      <c r="AL676">
        <f>IF(AND(AI676&gt;=3,AB676&lt;=0.2),1,0)</f>
        <v/>
      </c>
      <c r="AM676">
        <f>AVERAGE(W676:AB676)</f>
        <v/>
      </c>
      <c r="AN676">
        <f>1+COUNTIF(bounds,"&lt;"&amp;ROUND(AM676,12))</f>
        <v/>
      </c>
      <c r="AO676">
        <f>IF(AK676=1,AD676,NA())</f>
        <v/>
      </c>
      <c r="AP676">
        <f>IF(AK676=0,AD676,NA())</f>
        <v/>
      </c>
    </row>
    <row r="677">
      <c r="A677" t="n">
        <v>669</v>
      </c>
      <c r="B677" t="n">
        <v>5</v>
      </c>
      <c r="C677" t="n">
        <v>5</v>
      </c>
      <c r="D677" t="n">
        <v>3</v>
      </c>
      <c r="E677" t="n">
        <v>5</v>
      </c>
      <c r="F677" t="n">
        <v>5</v>
      </c>
      <c r="G677" t="n">
        <v>5</v>
      </c>
      <c r="H677" t="n">
        <v>5</v>
      </c>
      <c r="I677" t="n">
        <v>3</v>
      </c>
      <c r="J677" t="n">
        <v>1</v>
      </c>
      <c r="K677" t="n">
        <v>1</v>
      </c>
      <c r="L677" t="n">
        <v>5</v>
      </c>
      <c r="M677" t="n">
        <v>5</v>
      </c>
      <c r="N677" t="n">
        <v>3</v>
      </c>
      <c r="O677" t="n">
        <v>2</v>
      </c>
      <c r="P677" t="n">
        <v>2</v>
      </c>
      <c r="Q677" t="n">
        <v>1</v>
      </c>
      <c r="R677" t="n">
        <v>2</v>
      </c>
      <c r="S677" t="n">
        <v>4</v>
      </c>
      <c r="T677" t="n">
        <v>5</v>
      </c>
      <c r="U677" t="n">
        <v>3</v>
      </c>
      <c r="V677" t="n">
        <v>5</v>
      </c>
      <c r="W677">
        <f>(AVERAGE(B677:D677)-1)/4</f>
        <v/>
      </c>
      <c r="X677">
        <f>(AVERAGE(E677:G677)-1)/4</f>
        <v/>
      </c>
      <c r="Y677">
        <f>(AVERAGE(H677:J677)-1)/4</f>
        <v/>
      </c>
      <c r="Z677">
        <f>(AVERAGE(K677:M677)-1)/4</f>
        <v/>
      </c>
      <c r="AA677">
        <f>(AVERAGE(N677:P677)-1)/4</f>
        <v/>
      </c>
      <c r="AB677">
        <f>(AVERAGE(Q677:S677)-1)/4</f>
        <v/>
      </c>
      <c r="AC677">
        <f>(AVERAGE(T677:V677)-1)/4</f>
        <v/>
      </c>
      <c r="AD677">
        <f>AVERAGE(W677:AA677)</f>
        <v/>
      </c>
      <c r="AE677">
        <f>MIN(W677:AA677)</f>
        <v/>
      </c>
      <c r="AF677">
        <f>1-alpha*MAX(0,delta-AE677)</f>
        <v/>
      </c>
      <c r="AG677">
        <f>AD677*AF677</f>
        <v/>
      </c>
      <c r="AH677">
        <f>1+COUNTIF(bounds,"&lt;"&amp;ROUND(AD677,12))</f>
        <v/>
      </c>
      <c r="AI677">
        <f>1+COUNTIF(bounds,"&lt;"&amp;ROUND(AG677,12))</f>
        <v/>
      </c>
      <c r="AJ677">
        <f>IF(AF677&lt;1,1,0)</f>
        <v/>
      </c>
      <c r="AK677">
        <f>IF(AH677&lt;&gt;AI677,1,0)</f>
        <v/>
      </c>
      <c r="AL677">
        <f>IF(AND(AI677&gt;=3,AB677&lt;=0.2),1,0)</f>
        <v/>
      </c>
      <c r="AM677">
        <f>AVERAGE(W677:AB677)</f>
        <v/>
      </c>
      <c r="AN677">
        <f>1+COUNTIF(bounds,"&lt;"&amp;ROUND(AM677,12))</f>
        <v/>
      </c>
      <c r="AO677">
        <f>IF(AK677=1,AD677,NA())</f>
        <v/>
      </c>
      <c r="AP677">
        <f>IF(AK677=0,AD677,NA())</f>
        <v/>
      </c>
    </row>
    <row r="678">
      <c r="A678" t="n">
        <v>670</v>
      </c>
      <c r="B678" t="n">
        <v>4</v>
      </c>
      <c r="C678" t="n">
        <v>3</v>
      </c>
      <c r="D678" t="n">
        <v>5</v>
      </c>
      <c r="E678" t="n">
        <v>2</v>
      </c>
      <c r="F678" t="n">
        <v>3</v>
      </c>
      <c r="G678" t="n">
        <v>2</v>
      </c>
      <c r="H678" t="n">
        <v>2</v>
      </c>
      <c r="I678" t="n">
        <v>5</v>
      </c>
      <c r="J678" t="n">
        <v>4</v>
      </c>
      <c r="K678" t="n">
        <v>3</v>
      </c>
      <c r="L678" t="n">
        <v>3</v>
      </c>
      <c r="M678" t="n">
        <v>5</v>
      </c>
      <c r="N678" t="n">
        <v>4</v>
      </c>
      <c r="O678" t="n">
        <v>4</v>
      </c>
      <c r="P678" t="n">
        <v>3</v>
      </c>
      <c r="Q678" t="n">
        <v>2</v>
      </c>
      <c r="R678" t="n">
        <v>5</v>
      </c>
      <c r="S678" t="n">
        <v>1</v>
      </c>
      <c r="T678" t="n">
        <v>2</v>
      </c>
      <c r="U678" t="n">
        <v>1</v>
      </c>
      <c r="V678" t="n">
        <v>1</v>
      </c>
      <c r="W678">
        <f>(AVERAGE(B678:D678)-1)/4</f>
        <v/>
      </c>
      <c r="X678">
        <f>(AVERAGE(E678:G678)-1)/4</f>
        <v/>
      </c>
      <c r="Y678">
        <f>(AVERAGE(H678:J678)-1)/4</f>
        <v/>
      </c>
      <c r="Z678">
        <f>(AVERAGE(K678:M678)-1)/4</f>
        <v/>
      </c>
      <c r="AA678">
        <f>(AVERAGE(N678:P678)-1)/4</f>
        <v/>
      </c>
      <c r="AB678">
        <f>(AVERAGE(Q678:S678)-1)/4</f>
        <v/>
      </c>
      <c r="AC678">
        <f>(AVERAGE(T678:V678)-1)/4</f>
        <v/>
      </c>
      <c r="AD678">
        <f>AVERAGE(W678:AA678)</f>
        <v/>
      </c>
      <c r="AE678">
        <f>MIN(W678:AA678)</f>
        <v/>
      </c>
      <c r="AF678">
        <f>1-alpha*MAX(0,delta-AE678)</f>
        <v/>
      </c>
      <c r="AG678">
        <f>AD678*AF678</f>
        <v/>
      </c>
      <c r="AH678">
        <f>1+COUNTIF(bounds,"&lt;"&amp;ROUND(AD678,12))</f>
        <v/>
      </c>
      <c r="AI678">
        <f>1+COUNTIF(bounds,"&lt;"&amp;ROUND(AG678,12))</f>
        <v/>
      </c>
      <c r="AJ678">
        <f>IF(AF678&lt;1,1,0)</f>
        <v/>
      </c>
      <c r="AK678">
        <f>IF(AH678&lt;&gt;AI678,1,0)</f>
        <v/>
      </c>
      <c r="AL678">
        <f>IF(AND(AI678&gt;=3,AB678&lt;=0.2),1,0)</f>
        <v/>
      </c>
      <c r="AM678">
        <f>AVERAGE(W678:AB678)</f>
        <v/>
      </c>
      <c r="AN678">
        <f>1+COUNTIF(bounds,"&lt;"&amp;ROUND(AM678,12))</f>
        <v/>
      </c>
      <c r="AO678">
        <f>IF(AK678=1,AD678,NA())</f>
        <v/>
      </c>
      <c r="AP678">
        <f>IF(AK678=0,AD678,NA())</f>
        <v/>
      </c>
    </row>
    <row r="679">
      <c r="A679" t="n">
        <v>671</v>
      </c>
      <c r="B679" t="n">
        <v>2</v>
      </c>
      <c r="C679" t="n">
        <v>4</v>
      </c>
      <c r="D679" t="n">
        <v>1</v>
      </c>
      <c r="E679" t="n">
        <v>1</v>
      </c>
      <c r="F679" t="n">
        <v>4</v>
      </c>
      <c r="G679" t="n">
        <v>2</v>
      </c>
      <c r="H679" t="n">
        <v>3</v>
      </c>
      <c r="I679" t="n">
        <v>2</v>
      </c>
      <c r="J679" t="n">
        <v>3</v>
      </c>
      <c r="K679" t="n">
        <v>2</v>
      </c>
      <c r="L679" t="n">
        <v>2</v>
      </c>
      <c r="M679" t="n">
        <v>4</v>
      </c>
      <c r="N679" t="n">
        <v>5</v>
      </c>
      <c r="O679" t="n">
        <v>5</v>
      </c>
      <c r="P679" t="n">
        <v>1</v>
      </c>
      <c r="Q679" t="n">
        <v>2</v>
      </c>
      <c r="R679" t="n">
        <v>5</v>
      </c>
      <c r="S679" t="n">
        <v>1</v>
      </c>
      <c r="T679" t="n">
        <v>3</v>
      </c>
      <c r="U679" t="n">
        <v>4</v>
      </c>
      <c r="V679" t="n">
        <v>3</v>
      </c>
      <c r="W679">
        <f>(AVERAGE(B679:D679)-1)/4</f>
        <v/>
      </c>
      <c r="X679">
        <f>(AVERAGE(E679:G679)-1)/4</f>
        <v/>
      </c>
      <c r="Y679">
        <f>(AVERAGE(H679:J679)-1)/4</f>
        <v/>
      </c>
      <c r="Z679">
        <f>(AVERAGE(K679:M679)-1)/4</f>
        <v/>
      </c>
      <c r="AA679">
        <f>(AVERAGE(N679:P679)-1)/4</f>
        <v/>
      </c>
      <c r="AB679">
        <f>(AVERAGE(Q679:S679)-1)/4</f>
        <v/>
      </c>
      <c r="AC679">
        <f>(AVERAGE(T679:V679)-1)/4</f>
        <v/>
      </c>
      <c r="AD679">
        <f>AVERAGE(W679:AA679)</f>
        <v/>
      </c>
      <c r="AE679">
        <f>MIN(W679:AA679)</f>
        <v/>
      </c>
      <c r="AF679">
        <f>1-alpha*MAX(0,delta-AE679)</f>
        <v/>
      </c>
      <c r="AG679">
        <f>AD679*AF679</f>
        <v/>
      </c>
      <c r="AH679">
        <f>1+COUNTIF(bounds,"&lt;"&amp;ROUND(AD679,12))</f>
        <v/>
      </c>
      <c r="AI679">
        <f>1+COUNTIF(bounds,"&lt;"&amp;ROUND(AG679,12))</f>
        <v/>
      </c>
      <c r="AJ679">
        <f>IF(AF679&lt;1,1,0)</f>
        <v/>
      </c>
      <c r="AK679">
        <f>IF(AH679&lt;&gt;AI679,1,0)</f>
        <v/>
      </c>
      <c r="AL679">
        <f>IF(AND(AI679&gt;=3,AB679&lt;=0.2),1,0)</f>
        <v/>
      </c>
      <c r="AM679">
        <f>AVERAGE(W679:AB679)</f>
        <v/>
      </c>
      <c r="AN679">
        <f>1+COUNTIF(bounds,"&lt;"&amp;ROUND(AM679,12))</f>
        <v/>
      </c>
      <c r="AO679">
        <f>IF(AK679=1,AD679,NA())</f>
        <v/>
      </c>
      <c r="AP679">
        <f>IF(AK679=0,AD679,NA())</f>
        <v/>
      </c>
    </row>
    <row r="680">
      <c r="A680" t="n">
        <v>672</v>
      </c>
      <c r="B680" t="n">
        <v>2</v>
      </c>
      <c r="C680" t="n">
        <v>3</v>
      </c>
      <c r="D680" t="n">
        <v>1</v>
      </c>
      <c r="E680" t="n">
        <v>3</v>
      </c>
      <c r="F680" t="n">
        <v>3</v>
      </c>
      <c r="G680" t="n">
        <v>3</v>
      </c>
      <c r="H680" t="n">
        <v>5</v>
      </c>
      <c r="I680" t="n">
        <v>1</v>
      </c>
      <c r="J680" t="n">
        <v>5</v>
      </c>
      <c r="K680" t="n">
        <v>3</v>
      </c>
      <c r="L680" t="n">
        <v>5</v>
      </c>
      <c r="M680" t="n">
        <v>1</v>
      </c>
      <c r="N680" t="n">
        <v>3</v>
      </c>
      <c r="O680" t="n">
        <v>1</v>
      </c>
      <c r="P680" t="n">
        <v>4</v>
      </c>
      <c r="Q680" t="n">
        <v>5</v>
      </c>
      <c r="R680" t="n">
        <v>3</v>
      </c>
      <c r="S680" t="n">
        <v>2</v>
      </c>
      <c r="T680" t="n">
        <v>4</v>
      </c>
      <c r="U680" t="n">
        <v>1</v>
      </c>
      <c r="V680" t="n">
        <v>2</v>
      </c>
      <c r="W680">
        <f>(AVERAGE(B680:D680)-1)/4</f>
        <v/>
      </c>
      <c r="X680">
        <f>(AVERAGE(E680:G680)-1)/4</f>
        <v/>
      </c>
      <c r="Y680">
        <f>(AVERAGE(H680:J680)-1)/4</f>
        <v/>
      </c>
      <c r="Z680">
        <f>(AVERAGE(K680:M680)-1)/4</f>
        <v/>
      </c>
      <c r="AA680">
        <f>(AVERAGE(N680:P680)-1)/4</f>
        <v/>
      </c>
      <c r="AB680">
        <f>(AVERAGE(Q680:S680)-1)/4</f>
        <v/>
      </c>
      <c r="AC680">
        <f>(AVERAGE(T680:V680)-1)/4</f>
        <v/>
      </c>
      <c r="AD680">
        <f>AVERAGE(W680:AA680)</f>
        <v/>
      </c>
      <c r="AE680">
        <f>MIN(W680:AA680)</f>
        <v/>
      </c>
      <c r="AF680">
        <f>1-alpha*MAX(0,delta-AE680)</f>
        <v/>
      </c>
      <c r="AG680">
        <f>AD680*AF680</f>
        <v/>
      </c>
      <c r="AH680">
        <f>1+COUNTIF(bounds,"&lt;"&amp;ROUND(AD680,12))</f>
        <v/>
      </c>
      <c r="AI680">
        <f>1+COUNTIF(bounds,"&lt;"&amp;ROUND(AG680,12))</f>
        <v/>
      </c>
      <c r="AJ680">
        <f>IF(AF680&lt;1,1,0)</f>
        <v/>
      </c>
      <c r="AK680">
        <f>IF(AH680&lt;&gt;AI680,1,0)</f>
        <v/>
      </c>
      <c r="AL680">
        <f>IF(AND(AI680&gt;=3,AB680&lt;=0.2),1,0)</f>
        <v/>
      </c>
      <c r="AM680">
        <f>AVERAGE(W680:AB680)</f>
        <v/>
      </c>
      <c r="AN680">
        <f>1+COUNTIF(bounds,"&lt;"&amp;ROUND(AM680,12))</f>
        <v/>
      </c>
      <c r="AO680">
        <f>IF(AK680=1,AD680,NA())</f>
        <v/>
      </c>
      <c r="AP680">
        <f>IF(AK680=0,AD680,NA())</f>
        <v/>
      </c>
    </row>
    <row r="681">
      <c r="A681" t="n">
        <v>673</v>
      </c>
      <c r="B681" t="n">
        <v>2</v>
      </c>
      <c r="C681" t="n">
        <v>4</v>
      </c>
      <c r="D681" t="n">
        <v>4</v>
      </c>
      <c r="E681" t="n">
        <v>3</v>
      </c>
      <c r="F681" t="n">
        <v>3</v>
      </c>
      <c r="G681" t="n">
        <v>5</v>
      </c>
      <c r="H681" t="n">
        <v>2</v>
      </c>
      <c r="I681" t="n">
        <v>4</v>
      </c>
      <c r="J681" t="n">
        <v>5</v>
      </c>
      <c r="K681" t="n">
        <v>1</v>
      </c>
      <c r="L681" t="n">
        <v>2</v>
      </c>
      <c r="M681" t="n">
        <v>4</v>
      </c>
      <c r="N681" t="n">
        <v>5</v>
      </c>
      <c r="O681" t="n">
        <v>2</v>
      </c>
      <c r="P681" t="n">
        <v>3</v>
      </c>
      <c r="Q681" t="n">
        <v>5</v>
      </c>
      <c r="R681" t="n">
        <v>4</v>
      </c>
      <c r="S681" t="n">
        <v>1</v>
      </c>
      <c r="T681" t="n">
        <v>5</v>
      </c>
      <c r="U681" t="n">
        <v>5</v>
      </c>
      <c r="V681" t="n">
        <v>5</v>
      </c>
      <c r="W681">
        <f>(AVERAGE(B681:D681)-1)/4</f>
        <v/>
      </c>
      <c r="X681">
        <f>(AVERAGE(E681:G681)-1)/4</f>
        <v/>
      </c>
      <c r="Y681">
        <f>(AVERAGE(H681:J681)-1)/4</f>
        <v/>
      </c>
      <c r="Z681">
        <f>(AVERAGE(K681:M681)-1)/4</f>
        <v/>
      </c>
      <c r="AA681">
        <f>(AVERAGE(N681:P681)-1)/4</f>
        <v/>
      </c>
      <c r="AB681">
        <f>(AVERAGE(Q681:S681)-1)/4</f>
        <v/>
      </c>
      <c r="AC681">
        <f>(AVERAGE(T681:V681)-1)/4</f>
        <v/>
      </c>
      <c r="AD681">
        <f>AVERAGE(W681:AA681)</f>
        <v/>
      </c>
      <c r="AE681">
        <f>MIN(W681:AA681)</f>
        <v/>
      </c>
      <c r="AF681">
        <f>1-alpha*MAX(0,delta-AE681)</f>
        <v/>
      </c>
      <c r="AG681">
        <f>AD681*AF681</f>
        <v/>
      </c>
      <c r="AH681">
        <f>1+COUNTIF(bounds,"&lt;"&amp;ROUND(AD681,12))</f>
        <v/>
      </c>
      <c r="AI681">
        <f>1+COUNTIF(bounds,"&lt;"&amp;ROUND(AG681,12))</f>
        <v/>
      </c>
      <c r="AJ681">
        <f>IF(AF681&lt;1,1,0)</f>
        <v/>
      </c>
      <c r="AK681">
        <f>IF(AH681&lt;&gt;AI681,1,0)</f>
        <v/>
      </c>
      <c r="AL681">
        <f>IF(AND(AI681&gt;=3,AB681&lt;=0.2),1,0)</f>
        <v/>
      </c>
      <c r="AM681">
        <f>AVERAGE(W681:AB681)</f>
        <v/>
      </c>
      <c r="AN681">
        <f>1+COUNTIF(bounds,"&lt;"&amp;ROUND(AM681,12))</f>
        <v/>
      </c>
      <c r="AO681">
        <f>IF(AK681=1,AD681,NA())</f>
        <v/>
      </c>
      <c r="AP681">
        <f>IF(AK681=0,AD681,NA())</f>
        <v/>
      </c>
    </row>
    <row r="682">
      <c r="A682" t="n">
        <v>674</v>
      </c>
      <c r="B682" t="n">
        <v>5</v>
      </c>
      <c r="C682" t="n">
        <v>5</v>
      </c>
      <c r="D682" t="n">
        <v>2</v>
      </c>
      <c r="E682" t="n">
        <v>3</v>
      </c>
      <c r="F682" t="n">
        <v>3</v>
      </c>
      <c r="G682" t="n">
        <v>1</v>
      </c>
      <c r="H682" t="n">
        <v>1</v>
      </c>
      <c r="I682" t="n">
        <v>3</v>
      </c>
      <c r="J682" t="n">
        <v>4</v>
      </c>
      <c r="K682" t="n">
        <v>1</v>
      </c>
      <c r="L682" t="n">
        <v>1</v>
      </c>
      <c r="M682" t="n">
        <v>5</v>
      </c>
      <c r="N682" t="n">
        <v>2</v>
      </c>
      <c r="O682" t="n">
        <v>4</v>
      </c>
      <c r="P682" t="n">
        <v>5</v>
      </c>
      <c r="Q682" t="n">
        <v>3</v>
      </c>
      <c r="R682" t="n">
        <v>1</v>
      </c>
      <c r="S682" t="n">
        <v>1</v>
      </c>
      <c r="T682" t="n">
        <v>1</v>
      </c>
      <c r="U682" t="n">
        <v>5</v>
      </c>
      <c r="V682" t="n">
        <v>5</v>
      </c>
      <c r="W682">
        <f>(AVERAGE(B682:D682)-1)/4</f>
        <v/>
      </c>
      <c r="X682">
        <f>(AVERAGE(E682:G682)-1)/4</f>
        <v/>
      </c>
      <c r="Y682">
        <f>(AVERAGE(H682:J682)-1)/4</f>
        <v/>
      </c>
      <c r="Z682">
        <f>(AVERAGE(K682:M682)-1)/4</f>
        <v/>
      </c>
      <c r="AA682">
        <f>(AVERAGE(N682:P682)-1)/4</f>
        <v/>
      </c>
      <c r="AB682">
        <f>(AVERAGE(Q682:S682)-1)/4</f>
        <v/>
      </c>
      <c r="AC682">
        <f>(AVERAGE(T682:V682)-1)/4</f>
        <v/>
      </c>
      <c r="AD682">
        <f>AVERAGE(W682:AA682)</f>
        <v/>
      </c>
      <c r="AE682">
        <f>MIN(W682:AA682)</f>
        <v/>
      </c>
      <c r="AF682">
        <f>1-alpha*MAX(0,delta-AE682)</f>
        <v/>
      </c>
      <c r="AG682">
        <f>AD682*AF682</f>
        <v/>
      </c>
      <c r="AH682">
        <f>1+COUNTIF(bounds,"&lt;"&amp;ROUND(AD682,12))</f>
        <v/>
      </c>
      <c r="AI682">
        <f>1+COUNTIF(bounds,"&lt;"&amp;ROUND(AG682,12))</f>
        <v/>
      </c>
      <c r="AJ682">
        <f>IF(AF682&lt;1,1,0)</f>
        <v/>
      </c>
      <c r="AK682">
        <f>IF(AH682&lt;&gt;AI682,1,0)</f>
        <v/>
      </c>
      <c r="AL682">
        <f>IF(AND(AI682&gt;=3,AB682&lt;=0.2),1,0)</f>
        <v/>
      </c>
      <c r="AM682">
        <f>AVERAGE(W682:AB682)</f>
        <v/>
      </c>
      <c r="AN682">
        <f>1+COUNTIF(bounds,"&lt;"&amp;ROUND(AM682,12))</f>
        <v/>
      </c>
      <c r="AO682">
        <f>IF(AK682=1,AD682,NA())</f>
        <v/>
      </c>
      <c r="AP682">
        <f>IF(AK682=0,AD682,NA())</f>
        <v/>
      </c>
    </row>
    <row r="683">
      <c r="A683" t="n">
        <v>675</v>
      </c>
      <c r="B683" t="n">
        <v>4</v>
      </c>
      <c r="C683" t="n">
        <v>1</v>
      </c>
      <c r="D683" t="n">
        <v>4</v>
      </c>
      <c r="E683" t="n">
        <v>2</v>
      </c>
      <c r="F683" t="n">
        <v>4</v>
      </c>
      <c r="G683" t="n">
        <v>1</v>
      </c>
      <c r="H683" t="n">
        <v>3</v>
      </c>
      <c r="I683" t="n">
        <v>3</v>
      </c>
      <c r="J683" t="n">
        <v>3</v>
      </c>
      <c r="K683" t="n">
        <v>5</v>
      </c>
      <c r="L683" t="n">
        <v>2</v>
      </c>
      <c r="M683" t="n">
        <v>2</v>
      </c>
      <c r="N683" t="n">
        <v>1</v>
      </c>
      <c r="O683" t="n">
        <v>3</v>
      </c>
      <c r="P683" t="n">
        <v>3</v>
      </c>
      <c r="Q683" t="n">
        <v>5</v>
      </c>
      <c r="R683" t="n">
        <v>2</v>
      </c>
      <c r="S683" t="n">
        <v>5</v>
      </c>
      <c r="T683" t="n">
        <v>2</v>
      </c>
      <c r="U683" t="n">
        <v>2</v>
      </c>
      <c r="V683" t="n">
        <v>5</v>
      </c>
      <c r="W683">
        <f>(AVERAGE(B683:D683)-1)/4</f>
        <v/>
      </c>
      <c r="X683">
        <f>(AVERAGE(E683:G683)-1)/4</f>
        <v/>
      </c>
      <c r="Y683">
        <f>(AVERAGE(H683:J683)-1)/4</f>
        <v/>
      </c>
      <c r="Z683">
        <f>(AVERAGE(K683:M683)-1)/4</f>
        <v/>
      </c>
      <c r="AA683">
        <f>(AVERAGE(N683:P683)-1)/4</f>
        <v/>
      </c>
      <c r="AB683">
        <f>(AVERAGE(Q683:S683)-1)/4</f>
        <v/>
      </c>
      <c r="AC683">
        <f>(AVERAGE(T683:V683)-1)/4</f>
        <v/>
      </c>
      <c r="AD683">
        <f>AVERAGE(W683:AA683)</f>
        <v/>
      </c>
      <c r="AE683">
        <f>MIN(W683:AA683)</f>
        <v/>
      </c>
      <c r="AF683">
        <f>1-alpha*MAX(0,delta-AE683)</f>
        <v/>
      </c>
      <c r="AG683">
        <f>AD683*AF683</f>
        <v/>
      </c>
      <c r="AH683">
        <f>1+COUNTIF(bounds,"&lt;"&amp;ROUND(AD683,12))</f>
        <v/>
      </c>
      <c r="AI683">
        <f>1+COUNTIF(bounds,"&lt;"&amp;ROUND(AG683,12))</f>
        <v/>
      </c>
      <c r="AJ683">
        <f>IF(AF683&lt;1,1,0)</f>
        <v/>
      </c>
      <c r="AK683">
        <f>IF(AH683&lt;&gt;AI683,1,0)</f>
        <v/>
      </c>
      <c r="AL683">
        <f>IF(AND(AI683&gt;=3,AB683&lt;=0.2),1,0)</f>
        <v/>
      </c>
      <c r="AM683">
        <f>AVERAGE(W683:AB683)</f>
        <v/>
      </c>
      <c r="AN683">
        <f>1+COUNTIF(bounds,"&lt;"&amp;ROUND(AM683,12))</f>
        <v/>
      </c>
      <c r="AO683">
        <f>IF(AK683=1,AD683,NA())</f>
        <v/>
      </c>
      <c r="AP683">
        <f>IF(AK683=0,AD683,NA())</f>
        <v/>
      </c>
    </row>
    <row r="684">
      <c r="A684" t="n">
        <v>676</v>
      </c>
      <c r="B684" t="n">
        <v>1</v>
      </c>
      <c r="C684" t="n">
        <v>1</v>
      </c>
      <c r="D684" t="n">
        <v>5</v>
      </c>
      <c r="E684" t="n">
        <v>2</v>
      </c>
      <c r="F684" t="n">
        <v>3</v>
      </c>
      <c r="G684" t="n">
        <v>1</v>
      </c>
      <c r="H684" t="n">
        <v>2</v>
      </c>
      <c r="I684" t="n">
        <v>5</v>
      </c>
      <c r="J684" t="n">
        <v>2</v>
      </c>
      <c r="K684" t="n">
        <v>1</v>
      </c>
      <c r="L684" t="n">
        <v>4</v>
      </c>
      <c r="M684" t="n">
        <v>2</v>
      </c>
      <c r="N684" t="n">
        <v>4</v>
      </c>
      <c r="O684" t="n">
        <v>5</v>
      </c>
      <c r="P684" t="n">
        <v>1</v>
      </c>
      <c r="Q684" t="n">
        <v>3</v>
      </c>
      <c r="R684" t="n">
        <v>1</v>
      </c>
      <c r="S684" t="n">
        <v>5</v>
      </c>
      <c r="T684" t="n">
        <v>2</v>
      </c>
      <c r="U684" t="n">
        <v>1</v>
      </c>
      <c r="V684" t="n">
        <v>1</v>
      </c>
      <c r="W684">
        <f>(AVERAGE(B684:D684)-1)/4</f>
        <v/>
      </c>
      <c r="X684">
        <f>(AVERAGE(E684:G684)-1)/4</f>
        <v/>
      </c>
      <c r="Y684">
        <f>(AVERAGE(H684:J684)-1)/4</f>
        <v/>
      </c>
      <c r="Z684">
        <f>(AVERAGE(K684:M684)-1)/4</f>
        <v/>
      </c>
      <c r="AA684">
        <f>(AVERAGE(N684:P684)-1)/4</f>
        <v/>
      </c>
      <c r="AB684">
        <f>(AVERAGE(Q684:S684)-1)/4</f>
        <v/>
      </c>
      <c r="AC684">
        <f>(AVERAGE(T684:V684)-1)/4</f>
        <v/>
      </c>
      <c r="AD684">
        <f>AVERAGE(W684:AA684)</f>
        <v/>
      </c>
      <c r="AE684">
        <f>MIN(W684:AA684)</f>
        <v/>
      </c>
      <c r="AF684">
        <f>1-alpha*MAX(0,delta-AE684)</f>
        <v/>
      </c>
      <c r="AG684">
        <f>AD684*AF684</f>
        <v/>
      </c>
      <c r="AH684">
        <f>1+COUNTIF(bounds,"&lt;"&amp;ROUND(AD684,12))</f>
        <v/>
      </c>
      <c r="AI684">
        <f>1+COUNTIF(bounds,"&lt;"&amp;ROUND(AG684,12))</f>
        <v/>
      </c>
      <c r="AJ684">
        <f>IF(AF684&lt;1,1,0)</f>
        <v/>
      </c>
      <c r="AK684">
        <f>IF(AH684&lt;&gt;AI684,1,0)</f>
        <v/>
      </c>
      <c r="AL684">
        <f>IF(AND(AI684&gt;=3,AB684&lt;=0.2),1,0)</f>
        <v/>
      </c>
      <c r="AM684">
        <f>AVERAGE(W684:AB684)</f>
        <v/>
      </c>
      <c r="AN684">
        <f>1+COUNTIF(bounds,"&lt;"&amp;ROUND(AM684,12))</f>
        <v/>
      </c>
      <c r="AO684">
        <f>IF(AK684=1,AD684,NA())</f>
        <v/>
      </c>
      <c r="AP684">
        <f>IF(AK684=0,AD684,NA())</f>
        <v/>
      </c>
    </row>
    <row r="685">
      <c r="A685" t="n">
        <v>677</v>
      </c>
      <c r="B685" t="n">
        <v>4</v>
      </c>
      <c r="C685" t="n">
        <v>2</v>
      </c>
      <c r="D685" t="n">
        <v>4</v>
      </c>
      <c r="E685" t="n">
        <v>1</v>
      </c>
      <c r="F685" t="n">
        <v>4</v>
      </c>
      <c r="G685" t="n">
        <v>4</v>
      </c>
      <c r="H685" t="n">
        <v>1</v>
      </c>
      <c r="I685" t="n">
        <v>3</v>
      </c>
      <c r="J685" t="n">
        <v>2</v>
      </c>
      <c r="K685" t="n">
        <v>5</v>
      </c>
      <c r="L685" t="n">
        <v>1</v>
      </c>
      <c r="M685" t="n">
        <v>3</v>
      </c>
      <c r="N685" t="n">
        <v>3</v>
      </c>
      <c r="O685" t="n">
        <v>5</v>
      </c>
      <c r="P685" t="n">
        <v>3</v>
      </c>
      <c r="Q685" t="n">
        <v>1</v>
      </c>
      <c r="R685" t="n">
        <v>2</v>
      </c>
      <c r="S685" t="n">
        <v>3</v>
      </c>
      <c r="T685" t="n">
        <v>3</v>
      </c>
      <c r="U685" t="n">
        <v>4</v>
      </c>
      <c r="V685" t="n">
        <v>1</v>
      </c>
      <c r="W685">
        <f>(AVERAGE(B685:D685)-1)/4</f>
        <v/>
      </c>
      <c r="X685">
        <f>(AVERAGE(E685:G685)-1)/4</f>
        <v/>
      </c>
      <c r="Y685">
        <f>(AVERAGE(H685:J685)-1)/4</f>
        <v/>
      </c>
      <c r="Z685">
        <f>(AVERAGE(K685:M685)-1)/4</f>
        <v/>
      </c>
      <c r="AA685">
        <f>(AVERAGE(N685:P685)-1)/4</f>
        <v/>
      </c>
      <c r="AB685">
        <f>(AVERAGE(Q685:S685)-1)/4</f>
        <v/>
      </c>
      <c r="AC685">
        <f>(AVERAGE(T685:V685)-1)/4</f>
        <v/>
      </c>
      <c r="AD685">
        <f>AVERAGE(W685:AA685)</f>
        <v/>
      </c>
      <c r="AE685">
        <f>MIN(W685:AA685)</f>
        <v/>
      </c>
      <c r="AF685">
        <f>1-alpha*MAX(0,delta-AE685)</f>
        <v/>
      </c>
      <c r="AG685">
        <f>AD685*AF685</f>
        <v/>
      </c>
      <c r="AH685">
        <f>1+COUNTIF(bounds,"&lt;"&amp;ROUND(AD685,12))</f>
        <v/>
      </c>
      <c r="AI685">
        <f>1+COUNTIF(bounds,"&lt;"&amp;ROUND(AG685,12))</f>
        <v/>
      </c>
      <c r="AJ685">
        <f>IF(AF685&lt;1,1,0)</f>
        <v/>
      </c>
      <c r="AK685">
        <f>IF(AH685&lt;&gt;AI685,1,0)</f>
        <v/>
      </c>
      <c r="AL685">
        <f>IF(AND(AI685&gt;=3,AB685&lt;=0.2),1,0)</f>
        <v/>
      </c>
      <c r="AM685">
        <f>AVERAGE(W685:AB685)</f>
        <v/>
      </c>
      <c r="AN685">
        <f>1+COUNTIF(bounds,"&lt;"&amp;ROUND(AM685,12))</f>
        <v/>
      </c>
      <c r="AO685">
        <f>IF(AK685=1,AD685,NA())</f>
        <v/>
      </c>
      <c r="AP685">
        <f>IF(AK685=0,AD685,NA())</f>
        <v/>
      </c>
    </row>
    <row r="686">
      <c r="A686" t="n">
        <v>678</v>
      </c>
      <c r="B686" t="n">
        <v>2</v>
      </c>
      <c r="C686" t="n">
        <v>3</v>
      </c>
      <c r="D686" t="n">
        <v>4</v>
      </c>
      <c r="E686" t="n">
        <v>1</v>
      </c>
      <c r="F686" t="n">
        <v>1</v>
      </c>
      <c r="G686" t="n">
        <v>3</v>
      </c>
      <c r="H686" t="n">
        <v>5</v>
      </c>
      <c r="I686" t="n">
        <v>1</v>
      </c>
      <c r="J686" t="n">
        <v>1</v>
      </c>
      <c r="K686" t="n">
        <v>5</v>
      </c>
      <c r="L686" t="n">
        <v>2</v>
      </c>
      <c r="M686" t="n">
        <v>4</v>
      </c>
      <c r="N686" t="n">
        <v>4</v>
      </c>
      <c r="O686" t="n">
        <v>2</v>
      </c>
      <c r="P686" t="n">
        <v>1</v>
      </c>
      <c r="Q686" t="n">
        <v>4</v>
      </c>
      <c r="R686" t="n">
        <v>5</v>
      </c>
      <c r="S686" t="n">
        <v>1</v>
      </c>
      <c r="T686" t="n">
        <v>5</v>
      </c>
      <c r="U686" t="n">
        <v>3</v>
      </c>
      <c r="V686" t="n">
        <v>4</v>
      </c>
      <c r="W686">
        <f>(AVERAGE(B686:D686)-1)/4</f>
        <v/>
      </c>
      <c r="X686">
        <f>(AVERAGE(E686:G686)-1)/4</f>
        <v/>
      </c>
      <c r="Y686">
        <f>(AVERAGE(H686:J686)-1)/4</f>
        <v/>
      </c>
      <c r="Z686">
        <f>(AVERAGE(K686:M686)-1)/4</f>
        <v/>
      </c>
      <c r="AA686">
        <f>(AVERAGE(N686:P686)-1)/4</f>
        <v/>
      </c>
      <c r="AB686">
        <f>(AVERAGE(Q686:S686)-1)/4</f>
        <v/>
      </c>
      <c r="AC686">
        <f>(AVERAGE(T686:V686)-1)/4</f>
        <v/>
      </c>
      <c r="AD686">
        <f>AVERAGE(W686:AA686)</f>
        <v/>
      </c>
      <c r="AE686">
        <f>MIN(W686:AA686)</f>
        <v/>
      </c>
      <c r="AF686">
        <f>1-alpha*MAX(0,delta-AE686)</f>
        <v/>
      </c>
      <c r="AG686">
        <f>AD686*AF686</f>
        <v/>
      </c>
      <c r="AH686">
        <f>1+COUNTIF(bounds,"&lt;"&amp;ROUND(AD686,12))</f>
        <v/>
      </c>
      <c r="AI686">
        <f>1+COUNTIF(bounds,"&lt;"&amp;ROUND(AG686,12))</f>
        <v/>
      </c>
      <c r="AJ686">
        <f>IF(AF686&lt;1,1,0)</f>
        <v/>
      </c>
      <c r="AK686">
        <f>IF(AH686&lt;&gt;AI686,1,0)</f>
        <v/>
      </c>
      <c r="AL686">
        <f>IF(AND(AI686&gt;=3,AB686&lt;=0.2),1,0)</f>
        <v/>
      </c>
      <c r="AM686">
        <f>AVERAGE(W686:AB686)</f>
        <v/>
      </c>
      <c r="AN686">
        <f>1+COUNTIF(bounds,"&lt;"&amp;ROUND(AM686,12))</f>
        <v/>
      </c>
      <c r="AO686">
        <f>IF(AK686=1,AD686,NA())</f>
        <v/>
      </c>
      <c r="AP686">
        <f>IF(AK686=0,AD686,NA())</f>
        <v/>
      </c>
    </row>
    <row r="687">
      <c r="A687" t="n">
        <v>679</v>
      </c>
      <c r="B687" t="n">
        <v>1</v>
      </c>
      <c r="C687" t="n">
        <v>2</v>
      </c>
      <c r="D687" t="n">
        <v>2</v>
      </c>
      <c r="E687" t="n">
        <v>3</v>
      </c>
      <c r="F687" t="n">
        <v>3</v>
      </c>
      <c r="G687" t="n">
        <v>3</v>
      </c>
      <c r="H687" t="n">
        <v>4</v>
      </c>
      <c r="I687" t="n">
        <v>2</v>
      </c>
      <c r="J687" t="n">
        <v>5</v>
      </c>
      <c r="K687" t="n">
        <v>2</v>
      </c>
      <c r="L687" t="n">
        <v>3</v>
      </c>
      <c r="M687" t="n">
        <v>4</v>
      </c>
      <c r="N687" t="n">
        <v>2</v>
      </c>
      <c r="O687" t="n">
        <v>3</v>
      </c>
      <c r="P687" t="n">
        <v>1</v>
      </c>
      <c r="Q687" t="n">
        <v>3</v>
      </c>
      <c r="R687" t="n">
        <v>4</v>
      </c>
      <c r="S687" t="n">
        <v>4</v>
      </c>
      <c r="T687" t="n">
        <v>1</v>
      </c>
      <c r="U687" t="n">
        <v>1</v>
      </c>
      <c r="V687" t="n">
        <v>4</v>
      </c>
      <c r="W687">
        <f>(AVERAGE(B687:D687)-1)/4</f>
        <v/>
      </c>
      <c r="X687">
        <f>(AVERAGE(E687:G687)-1)/4</f>
        <v/>
      </c>
      <c r="Y687">
        <f>(AVERAGE(H687:J687)-1)/4</f>
        <v/>
      </c>
      <c r="Z687">
        <f>(AVERAGE(K687:M687)-1)/4</f>
        <v/>
      </c>
      <c r="AA687">
        <f>(AVERAGE(N687:P687)-1)/4</f>
        <v/>
      </c>
      <c r="AB687">
        <f>(AVERAGE(Q687:S687)-1)/4</f>
        <v/>
      </c>
      <c r="AC687">
        <f>(AVERAGE(T687:V687)-1)/4</f>
        <v/>
      </c>
      <c r="AD687">
        <f>AVERAGE(W687:AA687)</f>
        <v/>
      </c>
      <c r="AE687">
        <f>MIN(W687:AA687)</f>
        <v/>
      </c>
      <c r="AF687">
        <f>1-alpha*MAX(0,delta-AE687)</f>
        <v/>
      </c>
      <c r="AG687">
        <f>AD687*AF687</f>
        <v/>
      </c>
      <c r="AH687">
        <f>1+COUNTIF(bounds,"&lt;"&amp;ROUND(AD687,12))</f>
        <v/>
      </c>
      <c r="AI687">
        <f>1+COUNTIF(bounds,"&lt;"&amp;ROUND(AG687,12))</f>
        <v/>
      </c>
      <c r="AJ687">
        <f>IF(AF687&lt;1,1,0)</f>
        <v/>
      </c>
      <c r="AK687">
        <f>IF(AH687&lt;&gt;AI687,1,0)</f>
        <v/>
      </c>
      <c r="AL687">
        <f>IF(AND(AI687&gt;=3,AB687&lt;=0.2),1,0)</f>
        <v/>
      </c>
      <c r="AM687">
        <f>AVERAGE(W687:AB687)</f>
        <v/>
      </c>
      <c r="AN687">
        <f>1+COUNTIF(bounds,"&lt;"&amp;ROUND(AM687,12))</f>
        <v/>
      </c>
      <c r="AO687">
        <f>IF(AK687=1,AD687,NA())</f>
        <v/>
      </c>
      <c r="AP687">
        <f>IF(AK687=0,AD687,NA())</f>
        <v/>
      </c>
    </row>
    <row r="688">
      <c r="A688" t="n">
        <v>680</v>
      </c>
      <c r="B688" t="n">
        <v>4</v>
      </c>
      <c r="C688" t="n">
        <v>2</v>
      </c>
      <c r="D688" t="n">
        <v>4</v>
      </c>
      <c r="E688" t="n">
        <v>2</v>
      </c>
      <c r="F688" t="n">
        <v>2</v>
      </c>
      <c r="G688" t="n">
        <v>3</v>
      </c>
      <c r="H688" t="n">
        <v>4</v>
      </c>
      <c r="I688" t="n">
        <v>4</v>
      </c>
      <c r="J688" t="n">
        <v>2</v>
      </c>
      <c r="K688" t="n">
        <v>3</v>
      </c>
      <c r="L688" t="n">
        <v>1</v>
      </c>
      <c r="M688" t="n">
        <v>2</v>
      </c>
      <c r="N688" t="n">
        <v>5</v>
      </c>
      <c r="O688" t="n">
        <v>2</v>
      </c>
      <c r="P688" t="n">
        <v>1</v>
      </c>
      <c r="Q688" t="n">
        <v>3</v>
      </c>
      <c r="R688" t="n">
        <v>5</v>
      </c>
      <c r="S688" t="n">
        <v>3</v>
      </c>
      <c r="T688" t="n">
        <v>2</v>
      </c>
      <c r="U688" t="n">
        <v>4</v>
      </c>
      <c r="V688" t="n">
        <v>1</v>
      </c>
      <c r="W688">
        <f>(AVERAGE(B688:D688)-1)/4</f>
        <v/>
      </c>
      <c r="X688">
        <f>(AVERAGE(E688:G688)-1)/4</f>
        <v/>
      </c>
      <c r="Y688">
        <f>(AVERAGE(H688:J688)-1)/4</f>
        <v/>
      </c>
      <c r="Z688">
        <f>(AVERAGE(K688:M688)-1)/4</f>
        <v/>
      </c>
      <c r="AA688">
        <f>(AVERAGE(N688:P688)-1)/4</f>
        <v/>
      </c>
      <c r="AB688">
        <f>(AVERAGE(Q688:S688)-1)/4</f>
        <v/>
      </c>
      <c r="AC688">
        <f>(AVERAGE(T688:V688)-1)/4</f>
        <v/>
      </c>
      <c r="AD688">
        <f>AVERAGE(W688:AA688)</f>
        <v/>
      </c>
      <c r="AE688">
        <f>MIN(W688:AA688)</f>
        <v/>
      </c>
      <c r="AF688">
        <f>1-alpha*MAX(0,delta-AE688)</f>
        <v/>
      </c>
      <c r="AG688">
        <f>AD688*AF688</f>
        <v/>
      </c>
      <c r="AH688">
        <f>1+COUNTIF(bounds,"&lt;"&amp;ROUND(AD688,12))</f>
        <v/>
      </c>
      <c r="AI688">
        <f>1+COUNTIF(bounds,"&lt;"&amp;ROUND(AG688,12))</f>
        <v/>
      </c>
      <c r="AJ688">
        <f>IF(AF688&lt;1,1,0)</f>
        <v/>
      </c>
      <c r="AK688">
        <f>IF(AH688&lt;&gt;AI688,1,0)</f>
        <v/>
      </c>
      <c r="AL688">
        <f>IF(AND(AI688&gt;=3,AB688&lt;=0.2),1,0)</f>
        <v/>
      </c>
      <c r="AM688">
        <f>AVERAGE(W688:AB688)</f>
        <v/>
      </c>
      <c r="AN688">
        <f>1+COUNTIF(bounds,"&lt;"&amp;ROUND(AM688,12))</f>
        <v/>
      </c>
      <c r="AO688">
        <f>IF(AK688=1,AD688,NA())</f>
        <v/>
      </c>
      <c r="AP688">
        <f>IF(AK688=0,AD688,NA())</f>
        <v/>
      </c>
    </row>
    <row r="689">
      <c r="A689" t="n">
        <v>681</v>
      </c>
      <c r="B689" t="n">
        <v>4</v>
      </c>
      <c r="C689" t="n">
        <v>2</v>
      </c>
      <c r="D689" t="n">
        <v>2</v>
      </c>
      <c r="E689" t="n">
        <v>4</v>
      </c>
      <c r="F689" t="n">
        <v>5</v>
      </c>
      <c r="G689" t="n">
        <v>4</v>
      </c>
      <c r="H689" t="n">
        <v>5</v>
      </c>
      <c r="I689" t="n">
        <v>1</v>
      </c>
      <c r="J689" t="n">
        <v>2</v>
      </c>
      <c r="K689" t="n">
        <v>3</v>
      </c>
      <c r="L689" t="n">
        <v>3</v>
      </c>
      <c r="M689" t="n">
        <v>1</v>
      </c>
      <c r="N689" t="n">
        <v>3</v>
      </c>
      <c r="O689" t="n">
        <v>4</v>
      </c>
      <c r="P689" t="n">
        <v>1</v>
      </c>
      <c r="Q689" t="n">
        <v>5</v>
      </c>
      <c r="R689" t="n">
        <v>2</v>
      </c>
      <c r="S689" t="n">
        <v>1</v>
      </c>
      <c r="T689" t="n">
        <v>3</v>
      </c>
      <c r="U689" t="n">
        <v>3</v>
      </c>
      <c r="V689" t="n">
        <v>5</v>
      </c>
      <c r="W689">
        <f>(AVERAGE(B689:D689)-1)/4</f>
        <v/>
      </c>
      <c r="X689">
        <f>(AVERAGE(E689:G689)-1)/4</f>
        <v/>
      </c>
      <c r="Y689">
        <f>(AVERAGE(H689:J689)-1)/4</f>
        <v/>
      </c>
      <c r="Z689">
        <f>(AVERAGE(K689:M689)-1)/4</f>
        <v/>
      </c>
      <c r="AA689">
        <f>(AVERAGE(N689:P689)-1)/4</f>
        <v/>
      </c>
      <c r="AB689">
        <f>(AVERAGE(Q689:S689)-1)/4</f>
        <v/>
      </c>
      <c r="AC689">
        <f>(AVERAGE(T689:V689)-1)/4</f>
        <v/>
      </c>
      <c r="AD689">
        <f>AVERAGE(W689:AA689)</f>
        <v/>
      </c>
      <c r="AE689">
        <f>MIN(W689:AA689)</f>
        <v/>
      </c>
      <c r="AF689">
        <f>1-alpha*MAX(0,delta-AE689)</f>
        <v/>
      </c>
      <c r="AG689">
        <f>AD689*AF689</f>
        <v/>
      </c>
      <c r="AH689">
        <f>1+COUNTIF(bounds,"&lt;"&amp;ROUND(AD689,12))</f>
        <v/>
      </c>
      <c r="AI689">
        <f>1+COUNTIF(bounds,"&lt;"&amp;ROUND(AG689,12))</f>
        <v/>
      </c>
      <c r="AJ689">
        <f>IF(AF689&lt;1,1,0)</f>
        <v/>
      </c>
      <c r="AK689">
        <f>IF(AH689&lt;&gt;AI689,1,0)</f>
        <v/>
      </c>
      <c r="AL689">
        <f>IF(AND(AI689&gt;=3,AB689&lt;=0.2),1,0)</f>
        <v/>
      </c>
      <c r="AM689">
        <f>AVERAGE(W689:AB689)</f>
        <v/>
      </c>
      <c r="AN689">
        <f>1+COUNTIF(bounds,"&lt;"&amp;ROUND(AM689,12))</f>
        <v/>
      </c>
      <c r="AO689">
        <f>IF(AK689=1,AD689,NA())</f>
        <v/>
      </c>
      <c r="AP689">
        <f>IF(AK689=0,AD689,NA())</f>
        <v/>
      </c>
    </row>
    <row r="690">
      <c r="A690" t="n">
        <v>682</v>
      </c>
      <c r="B690" t="n">
        <v>1</v>
      </c>
      <c r="C690" t="n">
        <v>3</v>
      </c>
      <c r="D690" t="n">
        <v>3</v>
      </c>
      <c r="E690" t="n">
        <v>4</v>
      </c>
      <c r="F690" t="n">
        <v>5</v>
      </c>
      <c r="G690" t="n">
        <v>3</v>
      </c>
      <c r="H690" t="n">
        <v>1</v>
      </c>
      <c r="I690" t="n">
        <v>4</v>
      </c>
      <c r="J690" t="n">
        <v>5</v>
      </c>
      <c r="K690" t="n">
        <v>5</v>
      </c>
      <c r="L690" t="n">
        <v>4</v>
      </c>
      <c r="M690" t="n">
        <v>4</v>
      </c>
      <c r="N690" t="n">
        <v>3</v>
      </c>
      <c r="O690" t="n">
        <v>2</v>
      </c>
      <c r="P690" t="n">
        <v>1</v>
      </c>
      <c r="Q690" t="n">
        <v>5</v>
      </c>
      <c r="R690" t="n">
        <v>4</v>
      </c>
      <c r="S690" t="n">
        <v>3</v>
      </c>
      <c r="T690" t="n">
        <v>5</v>
      </c>
      <c r="U690" t="n">
        <v>1</v>
      </c>
      <c r="V690" t="n">
        <v>5</v>
      </c>
      <c r="W690">
        <f>(AVERAGE(B690:D690)-1)/4</f>
        <v/>
      </c>
      <c r="X690">
        <f>(AVERAGE(E690:G690)-1)/4</f>
        <v/>
      </c>
      <c r="Y690">
        <f>(AVERAGE(H690:J690)-1)/4</f>
        <v/>
      </c>
      <c r="Z690">
        <f>(AVERAGE(K690:M690)-1)/4</f>
        <v/>
      </c>
      <c r="AA690">
        <f>(AVERAGE(N690:P690)-1)/4</f>
        <v/>
      </c>
      <c r="AB690">
        <f>(AVERAGE(Q690:S690)-1)/4</f>
        <v/>
      </c>
      <c r="AC690">
        <f>(AVERAGE(T690:V690)-1)/4</f>
        <v/>
      </c>
      <c r="AD690">
        <f>AVERAGE(W690:AA690)</f>
        <v/>
      </c>
      <c r="AE690">
        <f>MIN(W690:AA690)</f>
        <v/>
      </c>
      <c r="AF690">
        <f>1-alpha*MAX(0,delta-AE690)</f>
        <v/>
      </c>
      <c r="AG690">
        <f>AD690*AF690</f>
        <v/>
      </c>
      <c r="AH690">
        <f>1+COUNTIF(bounds,"&lt;"&amp;ROUND(AD690,12))</f>
        <v/>
      </c>
      <c r="AI690">
        <f>1+COUNTIF(bounds,"&lt;"&amp;ROUND(AG690,12))</f>
        <v/>
      </c>
      <c r="AJ690">
        <f>IF(AF690&lt;1,1,0)</f>
        <v/>
      </c>
      <c r="AK690">
        <f>IF(AH690&lt;&gt;AI690,1,0)</f>
        <v/>
      </c>
      <c r="AL690">
        <f>IF(AND(AI690&gt;=3,AB690&lt;=0.2),1,0)</f>
        <v/>
      </c>
      <c r="AM690">
        <f>AVERAGE(W690:AB690)</f>
        <v/>
      </c>
      <c r="AN690">
        <f>1+COUNTIF(bounds,"&lt;"&amp;ROUND(AM690,12))</f>
        <v/>
      </c>
      <c r="AO690">
        <f>IF(AK690=1,AD690,NA())</f>
        <v/>
      </c>
      <c r="AP690">
        <f>IF(AK690=0,AD690,NA())</f>
        <v/>
      </c>
    </row>
    <row r="691">
      <c r="A691" t="n">
        <v>683</v>
      </c>
      <c r="B691" t="n">
        <v>4</v>
      </c>
      <c r="C691" t="n">
        <v>3</v>
      </c>
      <c r="D691" t="n">
        <v>5</v>
      </c>
      <c r="E691" t="n">
        <v>1</v>
      </c>
      <c r="F691" t="n">
        <v>1</v>
      </c>
      <c r="G691" t="n">
        <v>2</v>
      </c>
      <c r="H691" t="n">
        <v>5</v>
      </c>
      <c r="I691" t="n">
        <v>2</v>
      </c>
      <c r="J691" t="n">
        <v>4</v>
      </c>
      <c r="K691" t="n">
        <v>4</v>
      </c>
      <c r="L691" t="n">
        <v>3</v>
      </c>
      <c r="M691" t="n">
        <v>3</v>
      </c>
      <c r="N691" t="n">
        <v>3</v>
      </c>
      <c r="O691" t="n">
        <v>2</v>
      </c>
      <c r="P691" t="n">
        <v>5</v>
      </c>
      <c r="Q691" t="n">
        <v>5</v>
      </c>
      <c r="R691" t="n">
        <v>1</v>
      </c>
      <c r="S691" t="n">
        <v>2</v>
      </c>
      <c r="T691" t="n">
        <v>1</v>
      </c>
      <c r="U691" t="n">
        <v>1</v>
      </c>
      <c r="V691" t="n">
        <v>2</v>
      </c>
      <c r="W691">
        <f>(AVERAGE(B691:D691)-1)/4</f>
        <v/>
      </c>
      <c r="X691">
        <f>(AVERAGE(E691:G691)-1)/4</f>
        <v/>
      </c>
      <c r="Y691">
        <f>(AVERAGE(H691:J691)-1)/4</f>
        <v/>
      </c>
      <c r="Z691">
        <f>(AVERAGE(K691:M691)-1)/4</f>
        <v/>
      </c>
      <c r="AA691">
        <f>(AVERAGE(N691:P691)-1)/4</f>
        <v/>
      </c>
      <c r="AB691">
        <f>(AVERAGE(Q691:S691)-1)/4</f>
        <v/>
      </c>
      <c r="AC691">
        <f>(AVERAGE(T691:V691)-1)/4</f>
        <v/>
      </c>
      <c r="AD691">
        <f>AVERAGE(W691:AA691)</f>
        <v/>
      </c>
      <c r="AE691">
        <f>MIN(W691:AA691)</f>
        <v/>
      </c>
      <c r="AF691">
        <f>1-alpha*MAX(0,delta-AE691)</f>
        <v/>
      </c>
      <c r="AG691">
        <f>AD691*AF691</f>
        <v/>
      </c>
      <c r="AH691">
        <f>1+COUNTIF(bounds,"&lt;"&amp;ROUND(AD691,12))</f>
        <v/>
      </c>
      <c r="AI691">
        <f>1+COUNTIF(bounds,"&lt;"&amp;ROUND(AG691,12))</f>
        <v/>
      </c>
      <c r="AJ691">
        <f>IF(AF691&lt;1,1,0)</f>
        <v/>
      </c>
      <c r="AK691">
        <f>IF(AH691&lt;&gt;AI691,1,0)</f>
        <v/>
      </c>
      <c r="AL691">
        <f>IF(AND(AI691&gt;=3,AB691&lt;=0.2),1,0)</f>
        <v/>
      </c>
      <c r="AM691">
        <f>AVERAGE(W691:AB691)</f>
        <v/>
      </c>
      <c r="AN691">
        <f>1+COUNTIF(bounds,"&lt;"&amp;ROUND(AM691,12))</f>
        <v/>
      </c>
      <c r="AO691">
        <f>IF(AK691=1,AD691,NA())</f>
        <v/>
      </c>
      <c r="AP691">
        <f>IF(AK691=0,AD691,NA())</f>
        <v/>
      </c>
    </row>
    <row r="692">
      <c r="A692" t="n">
        <v>684</v>
      </c>
      <c r="B692" t="n">
        <v>5</v>
      </c>
      <c r="C692" t="n">
        <v>1</v>
      </c>
      <c r="D692" t="n">
        <v>3</v>
      </c>
      <c r="E692" t="n">
        <v>1</v>
      </c>
      <c r="F692" t="n">
        <v>2</v>
      </c>
      <c r="G692" t="n">
        <v>5</v>
      </c>
      <c r="H692" t="n">
        <v>1</v>
      </c>
      <c r="I692" t="n">
        <v>4</v>
      </c>
      <c r="J692" t="n">
        <v>2</v>
      </c>
      <c r="K692" t="n">
        <v>3</v>
      </c>
      <c r="L692" t="n">
        <v>3</v>
      </c>
      <c r="M692" t="n">
        <v>5</v>
      </c>
      <c r="N692" t="n">
        <v>2</v>
      </c>
      <c r="O692" t="n">
        <v>3</v>
      </c>
      <c r="P692" t="n">
        <v>3</v>
      </c>
      <c r="Q692" t="n">
        <v>2</v>
      </c>
      <c r="R692" t="n">
        <v>4</v>
      </c>
      <c r="S692" t="n">
        <v>4</v>
      </c>
      <c r="T692" t="n">
        <v>5</v>
      </c>
      <c r="U692" t="n">
        <v>2</v>
      </c>
      <c r="V692" t="n">
        <v>5</v>
      </c>
      <c r="W692">
        <f>(AVERAGE(B692:D692)-1)/4</f>
        <v/>
      </c>
      <c r="X692">
        <f>(AVERAGE(E692:G692)-1)/4</f>
        <v/>
      </c>
      <c r="Y692">
        <f>(AVERAGE(H692:J692)-1)/4</f>
        <v/>
      </c>
      <c r="Z692">
        <f>(AVERAGE(K692:M692)-1)/4</f>
        <v/>
      </c>
      <c r="AA692">
        <f>(AVERAGE(N692:P692)-1)/4</f>
        <v/>
      </c>
      <c r="AB692">
        <f>(AVERAGE(Q692:S692)-1)/4</f>
        <v/>
      </c>
      <c r="AC692">
        <f>(AVERAGE(T692:V692)-1)/4</f>
        <v/>
      </c>
      <c r="AD692">
        <f>AVERAGE(W692:AA692)</f>
        <v/>
      </c>
      <c r="AE692">
        <f>MIN(W692:AA692)</f>
        <v/>
      </c>
      <c r="AF692">
        <f>1-alpha*MAX(0,delta-AE692)</f>
        <v/>
      </c>
      <c r="AG692">
        <f>AD692*AF692</f>
        <v/>
      </c>
      <c r="AH692">
        <f>1+COUNTIF(bounds,"&lt;"&amp;ROUND(AD692,12))</f>
        <v/>
      </c>
      <c r="AI692">
        <f>1+COUNTIF(bounds,"&lt;"&amp;ROUND(AG692,12))</f>
        <v/>
      </c>
      <c r="AJ692">
        <f>IF(AF692&lt;1,1,0)</f>
        <v/>
      </c>
      <c r="AK692">
        <f>IF(AH692&lt;&gt;AI692,1,0)</f>
        <v/>
      </c>
      <c r="AL692">
        <f>IF(AND(AI692&gt;=3,AB692&lt;=0.2),1,0)</f>
        <v/>
      </c>
      <c r="AM692">
        <f>AVERAGE(W692:AB692)</f>
        <v/>
      </c>
      <c r="AN692">
        <f>1+COUNTIF(bounds,"&lt;"&amp;ROUND(AM692,12))</f>
        <v/>
      </c>
      <c r="AO692">
        <f>IF(AK692=1,AD692,NA())</f>
        <v/>
      </c>
      <c r="AP692">
        <f>IF(AK692=0,AD692,NA())</f>
        <v/>
      </c>
    </row>
    <row r="693">
      <c r="A693" t="n">
        <v>685</v>
      </c>
      <c r="B693" t="n">
        <v>4</v>
      </c>
      <c r="C693" t="n">
        <v>3</v>
      </c>
      <c r="D693" t="n">
        <v>2</v>
      </c>
      <c r="E693" t="n">
        <v>4</v>
      </c>
      <c r="F693" t="n">
        <v>1</v>
      </c>
      <c r="G693" t="n">
        <v>2</v>
      </c>
      <c r="H693" t="n">
        <v>3</v>
      </c>
      <c r="I693" t="n">
        <v>3</v>
      </c>
      <c r="J693" t="n">
        <v>5</v>
      </c>
      <c r="K693" t="n">
        <v>4</v>
      </c>
      <c r="L693" t="n">
        <v>5</v>
      </c>
      <c r="M693" t="n">
        <v>5</v>
      </c>
      <c r="N693" t="n">
        <v>5</v>
      </c>
      <c r="O693" t="n">
        <v>4</v>
      </c>
      <c r="P693" t="n">
        <v>4</v>
      </c>
      <c r="Q693" t="n">
        <v>5</v>
      </c>
      <c r="R693" t="n">
        <v>2</v>
      </c>
      <c r="S693" t="n">
        <v>4</v>
      </c>
      <c r="T693" t="n">
        <v>5</v>
      </c>
      <c r="U693" t="n">
        <v>1</v>
      </c>
      <c r="V693" t="n">
        <v>2</v>
      </c>
      <c r="W693">
        <f>(AVERAGE(B693:D693)-1)/4</f>
        <v/>
      </c>
      <c r="X693">
        <f>(AVERAGE(E693:G693)-1)/4</f>
        <v/>
      </c>
      <c r="Y693">
        <f>(AVERAGE(H693:J693)-1)/4</f>
        <v/>
      </c>
      <c r="Z693">
        <f>(AVERAGE(K693:M693)-1)/4</f>
        <v/>
      </c>
      <c r="AA693">
        <f>(AVERAGE(N693:P693)-1)/4</f>
        <v/>
      </c>
      <c r="AB693">
        <f>(AVERAGE(Q693:S693)-1)/4</f>
        <v/>
      </c>
      <c r="AC693">
        <f>(AVERAGE(T693:V693)-1)/4</f>
        <v/>
      </c>
      <c r="AD693">
        <f>AVERAGE(W693:AA693)</f>
        <v/>
      </c>
      <c r="AE693">
        <f>MIN(W693:AA693)</f>
        <v/>
      </c>
      <c r="AF693">
        <f>1-alpha*MAX(0,delta-AE693)</f>
        <v/>
      </c>
      <c r="AG693">
        <f>AD693*AF693</f>
        <v/>
      </c>
      <c r="AH693">
        <f>1+COUNTIF(bounds,"&lt;"&amp;ROUND(AD693,12))</f>
        <v/>
      </c>
      <c r="AI693">
        <f>1+COUNTIF(bounds,"&lt;"&amp;ROUND(AG693,12))</f>
        <v/>
      </c>
      <c r="AJ693">
        <f>IF(AF693&lt;1,1,0)</f>
        <v/>
      </c>
      <c r="AK693">
        <f>IF(AH693&lt;&gt;AI693,1,0)</f>
        <v/>
      </c>
      <c r="AL693">
        <f>IF(AND(AI693&gt;=3,AB693&lt;=0.2),1,0)</f>
        <v/>
      </c>
      <c r="AM693">
        <f>AVERAGE(W693:AB693)</f>
        <v/>
      </c>
      <c r="AN693">
        <f>1+COUNTIF(bounds,"&lt;"&amp;ROUND(AM693,12))</f>
        <v/>
      </c>
      <c r="AO693">
        <f>IF(AK693=1,AD693,NA())</f>
        <v/>
      </c>
      <c r="AP693">
        <f>IF(AK693=0,AD693,NA())</f>
        <v/>
      </c>
    </row>
    <row r="694">
      <c r="A694" t="n">
        <v>686</v>
      </c>
      <c r="B694" t="n">
        <v>1</v>
      </c>
      <c r="C694" t="n">
        <v>4</v>
      </c>
      <c r="D694" t="n">
        <v>1</v>
      </c>
      <c r="E694" t="n">
        <v>4</v>
      </c>
      <c r="F694" t="n">
        <v>3</v>
      </c>
      <c r="G694" t="n">
        <v>1</v>
      </c>
      <c r="H694" t="n">
        <v>4</v>
      </c>
      <c r="I694" t="n">
        <v>3</v>
      </c>
      <c r="J694" t="n">
        <v>3</v>
      </c>
      <c r="K694" t="n">
        <v>3</v>
      </c>
      <c r="L694" t="n">
        <v>2</v>
      </c>
      <c r="M694" t="n">
        <v>5</v>
      </c>
      <c r="N694" t="n">
        <v>5</v>
      </c>
      <c r="O694" t="n">
        <v>4</v>
      </c>
      <c r="P694" t="n">
        <v>2</v>
      </c>
      <c r="Q694" t="n">
        <v>4</v>
      </c>
      <c r="R694" t="n">
        <v>5</v>
      </c>
      <c r="S694" t="n">
        <v>3</v>
      </c>
      <c r="T694" t="n">
        <v>4</v>
      </c>
      <c r="U694" t="n">
        <v>5</v>
      </c>
      <c r="V694" t="n">
        <v>4</v>
      </c>
      <c r="W694">
        <f>(AVERAGE(B694:D694)-1)/4</f>
        <v/>
      </c>
      <c r="X694">
        <f>(AVERAGE(E694:G694)-1)/4</f>
        <v/>
      </c>
      <c r="Y694">
        <f>(AVERAGE(H694:J694)-1)/4</f>
        <v/>
      </c>
      <c r="Z694">
        <f>(AVERAGE(K694:M694)-1)/4</f>
        <v/>
      </c>
      <c r="AA694">
        <f>(AVERAGE(N694:P694)-1)/4</f>
        <v/>
      </c>
      <c r="AB694">
        <f>(AVERAGE(Q694:S694)-1)/4</f>
        <v/>
      </c>
      <c r="AC694">
        <f>(AVERAGE(T694:V694)-1)/4</f>
        <v/>
      </c>
      <c r="AD694">
        <f>AVERAGE(W694:AA694)</f>
        <v/>
      </c>
      <c r="AE694">
        <f>MIN(W694:AA694)</f>
        <v/>
      </c>
      <c r="AF694">
        <f>1-alpha*MAX(0,delta-AE694)</f>
        <v/>
      </c>
      <c r="AG694">
        <f>AD694*AF694</f>
        <v/>
      </c>
      <c r="AH694">
        <f>1+COUNTIF(bounds,"&lt;"&amp;ROUND(AD694,12))</f>
        <v/>
      </c>
      <c r="AI694">
        <f>1+COUNTIF(bounds,"&lt;"&amp;ROUND(AG694,12))</f>
        <v/>
      </c>
      <c r="AJ694">
        <f>IF(AF694&lt;1,1,0)</f>
        <v/>
      </c>
      <c r="AK694">
        <f>IF(AH694&lt;&gt;AI694,1,0)</f>
        <v/>
      </c>
      <c r="AL694">
        <f>IF(AND(AI694&gt;=3,AB694&lt;=0.2),1,0)</f>
        <v/>
      </c>
      <c r="AM694">
        <f>AVERAGE(W694:AB694)</f>
        <v/>
      </c>
      <c r="AN694">
        <f>1+COUNTIF(bounds,"&lt;"&amp;ROUND(AM694,12))</f>
        <v/>
      </c>
      <c r="AO694">
        <f>IF(AK694=1,AD694,NA())</f>
        <v/>
      </c>
      <c r="AP694">
        <f>IF(AK694=0,AD694,NA())</f>
        <v/>
      </c>
    </row>
    <row r="695">
      <c r="A695" t="n">
        <v>687</v>
      </c>
      <c r="B695" t="n">
        <v>3</v>
      </c>
      <c r="C695" t="n">
        <v>5</v>
      </c>
      <c r="D695" t="n">
        <v>4</v>
      </c>
      <c r="E695" t="n">
        <v>3</v>
      </c>
      <c r="F695" t="n">
        <v>2</v>
      </c>
      <c r="G695" t="n">
        <v>1</v>
      </c>
      <c r="H695" t="n">
        <v>4</v>
      </c>
      <c r="I695" t="n">
        <v>1</v>
      </c>
      <c r="J695" t="n">
        <v>5</v>
      </c>
      <c r="K695" t="n">
        <v>4</v>
      </c>
      <c r="L695" t="n">
        <v>2</v>
      </c>
      <c r="M695" t="n">
        <v>5</v>
      </c>
      <c r="N695" t="n">
        <v>4</v>
      </c>
      <c r="O695" t="n">
        <v>1</v>
      </c>
      <c r="P695" t="n">
        <v>3</v>
      </c>
      <c r="Q695" t="n">
        <v>3</v>
      </c>
      <c r="R695" t="n">
        <v>3</v>
      </c>
      <c r="S695" t="n">
        <v>3</v>
      </c>
      <c r="T695" t="n">
        <v>4</v>
      </c>
      <c r="U695" t="n">
        <v>5</v>
      </c>
      <c r="V695" t="n">
        <v>5</v>
      </c>
      <c r="W695">
        <f>(AVERAGE(B695:D695)-1)/4</f>
        <v/>
      </c>
      <c r="X695">
        <f>(AVERAGE(E695:G695)-1)/4</f>
        <v/>
      </c>
      <c r="Y695">
        <f>(AVERAGE(H695:J695)-1)/4</f>
        <v/>
      </c>
      <c r="Z695">
        <f>(AVERAGE(K695:M695)-1)/4</f>
        <v/>
      </c>
      <c r="AA695">
        <f>(AVERAGE(N695:P695)-1)/4</f>
        <v/>
      </c>
      <c r="AB695">
        <f>(AVERAGE(Q695:S695)-1)/4</f>
        <v/>
      </c>
      <c r="AC695">
        <f>(AVERAGE(T695:V695)-1)/4</f>
        <v/>
      </c>
      <c r="AD695">
        <f>AVERAGE(W695:AA695)</f>
        <v/>
      </c>
      <c r="AE695">
        <f>MIN(W695:AA695)</f>
        <v/>
      </c>
      <c r="AF695">
        <f>1-alpha*MAX(0,delta-AE695)</f>
        <v/>
      </c>
      <c r="AG695">
        <f>AD695*AF695</f>
        <v/>
      </c>
      <c r="AH695">
        <f>1+COUNTIF(bounds,"&lt;"&amp;ROUND(AD695,12))</f>
        <v/>
      </c>
      <c r="AI695">
        <f>1+COUNTIF(bounds,"&lt;"&amp;ROUND(AG695,12))</f>
        <v/>
      </c>
      <c r="AJ695">
        <f>IF(AF695&lt;1,1,0)</f>
        <v/>
      </c>
      <c r="AK695">
        <f>IF(AH695&lt;&gt;AI695,1,0)</f>
        <v/>
      </c>
      <c r="AL695">
        <f>IF(AND(AI695&gt;=3,AB695&lt;=0.2),1,0)</f>
        <v/>
      </c>
      <c r="AM695">
        <f>AVERAGE(W695:AB695)</f>
        <v/>
      </c>
      <c r="AN695">
        <f>1+COUNTIF(bounds,"&lt;"&amp;ROUND(AM695,12))</f>
        <v/>
      </c>
      <c r="AO695">
        <f>IF(AK695=1,AD695,NA())</f>
        <v/>
      </c>
      <c r="AP695">
        <f>IF(AK695=0,AD695,NA())</f>
        <v/>
      </c>
    </row>
    <row r="696">
      <c r="A696" t="n">
        <v>688</v>
      </c>
      <c r="B696" t="n">
        <v>1</v>
      </c>
      <c r="C696" t="n">
        <v>5</v>
      </c>
      <c r="D696" t="n">
        <v>4</v>
      </c>
      <c r="E696" t="n">
        <v>4</v>
      </c>
      <c r="F696" t="n">
        <v>2</v>
      </c>
      <c r="G696" t="n">
        <v>4</v>
      </c>
      <c r="H696" t="n">
        <v>1</v>
      </c>
      <c r="I696" t="n">
        <v>3</v>
      </c>
      <c r="J696" t="n">
        <v>1</v>
      </c>
      <c r="K696" t="n">
        <v>4</v>
      </c>
      <c r="L696" t="n">
        <v>1</v>
      </c>
      <c r="M696" t="n">
        <v>4</v>
      </c>
      <c r="N696" t="n">
        <v>1</v>
      </c>
      <c r="O696" t="n">
        <v>3</v>
      </c>
      <c r="P696" t="n">
        <v>3</v>
      </c>
      <c r="Q696" t="n">
        <v>2</v>
      </c>
      <c r="R696" t="n">
        <v>1</v>
      </c>
      <c r="S696" t="n">
        <v>4</v>
      </c>
      <c r="T696" t="n">
        <v>2</v>
      </c>
      <c r="U696" t="n">
        <v>4</v>
      </c>
      <c r="V696" t="n">
        <v>2</v>
      </c>
      <c r="W696">
        <f>(AVERAGE(B696:D696)-1)/4</f>
        <v/>
      </c>
      <c r="X696">
        <f>(AVERAGE(E696:G696)-1)/4</f>
        <v/>
      </c>
      <c r="Y696">
        <f>(AVERAGE(H696:J696)-1)/4</f>
        <v/>
      </c>
      <c r="Z696">
        <f>(AVERAGE(K696:M696)-1)/4</f>
        <v/>
      </c>
      <c r="AA696">
        <f>(AVERAGE(N696:P696)-1)/4</f>
        <v/>
      </c>
      <c r="AB696">
        <f>(AVERAGE(Q696:S696)-1)/4</f>
        <v/>
      </c>
      <c r="AC696">
        <f>(AVERAGE(T696:V696)-1)/4</f>
        <v/>
      </c>
      <c r="AD696">
        <f>AVERAGE(W696:AA696)</f>
        <v/>
      </c>
      <c r="AE696">
        <f>MIN(W696:AA696)</f>
        <v/>
      </c>
      <c r="AF696">
        <f>1-alpha*MAX(0,delta-AE696)</f>
        <v/>
      </c>
      <c r="AG696">
        <f>AD696*AF696</f>
        <v/>
      </c>
      <c r="AH696">
        <f>1+COUNTIF(bounds,"&lt;"&amp;ROUND(AD696,12))</f>
        <v/>
      </c>
      <c r="AI696">
        <f>1+COUNTIF(bounds,"&lt;"&amp;ROUND(AG696,12))</f>
        <v/>
      </c>
      <c r="AJ696">
        <f>IF(AF696&lt;1,1,0)</f>
        <v/>
      </c>
      <c r="AK696">
        <f>IF(AH696&lt;&gt;AI696,1,0)</f>
        <v/>
      </c>
      <c r="AL696">
        <f>IF(AND(AI696&gt;=3,AB696&lt;=0.2),1,0)</f>
        <v/>
      </c>
      <c r="AM696">
        <f>AVERAGE(W696:AB696)</f>
        <v/>
      </c>
      <c r="AN696">
        <f>1+COUNTIF(bounds,"&lt;"&amp;ROUND(AM696,12))</f>
        <v/>
      </c>
      <c r="AO696">
        <f>IF(AK696=1,AD696,NA())</f>
        <v/>
      </c>
      <c r="AP696">
        <f>IF(AK696=0,AD696,NA())</f>
        <v/>
      </c>
    </row>
    <row r="697">
      <c r="A697" t="n">
        <v>689</v>
      </c>
      <c r="B697" t="n">
        <v>4</v>
      </c>
      <c r="C697" t="n">
        <v>2</v>
      </c>
      <c r="D697" t="n">
        <v>5</v>
      </c>
      <c r="E697" t="n">
        <v>1</v>
      </c>
      <c r="F697" t="n">
        <v>2</v>
      </c>
      <c r="G697" t="n">
        <v>4</v>
      </c>
      <c r="H697" t="n">
        <v>2</v>
      </c>
      <c r="I697" t="n">
        <v>5</v>
      </c>
      <c r="J697" t="n">
        <v>2</v>
      </c>
      <c r="K697" t="n">
        <v>5</v>
      </c>
      <c r="L697" t="n">
        <v>1</v>
      </c>
      <c r="M697" t="n">
        <v>3</v>
      </c>
      <c r="N697" t="n">
        <v>5</v>
      </c>
      <c r="O697" t="n">
        <v>5</v>
      </c>
      <c r="P697" t="n">
        <v>3</v>
      </c>
      <c r="Q697" t="n">
        <v>1</v>
      </c>
      <c r="R697" t="n">
        <v>1</v>
      </c>
      <c r="S697" t="n">
        <v>1</v>
      </c>
      <c r="T697" t="n">
        <v>1</v>
      </c>
      <c r="U697" t="n">
        <v>5</v>
      </c>
      <c r="V697" t="n">
        <v>3</v>
      </c>
      <c r="W697">
        <f>(AVERAGE(B697:D697)-1)/4</f>
        <v/>
      </c>
      <c r="X697">
        <f>(AVERAGE(E697:G697)-1)/4</f>
        <v/>
      </c>
      <c r="Y697">
        <f>(AVERAGE(H697:J697)-1)/4</f>
        <v/>
      </c>
      <c r="Z697">
        <f>(AVERAGE(K697:M697)-1)/4</f>
        <v/>
      </c>
      <c r="AA697">
        <f>(AVERAGE(N697:P697)-1)/4</f>
        <v/>
      </c>
      <c r="AB697">
        <f>(AVERAGE(Q697:S697)-1)/4</f>
        <v/>
      </c>
      <c r="AC697">
        <f>(AVERAGE(T697:V697)-1)/4</f>
        <v/>
      </c>
      <c r="AD697">
        <f>AVERAGE(W697:AA697)</f>
        <v/>
      </c>
      <c r="AE697">
        <f>MIN(W697:AA697)</f>
        <v/>
      </c>
      <c r="AF697">
        <f>1-alpha*MAX(0,delta-AE697)</f>
        <v/>
      </c>
      <c r="AG697">
        <f>AD697*AF697</f>
        <v/>
      </c>
      <c r="AH697">
        <f>1+COUNTIF(bounds,"&lt;"&amp;ROUND(AD697,12))</f>
        <v/>
      </c>
      <c r="AI697">
        <f>1+COUNTIF(bounds,"&lt;"&amp;ROUND(AG697,12))</f>
        <v/>
      </c>
      <c r="AJ697">
        <f>IF(AF697&lt;1,1,0)</f>
        <v/>
      </c>
      <c r="AK697">
        <f>IF(AH697&lt;&gt;AI697,1,0)</f>
        <v/>
      </c>
      <c r="AL697">
        <f>IF(AND(AI697&gt;=3,AB697&lt;=0.2),1,0)</f>
        <v/>
      </c>
      <c r="AM697">
        <f>AVERAGE(W697:AB697)</f>
        <v/>
      </c>
      <c r="AN697">
        <f>1+COUNTIF(bounds,"&lt;"&amp;ROUND(AM697,12))</f>
        <v/>
      </c>
      <c r="AO697">
        <f>IF(AK697=1,AD697,NA())</f>
        <v/>
      </c>
      <c r="AP697">
        <f>IF(AK697=0,AD697,NA())</f>
        <v/>
      </c>
    </row>
    <row r="698">
      <c r="A698" t="n">
        <v>690</v>
      </c>
      <c r="B698" t="n">
        <v>4</v>
      </c>
      <c r="C698" t="n">
        <v>2</v>
      </c>
      <c r="D698" t="n">
        <v>2</v>
      </c>
      <c r="E698" t="n">
        <v>4</v>
      </c>
      <c r="F698" t="n">
        <v>3</v>
      </c>
      <c r="G698" t="n">
        <v>1</v>
      </c>
      <c r="H698" t="n">
        <v>4</v>
      </c>
      <c r="I698" t="n">
        <v>5</v>
      </c>
      <c r="J698" t="n">
        <v>4</v>
      </c>
      <c r="K698" t="n">
        <v>4</v>
      </c>
      <c r="L698" t="n">
        <v>1</v>
      </c>
      <c r="M698" t="n">
        <v>5</v>
      </c>
      <c r="N698" t="n">
        <v>4</v>
      </c>
      <c r="O698" t="n">
        <v>5</v>
      </c>
      <c r="P698" t="n">
        <v>5</v>
      </c>
      <c r="Q698" t="n">
        <v>2</v>
      </c>
      <c r="R698" t="n">
        <v>3</v>
      </c>
      <c r="S698" t="n">
        <v>3</v>
      </c>
      <c r="T698" t="n">
        <v>1</v>
      </c>
      <c r="U698" t="n">
        <v>5</v>
      </c>
      <c r="V698" t="n">
        <v>2</v>
      </c>
      <c r="W698">
        <f>(AVERAGE(B698:D698)-1)/4</f>
        <v/>
      </c>
      <c r="X698">
        <f>(AVERAGE(E698:G698)-1)/4</f>
        <v/>
      </c>
      <c r="Y698">
        <f>(AVERAGE(H698:J698)-1)/4</f>
        <v/>
      </c>
      <c r="Z698">
        <f>(AVERAGE(K698:M698)-1)/4</f>
        <v/>
      </c>
      <c r="AA698">
        <f>(AVERAGE(N698:P698)-1)/4</f>
        <v/>
      </c>
      <c r="AB698">
        <f>(AVERAGE(Q698:S698)-1)/4</f>
        <v/>
      </c>
      <c r="AC698">
        <f>(AVERAGE(T698:V698)-1)/4</f>
        <v/>
      </c>
      <c r="AD698">
        <f>AVERAGE(W698:AA698)</f>
        <v/>
      </c>
      <c r="AE698">
        <f>MIN(W698:AA698)</f>
        <v/>
      </c>
      <c r="AF698">
        <f>1-alpha*MAX(0,delta-AE698)</f>
        <v/>
      </c>
      <c r="AG698">
        <f>AD698*AF698</f>
        <v/>
      </c>
      <c r="AH698">
        <f>1+COUNTIF(bounds,"&lt;"&amp;ROUND(AD698,12))</f>
        <v/>
      </c>
      <c r="AI698">
        <f>1+COUNTIF(bounds,"&lt;"&amp;ROUND(AG698,12))</f>
        <v/>
      </c>
      <c r="AJ698">
        <f>IF(AF698&lt;1,1,0)</f>
        <v/>
      </c>
      <c r="AK698">
        <f>IF(AH698&lt;&gt;AI698,1,0)</f>
        <v/>
      </c>
      <c r="AL698">
        <f>IF(AND(AI698&gt;=3,AB698&lt;=0.2),1,0)</f>
        <v/>
      </c>
      <c r="AM698">
        <f>AVERAGE(W698:AB698)</f>
        <v/>
      </c>
      <c r="AN698">
        <f>1+COUNTIF(bounds,"&lt;"&amp;ROUND(AM698,12))</f>
        <v/>
      </c>
      <c r="AO698">
        <f>IF(AK698=1,AD698,NA())</f>
        <v/>
      </c>
      <c r="AP698">
        <f>IF(AK698=0,AD698,NA())</f>
        <v/>
      </c>
    </row>
    <row r="699">
      <c r="A699" t="n">
        <v>691</v>
      </c>
      <c r="B699" t="n">
        <v>1</v>
      </c>
      <c r="C699" t="n">
        <v>1</v>
      </c>
      <c r="D699" t="n">
        <v>1</v>
      </c>
      <c r="E699" t="n">
        <v>3</v>
      </c>
      <c r="F699" t="n">
        <v>5</v>
      </c>
      <c r="G699" t="n">
        <v>5</v>
      </c>
      <c r="H699" t="n">
        <v>3</v>
      </c>
      <c r="I699" t="n">
        <v>4</v>
      </c>
      <c r="J699" t="n">
        <v>1</v>
      </c>
      <c r="K699" t="n">
        <v>3</v>
      </c>
      <c r="L699" t="n">
        <v>2</v>
      </c>
      <c r="M699" t="n">
        <v>5</v>
      </c>
      <c r="N699" t="n">
        <v>4</v>
      </c>
      <c r="O699" t="n">
        <v>2</v>
      </c>
      <c r="P699" t="n">
        <v>2</v>
      </c>
      <c r="Q699" t="n">
        <v>5</v>
      </c>
      <c r="R699" t="n">
        <v>3</v>
      </c>
      <c r="S699" t="n">
        <v>5</v>
      </c>
      <c r="T699" t="n">
        <v>1</v>
      </c>
      <c r="U699" t="n">
        <v>4</v>
      </c>
      <c r="V699" t="n">
        <v>5</v>
      </c>
      <c r="W699">
        <f>(AVERAGE(B699:D699)-1)/4</f>
        <v/>
      </c>
      <c r="X699">
        <f>(AVERAGE(E699:G699)-1)/4</f>
        <v/>
      </c>
      <c r="Y699">
        <f>(AVERAGE(H699:J699)-1)/4</f>
        <v/>
      </c>
      <c r="Z699">
        <f>(AVERAGE(K699:M699)-1)/4</f>
        <v/>
      </c>
      <c r="AA699">
        <f>(AVERAGE(N699:P699)-1)/4</f>
        <v/>
      </c>
      <c r="AB699">
        <f>(AVERAGE(Q699:S699)-1)/4</f>
        <v/>
      </c>
      <c r="AC699">
        <f>(AVERAGE(T699:V699)-1)/4</f>
        <v/>
      </c>
      <c r="AD699">
        <f>AVERAGE(W699:AA699)</f>
        <v/>
      </c>
      <c r="AE699">
        <f>MIN(W699:AA699)</f>
        <v/>
      </c>
      <c r="AF699">
        <f>1-alpha*MAX(0,delta-AE699)</f>
        <v/>
      </c>
      <c r="AG699">
        <f>AD699*AF699</f>
        <v/>
      </c>
      <c r="AH699">
        <f>1+COUNTIF(bounds,"&lt;"&amp;ROUND(AD699,12))</f>
        <v/>
      </c>
      <c r="AI699">
        <f>1+COUNTIF(bounds,"&lt;"&amp;ROUND(AG699,12))</f>
        <v/>
      </c>
      <c r="AJ699">
        <f>IF(AF699&lt;1,1,0)</f>
        <v/>
      </c>
      <c r="AK699">
        <f>IF(AH699&lt;&gt;AI699,1,0)</f>
        <v/>
      </c>
      <c r="AL699">
        <f>IF(AND(AI699&gt;=3,AB699&lt;=0.2),1,0)</f>
        <v/>
      </c>
      <c r="AM699">
        <f>AVERAGE(W699:AB699)</f>
        <v/>
      </c>
      <c r="AN699">
        <f>1+COUNTIF(bounds,"&lt;"&amp;ROUND(AM699,12))</f>
        <v/>
      </c>
      <c r="AO699">
        <f>IF(AK699=1,AD699,NA())</f>
        <v/>
      </c>
      <c r="AP699">
        <f>IF(AK699=0,AD699,NA())</f>
        <v/>
      </c>
    </row>
    <row r="700">
      <c r="A700" t="n">
        <v>692</v>
      </c>
      <c r="B700" t="n">
        <v>1</v>
      </c>
      <c r="C700" t="n">
        <v>5</v>
      </c>
      <c r="D700" t="n">
        <v>4</v>
      </c>
      <c r="E700" t="n">
        <v>2</v>
      </c>
      <c r="F700" t="n">
        <v>4</v>
      </c>
      <c r="G700" t="n">
        <v>2</v>
      </c>
      <c r="H700" t="n">
        <v>3</v>
      </c>
      <c r="I700" t="n">
        <v>3</v>
      </c>
      <c r="J700" t="n">
        <v>3</v>
      </c>
      <c r="K700" t="n">
        <v>4</v>
      </c>
      <c r="L700" t="n">
        <v>5</v>
      </c>
      <c r="M700" t="n">
        <v>4</v>
      </c>
      <c r="N700" t="n">
        <v>3</v>
      </c>
      <c r="O700" t="n">
        <v>5</v>
      </c>
      <c r="P700" t="n">
        <v>3</v>
      </c>
      <c r="Q700" t="n">
        <v>3</v>
      </c>
      <c r="R700" t="n">
        <v>3</v>
      </c>
      <c r="S700" t="n">
        <v>3</v>
      </c>
      <c r="T700" t="n">
        <v>2</v>
      </c>
      <c r="U700" t="n">
        <v>2</v>
      </c>
      <c r="V700" t="n">
        <v>5</v>
      </c>
      <c r="W700">
        <f>(AVERAGE(B700:D700)-1)/4</f>
        <v/>
      </c>
      <c r="X700">
        <f>(AVERAGE(E700:G700)-1)/4</f>
        <v/>
      </c>
      <c r="Y700">
        <f>(AVERAGE(H700:J700)-1)/4</f>
        <v/>
      </c>
      <c r="Z700">
        <f>(AVERAGE(K700:M700)-1)/4</f>
        <v/>
      </c>
      <c r="AA700">
        <f>(AVERAGE(N700:P700)-1)/4</f>
        <v/>
      </c>
      <c r="AB700">
        <f>(AVERAGE(Q700:S700)-1)/4</f>
        <v/>
      </c>
      <c r="AC700">
        <f>(AVERAGE(T700:V700)-1)/4</f>
        <v/>
      </c>
      <c r="AD700">
        <f>AVERAGE(W700:AA700)</f>
        <v/>
      </c>
      <c r="AE700">
        <f>MIN(W700:AA700)</f>
        <v/>
      </c>
      <c r="AF700">
        <f>1-alpha*MAX(0,delta-AE700)</f>
        <v/>
      </c>
      <c r="AG700">
        <f>AD700*AF700</f>
        <v/>
      </c>
      <c r="AH700">
        <f>1+COUNTIF(bounds,"&lt;"&amp;ROUND(AD700,12))</f>
        <v/>
      </c>
      <c r="AI700">
        <f>1+COUNTIF(bounds,"&lt;"&amp;ROUND(AG700,12))</f>
        <v/>
      </c>
      <c r="AJ700">
        <f>IF(AF700&lt;1,1,0)</f>
        <v/>
      </c>
      <c r="AK700">
        <f>IF(AH700&lt;&gt;AI700,1,0)</f>
        <v/>
      </c>
      <c r="AL700">
        <f>IF(AND(AI700&gt;=3,AB700&lt;=0.2),1,0)</f>
        <v/>
      </c>
      <c r="AM700">
        <f>AVERAGE(W700:AB700)</f>
        <v/>
      </c>
      <c r="AN700">
        <f>1+COUNTIF(bounds,"&lt;"&amp;ROUND(AM700,12))</f>
        <v/>
      </c>
      <c r="AO700">
        <f>IF(AK700=1,AD700,NA())</f>
        <v/>
      </c>
      <c r="AP700">
        <f>IF(AK700=0,AD700,NA())</f>
        <v/>
      </c>
    </row>
    <row r="701">
      <c r="A701" t="n">
        <v>693</v>
      </c>
      <c r="B701" t="n">
        <v>3</v>
      </c>
      <c r="C701" t="n">
        <v>3</v>
      </c>
      <c r="D701" t="n">
        <v>5</v>
      </c>
      <c r="E701" t="n">
        <v>2</v>
      </c>
      <c r="F701" t="n">
        <v>2</v>
      </c>
      <c r="G701" t="n">
        <v>5</v>
      </c>
      <c r="H701" t="n">
        <v>2</v>
      </c>
      <c r="I701" t="n">
        <v>5</v>
      </c>
      <c r="J701" t="n">
        <v>2</v>
      </c>
      <c r="K701" t="n">
        <v>1</v>
      </c>
      <c r="L701" t="n">
        <v>4</v>
      </c>
      <c r="M701" t="n">
        <v>5</v>
      </c>
      <c r="N701" t="n">
        <v>3</v>
      </c>
      <c r="O701" t="n">
        <v>3</v>
      </c>
      <c r="P701" t="n">
        <v>4</v>
      </c>
      <c r="Q701" t="n">
        <v>2</v>
      </c>
      <c r="R701" t="n">
        <v>4</v>
      </c>
      <c r="S701" t="n">
        <v>4</v>
      </c>
      <c r="T701" t="n">
        <v>1</v>
      </c>
      <c r="U701" t="n">
        <v>3</v>
      </c>
      <c r="V701" t="n">
        <v>2</v>
      </c>
      <c r="W701">
        <f>(AVERAGE(B701:D701)-1)/4</f>
        <v/>
      </c>
      <c r="X701">
        <f>(AVERAGE(E701:G701)-1)/4</f>
        <v/>
      </c>
      <c r="Y701">
        <f>(AVERAGE(H701:J701)-1)/4</f>
        <v/>
      </c>
      <c r="Z701">
        <f>(AVERAGE(K701:M701)-1)/4</f>
        <v/>
      </c>
      <c r="AA701">
        <f>(AVERAGE(N701:P701)-1)/4</f>
        <v/>
      </c>
      <c r="AB701">
        <f>(AVERAGE(Q701:S701)-1)/4</f>
        <v/>
      </c>
      <c r="AC701">
        <f>(AVERAGE(T701:V701)-1)/4</f>
        <v/>
      </c>
      <c r="AD701">
        <f>AVERAGE(W701:AA701)</f>
        <v/>
      </c>
      <c r="AE701">
        <f>MIN(W701:AA701)</f>
        <v/>
      </c>
      <c r="AF701">
        <f>1-alpha*MAX(0,delta-AE701)</f>
        <v/>
      </c>
      <c r="AG701">
        <f>AD701*AF701</f>
        <v/>
      </c>
      <c r="AH701">
        <f>1+COUNTIF(bounds,"&lt;"&amp;ROUND(AD701,12))</f>
        <v/>
      </c>
      <c r="AI701">
        <f>1+COUNTIF(bounds,"&lt;"&amp;ROUND(AG701,12))</f>
        <v/>
      </c>
      <c r="AJ701">
        <f>IF(AF701&lt;1,1,0)</f>
        <v/>
      </c>
      <c r="AK701">
        <f>IF(AH701&lt;&gt;AI701,1,0)</f>
        <v/>
      </c>
      <c r="AL701">
        <f>IF(AND(AI701&gt;=3,AB701&lt;=0.2),1,0)</f>
        <v/>
      </c>
      <c r="AM701">
        <f>AVERAGE(W701:AB701)</f>
        <v/>
      </c>
      <c r="AN701">
        <f>1+COUNTIF(bounds,"&lt;"&amp;ROUND(AM701,12))</f>
        <v/>
      </c>
      <c r="AO701">
        <f>IF(AK701=1,AD701,NA())</f>
        <v/>
      </c>
      <c r="AP701">
        <f>IF(AK701=0,AD701,NA())</f>
        <v/>
      </c>
    </row>
    <row r="702">
      <c r="A702" t="n">
        <v>694</v>
      </c>
      <c r="B702" t="n">
        <v>2</v>
      </c>
      <c r="C702" t="n">
        <v>3</v>
      </c>
      <c r="D702" t="n">
        <v>1</v>
      </c>
      <c r="E702" t="n">
        <v>3</v>
      </c>
      <c r="F702" t="n">
        <v>1</v>
      </c>
      <c r="G702" t="n">
        <v>4</v>
      </c>
      <c r="H702" t="n">
        <v>4</v>
      </c>
      <c r="I702" t="n">
        <v>4</v>
      </c>
      <c r="J702" t="n">
        <v>3</v>
      </c>
      <c r="K702" t="n">
        <v>4</v>
      </c>
      <c r="L702" t="n">
        <v>3</v>
      </c>
      <c r="M702" t="n">
        <v>3</v>
      </c>
      <c r="N702" t="n">
        <v>1</v>
      </c>
      <c r="O702" t="n">
        <v>3</v>
      </c>
      <c r="P702" t="n">
        <v>4</v>
      </c>
      <c r="Q702" t="n">
        <v>5</v>
      </c>
      <c r="R702" t="n">
        <v>4</v>
      </c>
      <c r="S702" t="n">
        <v>4</v>
      </c>
      <c r="T702" t="n">
        <v>5</v>
      </c>
      <c r="U702" t="n">
        <v>1</v>
      </c>
      <c r="V702" t="n">
        <v>5</v>
      </c>
      <c r="W702">
        <f>(AVERAGE(B702:D702)-1)/4</f>
        <v/>
      </c>
      <c r="X702">
        <f>(AVERAGE(E702:G702)-1)/4</f>
        <v/>
      </c>
      <c r="Y702">
        <f>(AVERAGE(H702:J702)-1)/4</f>
        <v/>
      </c>
      <c r="Z702">
        <f>(AVERAGE(K702:M702)-1)/4</f>
        <v/>
      </c>
      <c r="AA702">
        <f>(AVERAGE(N702:P702)-1)/4</f>
        <v/>
      </c>
      <c r="AB702">
        <f>(AVERAGE(Q702:S702)-1)/4</f>
        <v/>
      </c>
      <c r="AC702">
        <f>(AVERAGE(T702:V702)-1)/4</f>
        <v/>
      </c>
      <c r="AD702">
        <f>AVERAGE(W702:AA702)</f>
        <v/>
      </c>
      <c r="AE702">
        <f>MIN(W702:AA702)</f>
        <v/>
      </c>
      <c r="AF702">
        <f>1-alpha*MAX(0,delta-AE702)</f>
        <v/>
      </c>
      <c r="AG702">
        <f>AD702*AF702</f>
        <v/>
      </c>
      <c r="AH702">
        <f>1+COUNTIF(bounds,"&lt;"&amp;ROUND(AD702,12))</f>
        <v/>
      </c>
      <c r="AI702">
        <f>1+COUNTIF(bounds,"&lt;"&amp;ROUND(AG702,12))</f>
        <v/>
      </c>
      <c r="AJ702">
        <f>IF(AF702&lt;1,1,0)</f>
        <v/>
      </c>
      <c r="AK702">
        <f>IF(AH702&lt;&gt;AI702,1,0)</f>
        <v/>
      </c>
      <c r="AL702">
        <f>IF(AND(AI702&gt;=3,AB702&lt;=0.2),1,0)</f>
        <v/>
      </c>
      <c r="AM702">
        <f>AVERAGE(W702:AB702)</f>
        <v/>
      </c>
      <c r="AN702">
        <f>1+COUNTIF(bounds,"&lt;"&amp;ROUND(AM702,12))</f>
        <v/>
      </c>
      <c r="AO702">
        <f>IF(AK702=1,AD702,NA())</f>
        <v/>
      </c>
      <c r="AP702">
        <f>IF(AK702=0,AD702,NA())</f>
        <v/>
      </c>
    </row>
    <row r="703">
      <c r="A703" t="n">
        <v>695</v>
      </c>
      <c r="B703" t="n">
        <v>1</v>
      </c>
      <c r="C703" t="n">
        <v>1</v>
      </c>
      <c r="D703" t="n">
        <v>3</v>
      </c>
      <c r="E703" t="n">
        <v>4</v>
      </c>
      <c r="F703" t="n">
        <v>2</v>
      </c>
      <c r="G703" t="n">
        <v>1</v>
      </c>
      <c r="H703" t="n">
        <v>3</v>
      </c>
      <c r="I703" t="n">
        <v>2</v>
      </c>
      <c r="J703" t="n">
        <v>4</v>
      </c>
      <c r="K703" t="n">
        <v>1</v>
      </c>
      <c r="L703" t="n">
        <v>1</v>
      </c>
      <c r="M703" t="n">
        <v>3</v>
      </c>
      <c r="N703" t="n">
        <v>1</v>
      </c>
      <c r="O703" t="n">
        <v>3</v>
      </c>
      <c r="P703" t="n">
        <v>2</v>
      </c>
      <c r="Q703" t="n">
        <v>2</v>
      </c>
      <c r="R703" t="n">
        <v>3</v>
      </c>
      <c r="S703" t="n">
        <v>2</v>
      </c>
      <c r="T703" t="n">
        <v>2</v>
      </c>
      <c r="U703" t="n">
        <v>1</v>
      </c>
      <c r="V703" t="n">
        <v>1</v>
      </c>
      <c r="W703">
        <f>(AVERAGE(B703:D703)-1)/4</f>
        <v/>
      </c>
      <c r="X703">
        <f>(AVERAGE(E703:G703)-1)/4</f>
        <v/>
      </c>
      <c r="Y703">
        <f>(AVERAGE(H703:J703)-1)/4</f>
        <v/>
      </c>
      <c r="Z703">
        <f>(AVERAGE(K703:M703)-1)/4</f>
        <v/>
      </c>
      <c r="AA703">
        <f>(AVERAGE(N703:P703)-1)/4</f>
        <v/>
      </c>
      <c r="AB703">
        <f>(AVERAGE(Q703:S703)-1)/4</f>
        <v/>
      </c>
      <c r="AC703">
        <f>(AVERAGE(T703:V703)-1)/4</f>
        <v/>
      </c>
      <c r="AD703">
        <f>AVERAGE(W703:AA703)</f>
        <v/>
      </c>
      <c r="AE703">
        <f>MIN(W703:AA703)</f>
        <v/>
      </c>
      <c r="AF703">
        <f>1-alpha*MAX(0,delta-AE703)</f>
        <v/>
      </c>
      <c r="AG703">
        <f>AD703*AF703</f>
        <v/>
      </c>
      <c r="AH703">
        <f>1+COUNTIF(bounds,"&lt;"&amp;ROUND(AD703,12))</f>
        <v/>
      </c>
      <c r="AI703">
        <f>1+COUNTIF(bounds,"&lt;"&amp;ROUND(AG703,12))</f>
        <v/>
      </c>
      <c r="AJ703">
        <f>IF(AF703&lt;1,1,0)</f>
        <v/>
      </c>
      <c r="AK703">
        <f>IF(AH703&lt;&gt;AI703,1,0)</f>
        <v/>
      </c>
      <c r="AL703">
        <f>IF(AND(AI703&gt;=3,AB703&lt;=0.2),1,0)</f>
        <v/>
      </c>
      <c r="AM703">
        <f>AVERAGE(W703:AB703)</f>
        <v/>
      </c>
      <c r="AN703">
        <f>1+COUNTIF(bounds,"&lt;"&amp;ROUND(AM703,12))</f>
        <v/>
      </c>
      <c r="AO703">
        <f>IF(AK703=1,AD703,NA())</f>
        <v/>
      </c>
      <c r="AP703">
        <f>IF(AK703=0,AD703,NA())</f>
        <v/>
      </c>
    </row>
    <row r="704">
      <c r="A704" t="n">
        <v>696</v>
      </c>
      <c r="B704" t="n">
        <v>3</v>
      </c>
      <c r="C704" t="n">
        <v>3</v>
      </c>
      <c r="D704" t="n">
        <v>4</v>
      </c>
      <c r="E704" t="n">
        <v>4</v>
      </c>
      <c r="F704" t="n">
        <v>2</v>
      </c>
      <c r="G704" t="n">
        <v>5</v>
      </c>
      <c r="H704" t="n">
        <v>1</v>
      </c>
      <c r="I704" t="n">
        <v>3</v>
      </c>
      <c r="J704" t="n">
        <v>1</v>
      </c>
      <c r="K704" t="n">
        <v>2</v>
      </c>
      <c r="L704" t="n">
        <v>5</v>
      </c>
      <c r="M704" t="n">
        <v>3</v>
      </c>
      <c r="N704" t="n">
        <v>2</v>
      </c>
      <c r="O704" t="n">
        <v>2</v>
      </c>
      <c r="P704" t="n">
        <v>1</v>
      </c>
      <c r="Q704" t="n">
        <v>5</v>
      </c>
      <c r="R704" t="n">
        <v>1</v>
      </c>
      <c r="S704" t="n">
        <v>3</v>
      </c>
      <c r="T704" t="n">
        <v>5</v>
      </c>
      <c r="U704" t="n">
        <v>2</v>
      </c>
      <c r="V704" t="n">
        <v>2</v>
      </c>
      <c r="W704">
        <f>(AVERAGE(B704:D704)-1)/4</f>
        <v/>
      </c>
      <c r="X704">
        <f>(AVERAGE(E704:G704)-1)/4</f>
        <v/>
      </c>
      <c r="Y704">
        <f>(AVERAGE(H704:J704)-1)/4</f>
        <v/>
      </c>
      <c r="Z704">
        <f>(AVERAGE(K704:M704)-1)/4</f>
        <v/>
      </c>
      <c r="AA704">
        <f>(AVERAGE(N704:P704)-1)/4</f>
        <v/>
      </c>
      <c r="AB704">
        <f>(AVERAGE(Q704:S704)-1)/4</f>
        <v/>
      </c>
      <c r="AC704">
        <f>(AVERAGE(T704:V704)-1)/4</f>
        <v/>
      </c>
      <c r="AD704">
        <f>AVERAGE(W704:AA704)</f>
        <v/>
      </c>
      <c r="AE704">
        <f>MIN(W704:AA704)</f>
        <v/>
      </c>
      <c r="AF704">
        <f>1-alpha*MAX(0,delta-AE704)</f>
        <v/>
      </c>
      <c r="AG704">
        <f>AD704*AF704</f>
        <v/>
      </c>
      <c r="AH704">
        <f>1+COUNTIF(bounds,"&lt;"&amp;ROUND(AD704,12))</f>
        <v/>
      </c>
      <c r="AI704">
        <f>1+COUNTIF(bounds,"&lt;"&amp;ROUND(AG704,12))</f>
        <v/>
      </c>
      <c r="AJ704">
        <f>IF(AF704&lt;1,1,0)</f>
        <v/>
      </c>
      <c r="AK704">
        <f>IF(AH704&lt;&gt;AI704,1,0)</f>
        <v/>
      </c>
      <c r="AL704">
        <f>IF(AND(AI704&gt;=3,AB704&lt;=0.2),1,0)</f>
        <v/>
      </c>
      <c r="AM704">
        <f>AVERAGE(W704:AB704)</f>
        <v/>
      </c>
      <c r="AN704">
        <f>1+COUNTIF(bounds,"&lt;"&amp;ROUND(AM704,12))</f>
        <v/>
      </c>
      <c r="AO704">
        <f>IF(AK704=1,AD704,NA())</f>
        <v/>
      </c>
      <c r="AP704">
        <f>IF(AK704=0,AD704,NA())</f>
        <v/>
      </c>
    </row>
    <row r="705">
      <c r="A705" t="n">
        <v>697</v>
      </c>
      <c r="B705" t="n">
        <v>1</v>
      </c>
      <c r="C705" t="n">
        <v>3</v>
      </c>
      <c r="D705" t="n">
        <v>5</v>
      </c>
      <c r="E705" t="n">
        <v>5</v>
      </c>
      <c r="F705" t="n">
        <v>2</v>
      </c>
      <c r="G705" t="n">
        <v>5</v>
      </c>
      <c r="H705" t="n">
        <v>5</v>
      </c>
      <c r="I705" t="n">
        <v>2</v>
      </c>
      <c r="J705" t="n">
        <v>3</v>
      </c>
      <c r="K705" t="n">
        <v>2</v>
      </c>
      <c r="L705" t="n">
        <v>1</v>
      </c>
      <c r="M705" t="n">
        <v>2</v>
      </c>
      <c r="N705" t="n">
        <v>3</v>
      </c>
      <c r="O705" t="n">
        <v>2</v>
      </c>
      <c r="P705" t="n">
        <v>4</v>
      </c>
      <c r="Q705" t="n">
        <v>1</v>
      </c>
      <c r="R705" t="n">
        <v>2</v>
      </c>
      <c r="S705" t="n">
        <v>3</v>
      </c>
      <c r="T705" t="n">
        <v>5</v>
      </c>
      <c r="U705" t="n">
        <v>3</v>
      </c>
      <c r="V705" t="n">
        <v>2</v>
      </c>
      <c r="W705">
        <f>(AVERAGE(B705:D705)-1)/4</f>
        <v/>
      </c>
      <c r="X705">
        <f>(AVERAGE(E705:G705)-1)/4</f>
        <v/>
      </c>
      <c r="Y705">
        <f>(AVERAGE(H705:J705)-1)/4</f>
        <v/>
      </c>
      <c r="Z705">
        <f>(AVERAGE(K705:M705)-1)/4</f>
        <v/>
      </c>
      <c r="AA705">
        <f>(AVERAGE(N705:P705)-1)/4</f>
        <v/>
      </c>
      <c r="AB705">
        <f>(AVERAGE(Q705:S705)-1)/4</f>
        <v/>
      </c>
      <c r="AC705">
        <f>(AVERAGE(T705:V705)-1)/4</f>
        <v/>
      </c>
      <c r="AD705">
        <f>AVERAGE(W705:AA705)</f>
        <v/>
      </c>
      <c r="AE705">
        <f>MIN(W705:AA705)</f>
        <v/>
      </c>
      <c r="AF705">
        <f>1-alpha*MAX(0,delta-AE705)</f>
        <v/>
      </c>
      <c r="AG705">
        <f>AD705*AF705</f>
        <v/>
      </c>
      <c r="AH705">
        <f>1+COUNTIF(bounds,"&lt;"&amp;ROUND(AD705,12))</f>
        <v/>
      </c>
      <c r="AI705">
        <f>1+COUNTIF(bounds,"&lt;"&amp;ROUND(AG705,12))</f>
        <v/>
      </c>
      <c r="AJ705">
        <f>IF(AF705&lt;1,1,0)</f>
        <v/>
      </c>
      <c r="AK705">
        <f>IF(AH705&lt;&gt;AI705,1,0)</f>
        <v/>
      </c>
      <c r="AL705">
        <f>IF(AND(AI705&gt;=3,AB705&lt;=0.2),1,0)</f>
        <v/>
      </c>
      <c r="AM705">
        <f>AVERAGE(W705:AB705)</f>
        <v/>
      </c>
      <c r="AN705">
        <f>1+COUNTIF(bounds,"&lt;"&amp;ROUND(AM705,12))</f>
        <v/>
      </c>
      <c r="AO705">
        <f>IF(AK705=1,AD705,NA())</f>
        <v/>
      </c>
      <c r="AP705">
        <f>IF(AK705=0,AD705,NA())</f>
        <v/>
      </c>
    </row>
    <row r="706">
      <c r="A706" t="n">
        <v>698</v>
      </c>
      <c r="B706" t="n">
        <v>4</v>
      </c>
      <c r="C706" t="n">
        <v>4</v>
      </c>
      <c r="D706" t="n">
        <v>3</v>
      </c>
      <c r="E706" t="n">
        <v>1</v>
      </c>
      <c r="F706" t="n">
        <v>2</v>
      </c>
      <c r="G706" t="n">
        <v>5</v>
      </c>
      <c r="H706" t="n">
        <v>1</v>
      </c>
      <c r="I706" t="n">
        <v>5</v>
      </c>
      <c r="J706" t="n">
        <v>2</v>
      </c>
      <c r="K706" t="n">
        <v>2</v>
      </c>
      <c r="L706" t="n">
        <v>2</v>
      </c>
      <c r="M706" t="n">
        <v>1</v>
      </c>
      <c r="N706" t="n">
        <v>2</v>
      </c>
      <c r="O706" t="n">
        <v>5</v>
      </c>
      <c r="P706" t="n">
        <v>3</v>
      </c>
      <c r="Q706" t="n">
        <v>1</v>
      </c>
      <c r="R706" t="n">
        <v>4</v>
      </c>
      <c r="S706" t="n">
        <v>1</v>
      </c>
      <c r="T706" t="n">
        <v>1</v>
      </c>
      <c r="U706" t="n">
        <v>3</v>
      </c>
      <c r="V706" t="n">
        <v>1</v>
      </c>
      <c r="W706">
        <f>(AVERAGE(B706:D706)-1)/4</f>
        <v/>
      </c>
      <c r="X706">
        <f>(AVERAGE(E706:G706)-1)/4</f>
        <v/>
      </c>
      <c r="Y706">
        <f>(AVERAGE(H706:J706)-1)/4</f>
        <v/>
      </c>
      <c r="Z706">
        <f>(AVERAGE(K706:M706)-1)/4</f>
        <v/>
      </c>
      <c r="AA706">
        <f>(AVERAGE(N706:P706)-1)/4</f>
        <v/>
      </c>
      <c r="AB706">
        <f>(AVERAGE(Q706:S706)-1)/4</f>
        <v/>
      </c>
      <c r="AC706">
        <f>(AVERAGE(T706:V706)-1)/4</f>
        <v/>
      </c>
      <c r="AD706">
        <f>AVERAGE(W706:AA706)</f>
        <v/>
      </c>
      <c r="AE706">
        <f>MIN(W706:AA706)</f>
        <v/>
      </c>
      <c r="AF706">
        <f>1-alpha*MAX(0,delta-AE706)</f>
        <v/>
      </c>
      <c r="AG706">
        <f>AD706*AF706</f>
        <v/>
      </c>
      <c r="AH706">
        <f>1+COUNTIF(bounds,"&lt;"&amp;ROUND(AD706,12))</f>
        <v/>
      </c>
      <c r="AI706">
        <f>1+COUNTIF(bounds,"&lt;"&amp;ROUND(AG706,12))</f>
        <v/>
      </c>
      <c r="AJ706">
        <f>IF(AF706&lt;1,1,0)</f>
        <v/>
      </c>
      <c r="AK706">
        <f>IF(AH706&lt;&gt;AI706,1,0)</f>
        <v/>
      </c>
      <c r="AL706">
        <f>IF(AND(AI706&gt;=3,AB706&lt;=0.2),1,0)</f>
        <v/>
      </c>
      <c r="AM706">
        <f>AVERAGE(W706:AB706)</f>
        <v/>
      </c>
      <c r="AN706">
        <f>1+COUNTIF(bounds,"&lt;"&amp;ROUND(AM706,12))</f>
        <v/>
      </c>
      <c r="AO706">
        <f>IF(AK706=1,AD706,NA())</f>
        <v/>
      </c>
      <c r="AP706">
        <f>IF(AK706=0,AD706,NA())</f>
        <v/>
      </c>
    </row>
    <row r="707">
      <c r="A707" t="n">
        <v>699</v>
      </c>
      <c r="B707" t="n">
        <v>1</v>
      </c>
      <c r="C707" t="n">
        <v>5</v>
      </c>
      <c r="D707" t="n">
        <v>2</v>
      </c>
      <c r="E707" t="n">
        <v>2</v>
      </c>
      <c r="F707" t="n">
        <v>4</v>
      </c>
      <c r="G707" t="n">
        <v>3</v>
      </c>
      <c r="H707" t="n">
        <v>2</v>
      </c>
      <c r="I707" t="n">
        <v>5</v>
      </c>
      <c r="J707" t="n">
        <v>3</v>
      </c>
      <c r="K707" t="n">
        <v>3</v>
      </c>
      <c r="L707" t="n">
        <v>3</v>
      </c>
      <c r="M707" t="n">
        <v>4</v>
      </c>
      <c r="N707" t="n">
        <v>5</v>
      </c>
      <c r="O707" t="n">
        <v>3</v>
      </c>
      <c r="P707" t="n">
        <v>3</v>
      </c>
      <c r="Q707" t="n">
        <v>2</v>
      </c>
      <c r="R707" t="n">
        <v>4</v>
      </c>
      <c r="S707" t="n">
        <v>5</v>
      </c>
      <c r="T707" t="n">
        <v>4</v>
      </c>
      <c r="U707" t="n">
        <v>5</v>
      </c>
      <c r="V707" t="n">
        <v>4</v>
      </c>
      <c r="W707">
        <f>(AVERAGE(B707:D707)-1)/4</f>
        <v/>
      </c>
      <c r="X707">
        <f>(AVERAGE(E707:G707)-1)/4</f>
        <v/>
      </c>
      <c r="Y707">
        <f>(AVERAGE(H707:J707)-1)/4</f>
        <v/>
      </c>
      <c r="Z707">
        <f>(AVERAGE(K707:M707)-1)/4</f>
        <v/>
      </c>
      <c r="AA707">
        <f>(AVERAGE(N707:P707)-1)/4</f>
        <v/>
      </c>
      <c r="AB707">
        <f>(AVERAGE(Q707:S707)-1)/4</f>
        <v/>
      </c>
      <c r="AC707">
        <f>(AVERAGE(T707:V707)-1)/4</f>
        <v/>
      </c>
      <c r="AD707">
        <f>AVERAGE(W707:AA707)</f>
        <v/>
      </c>
      <c r="AE707">
        <f>MIN(W707:AA707)</f>
        <v/>
      </c>
      <c r="AF707">
        <f>1-alpha*MAX(0,delta-AE707)</f>
        <v/>
      </c>
      <c r="AG707">
        <f>AD707*AF707</f>
        <v/>
      </c>
      <c r="AH707">
        <f>1+COUNTIF(bounds,"&lt;"&amp;ROUND(AD707,12))</f>
        <v/>
      </c>
      <c r="AI707">
        <f>1+COUNTIF(bounds,"&lt;"&amp;ROUND(AG707,12))</f>
        <v/>
      </c>
      <c r="AJ707">
        <f>IF(AF707&lt;1,1,0)</f>
        <v/>
      </c>
      <c r="AK707">
        <f>IF(AH707&lt;&gt;AI707,1,0)</f>
        <v/>
      </c>
      <c r="AL707">
        <f>IF(AND(AI707&gt;=3,AB707&lt;=0.2),1,0)</f>
        <v/>
      </c>
      <c r="AM707">
        <f>AVERAGE(W707:AB707)</f>
        <v/>
      </c>
      <c r="AN707">
        <f>1+COUNTIF(bounds,"&lt;"&amp;ROUND(AM707,12))</f>
        <v/>
      </c>
      <c r="AO707">
        <f>IF(AK707=1,AD707,NA())</f>
        <v/>
      </c>
      <c r="AP707">
        <f>IF(AK707=0,AD707,NA())</f>
        <v/>
      </c>
    </row>
    <row r="708">
      <c r="A708" t="n">
        <v>700</v>
      </c>
      <c r="B708" t="n">
        <v>1</v>
      </c>
      <c r="C708" t="n">
        <v>3</v>
      </c>
      <c r="D708" t="n">
        <v>1</v>
      </c>
      <c r="E708" t="n">
        <v>5</v>
      </c>
      <c r="F708" t="n">
        <v>1</v>
      </c>
      <c r="G708" t="n">
        <v>2</v>
      </c>
      <c r="H708" t="n">
        <v>2</v>
      </c>
      <c r="I708" t="n">
        <v>3</v>
      </c>
      <c r="J708" t="n">
        <v>1</v>
      </c>
      <c r="K708" t="n">
        <v>5</v>
      </c>
      <c r="L708" t="n">
        <v>5</v>
      </c>
      <c r="M708" t="n">
        <v>2</v>
      </c>
      <c r="N708" t="n">
        <v>1</v>
      </c>
      <c r="O708" t="n">
        <v>3</v>
      </c>
      <c r="P708" t="n">
        <v>1</v>
      </c>
      <c r="Q708" t="n">
        <v>4</v>
      </c>
      <c r="R708" t="n">
        <v>2</v>
      </c>
      <c r="S708" t="n">
        <v>4</v>
      </c>
      <c r="T708" t="n">
        <v>5</v>
      </c>
      <c r="U708" t="n">
        <v>1</v>
      </c>
      <c r="V708" t="n">
        <v>1</v>
      </c>
      <c r="W708">
        <f>(AVERAGE(B708:D708)-1)/4</f>
        <v/>
      </c>
      <c r="X708">
        <f>(AVERAGE(E708:G708)-1)/4</f>
        <v/>
      </c>
      <c r="Y708">
        <f>(AVERAGE(H708:J708)-1)/4</f>
        <v/>
      </c>
      <c r="Z708">
        <f>(AVERAGE(K708:M708)-1)/4</f>
        <v/>
      </c>
      <c r="AA708">
        <f>(AVERAGE(N708:P708)-1)/4</f>
        <v/>
      </c>
      <c r="AB708">
        <f>(AVERAGE(Q708:S708)-1)/4</f>
        <v/>
      </c>
      <c r="AC708">
        <f>(AVERAGE(T708:V708)-1)/4</f>
        <v/>
      </c>
      <c r="AD708">
        <f>AVERAGE(W708:AA708)</f>
        <v/>
      </c>
      <c r="AE708">
        <f>MIN(W708:AA708)</f>
        <v/>
      </c>
      <c r="AF708">
        <f>1-alpha*MAX(0,delta-AE708)</f>
        <v/>
      </c>
      <c r="AG708">
        <f>AD708*AF708</f>
        <v/>
      </c>
      <c r="AH708">
        <f>1+COUNTIF(bounds,"&lt;"&amp;ROUND(AD708,12))</f>
        <v/>
      </c>
      <c r="AI708">
        <f>1+COUNTIF(bounds,"&lt;"&amp;ROUND(AG708,12))</f>
        <v/>
      </c>
      <c r="AJ708">
        <f>IF(AF708&lt;1,1,0)</f>
        <v/>
      </c>
      <c r="AK708">
        <f>IF(AH708&lt;&gt;AI708,1,0)</f>
        <v/>
      </c>
      <c r="AL708">
        <f>IF(AND(AI708&gt;=3,AB708&lt;=0.2),1,0)</f>
        <v/>
      </c>
      <c r="AM708">
        <f>AVERAGE(W708:AB708)</f>
        <v/>
      </c>
      <c r="AN708">
        <f>1+COUNTIF(bounds,"&lt;"&amp;ROUND(AM708,12))</f>
        <v/>
      </c>
      <c r="AO708">
        <f>IF(AK708=1,AD708,NA())</f>
        <v/>
      </c>
      <c r="AP708">
        <f>IF(AK708=0,AD708,NA())</f>
        <v/>
      </c>
    </row>
    <row r="709">
      <c r="A709" t="n">
        <v>701</v>
      </c>
      <c r="B709" t="n">
        <v>2</v>
      </c>
      <c r="C709" t="n">
        <v>3</v>
      </c>
      <c r="D709" t="n">
        <v>1</v>
      </c>
      <c r="E709" t="n">
        <v>5</v>
      </c>
      <c r="F709" t="n">
        <v>5</v>
      </c>
      <c r="G709" t="n">
        <v>2</v>
      </c>
      <c r="H709" t="n">
        <v>3</v>
      </c>
      <c r="I709" t="n">
        <v>2</v>
      </c>
      <c r="J709" t="n">
        <v>3</v>
      </c>
      <c r="K709" t="n">
        <v>1</v>
      </c>
      <c r="L709" t="n">
        <v>4</v>
      </c>
      <c r="M709" t="n">
        <v>2</v>
      </c>
      <c r="N709" t="n">
        <v>5</v>
      </c>
      <c r="O709" t="n">
        <v>3</v>
      </c>
      <c r="P709" t="n">
        <v>5</v>
      </c>
      <c r="Q709" t="n">
        <v>1</v>
      </c>
      <c r="R709" t="n">
        <v>2</v>
      </c>
      <c r="S709" t="n">
        <v>2</v>
      </c>
      <c r="T709" t="n">
        <v>2</v>
      </c>
      <c r="U709" t="n">
        <v>2</v>
      </c>
      <c r="V709" t="n">
        <v>1</v>
      </c>
      <c r="W709">
        <f>(AVERAGE(B709:D709)-1)/4</f>
        <v/>
      </c>
      <c r="X709">
        <f>(AVERAGE(E709:G709)-1)/4</f>
        <v/>
      </c>
      <c r="Y709">
        <f>(AVERAGE(H709:J709)-1)/4</f>
        <v/>
      </c>
      <c r="Z709">
        <f>(AVERAGE(K709:M709)-1)/4</f>
        <v/>
      </c>
      <c r="AA709">
        <f>(AVERAGE(N709:P709)-1)/4</f>
        <v/>
      </c>
      <c r="AB709">
        <f>(AVERAGE(Q709:S709)-1)/4</f>
        <v/>
      </c>
      <c r="AC709">
        <f>(AVERAGE(T709:V709)-1)/4</f>
        <v/>
      </c>
      <c r="AD709">
        <f>AVERAGE(W709:AA709)</f>
        <v/>
      </c>
      <c r="AE709">
        <f>MIN(W709:AA709)</f>
        <v/>
      </c>
      <c r="AF709">
        <f>1-alpha*MAX(0,delta-AE709)</f>
        <v/>
      </c>
      <c r="AG709">
        <f>AD709*AF709</f>
        <v/>
      </c>
      <c r="AH709">
        <f>1+COUNTIF(bounds,"&lt;"&amp;ROUND(AD709,12))</f>
        <v/>
      </c>
      <c r="AI709">
        <f>1+COUNTIF(bounds,"&lt;"&amp;ROUND(AG709,12))</f>
        <v/>
      </c>
      <c r="AJ709">
        <f>IF(AF709&lt;1,1,0)</f>
        <v/>
      </c>
      <c r="AK709">
        <f>IF(AH709&lt;&gt;AI709,1,0)</f>
        <v/>
      </c>
      <c r="AL709">
        <f>IF(AND(AI709&gt;=3,AB709&lt;=0.2),1,0)</f>
        <v/>
      </c>
      <c r="AM709">
        <f>AVERAGE(W709:AB709)</f>
        <v/>
      </c>
      <c r="AN709">
        <f>1+COUNTIF(bounds,"&lt;"&amp;ROUND(AM709,12))</f>
        <v/>
      </c>
      <c r="AO709">
        <f>IF(AK709=1,AD709,NA())</f>
        <v/>
      </c>
      <c r="AP709">
        <f>IF(AK709=0,AD709,NA())</f>
        <v/>
      </c>
    </row>
    <row r="710">
      <c r="A710" t="n">
        <v>702</v>
      </c>
      <c r="B710" t="n">
        <v>5</v>
      </c>
      <c r="C710" t="n">
        <v>2</v>
      </c>
      <c r="D710" t="n">
        <v>3</v>
      </c>
      <c r="E710" t="n">
        <v>5</v>
      </c>
      <c r="F710" t="n">
        <v>5</v>
      </c>
      <c r="G710" t="n">
        <v>5</v>
      </c>
      <c r="H710" t="n">
        <v>4</v>
      </c>
      <c r="I710" t="n">
        <v>5</v>
      </c>
      <c r="J710" t="n">
        <v>1</v>
      </c>
      <c r="K710" t="n">
        <v>1</v>
      </c>
      <c r="L710" t="n">
        <v>4</v>
      </c>
      <c r="M710" t="n">
        <v>4</v>
      </c>
      <c r="N710" t="n">
        <v>2</v>
      </c>
      <c r="O710" t="n">
        <v>4</v>
      </c>
      <c r="P710" t="n">
        <v>4</v>
      </c>
      <c r="Q710" t="n">
        <v>2</v>
      </c>
      <c r="R710" t="n">
        <v>3</v>
      </c>
      <c r="S710" t="n">
        <v>5</v>
      </c>
      <c r="T710" t="n">
        <v>3</v>
      </c>
      <c r="U710" t="n">
        <v>2</v>
      </c>
      <c r="V710" t="n">
        <v>5</v>
      </c>
      <c r="W710">
        <f>(AVERAGE(B710:D710)-1)/4</f>
        <v/>
      </c>
      <c r="X710">
        <f>(AVERAGE(E710:G710)-1)/4</f>
        <v/>
      </c>
      <c r="Y710">
        <f>(AVERAGE(H710:J710)-1)/4</f>
        <v/>
      </c>
      <c r="Z710">
        <f>(AVERAGE(K710:M710)-1)/4</f>
        <v/>
      </c>
      <c r="AA710">
        <f>(AVERAGE(N710:P710)-1)/4</f>
        <v/>
      </c>
      <c r="AB710">
        <f>(AVERAGE(Q710:S710)-1)/4</f>
        <v/>
      </c>
      <c r="AC710">
        <f>(AVERAGE(T710:V710)-1)/4</f>
        <v/>
      </c>
      <c r="AD710">
        <f>AVERAGE(W710:AA710)</f>
        <v/>
      </c>
      <c r="AE710">
        <f>MIN(W710:AA710)</f>
        <v/>
      </c>
      <c r="AF710">
        <f>1-alpha*MAX(0,delta-AE710)</f>
        <v/>
      </c>
      <c r="AG710">
        <f>AD710*AF710</f>
        <v/>
      </c>
      <c r="AH710">
        <f>1+COUNTIF(bounds,"&lt;"&amp;ROUND(AD710,12))</f>
        <v/>
      </c>
      <c r="AI710">
        <f>1+COUNTIF(bounds,"&lt;"&amp;ROUND(AG710,12))</f>
        <v/>
      </c>
      <c r="AJ710">
        <f>IF(AF710&lt;1,1,0)</f>
        <v/>
      </c>
      <c r="AK710">
        <f>IF(AH710&lt;&gt;AI710,1,0)</f>
        <v/>
      </c>
      <c r="AL710">
        <f>IF(AND(AI710&gt;=3,AB710&lt;=0.2),1,0)</f>
        <v/>
      </c>
      <c r="AM710">
        <f>AVERAGE(W710:AB710)</f>
        <v/>
      </c>
      <c r="AN710">
        <f>1+COUNTIF(bounds,"&lt;"&amp;ROUND(AM710,12))</f>
        <v/>
      </c>
      <c r="AO710">
        <f>IF(AK710=1,AD710,NA())</f>
        <v/>
      </c>
      <c r="AP710">
        <f>IF(AK710=0,AD710,NA())</f>
        <v/>
      </c>
    </row>
    <row r="711">
      <c r="A711" t="n">
        <v>703</v>
      </c>
      <c r="B711" t="n">
        <v>4</v>
      </c>
      <c r="C711" t="n">
        <v>3</v>
      </c>
      <c r="D711" t="n">
        <v>5</v>
      </c>
      <c r="E711" t="n">
        <v>3</v>
      </c>
      <c r="F711" t="n">
        <v>5</v>
      </c>
      <c r="G711" t="n">
        <v>1</v>
      </c>
      <c r="H711" t="n">
        <v>4</v>
      </c>
      <c r="I711" t="n">
        <v>1</v>
      </c>
      <c r="J711" t="n">
        <v>4</v>
      </c>
      <c r="K711" t="n">
        <v>1</v>
      </c>
      <c r="L711" t="n">
        <v>1</v>
      </c>
      <c r="M711" t="n">
        <v>1</v>
      </c>
      <c r="N711" t="n">
        <v>2</v>
      </c>
      <c r="O711" t="n">
        <v>4</v>
      </c>
      <c r="P711" t="n">
        <v>4</v>
      </c>
      <c r="Q711" t="n">
        <v>5</v>
      </c>
      <c r="R711" t="n">
        <v>2</v>
      </c>
      <c r="S711" t="n">
        <v>1</v>
      </c>
      <c r="T711" t="n">
        <v>3</v>
      </c>
      <c r="U711" t="n">
        <v>3</v>
      </c>
      <c r="V711" t="n">
        <v>5</v>
      </c>
      <c r="W711">
        <f>(AVERAGE(B711:D711)-1)/4</f>
        <v/>
      </c>
      <c r="X711">
        <f>(AVERAGE(E711:G711)-1)/4</f>
        <v/>
      </c>
      <c r="Y711">
        <f>(AVERAGE(H711:J711)-1)/4</f>
        <v/>
      </c>
      <c r="Z711">
        <f>(AVERAGE(K711:M711)-1)/4</f>
        <v/>
      </c>
      <c r="AA711">
        <f>(AVERAGE(N711:P711)-1)/4</f>
        <v/>
      </c>
      <c r="AB711">
        <f>(AVERAGE(Q711:S711)-1)/4</f>
        <v/>
      </c>
      <c r="AC711">
        <f>(AVERAGE(T711:V711)-1)/4</f>
        <v/>
      </c>
      <c r="AD711">
        <f>AVERAGE(W711:AA711)</f>
        <v/>
      </c>
      <c r="AE711">
        <f>MIN(W711:AA711)</f>
        <v/>
      </c>
      <c r="AF711">
        <f>1-alpha*MAX(0,delta-AE711)</f>
        <v/>
      </c>
      <c r="AG711">
        <f>AD711*AF711</f>
        <v/>
      </c>
      <c r="AH711">
        <f>1+COUNTIF(bounds,"&lt;"&amp;ROUND(AD711,12))</f>
        <v/>
      </c>
      <c r="AI711">
        <f>1+COUNTIF(bounds,"&lt;"&amp;ROUND(AG711,12))</f>
        <v/>
      </c>
      <c r="AJ711">
        <f>IF(AF711&lt;1,1,0)</f>
        <v/>
      </c>
      <c r="AK711">
        <f>IF(AH711&lt;&gt;AI711,1,0)</f>
        <v/>
      </c>
      <c r="AL711">
        <f>IF(AND(AI711&gt;=3,AB711&lt;=0.2),1,0)</f>
        <v/>
      </c>
      <c r="AM711">
        <f>AVERAGE(W711:AB711)</f>
        <v/>
      </c>
      <c r="AN711">
        <f>1+COUNTIF(bounds,"&lt;"&amp;ROUND(AM711,12))</f>
        <v/>
      </c>
      <c r="AO711">
        <f>IF(AK711=1,AD711,NA())</f>
        <v/>
      </c>
      <c r="AP711">
        <f>IF(AK711=0,AD711,NA())</f>
        <v/>
      </c>
    </row>
    <row r="712">
      <c r="A712" t="n">
        <v>704</v>
      </c>
      <c r="B712" t="n">
        <v>4</v>
      </c>
      <c r="C712" t="n">
        <v>4</v>
      </c>
      <c r="D712" t="n">
        <v>3</v>
      </c>
      <c r="E712" t="n">
        <v>2</v>
      </c>
      <c r="F712" t="n">
        <v>5</v>
      </c>
      <c r="G712" t="n">
        <v>2</v>
      </c>
      <c r="H712" t="n">
        <v>3</v>
      </c>
      <c r="I712" t="n">
        <v>2</v>
      </c>
      <c r="J712" t="n">
        <v>3</v>
      </c>
      <c r="K712" t="n">
        <v>4</v>
      </c>
      <c r="L712" t="n">
        <v>5</v>
      </c>
      <c r="M712" t="n">
        <v>5</v>
      </c>
      <c r="N712" t="n">
        <v>1</v>
      </c>
      <c r="O712" t="n">
        <v>3</v>
      </c>
      <c r="P712" t="n">
        <v>3</v>
      </c>
      <c r="Q712" t="n">
        <v>5</v>
      </c>
      <c r="R712" t="n">
        <v>4</v>
      </c>
      <c r="S712" t="n">
        <v>2</v>
      </c>
      <c r="T712" t="n">
        <v>5</v>
      </c>
      <c r="U712" t="n">
        <v>3</v>
      </c>
      <c r="V712" t="n">
        <v>5</v>
      </c>
      <c r="W712">
        <f>(AVERAGE(B712:D712)-1)/4</f>
        <v/>
      </c>
      <c r="X712">
        <f>(AVERAGE(E712:G712)-1)/4</f>
        <v/>
      </c>
      <c r="Y712">
        <f>(AVERAGE(H712:J712)-1)/4</f>
        <v/>
      </c>
      <c r="Z712">
        <f>(AVERAGE(K712:M712)-1)/4</f>
        <v/>
      </c>
      <c r="AA712">
        <f>(AVERAGE(N712:P712)-1)/4</f>
        <v/>
      </c>
      <c r="AB712">
        <f>(AVERAGE(Q712:S712)-1)/4</f>
        <v/>
      </c>
      <c r="AC712">
        <f>(AVERAGE(T712:V712)-1)/4</f>
        <v/>
      </c>
      <c r="AD712">
        <f>AVERAGE(W712:AA712)</f>
        <v/>
      </c>
      <c r="AE712">
        <f>MIN(W712:AA712)</f>
        <v/>
      </c>
      <c r="AF712">
        <f>1-alpha*MAX(0,delta-AE712)</f>
        <v/>
      </c>
      <c r="AG712">
        <f>AD712*AF712</f>
        <v/>
      </c>
      <c r="AH712">
        <f>1+COUNTIF(bounds,"&lt;"&amp;ROUND(AD712,12))</f>
        <v/>
      </c>
      <c r="AI712">
        <f>1+COUNTIF(bounds,"&lt;"&amp;ROUND(AG712,12))</f>
        <v/>
      </c>
      <c r="AJ712">
        <f>IF(AF712&lt;1,1,0)</f>
        <v/>
      </c>
      <c r="AK712">
        <f>IF(AH712&lt;&gt;AI712,1,0)</f>
        <v/>
      </c>
      <c r="AL712">
        <f>IF(AND(AI712&gt;=3,AB712&lt;=0.2),1,0)</f>
        <v/>
      </c>
      <c r="AM712">
        <f>AVERAGE(W712:AB712)</f>
        <v/>
      </c>
      <c r="AN712">
        <f>1+COUNTIF(bounds,"&lt;"&amp;ROUND(AM712,12))</f>
        <v/>
      </c>
      <c r="AO712">
        <f>IF(AK712=1,AD712,NA())</f>
        <v/>
      </c>
      <c r="AP712">
        <f>IF(AK712=0,AD712,NA())</f>
        <v/>
      </c>
    </row>
    <row r="713">
      <c r="A713" t="n">
        <v>705</v>
      </c>
      <c r="B713" t="n">
        <v>4</v>
      </c>
      <c r="C713" t="n">
        <v>1</v>
      </c>
      <c r="D713" t="n">
        <v>5</v>
      </c>
      <c r="E713" t="n">
        <v>3</v>
      </c>
      <c r="F713" t="n">
        <v>4</v>
      </c>
      <c r="G713" t="n">
        <v>4</v>
      </c>
      <c r="H713" t="n">
        <v>5</v>
      </c>
      <c r="I713" t="n">
        <v>1</v>
      </c>
      <c r="J713" t="n">
        <v>2</v>
      </c>
      <c r="K713" t="n">
        <v>4</v>
      </c>
      <c r="L713" t="n">
        <v>3</v>
      </c>
      <c r="M713" t="n">
        <v>5</v>
      </c>
      <c r="N713" t="n">
        <v>2</v>
      </c>
      <c r="O713" t="n">
        <v>3</v>
      </c>
      <c r="P713" t="n">
        <v>5</v>
      </c>
      <c r="Q713" t="n">
        <v>5</v>
      </c>
      <c r="R713" t="n">
        <v>3</v>
      </c>
      <c r="S713" t="n">
        <v>3</v>
      </c>
      <c r="T713" t="n">
        <v>1</v>
      </c>
      <c r="U713" t="n">
        <v>2</v>
      </c>
      <c r="V713" t="n">
        <v>4</v>
      </c>
      <c r="W713">
        <f>(AVERAGE(B713:D713)-1)/4</f>
        <v/>
      </c>
      <c r="X713">
        <f>(AVERAGE(E713:G713)-1)/4</f>
        <v/>
      </c>
      <c r="Y713">
        <f>(AVERAGE(H713:J713)-1)/4</f>
        <v/>
      </c>
      <c r="Z713">
        <f>(AVERAGE(K713:M713)-1)/4</f>
        <v/>
      </c>
      <c r="AA713">
        <f>(AVERAGE(N713:P713)-1)/4</f>
        <v/>
      </c>
      <c r="AB713">
        <f>(AVERAGE(Q713:S713)-1)/4</f>
        <v/>
      </c>
      <c r="AC713">
        <f>(AVERAGE(T713:V713)-1)/4</f>
        <v/>
      </c>
      <c r="AD713">
        <f>AVERAGE(W713:AA713)</f>
        <v/>
      </c>
      <c r="AE713">
        <f>MIN(W713:AA713)</f>
        <v/>
      </c>
      <c r="AF713">
        <f>1-alpha*MAX(0,delta-AE713)</f>
        <v/>
      </c>
      <c r="AG713">
        <f>AD713*AF713</f>
        <v/>
      </c>
      <c r="AH713">
        <f>1+COUNTIF(bounds,"&lt;"&amp;ROUND(AD713,12))</f>
        <v/>
      </c>
      <c r="AI713">
        <f>1+COUNTIF(bounds,"&lt;"&amp;ROUND(AG713,12))</f>
        <v/>
      </c>
      <c r="AJ713">
        <f>IF(AF713&lt;1,1,0)</f>
        <v/>
      </c>
      <c r="AK713">
        <f>IF(AH713&lt;&gt;AI713,1,0)</f>
        <v/>
      </c>
      <c r="AL713">
        <f>IF(AND(AI713&gt;=3,AB713&lt;=0.2),1,0)</f>
        <v/>
      </c>
      <c r="AM713">
        <f>AVERAGE(W713:AB713)</f>
        <v/>
      </c>
      <c r="AN713">
        <f>1+COUNTIF(bounds,"&lt;"&amp;ROUND(AM713,12))</f>
        <v/>
      </c>
      <c r="AO713">
        <f>IF(AK713=1,AD713,NA())</f>
        <v/>
      </c>
      <c r="AP713">
        <f>IF(AK713=0,AD713,NA())</f>
        <v/>
      </c>
    </row>
    <row r="714">
      <c r="A714" t="n">
        <v>706</v>
      </c>
      <c r="B714" t="n">
        <v>2</v>
      </c>
      <c r="C714" t="n">
        <v>1</v>
      </c>
      <c r="D714" t="n">
        <v>2</v>
      </c>
      <c r="E714" t="n">
        <v>5</v>
      </c>
      <c r="F714" t="n">
        <v>1</v>
      </c>
      <c r="G714" t="n">
        <v>4</v>
      </c>
      <c r="H714" t="n">
        <v>4</v>
      </c>
      <c r="I714" t="n">
        <v>1</v>
      </c>
      <c r="J714" t="n">
        <v>4</v>
      </c>
      <c r="K714" t="n">
        <v>2</v>
      </c>
      <c r="L714" t="n">
        <v>1</v>
      </c>
      <c r="M714" t="n">
        <v>3</v>
      </c>
      <c r="N714" t="n">
        <v>4</v>
      </c>
      <c r="O714" t="n">
        <v>5</v>
      </c>
      <c r="P714" t="n">
        <v>3</v>
      </c>
      <c r="Q714" t="n">
        <v>1</v>
      </c>
      <c r="R714" t="n">
        <v>5</v>
      </c>
      <c r="S714" t="n">
        <v>1</v>
      </c>
      <c r="T714" t="n">
        <v>1</v>
      </c>
      <c r="U714" t="n">
        <v>1</v>
      </c>
      <c r="V714" t="n">
        <v>3</v>
      </c>
      <c r="W714">
        <f>(AVERAGE(B714:D714)-1)/4</f>
        <v/>
      </c>
      <c r="X714">
        <f>(AVERAGE(E714:G714)-1)/4</f>
        <v/>
      </c>
      <c r="Y714">
        <f>(AVERAGE(H714:J714)-1)/4</f>
        <v/>
      </c>
      <c r="Z714">
        <f>(AVERAGE(K714:M714)-1)/4</f>
        <v/>
      </c>
      <c r="AA714">
        <f>(AVERAGE(N714:P714)-1)/4</f>
        <v/>
      </c>
      <c r="AB714">
        <f>(AVERAGE(Q714:S714)-1)/4</f>
        <v/>
      </c>
      <c r="AC714">
        <f>(AVERAGE(T714:V714)-1)/4</f>
        <v/>
      </c>
      <c r="AD714">
        <f>AVERAGE(W714:AA714)</f>
        <v/>
      </c>
      <c r="AE714">
        <f>MIN(W714:AA714)</f>
        <v/>
      </c>
      <c r="AF714">
        <f>1-alpha*MAX(0,delta-AE714)</f>
        <v/>
      </c>
      <c r="AG714">
        <f>AD714*AF714</f>
        <v/>
      </c>
      <c r="AH714">
        <f>1+COUNTIF(bounds,"&lt;"&amp;ROUND(AD714,12))</f>
        <v/>
      </c>
      <c r="AI714">
        <f>1+COUNTIF(bounds,"&lt;"&amp;ROUND(AG714,12))</f>
        <v/>
      </c>
      <c r="AJ714">
        <f>IF(AF714&lt;1,1,0)</f>
        <v/>
      </c>
      <c r="AK714">
        <f>IF(AH714&lt;&gt;AI714,1,0)</f>
        <v/>
      </c>
      <c r="AL714">
        <f>IF(AND(AI714&gt;=3,AB714&lt;=0.2),1,0)</f>
        <v/>
      </c>
      <c r="AM714">
        <f>AVERAGE(W714:AB714)</f>
        <v/>
      </c>
      <c r="AN714">
        <f>1+COUNTIF(bounds,"&lt;"&amp;ROUND(AM714,12))</f>
        <v/>
      </c>
      <c r="AO714">
        <f>IF(AK714=1,AD714,NA())</f>
        <v/>
      </c>
      <c r="AP714">
        <f>IF(AK714=0,AD714,NA())</f>
        <v/>
      </c>
    </row>
    <row r="715">
      <c r="A715" t="n">
        <v>707</v>
      </c>
      <c r="B715" t="n">
        <v>2</v>
      </c>
      <c r="C715" t="n">
        <v>5</v>
      </c>
      <c r="D715" t="n">
        <v>2</v>
      </c>
      <c r="E715" t="n">
        <v>4</v>
      </c>
      <c r="F715" t="n">
        <v>1</v>
      </c>
      <c r="G715" t="n">
        <v>1</v>
      </c>
      <c r="H715" t="n">
        <v>5</v>
      </c>
      <c r="I715" t="n">
        <v>5</v>
      </c>
      <c r="J715" t="n">
        <v>5</v>
      </c>
      <c r="K715" t="n">
        <v>2</v>
      </c>
      <c r="L715" t="n">
        <v>2</v>
      </c>
      <c r="M715" t="n">
        <v>1</v>
      </c>
      <c r="N715" t="n">
        <v>3</v>
      </c>
      <c r="O715" t="n">
        <v>2</v>
      </c>
      <c r="P715" t="n">
        <v>5</v>
      </c>
      <c r="Q715" t="n">
        <v>1</v>
      </c>
      <c r="R715" t="n">
        <v>1</v>
      </c>
      <c r="S715" t="n">
        <v>2</v>
      </c>
      <c r="T715" t="n">
        <v>3</v>
      </c>
      <c r="U715" t="n">
        <v>2</v>
      </c>
      <c r="V715" t="n">
        <v>4</v>
      </c>
      <c r="W715">
        <f>(AVERAGE(B715:D715)-1)/4</f>
        <v/>
      </c>
      <c r="X715">
        <f>(AVERAGE(E715:G715)-1)/4</f>
        <v/>
      </c>
      <c r="Y715">
        <f>(AVERAGE(H715:J715)-1)/4</f>
        <v/>
      </c>
      <c r="Z715">
        <f>(AVERAGE(K715:M715)-1)/4</f>
        <v/>
      </c>
      <c r="AA715">
        <f>(AVERAGE(N715:P715)-1)/4</f>
        <v/>
      </c>
      <c r="AB715">
        <f>(AVERAGE(Q715:S715)-1)/4</f>
        <v/>
      </c>
      <c r="AC715">
        <f>(AVERAGE(T715:V715)-1)/4</f>
        <v/>
      </c>
      <c r="AD715">
        <f>AVERAGE(W715:AA715)</f>
        <v/>
      </c>
      <c r="AE715">
        <f>MIN(W715:AA715)</f>
        <v/>
      </c>
      <c r="AF715">
        <f>1-alpha*MAX(0,delta-AE715)</f>
        <v/>
      </c>
      <c r="AG715">
        <f>AD715*AF715</f>
        <v/>
      </c>
      <c r="AH715">
        <f>1+COUNTIF(bounds,"&lt;"&amp;ROUND(AD715,12))</f>
        <v/>
      </c>
      <c r="AI715">
        <f>1+COUNTIF(bounds,"&lt;"&amp;ROUND(AG715,12))</f>
        <v/>
      </c>
      <c r="AJ715">
        <f>IF(AF715&lt;1,1,0)</f>
        <v/>
      </c>
      <c r="AK715">
        <f>IF(AH715&lt;&gt;AI715,1,0)</f>
        <v/>
      </c>
      <c r="AL715">
        <f>IF(AND(AI715&gt;=3,AB715&lt;=0.2),1,0)</f>
        <v/>
      </c>
      <c r="AM715">
        <f>AVERAGE(W715:AB715)</f>
        <v/>
      </c>
      <c r="AN715">
        <f>1+COUNTIF(bounds,"&lt;"&amp;ROUND(AM715,12))</f>
        <v/>
      </c>
      <c r="AO715">
        <f>IF(AK715=1,AD715,NA())</f>
        <v/>
      </c>
      <c r="AP715">
        <f>IF(AK715=0,AD715,NA())</f>
        <v/>
      </c>
    </row>
    <row r="716">
      <c r="A716" t="n">
        <v>708</v>
      </c>
      <c r="B716" t="n">
        <v>2</v>
      </c>
      <c r="C716" t="n">
        <v>5</v>
      </c>
      <c r="D716" t="n">
        <v>5</v>
      </c>
      <c r="E716" t="n">
        <v>2</v>
      </c>
      <c r="F716" t="n">
        <v>5</v>
      </c>
      <c r="G716" t="n">
        <v>1</v>
      </c>
      <c r="H716" t="n">
        <v>3</v>
      </c>
      <c r="I716" t="n">
        <v>5</v>
      </c>
      <c r="J716" t="n">
        <v>2</v>
      </c>
      <c r="K716" t="n">
        <v>4</v>
      </c>
      <c r="L716" t="n">
        <v>4</v>
      </c>
      <c r="M716" t="n">
        <v>3</v>
      </c>
      <c r="N716" t="n">
        <v>3</v>
      </c>
      <c r="O716" t="n">
        <v>4</v>
      </c>
      <c r="P716" t="n">
        <v>4</v>
      </c>
      <c r="Q716" t="n">
        <v>2</v>
      </c>
      <c r="R716" t="n">
        <v>1</v>
      </c>
      <c r="S716" t="n">
        <v>2</v>
      </c>
      <c r="T716" t="n">
        <v>4</v>
      </c>
      <c r="U716" t="n">
        <v>2</v>
      </c>
      <c r="V716" t="n">
        <v>2</v>
      </c>
      <c r="W716">
        <f>(AVERAGE(B716:D716)-1)/4</f>
        <v/>
      </c>
      <c r="X716">
        <f>(AVERAGE(E716:G716)-1)/4</f>
        <v/>
      </c>
      <c r="Y716">
        <f>(AVERAGE(H716:J716)-1)/4</f>
        <v/>
      </c>
      <c r="Z716">
        <f>(AVERAGE(K716:M716)-1)/4</f>
        <v/>
      </c>
      <c r="AA716">
        <f>(AVERAGE(N716:P716)-1)/4</f>
        <v/>
      </c>
      <c r="AB716">
        <f>(AVERAGE(Q716:S716)-1)/4</f>
        <v/>
      </c>
      <c r="AC716">
        <f>(AVERAGE(T716:V716)-1)/4</f>
        <v/>
      </c>
      <c r="AD716">
        <f>AVERAGE(W716:AA716)</f>
        <v/>
      </c>
      <c r="AE716">
        <f>MIN(W716:AA716)</f>
        <v/>
      </c>
      <c r="AF716">
        <f>1-alpha*MAX(0,delta-AE716)</f>
        <v/>
      </c>
      <c r="AG716">
        <f>AD716*AF716</f>
        <v/>
      </c>
      <c r="AH716">
        <f>1+COUNTIF(bounds,"&lt;"&amp;ROUND(AD716,12))</f>
        <v/>
      </c>
      <c r="AI716">
        <f>1+COUNTIF(bounds,"&lt;"&amp;ROUND(AG716,12))</f>
        <v/>
      </c>
      <c r="AJ716">
        <f>IF(AF716&lt;1,1,0)</f>
        <v/>
      </c>
      <c r="AK716">
        <f>IF(AH716&lt;&gt;AI716,1,0)</f>
        <v/>
      </c>
      <c r="AL716">
        <f>IF(AND(AI716&gt;=3,AB716&lt;=0.2),1,0)</f>
        <v/>
      </c>
      <c r="AM716">
        <f>AVERAGE(W716:AB716)</f>
        <v/>
      </c>
      <c r="AN716">
        <f>1+COUNTIF(bounds,"&lt;"&amp;ROUND(AM716,12))</f>
        <v/>
      </c>
      <c r="AO716">
        <f>IF(AK716=1,AD716,NA())</f>
        <v/>
      </c>
      <c r="AP716">
        <f>IF(AK716=0,AD716,NA())</f>
        <v/>
      </c>
    </row>
    <row r="717">
      <c r="A717" t="n">
        <v>709</v>
      </c>
      <c r="B717" t="n">
        <v>3</v>
      </c>
      <c r="C717" t="n">
        <v>5</v>
      </c>
      <c r="D717" t="n">
        <v>1</v>
      </c>
      <c r="E717" t="n">
        <v>1</v>
      </c>
      <c r="F717" t="n">
        <v>2</v>
      </c>
      <c r="G717" t="n">
        <v>4</v>
      </c>
      <c r="H717" t="n">
        <v>4</v>
      </c>
      <c r="I717" t="n">
        <v>3</v>
      </c>
      <c r="J717" t="n">
        <v>2</v>
      </c>
      <c r="K717" t="n">
        <v>2</v>
      </c>
      <c r="L717" t="n">
        <v>1</v>
      </c>
      <c r="M717" t="n">
        <v>3</v>
      </c>
      <c r="N717" t="n">
        <v>1</v>
      </c>
      <c r="O717" t="n">
        <v>3</v>
      </c>
      <c r="P717" t="n">
        <v>2</v>
      </c>
      <c r="Q717" t="n">
        <v>5</v>
      </c>
      <c r="R717" t="n">
        <v>2</v>
      </c>
      <c r="S717" t="n">
        <v>4</v>
      </c>
      <c r="T717" t="n">
        <v>5</v>
      </c>
      <c r="U717" t="n">
        <v>3</v>
      </c>
      <c r="V717" t="n">
        <v>1</v>
      </c>
      <c r="W717">
        <f>(AVERAGE(B717:D717)-1)/4</f>
        <v/>
      </c>
      <c r="X717">
        <f>(AVERAGE(E717:G717)-1)/4</f>
        <v/>
      </c>
      <c r="Y717">
        <f>(AVERAGE(H717:J717)-1)/4</f>
        <v/>
      </c>
      <c r="Z717">
        <f>(AVERAGE(K717:M717)-1)/4</f>
        <v/>
      </c>
      <c r="AA717">
        <f>(AVERAGE(N717:P717)-1)/4</f>
        <v/>
      </c>
      <c r="AB717">
        <f>(AVERAGE(Q717:S717)-1)/4</f>
        <v/>
      </c>
      <c r="AC717">
        <f>(AVERAGE(T717:V717)-1)/4</f>
        <v/>
      </c>
      <c r="AD717">
        <f>AVERAGE(W717:AA717)</f>
        <v/>
      </c>
      <c r="AE717">
        <f>MIN(W717:AA717)</f>
        <v/>
      </c>
      <c r="AF717">
        <f>1-alpha*MAX(0,delta-AE717)</f>
        <v/>
      </c>
      <c r="AG717">
        <f>AD717*AF717</f>
        <v/>
      </c>
      <c r="AH717">
        <f>1+COUNTIF(bounds,"&lt;"&amp;ROUND(AD717,12))</f>
        <v/>
      </c>
      <c r="AI717">
        <f>1+COUNTIF(bounds,"&lt;"&amp;ROUND(AG717,12))</f>
        <v/>
      </c>
      <c r="AJ717">
        <f>IF(AF717&lt;1,1,0)</f>
        <v/>
      </c>
      <c r="AK717">
        <f>IF(AH717&lt;&gt;AI717,1,0)</f>
        <v/>
      </c>
      <c r="AL717">
        <f>IF(AND(AI717&gt;=3,AB717&lt;=0.2),1,0)</f>
        <v/>
      </c>
      <c r="AM717">
        <f>AVERAGE(W717:AB717)</f>
        <v/>
      </c>
      <c r="AN717">
        <f>1+COUNTIF(bounds,"&lt;"&amp;ROUND(AM717,12))</f>
        <v/>
      </c>
      <c r="AO717">
        <f>IF(AK717=1,AD717,NA())</f>
        <v/>
      </c>
      <c r="AP717">
        <f>IF(AK717=0,AD717,NA())</f>
        <v/>
      </c>
    </row>
    <row r="718">
      <c r="A718" t="n">
        <v>710</v>
      </c>
      <c r="B718" t="n">
        <v>4</v>
      </c>
      <c r="C718" t="n">
        <v>1</v>
      </c>
      <c r="D718" t="n">
        <v>1</v>
      </c>
      <c r="E718" t="n">
        <v>3</v>
      </c>
      <c r="F718" t="n">
        <v>3</v>
      </c>
      <c r="G718" t="n">
        <v>3</v>
      </c>
      <c r="H718" t="n">
        <v>5</v>
      </c>
      <c r="I718" t="n">
        <v>3</v>
      </c>
      <c r="J718" t="n">
        <v>2</v>
      </c>
      <c r="K718" t="n">
        <v>4</v>
      </c>
      <c r="L718" t="n">
        <v>1</v>
      </c>
      <c r="M718" t="n">
        <v>2</v>
      </c>
      <c r="N718" t="n">
        <v>3</v>
      </c>
      <c r="O718" t="n">
        <v>3</v>
      </c>
      <c r="P718" t="n">
        <v>4</v>
      </c>
      <c r="Q718" t="n">
        <v>5</v>
      </c>
      <c r="R718" t="n">
        <v>2</v>
      </c>
      <c r="S718" t="n">
        <v>4</v>
      </c>
      <c r="T718" t="n">
        <v>3</v>
      </c>
      <c r="U718" t="n">
        <v>1</v>
      </c>
      <c r="V718" t="n">
        <v>5</v>
      </c>
      <c r="W718">
        <f>(AVERAGE(B718:D718)-1)/4</f>
        <v/>
      </c>
      <c r="X718">
        <f>(AVERAGE(E718:G718)-1)/4</f>
        <v/>
      </c>
      <c r="Y718">
        <f>(AVERAGE(H718:J718)-1)/4</f>
        <v/>
      </c>
      <c r="Z718">
        <f>(AVERAGE(K718:M718)-1)/4</f>
        <v/>
      </c>
      <c r="AA718">
        <f>(AVERAGE(N718:P718)-1)/4</f>
        <v/>
      </c>
      <c r="AB718">
        <f>(AVERAGE(Q718:S718)-1)/4</f>
        <v/>
      </c>
      <c r="AC718">
        <f>(AVERAGE(T718:V718)-1)/4</f>
        <v/>
      </c>
      <c r="AD718">
        <f>AVERAGE(W718:AA718)</f>
        <v/>
      </c>
      <c r="AE718">
        <f>MIN(W718:AA718)</f>
        <v/>
      </c>
      <c r="AF718">
        <f>1-alpha*MAX(0,delta-AE718)</f>
        <v/>
      </c>
      <c r="AG718">
        <f>AD718*AF718</f>
        <v/>
      </c>
      <c r="AH718">
        <f>1+COUNTIF(bounds,"&lt;"&amp;ROUND(AD718,12))</f>
        <v/>
      </c>
      <c r="AI718">
        <f>1+COUNTIF(bounds,"&lt;"&amp;ROUND(AG718,12))</f>
        <v/>
      </c>
      <c r="AJ718">
        <f>IF(AF718&lt;1,1,0)</f>
        <v/>
      </c>
      <c r="AK718">
        <f>IF(AH718&lt;&gt;AI718,1,0)</f>
        <v/>
      </c>
      <c r="AL718">
        <f>IF(AND(AI718&gt;=3,AB718&lt;=0.2),1,0)</f>
        <v/>
      </c>
      <c r="AM718">
        <f>AVERAGE(W718:AB718)</f>
        <v/>
      </c>
      <c r="AN718">
        <f>1+COUNTIF(bounds,"&lt;"&amp;ROUND(AM718,12))</f>
        <v/>
      </c>
      <c r="AO718">
        <f>IF(AK718=1,AD718,NA())</f>
        <v/>
      </c>
      <c r="AP718">
        <f>IF(AK718=0,AD718,NA())</f>
        <v/>
      </c>
    </row>
    <row r="719">
      <c r="A719" t="n">
        <v>711</v>
      </c>
      <c r="B719" t="n">
        <v>5</v>
      </c>
      <c r="C719" t="n">
        <v>5</v>
      </c>
      <c r="D719" t="n">
        <v>4</v>
      </c>
      <c r="E719" t="n">
        <v>4</v>
      </c>
      <c r="F719" t="n">
        <v>4</v>
      </c>
      <c r="G719" t="n">
        <v>1</v>
      </c>
      <c r="H719" t="n">
        <v>5</v>
      </c>
      <c r="I719" t="n">
        <v>4</v>
      </c>
      <c r="J719" t="n">
        <v>3</v>
      </c>
      <c r="K719" t="n">
        <v>4</v>
      </c>
      <c r="L719" t="n">
        <v>5</v>
      </c>
      <c r="M719" t="n">
        <v>3</v>
      </c>
      <c r="N719" t="n">
        <v>5</v>
      </c>
      <c r="O719" t="n">
        <v>3</v>
      </c>
      <c r="P719" t="n">
        <v>2</v>
      </c>
      <c r="Q719" t="n">
        <v>1</v>
      </c>
      <c r="R719" t="n">
        <v>2</v>
      </c>
      <c r="S719" t="n">
        <v>4</v>
      </c>
      <c r="T719" t="n">
        <v>3</v>
      </c>
      <c r="U719" t="n">
        <v>2</v>
      </c>
      <c r="V719" t="n">
        <v>4</v>
      </c>
      <c r="W719">
        <f>(AVERAGE(B719:D719)-1)/4</f>
        <v/>
      </c>
      <c r="X719">
        <f>(AVERAGE(E719:G719)-1)/4</f>
        <v/>
      </c>
      <c r="Y719">
        <f>(AVERAGE(H719:J719)-1)/4</f>
        <v/>
      </c>
      <c r="Z719">
        <f>(AVERAGE(K719:M719)-1)/4</f>
        <v/>
      </c>
      <c r="AA719">
        <f>(AVERAGE(N719:P719)-1)/4</f>
        <v/>
      </c>
      <c r="AB719">
        <f>(AVERAGE(Q719:S719)-1)/4</f>
        <v/>
      </c>
      <c r="AC719">
        <f>(AVERAGE(T719:V719)-1)/4</f>
        <v/>
      </c>
      <c r="AD719">
        <f>AVERAGE(W719:AA719)</f>
        <v/>
      </c>
      <c r="AE719">
        <f>MIN(W719:AA719)</f>
        <v/>
      </c>
      <c r="AF719">
        <f>1-alpha*MAX(0,delta-AE719)</f>
        <v/>
      </c>
      <c r="AG719">
        <f>AD719*AF719</f>
        <v/>
      </c>
      <c r="AH719">
        <f>1+COUNTIF(bounds,"&lt;"&amp;ROUND(AD719,12))</f>
        <v/>
      </c>
      <c r="AI719">
        <f>1+COUNTIF(bounds,"&lt;"&amp;ROUND(AG719,12))</f>
        <v/>
      </c>
      <c r="AJ719">
        <f>IF(AF719&lt;1,1,0)</f>
        <v/>
      </c>
      <c r="AK719">
        <f>IF(AH719&lt;&gt;AI719,1,0)</f>
        <v/>
      </c>
      <c r="AL719">
        <f>IF(AND(AI719&gt;=3,AB719&lt;=0.2),1,0)</f>
        <v/>
      </c>
      <c r="AM719">
        <f>AVERAGE(W719:AB719)</f>
        <v/>
      </c>
      <c r="AN719">
        <f>1+COUNTIF(bounds,"&lt;"&amp;ROUND(AM719,12))</f>
        <v/>
      </c>
      <c r="AO719">
        <f>IF(AK719=1,AD719,NA())</f>
        <v/>
      </c>
      <c r="AP719">
        <f>IF(AK719=0,AD719,NA())</f>
        <v/>
      </c>
    </row>
    <row r="720">
      <c r="A720" t="n">
        <v>712</v>
      </c>
      <c r="B720" t="n">
        <v>3</v>
      </c>
      <c r="C720" t="n">
        <v>5</v>
      </c>
      <c r="D720" t="n">
        <v>3</v>
      </c>
      <c r="E720" t="n">
        <v>1</v>
      </c>
      <c r="F720" t="n">
        <v>4</v>
      </c>
      <c r="G720" t="n">
        <v>5</v>
      </c>
      <c r="H720" t="n">
        <v>2</v>
      </c>
      <c r="I720" t="n">
        <v>4</v>
      </c>
      <c r="J720" t="n">
        <v>5</v>
      </c>
      <c r="K720" t="n">
        <v>5</v>
      </c>
      <c r="L720" t="n">
        <v>3</v>
      </c>
      <c r="M720" t="n">
        <v>4</v>
      </c>
      <c r="N720" t="n">
        <v>1</v>
      </c>
      <c r="O720" t="n">
        <v>2</v>
      </c>
      <c r="P720" t="n">
        <v>2</v>
      </c>
      <c r="Q720" t="n">
        <v>4</v>
      </c>
      <c r="R720" t="n">
        <v>2</v>
      </c>
      <c r="S720" t="n">
        <v>5</v>
      </c>
      <c r="T720" t="n">
        <v>3</v>
      </c>
      <c r="U720" t="n">
        <v>2</v>
      </c>
      <c r="V720" t="n">
        <v>2</v>
      </c>
      <c r="W720">
        <f>(AVERAGE(B720:D720)-1)/4</f>
        <v/>
      </c>
      <c r="X720">
        <f>(AVERAGE(E720:G720)-1)/4</f>
        <v/>
      </c>
      <c r="Y720">
        <f>(AVERAGE(H720:J720)-1)/4</f>
        <v/>
      </c>
      <c r="Z720">
        <f>(AVERAGE(K720:M720)-1)/4</f>
        <v/>
      </c>
      <c r="AA720">
        <f>(AVERAGE(N720:P720)-1)/4</f>
        <v/>
      </c>
      <c r="AB720">
        <f>(AVERAGE(Q720:S720)-1)/4</f>
        <v/>
      </c>
      <c r="AC720">
        <f>(AVERAGE(T720:V720)-1)/4</f>
        <v/>
      </c>
      <c r="AD720">
        <f>AVERAGE(W720:AA720)</f>
        <v/>
      </c>
      <c r="AE720">
        <f>MIN(W720:AA720)</f>
        <v/>
      </c>
      <c r="AF720">
        <f>1-alpha*MAX(0,delta-AE720)</f>
        <v/>
      </c>
      <c r="AG720">
        <f>AD720*AF720</f>
        <v/>
      </c>
      <c r="AH720">
        <f>1+COUNTIF(bounds,"&lt;"&amp;ROUND(AD720,12))</f>
        <v/>
      </c>
      <c r="AI720">
        <f>1+COUNTIF(bounds,"&lt;"&amp;ROUND(AG720,12))</f>
        <v/>
      </c>
      <c r="AJ720">
        <f>IF(AF720&lt;1,1,0)</f>
        <v/>
      </c>
      <c r="AK720">
        <f>IF(AH720&lt;&gt;AI720,1,0)</f>
        <v/>
      </c>
      <c r="AL720">
        <f>IF(AND(AI720&gt;=3,AB720&lt;=0.2),1,0)</f>
        <v/>
      </c>
      <c r="AM720">
        <f>AVERAGE(W720:AB720)</f>
        <v/>
      </c>
      <c r="AN720">
        <f>1+COUNTIF(bounds,"&lt;"&amp;ROUND(AM720,12))</f>
        <v/>
      </c>
      <c r="AO720">
        <f>IF(AK720=1,AD720,NA())</f>
        <v/>
      </c>
      <c r="AP720">
        <f>IF(AK720=0,AD720,NA())</f>
        <v/>
      </c>
    </row>
    <row r="721">
      <c r="A721" t="n">
        <v>713</v>
      </c>
      <c r="B721" t="n">
        <v>3</v>
      </c>
      <c r="C721" t="n">
        <v>1</v>
      </c>
      <c r="D721" t="n">
        <v>3</v>
      </c>
      <c r="E721" t="n">
        <v>3</v>
      </c>
      <c r="F721" t="n">
        <v>5</v>
      </c>
      <c r="G721" t="n">
        <v>3</v>
      </c>
      <c r="H721" t="n">
        <v>5</v>
      </c>
      <c r="I721" t="n">
        <v>2</v>
      </c>
      <c r="J721" t="n">
        <v>5</v>
      </c>
      <c r="K721" t="n">
        <v>4</v>
      </c>
      <c r="L721" t="n">
        <v>3</v>
      </c>
      <c r="M721" t="n">
        <v>5</v>
      </c>
      <c r="N721" t="n">
        <v>2</v>
      </c>
      <c r="O721" t="n">
        <v>4</v>
      </c>
      <c r="P721" t="n">
        <v>4</v>
      </c>
      <c r="Q721" t="n">
        <v>1</v>
      </c>
      <c r="R721" t="n">
        <v>4</v>
      </c>
      <c r="S721" t="n">
        <v>3</v>
      </c>
      <c r="T721" t="n">
        <v>5</v>
      </c>
      <c r="U721" t="n">
        <v>2</v>
      </c>
      <c r="V721" t="n">
        <v>5</v>
      </c>
      <c r="W721">
        <f>(AVERAGE(B721:D721)-1)/4</f>
        <v/>
      </c>
      <c r="X721">
        <f>(AVERAGE(E721:G721)-1)/4</f>
        <v/>
      </c>
      <c r="Y721">
        <f>(AVERAGE(H721:J721)-1)/4</f>
        <v/>
      </c>
      <c r="Z721">
        <f>(AVERAGE(K721:M721)-1)/4</f>
        <v/>
      </c>
      <c r="AA721">
        <f>(AVERAGE(N721:P721)-1)/4</f>
        <v/>
      </c>
      <c r="AB721">
        <f>(AVERAGE(Q721:S721)-1)/4</f>
        <v/>
      </c>
      <c r="AC721">
        <f>(AVERAGE(T721:V721)-1)/4</f>
        <v/>
      </c>
      <c r="AD721">
        <f>AVERAGE(W721:AA721)</f>
        <v/>
      </c>
      <c r="AE721">
        <f>MIN(W721:AA721)</f>
        <v/>
      </c>
      <c r="AF721">
        <f>1-alpha*MAX(0,delta-AE721)</f>
        <v/>
      </c>
      <c r="AG721">
        <f>AD721*AF721</f>
        <v/>
      </c>
      <c r="AH721">
        <f>1+COUNTIF(bounds,"&lt;"&amp;ROUND(AD721,12))</f>
        <v/>
      </c>
      <c r="AI721">
        <f>1+COUNTIF(bounds,"&lt;"&amp;ROUND(AG721,12))</f>
        <v/>
      </c>
      <c r="AJ721">
        <f>IF(AF721&lt;1,1,0)</f>
        <v/>
      </c>
      <c r="AK721">
        <f>IF(AH721&lt;&gt;AI721,1,0)</f>
        <v/>
      </c>
      <c r="AL721">
        <f>IF(AND(AI721&gt;=3,AB721&lt;=0.2),1,0)</f>
        <v/>
      </c>
      <c r="AM721">
        <f>AVERAGE(W721:AB721)</f>
        <v/>
      </c>
      <c r="AN721">
        <f>1+COUNTIF(bounds,"&lt;"&amp;ROUND(AM721,12))</f>
        <v/>
      </c>
      <c r="AO721">
        <f>IF(AK721=1,AD721,NA())</f>
        <v/>
      </c>
      <c r="AP721">
        <f>IF(AK721=0,AD721,NA())</f>
        <v/>
      </c>
    </row>
    <row r="722">
      <c r="A722" t="n">
        <v>714</v>
      </c>
      <c r="B722" t="n">
        <v>1</v>
      </c>
      <c r="C722" t="n">
        <v>2</v>
      </c>
      <c r="D722" t="n">
        <v>2</v>
      </c>
      <c r="E722" t="n">
        <v>2</v>
      </c>
      <c r="F722" t="n">
        <v>3</v>
      </c>
      <c r="G722" t="n">
        <v>3</v>
      </c>
      <c r="H722" t="n">
        <v>3</v>
      </c>
      <c r="I722" t="n">
        <v>4</v>
      </c>
      <c r="J722" t="n">
        <v>1</v>
      </c>
      <c r="K722" t="n">
        <v>1</v>
      </c>
      <c r="L722" t="n">
        <v>3</v>
      </c>
      <c r="M722" t="n">
        <v>2</v>
      </c>
      <c r="N722" t="n">
        <v>2</v>
      </c>
      <c r="O722" t="n">
        <v>1</v>
      </c>
      <c r="P722" t="n">
        <v>1</v>
      </c>
      <c r="Q722" t="n">
        <v>1</v>
      </c>
      <c r="R722" t="n">
        <v>2</v>
      </c>
      <c r="S722" t="n">
        <v>2</v>
      </c>
      <c r="T722" t="n">
        <v>1</v>
      </c>
      <c r="U722" t="n">
        <v>4</v>
      </c>
      <c r="V722" t="n">
        <v>3</v>
      </c>
      <c r="W722">
        <f>(AVERAGE(B722:D722)-1)/4</f>
        <v/>
      </c>
      <c r="X722">
        <f>(AVERAGE(E722:G722)-1)/4</f>
        <v/>
      </c>
      <c r="Y722">
        <f>(AVERAGE(H722:J722)-1)/4</f>
        <v/>
      </c>
      <c r="Z722">
        <f>(AVERAGE(K722:M722)-1)/4</f>
        <v/>
      </c>
      <c r="AA722">
        <f>(AVERAGE(N722:P722)-1)/4</f>
        <v/>
      </c>
      <c r="AB722">
        <f>(AVERAGE(Q722:S722)-1)/4</f>
        <v/>
      </c>
      <c r="AC722">
        <f>(AVERAGE(T722:V722)-1)/4</f>
        <v/>
      </c>
      <c r="AD722">
        <f>AVERAGE(W722:AA722)</f>
        <v/>
      </c>
      <c r="AE722">
        <f>MIN(W722:AA722)</f>
        <v/>
      </c>
      <c r="AF722">
        <f>1-alpha*MAX(0,delta-AE722)</f>
        <v/>
      </c>
      <c r="AG722">
        <f>AD722*AF722</f>
        <v/>
      </c>
      <c r="AH722">
        <f>1+COUNTIF(bounds,"&lt;"&amp;ROUND(AD722,12))</f>
        <v/>
      </c>
      <c r="AI722">
        <f>1+COUNTIF(bounds,"&lt;"&amp;ROUND(AG722,12))</f>
        <v/>
      </c>
      <c r="AJ722">
        <f>IF(AF722&lt;1,1,0)</f>
        <v/>
      </c>
      <c r="AK722">
        <f>IF(AH722&lt;&gt;AI722,1,0)</f>
        <v/>
      </c>
      <c r="AL722">
        <f>IF(AND(AI722&gt;=3,AB722&lt;=0.2),1,0)</f>
        <v/>
      </c>
      <c r="AM722">
        <f>AVERAGE(W722:AB722)</f>
        <v/>
      </c>
      <c r="AN722">
        <f>1+COUNTIF(bounds,"&lt;"&amp;ROUND(AM722,12))</f>
        <v/>
      </c>
      <c r="AO722">
        <f>IF(AK722=1,AD722,NA())</f>
        <v/>
      </c>
      <c r="AP722">
        <f>IF(AK722=0,AD722,NA())</f>
        <v/>
      </c>
    </row>
    <row r="723">
      <c r="A723" t="n">
        <v>715</v>
      </c>
      <c r="B723" t="n">
        <v>4</v>
      </c>
      <c r="C723" t="n">
        <v>4</v>
      </c>
      <c r="D723" t="n">
        <v>5</v>
      </c>
      <c r="E723" t="n">
        <v>5</v>
      </c>
      <c r="F723" t="n">
        <v>3</v>
      </c>
      <c r="G723" t="n">
        <v>5</v>
      </c>
      <c r="H723" t="n">
        <v>2</v>
      </c>
      <c r="I723" t="n">
        <v>3</v>
      </c>
      <c r="J723" t="n">
        <v>4</v>
      </c>
      <c r="K723" t="n">
        <v>5</v>
      </c>
      <c r="L723" t="n">
        <v>3</v>
      </c>
      <c r="M723" t="n">
        <v>2</v>
      </c>
      <c r="N723" t="n">
        <v>4</v>
      </c>
      <c r="O723" t="n">
        <v>5</v>
      </c>
      <c r="P723" t="n">
        <v>5</v>
      </c>
      <c r="Q723" t="n">
        <v>5</v>
      </c>
      <c r="R723" t="n">
        <v>4</v>
      </c>
      <c r="S723" t="n">
        <v>2</v>
      </c>
      <c r="T723" t="n">
        <v>4</v>
      </c>
      <c r="U723" t="n">
        <v>1</v>
      </c>
      <c r="V723" t="n">
        <v>4</v>
      </c>
      <c r="W723">
        <f>(AVERAGE(B723:D723)-1)/4</f>
        <v/>
      </c>
      <c r="X723">
        <f>(AVERAGE(E723:G723)-1)/4</f>
        <v/>
      </c>
      <c r="Y723">
        <f>(AVERAGE(H723:J723)-1)/4</f>
        <v/>
      </c>
      <c r="Z723">
        <f>(AVERAGE(K723:M723)-1)/4</f>
        <v/>
      </c>
      <c r="AA723">
        <f>(AVERAGE(N723:P723)-1)/4</f>
        <v/>
      </c>
      <c r="AB723">
        <f>(AVERAGE(Q723:S723)-1)/4</f>
        <v/>
      </c>
      <c r="AC723">
        <f>(AVERAGE(T723:V723)-1)/4</f>
        <v/>
      </c>
      <c r="AD723">
        <f>AVERAGE(W723:AA723)</f>
        <v/>
      </c>
      <c r="AE723">
        <f>MIN(W723:AA723)</f>
        <v/>
      </c>
      <c r="AF723">
        <f>1-alpha*MAX(0,delta-AE723)</f>
        <v/>
      </c>
      <c r="AG723">
        <f>AD723*AF723</f>
        <v/>
      </c>
      <c r="AH723">
        <f>1+COUNTIF(bounds,"&lt;"&amp;ROUND(AD723,12))</f>
        <v/>
      </c>
      <c r="AI723">
        <f>1+COUNTIF(bounds,"&lt;"&amp;ROUND(AG723,12))</f>
        <v/>
      </c>
      <c r="AJ723">
        <f>IF(AF723&lt;1,1,0)</f>
        <v/>
      </c>
      <c r="AK723">
        <f>IF(AH723&lt;&gt;AI723,1,0)</f>
        <v/>
      </c>
      <c r="AL723">
        <f>IF(AND(AI723&gt;=3,AB723&lt;=0.2),1,0)</f>
        <v/>
      </c>
      <c r="AM723">
        <f>AVERAGE(W723:AB723)</f>
        <v/>
      </c>
      <c r="AN723">
        <f>1+COUNTIF(bounds,"&lt;"&amp;ROUND(AM723,12))</f>
        <v/>
      </c>
      <c r="AO723">
        <f>IF(AK723=1,AD723,NA())</f>
        <v/>
      </c>
      <c r="AP723">
        <f>IF(AK723=0,AD723,NA())</f>
        <v/>
      </c>
    </row>
    <row r="724">
      <c r="A724" t="n">
        <v>716</v>
      </c>
      <c r="B724" t="n">
        <v>5</v>
      </c>
      <c r="C724" t="n">
        <v>1</v>
      </c>
      <c r="D724" t="n">
        <v>5</v>
      </c>
      <c r="E724" t="n">
        <v>5</v>
      </c>
      <c r="F724" t="n">
        <v>2</v>
      </c>
      <c r="G724" t="n">
        <v>4</v>
      </c>
      <c r="H724" t="n">
        <v>1</v>
      </c>
      <c r="I724" t="n">
        <v>4</v>
      </c>
      <c r="J724" t="n">
        <v>1</v>
      </c>
      <c r="K724" t="n">
        <v>1</v>
      </c>
      <c r="L724" t="n">
        <v>2</v>
      </c>
      <c r="M724" t="n">
        <v>3</v>
      </c>
      <c r="N724" t="n">
        <v>5</v>
      </c>
      <c r="O724" t="n">
        <v>3</v>
      </c>
      <c r="P724" t="n">
        <v>3</v>
      </c>
      <c r="Q724" t="n">
        <v>4</v>
      </c>
      <c r="R724" t="n">
        <v>4</v>
      </c>
      <c r="S724" t="n">
        <v>1</v>
      </c>
      <c r="T724" t="n">
        <v>3</v>
      </c>
      <c r="U724" t="n">
        <v>1</v>
      </c>
      <c r="V724" t="n">
        <v>3</v>
      </c>
      <c r="W724">
        <f>(AVERAGE(B724:D724)-1)/4</f>
        <v/>
      </c>
      <c r="X724">
        <f>(AVERAGE(E724:G724)-1)/4</f>
        <v/>
      </c>
      <c r="Y724">
        <f>(AVERAGE(H724:J724)-1)/4</f>
        <v/>
      </c>
      <c r="Z724">
        <f>(AVERAGE(K724:M724)-1)/4</f>
        <v/>
      </c>
      <c r="AA724">
        <f>(AVERAGE(N724:P724)-1)/4</f>
        <v/>
      </c>
      <c r="AB724">
        <f>(AVERAGE(Q724:S724)-1)/4</f>
        <v/>
      </c>
      <c r="AC724">
        <f>(AVERAGE(T724:V724)-1)/4</f>
        <v/>
      </c>
      <c r="AD724">
        <f>AVERAGE(W724:AA724)</f>
        <v/>
      </c>
      <c r="AE724">
        <f>MIN(W724:AA724)</f>
        <v/>
      </c>
      <c r="AF724">
        <f>1-alpha*MAX(0,delta-AE724)</f>
        <v/>
      </c>
      <c r="AG724">
        <f>AD724*AF724</f>
        <v/>
      </c>
      <c r="AH724">
        <f>1+COUNTIF(bounds,"&lt;"&amp;ROUND(AD724,12))</f>
        <v/>
      </c>
      <c r="AI724">
        <f>1+COUNTIF(bounds,"&lt;"&amp;ROUND(AG724,12))</f>
        <v/>
      </c>
      <c r="AJ724">
        <f>IF(AF724&lt;1,1,0)</f>
        <v/>
      </c>
      <c r="AK724">
        <f>IF(AH724&lt;&gt;AI724,1,0)</f>
        <v/>
      </c>
      <c r="AL724">
        <f>IF(AND(AI724&gt;=3,AB724&lt;=0.2),1,0)</f>
        <v/>
      </c>
      <c r="AM724">
        <f>AVERAGE(W724:AB724)</f>
        <v/>
      </c>
      <c r="AN724">
        <f>1+COUNTIF(bounds,"&lt;"&amp;ROUND(AM724,12))</f>
        <v/>
      </c>
      <c r="AO724">
        <f>IF(AK724=1,AD724,NA())</f>
        <v/>
      </c>
      <c r="AP724">
        <f>IF(AK724=0,AD724,NA())</f>
        <v/>
      </c>
    </row>
    <row r="725">
      <c r="A725" t="n">
        <v>717</v>
      </c>
      <c r="B725" t="n">
        <v>5</v>
      </c>
      <c r="C725" t="n">
        <v>2</v>
      </c>
      <c r="D725" t="n">
        <v>3</v>
      </c>
      <c r="E725" t="n">
        <v>3</v>
      </c>
      <c r="F725" t="n">
        <v>5</v>
      </c>
      <c r="G725" t="n">
        <v>5</v>
      </c>
      <c r="H725" t="n">
        <v>3</v>
      </c>
      <c r="I725" t="n">
        <v>2</v>
      </c>
      <c r="J725" t="n">
        <v>2</v>
      </c>
      <c r="K725" t="n">
        <v>5</v>
      </c>
      <c r="L725" t="n">
        <v>3</v>
      </c>
      <c r="M725" t="n">
        <v>4</v>
      </c>
      <c r="N725" t="n">
        <v>5</v>
      </c>
      <c r="O725" t="n">
        <v>4</v>
      </c>
      <c r="P725" t="n">
        <v>1</v>
      </c>
      <c r="Q725" t="n">
        <v>5</v>
      </c>
      <c r="R725" t="n">
        <v>1</v>
      </c>
      <c r="S725" t="n">
        <v>5</v>
      </c>
      <c r="T725" t="n">
        <v>5</v>
      </c>
      <c r="U725" t="n">
        <v>3</v>
      </c>
      <c r="V725" t="n">
        <v>4</v>
      </c>
      <c r="W725">
        <f>(AVERAGE(B725:D725)-1)/4</f>
        <v/>
      </c>
      <c r="X725">
        <f>(AVERAGE(E725:G725)-1)/4</f>
        <v/>
      </c>
      <c r="Y725">
        <f>(AVERAGE(H725:J725)-1)/4</f>
        <v/>
      </c>
      <c r="Z725">
        <f>(AVERAGE(K725:M725)-1)/4</f>
        <v/>
      </c>
      <c r="AA725">
        <f>(AVERAGE(N725:P725)-1)/4</f>
        <v/>
      </c>
      <c r="AB725">
        <f>(AVERAGE(Q725:S725)-1)/4</f>
        <v/>
      </c>
      <c r="AC725">
        <f>(AVERAGE(T725:V725)-1)/4</f>
        <v/>
      </c>
      <c r="AD725">
        <f>AVERAGE(W725:AA725)</f>
        <v/>
      </c>
      <c r="AE725">
        <f>MIN(W725:AA725)</f>
        <v/>
      </c>
      <c r="AF725">
        <f>1-alpha*MAX(0,delta-AE725)</f>
        <v/>
      </c>
      <c r="AG725">
        <f>AD725*AF725</f>
        <v/>
      </c>
      <c r="AH725">
        <f>1+COUNTIF(bounds,"&lt;"&amp;ROUND(AD725,12))</f>
        <v/>
      </c>
      <c r="AI725">
        <f>1+COUNTIF(bounds,"&lt;"&amp;ROUND(AG725,12))</f>
        <v/>
      </c>
      <c r="AJ725">
        <f>IF(AF725&lt;1,1,0)</f>
        <v/>
      </c>
      <c r="AK725">
        <f>IF(AH725&lt;&gt;AI725,1,0)</f>
        <v/>
      </c>
      <c r="AL725">
        <f>IF(AND(AI725&gt;=3,AB725&lt;=0.2),1,0)</f>
        <v/>
      </c>
      <c r="AM725">
        <f>AVERAGE(W725:AB725)</f>
        <v/>
      </c>
      <c r="AN725">
        <f>1+COUNTIF(bounds,"&lt;"&amp;ROUND(AM725,12))</f>
        <v/>
      </c>
      <c r="AO725">
        <f>IF(AK725=1,AD725,NA())</f>
        <v/>
      </c>
      <c r="AP725">
        <f>IF(AK725=0,AD725,NA())</f>
        <v/>
      </c>
    </row>
    <row r="726">
      <c r="A726" t="n">
        <v>718</v>
      </c>
      <c r="B726" t="n">
        <v>1</v>
      </c>
      <c r="C726" t="n">
        <v>2</v>
      </c>
      <c r="D726" t="n">
        <v>2</v>
      </c>
      <c r="E726" t="n">
        <v>1</v>
      </c>
      <c r="F726" t="n">
        <v>2</v>
      </c>
      <c r="G726" t="n">
        <v>5</v>
      </c>
      <c r="H726" t="n">
        <v>2</v>
      </c>
      <c r="I726" t="n">
        <v>4</v>
      </c>
      <c r="J726" t="n">
        <v>2</v>
      </c>
      <c r="K726" t="n">
        <v>1</v>
      </c>
      <c r="L726" t="n">
        <v>1</v>
      </c>
      <c r="M726" t="n">
        <v>1</v>
      </c>
      <c r="N726" t="n">
        <v>1</v>
      </c>
      <c r="O726" t="n">
        <v>2</v>
      </c>
      <c r="P726" t="n">
        <v>4</v>
      </c>
      <c r="Q726" t="n">
        <v>3</v>
      </c>
      <c r="R726" t="n">
        <v>2</v>
      </c>
      <c r="S726" t="n">
        <v>4</v>
      </c>
      <c r="T726" t="n">
        <v>4</v>
      </c>
      <c r="U726" t="n">
        <v>2</v>
      </c>
      <c r="V726" t="n">
        <v>2</v>
      </c>
      <c r="W726">
        <f>(AVERAGE(B726:D726)-1)/4</f>
        <v/>
      </c>
      <c r="X726">
        <f>(AVERAGE(E726:G726)-1)/4</f>
        <v/>
      </c>
      <c r="Y726">
        <f>(AVERAGE(H726:J726)-1)/4</f>
        <v/>
      </c>
      <c r="Z726">
        <f>(AVERAGE(K726:M726)-1)/4</f>
        <v/>
      </c>
      <c r="AA726">
        <f>(AVERAGE(N726:P726)-1)/4</f>
        <v/>
      </c>
      <c r="AB726">
        <f>(AVERAGE(Q726:S726)-1)/4</f>
        <v/>
      </c>
      <c r="AC726">
        <f>(AVERAGE(T726:V726)-1)/4</f>
        <v/>
      </c>
      <c r="AD726">
        <f>AVERAGE(W726:AA726)</f>
        <v/>
      </c>
      <c r="AE726">
        <f>MIN(W726:AA726)</f>
        <v/>
      </c>
      <c r="AF726">
        <f>1-alpha*MAX(0,delta-AE726)</f>
        <v/>
      </c>
      <c r="AG726">
        <f>AD726*AF726</f>
        <v/>
      </c>
      <c r="AH726">
        <f>1+COUNTIF(bounds,"&lt;"&amp;ROUND(AD726,12))</f>
        <v/>
      </c>
      <c r="AI726">
        <f>1+COUNTIF(bounds,"&lt;"&amp;ROUND(AG726,12))</f>
        <v/>
      </c>
      <c r="AJ726">
        <f>IF(AF726&lt;1,1,0)</f>
        <v/>
      </c>
      <c r="AK726">
        <f>IF(AH726&lt;&gt;AI726,1,0)</f>
        <v/>
      </c>
      <c r="AL726">
        <f>IF(AND(AI726&gt;=3,AB726&lt;=0.2),1,0)</f>
        <v/>
      </c>
      <c r="AM726">
        <f>AVERAGE(W726:AB726)</f>
        <v/>
      </c>
      <c r="AN726">
        <f>1+COUNTIF(bounds,"&lt;"&amp;ROUND(AM726,12))</f>
        <v/>
      </c>
      <c r="AO726">
        <f>IF(AK726=1,AD726,NA())</f>
        <v/>
      </c>
      <c r="AP726">
        <f>IF(AK726=0,AD726,NA())</f>
        <v/>
      </c>
    </row>
    <row r="727">
      <c r="A727" t="n">
        <v>719</v>
      </c>
      <c r="B727" t="n">
        <v>3</v>
      </c>
      <c r="C727" t="n">
        <v>1</v>
      </c>
      <c r="D727" t="n">
        <v>5</v>
      </c>
      <c r="E727" t="n">
        <v>3</v>
      </c>
      <c r="F727" t="n">
        <v>3</v>
      </c>
      <c r="G727" t="n">
        <v>4</v>
      </c>
      <c r="H727" t="n">
        <v>1</v>
      </c>
      <c r="I727" t="n">
        <v>1</v>
      </c>
      <c r="J727" t="n">
        <v>3</v>
      </c>
      <c r="K727" t="n">
        <v>2</v>
      </c>
      <c r="L727" t="n">
        <v>1</v>
      </c>
      <c r="M727" t="n">
        <v>3</v>
      </c>
      <c r="N727" t="n">
        <v>5</v>
      </c>
      <c r="O727" t="n">
        <v>5</v>
      </c>
      <c r="P727" t="n">
        <v>3</v>
      </c>
      <c r="Q727" t="n">
        <v>3</v>
      </c>
      <c r="R727" t="n">
        <v>5</v>
      </c>
      <c r="S727" t="n">
        <v>3</v>
      </c>
      <c r="T727" t="n">
        <v>2</v>
      </c>
      <c r="U727" t="n">
        <v>5</v>
      </c>
      <c r="V727" t="n">
        <v>2</v>
      </c>
      <c r="W727">
        <f>(AVERAGE(B727:D727)-1)/4</f>
        <v/>
      </c>
      <c r="X727">
        <f>(AVERAGE(E727:G727)-1)/4</f>
        <v/>
      </c>
      <c r="Y727">
        <f>(AVERAGE(H727:J727)-1)/4</f>
        <v/>
      </c>
      <c r="Z727">
        <f>(AVERAGE(K727:M727)-1)/4</f>
        <v/>
      </c>
      <c r="AA727">
        <f>(AVERAGE(N727:P727)-1)/4</f>
        <v/>
      </c>
      <c r="AB727">
        <f>(AVERAGE(Q727:S727)-1)/4</f>
        <v/>
      </c>
      <c r="AC727">
        <f>(AVERAGE(T727:V727)-1)/4</f>
        <v/>
      </c>
      <c r="AD727">
        <f>AVERAGE(W727:AA727)</f>
        <v/>
      </c>
      <c r="AE727">
        <f>MIN(W727:AA727)</f>
        <v/>
      </c>
      <c r="AF727">
        <f>1-alpha*MAX(0,delta-AE727)</f>
        <v/>
      </c>
      <c r="AG727">
        <f>AD727*AF727</f>
        <v/>
      </c>
      <c r="AH727">
        <f>1+COUNTIF(bounds,"&lt;"&amp;ROUND(AD727,12))</f>
        <v/>
      </c>
      <c r="AI727">
        <f>1+COUNTIF(bounds,"&lt;"&amp;ROUND(AG727,12))</f>
        <v/>
      </c>
      <c r="AJ727">
        <f>IF(AF727&lt;1,1,0)</f>
        <v/>
      </c>
      <c r="AK727">
        <f>IF(AH727&lt;&gt;AI727,1,0)</f>
        <v/>
      </c>
      <c r="AL727">
        <f>IF(AND(AI727&gt;=3,AB727&lt;=0.2),1,0)</f>
        <v/>
      </c>
      <c r="AM727">
        <f>AVERAGE(W727:AB727)</f>
        <v/>
      </c>
      <c r="AN727">
        <f>1+COUNTIF(bounds,"&lt;"&amp;ROUND(AM727,12))</f>
        <v/>
      </c>
      <c r="AO727">
        <f>IF(AK727=1,AD727,NA())</f>
        <v/>
      </c>
      <c r="AP727">
        <f>IF(AK727=0,AD727,NA())</f>
        <v/>
      </c>
    </row>
    <row r="728">
      <c r="A728" t="n">
        <v>720</v>
      </c>
      <c r="B728" t="n">
        <v>5</v>
      </c>
      <c r="C728" t="n">
        <v>2</v>
      </c>
      <c r="D728" t="n">
        <v>5</v>
      </c>
      <c r="E728" t="n">
        <v>1</v>
      </c>
      <c r="F728" t="n">
        <v>5</v>
      </c>
      <c r="G728" t="n">
        <v>1</v>
      </c>
      <c r="H728" t="n">
        <v>4</v>
      </c>
      <c r="I728" t="n">
        <v>5</v>
      </c>
      <c r="J728" t="n">
        <v>4</v>
      </c>
      <c r="K728" t="n">
        <v>2</v>
      </c>
      <c r="L728" t="n">
        <v>1</v>
      </c>
      <c r="M728" t="n">
        <v>2</v>
      </c>
      <c r="N728" t="n">
        <v>3</v>
      </c>
      <c r="O728" t="n">
        <v>1</v>
      </c>
      <c r="P728" t="n">
        <v>3</v>
      </c>
      <c r="Q728" t="n">
        <v>2</v>
      </c>
      <c r="R728" t="n">
        <v>1</v>
      </c>
      <c r="S728" t="n">
        <v>5</v>
      </c>
      <c r="T728" t="n">
        <v>3</v>
      </c>
      <c r="U728" t="n">
        <v>4</v>
      </c>
      <c r="V728" t="n">
        <v>4</v>
      </c>
      <c r="W728">
        <f>(AVERAGE(B728:D728)-1)/4</f>
        <v/>
      </c>
      <c r="X728">
        <f>(AVERAGE(E728:G728)-1)/4</f>
        <v/>
      </c>
      <c r="Y728">
        <f>(AVERAGE(H728:J728)-1)/4</f>
        <v/>
      </c>
      <c r="Z728">
        <f>(AVERAGE(K728:M728)-1)/4</f>
        <v/>
      </c>
      <c r="AA728">
        <f>(AVERAGE(N728:P728)-1)/4</f>
        <v/>
      </c>
      <c r="AB728">
        <f>(AVERAGE(Q728:S728)-1)/4</f>
        <v/>
      </c>
      <c r="AC728">
        <f>(AVERAGE(T728:V728)-1)/4</f>
        <v/>
      </c>
      <c r="AD728">
        <f>AVERAGE(W728:AA728)</f>
        <v/>
      </c>
      <c r="AE728">
        <f>MIN(W728:AA728)</f>
        <v/>
      </c>
      <c r="AF728">
        <f>1-alpha*MAX(0,delta-AE728)</f>
        <v/>
      </c>
      <c r="AG728">
        <f>AD728*AF728</f>
        <v/>
      </c>
      <c r="AH728">
        <f>1+COUNTIF(bounds,"&lt;"&amp;ROUND(AD728,12))</f>
        <v/>
      </c>
      <c r="AI728">
        <f>1+COUNTIF(bounds,"&lt;"&amp;ROUND(AG728,12))</f>
        <v/>
      </c>
      <c r="AJ728">
        <f>IF(AF728&lt;1,1,0)</f>
        <v/>
      </c>
      <c r="AK728">
        <f>IF(AH728&lt;&gt;AI728,1,0)</f>
        <v/>
      </c>
      <c r="AL728">
        <f>IF(AND(AI728&gt;=3,AB728&lt;=0.2),1,0)</f>
        <v/>
      </c>
      <c r="AM728">
        <f>AVERAGE(W728:AB728)</f>
        <v/>
      </c>
      <c r="AN728">
        <f>1+COUNTIF(bounds,"&lt;"&amp;ROUND(AM728,12))</f>
        <v/>
      </c>
      <c r="AO728">
        <f>IF(AK728=1,AD728,NA())</f>
        <v/>
      </c>
      <c r="AP728">
        <f>IF(AK728=0,AD728,NA())</f>
        <v/>
      </c>
    </row>
    <row r="729">
      <c r="A729" t="n">
        <v>721</v>
      </c>
      <c r="B729" t="n">
        <v>3</v>
      </c>
      <c r="C729" t="n">
        <v>2</v>
      </c>
      <c r="D729" t="n">
        <v>3</v>
      </c>
      <c r="E729" t="n">
        <v>1</v>
      </c>
      <c r="F729" t="n">
        <v>1</v>
      </c>
      <c r="G729" t="n">
        <v>4</v>
      </c>
      <c r="H729" t="n">
        <v>1</v>
      </c>
      <c r="I729" t="n">
        <v>3</v>
      </c>
      <c r="J729" t="n">
        <v>5</v>
      </c>
      <c r="K729" t="n">
        <v>1</v>
      </c>
      <c r="L729" t="n">
        <v>3</v>
      </c>
      <c r="M729" t="n">
        <v>2</v>
      </c>
      <c r="N729" t="n">
        <v>4</v>
      </c>
      <c r="O729" t="n">
        <v>2</v>
      </c>
      <c r="P729" t="n">
        <v>2</v>
      </c>
      <c r="Q729" t="n">
        <v>4</v>
      </c>
      <c r="R729" t="n">
        <v>3</v>
      </c>
      <c r="S729" t="n">
        <v>2</v>
      </c>
      <c r="T729" t="n">
        <v>1</v>
      </c>
      <c r="U729" t="n">
        <v>3</v>
      </c>
      <c r="V729" t="n">
        <v>3</v>
      </c>
      <c r="W729">
        <f>(AVERAGE(B729:D729)-1)/4</f>
        <v/>
      </c>
      <c r="X729">
        <f>(AVERAGE(E729:G729)-1)/4</f>
        <v/>
      </c>
      <c r="Y729">
        <f>(AVERAGE(H729:J729)-1)/4</f>
        <v/>
      </c>
      <c r="Z729">
        <f>(AVERAGE(K729:M729)-1)/4</f>
        <v/>
      </c>
      <c r="AA729">
        <f>(AVERAGE(N729:P729)-1)/4</f>
        <v/>
      </c>
      <c r="AB729">
        <f>(AVERAGE(Q729:S729)-1)/4</f>
        <v/>
      </c>
      <c r="AC729">
        <f>(AVERAGE(T729:V729)-1)/4</f>
        <v/>
      </c>
      <c r="AD729">
        <f>AVERAGE(W729:AA729)</f>
        <v/>
      </c>
      <c r="AE729">
        <f>MIN(W729:AA729)</f>
        <v/>
      </c>
      <c r="AF729">
        <f>1-alpha*MAX(0,delta-AE729)</f>
        <v/>
      </c>
      <c r="AG729">
        <f>AD729*AF729</f>
        <v/>
      </c>
      <c r="AH729">
        <f>1+COUNTIF(bounds,"&lt;"&amp;ROUND(AD729,12))</f>
        <v/>
      </c>
      <c r="AI729">
        <f>1+COUNTIF(bounds,"&lt;"&amp;ROUND(AG729,12))</f>
        <v/>
      </c>
      <c r="AJ729">
        <f>IF(AF729&lt;1,1,0)</f>
        <v/>
      </c>
      <c r="AK729">
        <f>IF(AH729&lt;&gt;AI729,1,0)</f>
        <v/>
      </c>
      <c r="AL729">
        <f>IF(AND(AI729&gt;=3,AB729&lt;=0.2),1,0)</f>
        <v/>
      </c>
      <c r="AM729">
        <f>AVERAGE(W729:AB729)</f>
        <v/>
      </c>
      <c r="AN729">
        <f>1+COUNTIF(bounds,"&lt;"&amp;ROUND(AM729,12))</f>
        <v/>
      </c>
      <c r="AO729">
        <f>IF(AK729=1,AD729,NA())</f>
        <v/>
      </c>
      <c r="AP729">
        <f>IF(AK729=0,AD729,NA())</f>
        <v/>
      </c>
    </row>
    <row r="730">
      <c r="A730" t="n">
        <v>722</v>
      </c>
      <c r="B730" t="n">
        <v>1</v>
      </c>
      <c r="C730" t="n">
        <v>4</v>
      </c>
      <c r="D730" t="n">
        <v>5</v>
      </c>
      <c r="E730" t="n">
        <v>3</v>
      </c>
      <c r="F730" t="n">
        <v>5</v>
      </c>
      <c r="G730" t="n">
        <v>5</v>
      </c>
      <c r="H730" t="n">
        <v>3</v>
      </c>
      <c r="I730" t="n">
        <v>4</v>
      </c>
      <c r="J730" t="n">
        <v>1</v>
      </c>
      <c r="K730" t="n">
        <v>2</v>
      </c>
      <c r="L730" t="n">
        <v>1</v>
      </c>
      <c r="M730" t="n">
        <v>5</v>
      </c>
      <c r="N730" t="n">
        <v>3</v>
      </c>
      <c r="O730" t="n">
        <v>1</v>
      </c>
      <c r="P730" t="n">
        <v>3</v>
      </c>
      <c r="Q730" t="n">
        <v>1</v>
      </c>
      <c r="R730" t="n">
        <v>3</v>
      </c>
      <c r="S730" t="n">
        <v>1</v>
      </c>
      <c r="T730" t="n">
        <v>5</v>
      </c>
      <c r="U730" t="n">
        <v>2</v>
      </c>
      <c r="V730" t="n">
        <v>2</v>
      </c>
      <c r="W730">
        <f>(AVERAGE(B730:D730)-1)/4</f>
        <v/>
      </c>
      <c r="X730">
        <f>(AVERAGE(E730:G730)-1)/4</f>
        <v/>
      </c>
      <c r="Y730">
        <f>(AVERAGE(H730:J730)-1)/4</f>
        <v/>
      </c>
      <c r="Z730">
        <f>(AVERAGE(K730:M730)-1)/4</f>
        <v/>
      </c>
      <c r="AA730">
        <f>(AVERAGE(N730:P730)-1)/4</f>
        <v/>
      </c>
      <c r="AB730">
        <f>(AVERAGE(Q730:S730)-1)/4</f>
        <v/>
      </c>
      <c r="AC730">
        <f>(AVERAGE(T730:V730)-1)/4</f>
        <v/>
      </c>
      <c r="AD730">
        <f>AVERAGE(W730:AA730)</f>
        <v/>
      </c>
      <c r="AE730">
        <f>MIN(W730:AA730)</f>
        <v/>
      </c>
      <c r="AF730">
        <f>1-alpha*MAX(0,delta-AE730)</f>
        <v/>
      </c>
      <c r="AG730">
        <f>AD730*AF730</f>
        <v/>
      </c>
      <c r="AH730">
        <f>1+COUNTIF(bounds,"&lt;"&amp;ROUND(AD730,12))</f>
        <v/>
      </c>
      <c r="AI730">
        <f>1+COUNTIF(bounds,"&lt;"&amp;ROUND(AG730,12))</f>
        <v/>
      </c>
      <c r="AJ730">
        <f>IF(AF730&lt;1,1,0)</f>
        <v/>
      </c>
      <c r="AK730">
        <f>IF(AH730&lt;&gt;AI730,1,0)</f>
        <v/>
      </c>
      <c r="AL730">
        <f>IF(AND(AI730&gt;=3,AB730&lt;=0.2),1,0)</f>
        <v/>
      </c>
      <c r="AM730">
        <f>AVERAGE(W730:AB730)</f>
        <v/>
      </c>
      <c r="AN730">
        <f>1+COUNTIF(bounds,"&lt;"&amp;ROUND(AM730,12))</f>
        <v/>
      </c>
      <c r="AO730">
        <f>IF(AK730=1,AD730,NA())</f>
        <v/>
      </c>
      <c r="AP730">
        <f>IF(AK730=0,AD730,NA())</f>
        <v/>
      </c>
    </row>
    <row r="731">
      <c r="A731" t="n">
        <v>723</v>
      </c>
      <c r="B731" t="n">
        <v>1</v>
      </c>
      <c r="C731" t="n">
        <v>1</v>
      </c>
      <c r="D731" t="n">
        <v>2</v>
      </c>
      <c r="E731" t="n">
        <v>1</v>
      </c>
      <c r="F731" t="n">
        <v>2</v>
      </c>
      <c r="G731" t="n">
        <v>2</v>
      </c>
      <c r="H731" t="n">
        <v>3</v>
      </c>
      <c r="I731" t="n">
        <v>2</v>
      </c>
      <c r="J731" t="n">
        <v>1</v>
      </c>
      <c r="K731" t="n">
        <v>1</v>
      </c>
      <c r="L731" t="n">
        <v>5</v>
      </c>
      <c r="M731" t="n">
        <v>1</v>
      </c>
      <c r="N731" t="n">
        <v>4</v>
      </c>
      <c r="O731" t="n">
        <v>5</v>
      </c>
      <c r="P731" t="n">
        <v>4</v>
      </c>
      <c r="Q731" t="n">
        <v>3</v>
      </c>
      <c r="R731" t="n">
        <v>3</v>
      </c>
      <c r="S731" t="n">
        <v>2</v>
      </c>
      <c r="T731" t="n">
        <v>1</v>
      </c>
      <c r="U731" t="n">
        <v>2</v>
      </c>
      <c r="V731" t="n">
        <v>3</v>
      </c>
      <c r="W731">
        <f>(AVERAGE(B731:D731)-1)/4</f>
        <v/>
      </c>
      <c r="X731">
        <f>(AVERAGE(E731:G731)-1)/4</f>
        <v/>
      </c>
      <c r="Y731">
        <f>(AVERAGE(H731:J731)-1)/4</f>
        <v/>
      </c>
      <c r="Z731">
        <f>(AVERAGE(K731:M731)-1)/4</f>
        <v/>
      </c>
      <c r="AA731">
        <f>(AVERAGE(N731:P731)-1)/4</f>
        <v/>
      </c>
      <c r="AB731">
        <f>(AVERAGE(Q731:S731)-1)/4</f>
        <v/>
      </c>
      <c r="AC731">
        <f>(AVERAGE(T731:V731)-1)/4</f>
        <v/>
      </c>
      <c r="AD731">
        <f>AVERAGE(W731:AA731)</f>
        <v/>
      </c>
      <c r="AE731">
        <f>MIN(W731:AA731)</f>
        <v/>
      </c>
      <c r="AF731">
        <f>1-alpha*MAX(0,delta-AE731)</f>
        <v/>
      </c>
      <c r="AG731">
        <f>AD731*AF731</f>
        <v/>
      </c>
      <c r="AH731">
        <f>1+COUNTIF(bounds,"&lt;"&amp;ROUND(AD731,12))</f>
        <v/>
      </c>
      <c r="AI731">
        <f>1+COUNTIF(bounds,"&lt;"&amp;ROUND(AG731,12))</f>
        <v/>
      </c>
      <c r="AJ731">
        <f>IF(AF731&lt;1,1,0)</f>
        <v/>
      </c>
      <c r="AK731">
        <f>IF(AH731&lt;&gt;AI731,1,0)</f>
        <v/>
      </c>
      <c r="AL731">
        <f>IF(AND(AI731&gt;=3,AB731&lt;=0.2),1,0)</f>
        <v/>
      </c>
      <c r="AM731">
        <f>AVERAGE(W731:AB731)</f>
        <v/>
      </c>
      <c r="AN731">
        <f>1+COUNTIF(bounds,"&lt;"&amp;ROUND(AM731,12))</f>
        <v/>
      </c>
      <c r="AO731">
        <f>IF(AK731=1,AD731,NA())</f>
        <v/>
      </c>
      <c r="AP731">
        <f>IF(AK731=0,AD731,NA())</f>
        <v/>
      </c>
    </row>
    <row r="732">
      <c r="A732" t="n">
        <v>724</v>
      </c>
      <c r="B732" t="n">
        <v>1</v>
      </c>
      <c r="C732" t="n">
        <v>1</v>
      </c>
      <c r="D732" t="n">
        <v>4</v>
      </c>
      <c r="E732" t="n">
        <v>3</v>
      </c>
      <c r="F732" t="n">
        <v>3</v>
      </c>
      <c r="G732" t="n">
        <v>4</v>
      </c>
      <c r="H732" t="n">
        <v>5</v>
      </c>
      <c r="I732" t="n">
        <v>5</v>
      </c>
      <c r="J732" t="n">
        <v>4</v>
      </c>
      <c r="K732" t="n">
        <v>1</v>
      </c>
      <c r="L732" t="n">
        <v>4</v>
      </c>
      <c r="M732" t="n">
        <v>2</v>
      </c>
      <c r="N732" t="n">
        <v>4</v>
      </c>
      <c r="O732" t="n">
        <v>4</v>
      </c>
      <c r="P732" t="n">
        <v>3</v>
      </c>
      <c r="Q732" t="n">
        <v>1</v>
      </c>
      <c r="R732" t="n">
        <v>2</v>
      </c>
      <c r="S732" t="n">
        <v>1</v>
      </c>
      <c r="T732" t="n">
        <v>3</v>
      </c>
      <c r="U732" t="n">
        <v>3</v>
      </c>
      <c r="V732" t="n">
        <v>1</v>
      </c>
      <c r="W732">
        <f>(AVERAGE(B732:D732)-1)/4</f>
        <v/>
      </c>
      <c r="X732">
        <f>(AVERAGE(E732:G732)-1)/4</f>
        <v/>
      </c>
      <c r="Y732">
        <f>(AVERAGE(H732:J732)-1)/4</f>
        <v/>
      </c>
      <c r="Z732">
        <f>(AVERAGE(K732:M732)-1)/4</f>
        <v/>
      </c>
      <c r="AA732">
        <f>(AVERAGE(N732:P732)-1)/4</f>
        <v/>
      </c>
      <c r="AB732">
        <f>(AVERAGE(Q732:S732)-1)/4</f>
        <v/>
      </c>
      <c r="AC732">
        <f>(AVERAGE(T732:V732)-1)/4</f>
        <v/>
      </c>
      <c r="AD732">
        <f>AVERAGE(W732:AA732)</f>
        <v/>
      </c>
      <c r="AE732">
        <f>MIN(W732:AA732)</f>
        <v/>
      </c>
      <c r="AF732">
        <f>1-alpha*MAX(0,delta-AE732)</f>
        <v/>
      </c>
      <c r="AG732">
        <f>AD732*AF732</f>
        <v/>
      </c>
      <c r="AH732">
        <f>1+COUNTIF(bounds,"&lt;"&amp;ROUND(AD732,12))</f>
        <v/>
      </c>
      <c r="AI732">
        <f>1+COUNTIF(bounds,"&lt;"&amp;ROUND(AG732,12))</f>
        <v/>
      </c>
      <c r="AJ732">
        <f>IF(AF732&lt;1,1,0)</f>
        <v/>
      </c>
      <c r="AK732">
        <f>IF(AH732&lt;&gt;AI732,1,0)</f>
        <v/>
      </c>
      <c r="AL732">
        <f>IF(AND(AI732&gt;=3,AB732&lt;=0.2),1,0)</f>
        <v/>
      </c>
      <c r="AM732">
        <f>AVERAGE(W732:AB732)</f>
        <v/>
      </c>
      <c r="AN732">
        <f>1+COUNTIF(bounds,"&lt;"&amp;ROUND(AM732,12))</f>
        <v/>
      </c>
      <c r="AO732">
        <f>IF(AK732=1,AD732,NA())</f>
        <v/>
      </c>
      <c r="AP732">
        <f>IF(AK732=0,AD732,NA())</f>
        <v/>
      </c>
    </row>
    <row r="733">
      <c r="A733" t="n">
        <v>725</v>
      </c>
      <c r="B733" t="n">
        <v>2</v>
      </c>
      <c r="C733" t="n">
        <v>4</v>
      </c>
      <c r="D733" t="n">
        <v>2</v>
      </c>
      <c r="E733" t="n">
        <v>3</v>
      </c>
      <c r="F733" t="n">
        <v>1</v>
      </c>
      <c r="G733" t="n">
        <v>4</v>
      </c>
      <c r="H733" t="n">
        <v>1</v>
      </c>
      <c r="I733" t="n">
        <v>5</v>
      </c>
      <c r="J733" t="n">
        <v>1</v>
      </c>
      <c r="K733" t="n">
        <v>2</v>
      </c>
      <c r="L733" t="n">
        <v>3</v>
      </c>
      <c r="M733" t="n">
        <v>4</v>
      </c>
      <c r="N733" t="n">
        <v>1</v>
      </c>
      <c r="O733" t="n">
        <v>5</v>
      </c>
      <c r="P733" t="n">
        <v>2</v>
      </c>
      <c r="Q733" t="n">
        <v>2</v>
      </c>
      <c r="R733" t="n">
        <v>5</v>
      </c>
      <c r="S733" t="n">
        <v>2</v>
      </c>
      <c r="T733" t="n">
        <v>4</v>
      </c>
      <c r="U733" t="n">
        <v>3</v>
      </c>
      <c r="V733" t="n">
        <v>5</v>
      </c>
      <c r="W733">
        <f>(AVERAGE(B733:D733)-1)/4</f>
        <v/>
      </c>
      <c r="X733">
        <f>(AVERAGE(E733:G733)-1)/4</f>
        <v/>
      </c>
      <c r="Y733">
        <f>(AVERAGE(H733:J733)-1)/4</f>
        <v/>
      </c>
      <c r="Z733">
        <f>(AVERAGE(K733:M733)-1)/4</f>
        <v/>
      </c>
      <c r="AA733">
        <f>(AVERAGE(N733:P733)-1)/4</f>
        <v/>
      </c>
      <c r="AB733">
        <f>(AVERAGE(Q733:S733)-1)/4</f>
        <v/>
      </c>
      <c r="AC733">
        <f>(AVERAGE(T733:V733)-1)/4</f>
        <v/>
      </c>
      <c r="AD733">
        <f>AVERAGE(W733:AA733)</f>
        <v/>
      </c>
      <c r="AE733">
        <f>MIN(W733:AA733)</f>
        <v/>
      </c>
      <c r="AF733">
        <f>1-alpha*MAX(0,delta-AE733)</f>
        <v/>
      </c>
      <c r="AG733">
        <f>AD733*AF733</f>
        <v/>
      </c>
      <c r="AH733">
        <f>1+COUNTIF(bounds,"&lt;"&amp;ROUND(AD733,12))</f>
        <v/>
      </c>
      <c r="AI733">
        <f>1+COUNTIF(bounds,"&lt;"&amp;ROUND(AG733,12))</f>
        <v/>
      </c>
      <c r="AJ733">
        <f>IF(AF733&lt;1,1,0)</f>
        <v/>
      </c>
      <c r="AK733">
        <f>IF(AH733&lt;&gt;AI733,1,0)</f>
        <v/>
      </c>
      <c r="AL733">
        <f>IF(AND(AI733&gt;=3,AB733&lt;=0.2),1,0)</f>
        <v/>
      </c>
      <c r="AM733">
        <f>AVERAGE(W733:AB733)</f>
        <v/>
      </c>
      <c r="AN733">
        <f>1+COUNTIF(bounds,"&lt;"&amp;ROUND(AM733,12))</f>
        <v/>
      </c>
      <c r="AO733">
        <f>IF(AK733=1,AD733,NA())</f>
        <v/>
      </c>
      <c r="AP733">
        <f>IF(AK733=0,AD733,NA())</f>
        <v/>
      </c>
    </row>
    <row r="734">
      <c r="A734" t="n">
        <v>726</v>
      </c>
      <c r="B734" t="n">
        <v>3</v>
      </c>
      <c r="C734" t="n">
        <v>4</v>
      </c>
      <c r="D734" t="n">
        <v>5</v>
      </c>
      <c r="E734" t="n">
        <v>1</v>
      </c>
      <c r="F734" t="n">
        <v>5</v>
      </c>
      <c r="G734" t="n">
        <v>1</v>
      </c>
      <c r="H734" t="n">
        <v>5</v>
      </c>
      <c r="I734" t="n">
        <v>5</v>
      </c>
      <c r="J734" t="n">
        <v>2</v>
      </c>
      <c r="K734" t="n">
        <v>2</v>
      </c>
      <c r="L734" t="n">
        <v>4</v>
      </c>
      <c r="M734" t="n">
        <v>5</v>
      </c>
      <c r="N734" t="n">
        <v>2</v>
      </c>
      <c r="O734" t="n">
        <v>3</v>
      </c>
      <c r="P734" t="n">
        <v>5</v>
      </c>
      <c r="Q734" t="n">
        <v>5</v>
      </c>
      <c r="R734" t="n">
        <v>5</v>
      </c>
      <c r="S734" t="n">
        <v>1</v>
      </c>
      <c r="T734" t="n">
        <v>1</v>
      </c>
      <c r="U734" t="n">
        <v>4</v>
      </c>
      <c r="V734" t="n">
        <v>1</v>
      </c>
      <c r="W734">
        <f>(AVERAGE(B734:D734)-1)/4</f>
        <v/>
      </c>
      <c r="X734">
        <f>(AVERAGE(E734:G734)-1)/4</f>
        <v/>
      </c>
      <c r="Y734">
        <f>(AVERAGE(H734:J734)-1)/4</f>
        <v/>
      </c>
      <c r="Z734">
        <f>(AVERAGE(K734:M734)-1)/4</f>
        <v/>
      </c>
      <c r="AA734">
        <f>(AVERAGE(N734:P734)-1)/4</f>
        <v/>
      </c>
      <c r="AB734">
        <f>(AVERAGE(Q734:S734)-1)/4</f>
        <v/>
      </c>
      <c r="AC734">
        <f>(AVERAGE(T734:V734)-1)/4</f>
        <v/>
      </c>
      <c r="AD734">
        <f>AVERAGE(W734:AA734)</f>
        <v/>
      </c>
      <c r="AE734">
        <f>MIN(W734:AA734)</f>
        <v/>
      </c>
      <c r="AF734">
        <f>1-alpha*MAX(0,delta-AE734)</f>
        <v/>
      </c>
      <c r="AG734">
        <f>AD734*AF734</f>
        <v/>
      </c>
      <c r="AH734">
        <f>1+COUNTIF(bounds,"&lt;"&amp;ROUND(AD734,12))</f>
        <v/>
      </c>
      <c r="AI734">
        <f>1+COUNTIF(bounds,"&lt;"&amp;ROUND(AG734,12))</f>
        <v/>
      </c>
      <c r="AJ734">
        <f>IF(AF734&lt;1,1,0)</f>
        <v/>
      </c>
      <c r="AK734">
        <f>IF(AH734&lt;&gt;AI734,1,0)</f>
        <v/>
      </c>
      <c r="AL734">
        <f>IF(AND(AI734&gt;=3,AB734&lt;=0.2),1,0)</f>
        <v/>
      </c>
      <c r="AM734">
        <f>AVERAGE(W734:AB734)</f>
        <v/>
      </c>
      <c r="AN734">
        <f>1+COUNTIF(bounds,"&lt;"&amp;ROUND(AM734,12))</f>
        <v/>
      </c>
      <c r="AO734">
        <f>IF(AK734=1,AD734,NA())</f>
        <v/>
      </c>
      <c r="AP734">
        <f>IF(AK734=0,AD734,NA())</f>
        <v/>
      </c>
    </row>
    <row r="735">
      <c r="A735" t="n">
        <v>727</v>
      </c>
      <c r="B735" t="n">
        <v>3</v>
      </c>
      <c r="C735" t="n">
        <v>2</v>
      </c>
      <c r="D735" t="n">
        <v>4</v>
      </c>
      <c r="E735" t="n">
        <v>4</v>
      </c>
      <c r="F735" t="n">
        <v>5</v>
      </c>
      <c r="G735" t="n">
        <v>5</v>
      </c>
      <c r="H735" t="n">
        <v>4</v>
      </c>
      <c r="I735" t="n">
        <v>1</v>
      </c>
      <c r="J735" t="n">
        <v>2</v>
      </c>
      <c r="K735" t="n">
        <v>1</v>
      </c>
      <c r="L735" t="n">
        <v>3</v>
      </c>
      <c r="M735" t="n">
        <v>4</v>
      </c>
      <c r="N735" t="n">
        <v>1</v>
      </c>
      <c r="O735" t="n">
        <v>3</v>
      </c>
      <c r="P735" t="n">
        <v>4</v>
      </c>
      <c r="Q735" t="n">
        <v>4</v>
      </c>
      <c r="R735" t="n">
        <v>4</v>
      </c>
      <c r="S735" t="n">
        <v>3</v>
      </c>
      <c r="T735" t="n">
        <v>5</v>
      </c>
      <c r="U735" t="n">
        <v>5</v>
      </c>
      <c r="V735" t="n">
        <v>4</v>
      </c>
      <c r="W735">
        <f>(AVERAGE(B735:D735)-1)/4</f>
        <v/>
      </c>
      <c r="X735">
        <f>(AVERAGE(E735:G735)-1)/4</f>
        <v/>
      </c>
      <c r="Y735">
        <f>(AVERAGE(H735:J735)-1)/4</f>
        <v/>
      </c>
      <c r="Z735">
        <f>(AVERAGE(K735:M735)-1)/4</f>
        <v/>
      </c>
      <c r="AA735">
        <f>(AVERAGE(N735:P735)-1)/4</f>
        <v/>
      </c>
      <c r="AB735">
        <f>(AVERAGE(Q735:S735)-1)/4</f>
        <v/>
      </c>
      <c r="AC735">
        <f>(AVERAGE(T735:V735)-1)/4</f>
        <v/>
      </c>
      <c r="AD735">
        <f>AVERAGE(W735:AA735)</f>
        <v/>
      </c>
      <c r="AE735">
        <f>MIN(W735:AA735)</f>
        <v/>
      </c>
      <c r="AF735">
        <f>1-alpha*MAX(0,delta-AE735)</f>
        <v/>
      </c>
      <c r="AG735">
        <f>AD735*AF735</f>
        <v/>
      </c>
      <c r="AH735">
        <f>1+COUNTIF(bounds,"&lt;"&amp;ROUND(AD735,12))</f>
        <v/>
      </c>
      <c r="AI735">
        <f>1+COUNTIF(bounds,"&lt;"&amp;ROUND(AG735,12))</f>
        <v/>
      </c>
      <c r="AJ735">
        <f>IF(AF735&lt;1,1,0)</f>
        <v/>
      </c>
      <c r="AK735">
        <f>IF(AH735&lt;&gt;AI735,1,0)</f>
        <v/>
      </c>
      <c r="AL735">
        <f>IF(AND(AI735&gt;=3,AB735&lt;=0.2),1,0)</f>
        <v/>
      </c>
      <c r="AM735">
        <f>AVERAGE(W735:AB735)</f>
        <v/>
      </c>
      <c r="AN735">
        <f>1+COUNTIF(bounds,"&lt;"&amp;ROUND(AM735,12))</f>
        <v/>
      </c>
      <c r="AO735">
        <f>IF(AK735=1,AD735,NA())</f>
        <v/>
      </c>
      <c r="AP735">
        <f>IF(AK735=0,AD735,NA())</f>
        <v/>
      </c>
    </row>
    <row r="736">
      <c r="A736" t="n">
        <v>728</v>
      </c>
      <c r="B736" t="n">
        <v>2</v>
      </c>
      <c r="C736" t="n">
        <v>2</v>
      </c>
      <c r="D736" t="n">
        <v>1</v>
      </c>
      <c r="E736" t="n">
        <v>4</v>
      </c>
      <c r="F736" t="n">
        <v>3</v>
      </c>
      <c r="G736" t="n">
        <v>3</v>
      </c>
      <c r="H736" t="n">
        <v>5</v>
      </c>
      <c r="I736" t="n">
        <v>5</v>
      </c>
      <c r="J736" t="n">
        <v>3</v>
      </c>
      <c r="K736" t="n">
        <v>1</v>
      </c>
      <c r="L736" t="n">
        <v>2</v>
      </c>
      <c r="M736" t="n">
        <v>2</v>
      </c>
      <c r="N736" t="n">
        <v>5</v>
      </c>
      <c r="O736" t="n">
        <v>3</v>
      </c>
      <c r="P736" t="n">
        <v>1</v>
      </c>
      <c r="Q736" t="n">
        <v>1</v>
      </c>
      <c r="R736" t="n">
        <v>3</v>
      </c>
      <c r="S736" t="n">
        <v>2</v>
      </c>
      <c r="T736" t="n">
        <v>5</v>
      </c>
      <c r="U736" t="n">
        <v>4</v>
      </c>
      <c r="V736" t="n">
        <v>1</v>
      </c>
      <c r="W736">
        <f>(AVERAGE(B736:D736)-1)/4</f>
        <v/>
      </c>
      <c r="X736">
        <f>(AVERAGE(E736:G736)-1)/4</f>
        <v/>
      </c>
      <c r="Y736">
        <f>(AVERAGE(H736:J736)-1)/4</f>
        <v/>
      </c>
      <c r="Z736">
        <f>(AVERAGE(K736:M736)-1)/4</f>
        <v/>
      </c>
      <c r="AA736">
        <f>(AVERAGE(N736:P736)-1)/4</f>
        <v/>
      </c>
      <c r="AB736">
        <f>(AVERAGE(Q736:S736)-1)/4</f>
        <v/>
      </c>
      <c r="AC736">
        <f>(AVERAGE(T736:V736)-1)/4</f>
        <v/>
      </c>
      <c r="AD736">
        <f>AVERAGE(W736:AA736)</f>
        <v/>
      </c>
      <c r="AE736">
        <f>MIN(W736:AA736)</f>
        <v/>
      </c>
      <c r="AF736">
        <f>1-alpha*MAX(0,delta-AE736)</f>
        <v/>
      </c>
      <c r="AG736">
        <f>AD736*AF736</f>
        <v/>
      </c>
      <c r="AH736">
        <f>1+COUNTIF(bounds,"&lt;"&amp;ROUND(AD736,12))</f>
        <v/>
      </c>
      <c r="AI736">
        <f>1+COUNTIF(bounds,"&lt;"&amp;ROUND(AG736,12))</f>
        <v/>
      </c>
      <c r="AJ736">
        <f>IF(AF736&lt;1,1,0)</f>
        <v/>
      </c>
      <c r="AK736">
        <f>IF(AH736&lt;&gt;AI736,1,0)</f>
        <v/>
      </c>
      <c r="AL736">
        <f>IF(AND(AI736&gt;=3,AB736&lt;=0.2),1,0)</f>
        <v/>
      </c>
      <c r="AM736">
        <f>AVERAGE(W736:AB736)</f>
        <v/>
      </c>
      <c r="AN736">
        <f>1+COUNTIF(bounds,"&lt;"&amp;ROUND(AM736,12))</f>
        <v/>
      </c>
      <c r="AO736">
        <f>IF(AK736=1,AD736,NA())</f>
        <v/>
      </c>
      <c r="AP736">
        <f>IF(AK736=0,AD736,NA())</f>
        <v/>
      </c>
    </row>
    <row r="737">
      <c r="A737" t="n">
        <v>729</v>
      </c>
      <c r="B737" t="n">
        <v>2</v>
      </c>
      <c r="C737" t="n">
        <v>3</v>
      </c>
      <c r="D737" t="n">
        <v>4</v>
      </c>
      <c r="E737" t="n">
        <v>3</v>
      </c>
      <c r="F737" t="n">
        <v>4</v>
      </c>
      <c r="G737" t="n">
        <v>4</v>
      </c>
      <c r="H737" t="n">
        <v>5</v>
      </c>
      <c r="I737" t="n">
        <v>1</v>
      </c>
      <c r="J737" t="n">
        <v>4</v>
      </c>
      <c r="K737" t="n">
        <v>5</v>
      </c>
      <c r="L737" t="n">
        <v>1</v>
      </c>
      <c r="M737" t="n">
        <v>1</v>
      </c>
      <c r="N737" t="n">
        <v>4</v>
      </c>
      <c r="O737" t="n">
        <v>2</v>
      </c>
      <c r="P737" t="n">
        <v>1</v>
      </c>
      <c r="Q737" t="n">
        <v>3</v>
      </c>
      <c r="R737" t="n">
        <v>2</v>
      </c>
      <c r="S737" t="n">
        <v>4</v>
      </c>
      <c r="T737" t="n">
        <v>1</v>
      </c>
      <c r="U737" t="n">
        <v>1</v>
      </c>
      <c r="V737" t="n">
        <v>5</v>
      </c>
      <c r="W737">
        <f>(AVERAGE(B737:D737)-1)/4</f>
        <v/>
      </c>
      <c r="X737">
        <f>(AVERAGE(E737:G737)-1)/4</f>
        <v/>
      </c>
      <c r="Y737">
        <f>(AVERAGE(H737:J737)-1)/4</f>
        <v/>
      </c>
      <c r="Z737">
        <f>(AVERAGE(K737:M737)-1)/4</f>
        <v/>
      </c>
      <c r="AA737">
        <f>(AVERAGE(N737:P737)-1)/4</f>
        <v/>
      </c>
      <c r="AB737">
        <f>(AVERAGE(Q737:S737)-1)/4</f>
        <v/>
      </c>
      <c r="AC737">
        <f>(AVERAGE(T737:V737)-1)/4</f>
        <v/>
      </c>
      <c r="AD737">
        <f>AVERAGE(W737:AA737)</f>
        <v/>
      </c>
      <c r="AE737">
        <f>MIN(W737:AA737)</f>
        <v/>
      </c>
      <c r="AF737">
        <f>1-alpha*MAX(0,delta-AE737)</f>
        <v/>
      </c>
      <c r="AG737">
        <f>AD737*AF737</f>
        <v/>
      </c>
      <c r="AH737">
        <f>1+COUNTIF(bounds,"&lt;"&amp;ROUND(AD737,12))</f>
        <v/>
      </c>
      <c r="AI737">
        <f>1+COUNTIF(bounds,"&lt;"&amp;ROUND(AG737,12))</f>
        <v/>
      </c>
      <c r="AJ737">
        <f>IF(AF737&lt;1,1,0)</f>
        <v/>
      </c>
      <c r="AK737">
        <f>IF(AH737&lt;&gt;AI737,1,0)</f>
        <v/>
      </c>
      <c r="AL737">
        <f>IF(AND(AI737&gt;=3,AB737&lt;=0.2),1,0)</f>
        <v/>
      </c>
      <c r="AM737">
        <f>AVERAGE(W737:AB737)</f>
        <v/>
      </c>
      <c r="AN737">
        <f>1+COUNTIF(bounds,"&lt;"&amp;ROUND(AM737,12))</f>
        <v/>
      </c>
      <c r="AO737">
        <f>IF(AK737=1,AD737,NA())</f>
        <v/>
      </c>
      <c r="AP737">
        <f>IF(AK737=0,AD737,NA())</f>
        <v/>
      </c>
    </row>
    <row r="738">
      <c r="A738" t="n">
        <v>730</v>
      </c>
      <c r="B738" t="n">
        <v>5</v>
      </c>
      <c r="C738" t="n">
        <v>2</v>
      </c>
      <c r="D738" t="n">
        <v>4</v>
      </c>
      <c r="E738" t="n">
        <v>4</v>
      </c>
      <c r="F738" t="n">
        <v>4</v>
      </c>
      <c r="G738" t="n">
        <v>1</v>
      </c>
      <c r="H738" t="n">
        <v>5</v>
      </c>
      <c r="I738" t="n">
        <v>3</v>
      </c>
      <c r="J738" t="n">
        <v>2</v>
      </c>
      <c r="K738" t="n">
        <v>2</v>
      </c>
      <c r="L738" t="n">
        <v>3</v>
      </c>
      <c r="M738" t="n">
        <v>5</v>
      </c>
      <c r="N738" t="n">
        <v>2</v>
      </c>
      <c r="O738" t="n">
        <v>3</v>
      </c>
      <c r="P738" t="n">
        <v>3</v>
      </c>
      <c r="Q738" t="n">
        <v>1</v>
      </c>
      <c r="R738" t="n">
        <v>5</v>
      </c>
      <c r="S738" t="n">
        <v>4</v>
      </c>
      <c r="T738" t="n">
        <v>2</v>
      </c>
      <c r="U738" t="n">
        <v>3</v>
      </c>
      <c r="V738" t="n">
        <v>4</v>
      </c>
      <c r="W738">
        <f>(AVERAGE(B738:D738)-1)/4</f>
        <v/>
      </c>
      <c r="X738">
        <f>(AVERAGE(E738:G738)-1)/4</f>
        <v/>
      </c>
      <c r="Y738">
        <f>(AVERAGE(H738:J738)-1)/4</f>
        <v/>
      </c>
      <c r="Z738">
        <f>(AVERAGE(K738:M738)-1)/4</f>
        <v/>
      </c>
      <c r="AA738">
        <f>(AVERAGE(N738:P738)-1)/4</f>
        <v/>
      </c>
      <c r="AB738">
        <f>(AVERAGE(Q738:S738)-1)/4</f>
        <v/>
      </c>
      <c r="AC738">
        <f>(AVERAGE(T738:V738)-1)/4</f>
        <v/>
      </c>
      <c r="AD738">
        <f>AVERAGE(W738:AA738)</f>
        <v/>
      </c>
      <c r="AE738">
        <f>MIN(W738:AA738)</f>
        <v/>
      </c>
      <c r="AF738">
        <f>1-alpha*MAX(0,delta-AE738)</f>
        <v/>
      </c>
      <c r="AG738">
        <f>AD738*AF738</f>
        <v/>
      </c>
      <c r="AH738">
        <f>1+COUNTIF(bounds,"&lt;"&amp;ROUND(AD738,12))</f>
        <v/>
      </c>
      <c r="AI738">
        <f>1+COUNTIF(bounds,"&lt;"&amp;ROUND(AG738,12))</f>
        <v/>
      </c>
      <c r="AJ738">
        <f>IF(AF738&lt;1,1,0)</f>
        <v/>
      </c>
      <c r="AK738">
        <f>IF(AH738&lt;&gt;AI738,1,0)</f>
        <v/>
      </c>
      <c r="AL738">
        <f>IF(AND(AI738&gt;=3,AB738&lt;=0.2),1,0)</f>
        <v/>
      </c>
      <c r="AM738">
        <f>AVERAGE(W738:AB738)</f>
        <v/>
      </c>
      <c r="AN738">
        <f>1+COUNTIF(bounds,"&lt;"&amp;ROUND(AM738,12))</f>
        <v/>
      </c>
      <c r="AO738">
        <f>IF(AK738=1,AD738,NA())</f>
        <v/>
      </c>
      <c r="AP738">
        <f>IF(AK738=0,AD738,NA())</f>
        <v/>
      </c>
    </row>
    <row r="739">
      <c r="A739" t="n">
        <v>731</v>
      </c>
      <c r="B739" t="n">
        <v>4</v>
      </c>
      <c r="C739" t="n">
        <v>5</v>
      </c>
      <c r="D739" t="n">
        <v>5</v>
      </c>
      <c r="E739" t="n">
        <v>1</v>
      </c>
      <c r="F739" t="n">
        <v>4</v>
      </c>
      <c r="G739" t="n">
        <v>4</v>
      </c>
      <c r="H739" t="n">
        <v>5</v>
      </c>
      <c r="I739" t="n">
        <v>1</v>
      </c>
      <c r="J739" t="n">
        <v>1</v>
      </c>
      <c r="K739" t="n">
        <v>2</v>
      </c>
      <c r="L739" t="n">
        <v>3</v>
      </c>
      <c r="M739" t="n">
        <v>2</v>
      </c>
      <c r="N739" t="n">
        <v>2</v>
      </c>
      <c r="O739" t="n">
        <v>4</v>
      </c>
      <c r="P739" t="n">
        <v>1</v>
      </c>
      <c r="Q739" t="n">
        <v>1</v>
      </c>
      <c r="R739" t="n">
        <v>3</v>
      </c>
      <c r="S739" t="n">
        <v>5</v>
      </c>
      <c r="T739" t="n">
        <v>3</v>
      </c>
      <c r="U739" t="n">
        <v>3</v>
      </c>
      <c r="V739" t="n">
        <v>2</v>
      </c>
      <c r="W739">
        <f>(AVERAGE(B739:D739)-1)/4</f>
        <v/>
      </c>
      <c r="X739">
        <f>(AVERAGE(E739:G739)-1)/4</f>
        <v/>
      </c>
      <c r="Y739">
        <f>(AVERAGE(H739:J739)-1)/4</f>
        <v/>
      </c>
      <c r="Z739">
        <f>(AVERAGE(K739:M739)-1)/4</f>
        <v/>
      </c>
      <c r="AA739">
        <f>(AVERAGE(N739:P739)-1)/4</f>
        <v/>
      </c>
      <c r="AB739">
        <f>(AVERAGE(Q739:S739)-1)/4</f>
        <v/>
      </c>
      <c r="AC739">
        <f>(AVERAGE(T739:V739)-1)/4</f>
        <v/>
      </c>
      <c r="AD739">
        <f>AVERAGE(W739:AA739)</f>
        <v/>
      </c>
      <c r="AE739">
        <f>MIN(W739:AA739)</f>
        <v/>
      </c>
      <c r="AF739">
        <f>1-alpha*MAX(0,delta-AE739)</f>
        <v/>
      </c>
      <c r="AG739">
        <f>AD739*AF739</f>
        <v/>
      </c>
      <c r="AH739">
        <f>1+COUNTIF(bounds,"&lt;"&amp;ROUND(AD739,12))</f>
        <v/>
      </c>
      <c r="AI739">
        <f>1+COUNTIF(bounds,"&lt;"&amp;ROUND(AG739,12))</f>
        <v/>
      </c>
      <c r="AJ739">
        <f>IF(AF739&lt;1,1,0)</f>
        <v/>
      </c>
      <c r="AK739">
        <f>IF(AH739&lt;&gt;AI739,1,0)</f>
        <v/>
      </c>
      <c r="AL739">
        <f>IF(AND(AI739&gt;=3,AB739&lt;=0.2),1,0)</f>
        <v/>
      </c>
      <c r="AM739">
        <f>AVERAGE(W739:AB739)</f>
        <v/>
      </c>
      <c r="AN739">
        <f>1+COUNTIF(bounds,"&lt;"&amp;ROUND(AM739,12))</f>
        <v/>
      </c>
      <c r="AO739">
        <f>IF(AK739=1,AD739,NA())</f>
        <v/>
      </c>
      <c r="AP739">
        <f>IF(AK739=0,AD739,NA())</f>
        <v/>
      </c>
    </row>
    <row r="740">
      <c r="A740" t="n">
        <v>732</v>
      </c>
      <c r="B740" t="n">
        <v>3</v>
      </c>
      <c r="C740" t="n">
        <v>3</v>
      </c>
      <c r="D740" t="n">
        <v>5</v>
      </c>
      <c r="E740" t="n">
        <v>4</v>
      </c>
      <c r="F740" t="n">
        <v>4</v>
      </c>
      <c r="G740" t="n">
        <v>2</v>
      </c>
      <c r="H740" t="n">
        <v>2</v>
      </c>
      <c r="I740" t="n">
        <v>2</v>
      </c>
      <c r="J740" t="n">
        <v>1</v>
      </c>
      <c r="K740" t="n">
        <v>5</v>
      </c>
      <c r="L740" t="n">
        <v>4</v>
      </c>
      <c r="M740" t="n">
        <v>4</v>
      </c>
      <c r="N740" t="n">
        <v>5</v>
      </c>
      <c r="O740" t="n">
        <v>1</v>
      </c>
      <c r="P740" t="n">
        <v>4</v>
      </c>
      <c r="Q740" t="n">
        <v>1</v>
      </c>
      <c r="R740" t="n">
        <v>1</v>
      </c>
      <c r="S740" t="n">
        <v>2</v>
      </c>
      <c r="T740" t="n">
        <v>4</v>
      </c>
      <c r="U740" t="n">
        <v>4</v>
      </c>
      <c r="V740" t="n">
        <v>1</v>
      </c>
      <c r="W740">
        <f>(AVERAGE(B740:D740)-1)/4</f>
        <v/>
      </c>
      <c r="X740">
        <f>(AVERAGE(E740:G740)-1)/4</f>
        <v/>
      </c>
      <c r="Y740">
        <f>(AVERAGE(H740:J740)-1)/4</f>
        <v/>
      </c>
      <c r="Z740">
        <f>(AVERAGE(K740:M740)-1)/4</f>
        <v/>
      </c>
      <c r="AA740">
        <f>(AVERAGE(N740:P740)-1)/4</f>
        <v/>
      </c>
      <c r="AB740">
        <f>(AVERAGE(Q740:S740)-1)/4</f>
        <v/>
      </c>
      <c r="AC740">
        <f>(AVERAGE(T740:V740)-1)/4</f>
        <v/>
      </c>
      <c r="AD740">
        <f>AVERAGE(W740:AA740)</f>
        <v/>
      </c>
      <c r="AE740">
        <f>MIN(W740:AA740)</f>
        <v/>
      </c>
      <c r="AF740">
        <f>1-alpha*MAX(0,delta-AE740)</f>
        <v/>
      </c>
      <c r="AG740">
        <f>AD740*AF740</f>
        <v/>
      </c>
      <c r="AH740">
        <f>1+COUNTIF(bounds,"&lt;"&amp;ROUND(AD740,12))</f>
        <v/>
      </c>
      <c r="AI740">
        <f>1+COUNTIF(bounds,"&lt;"&amp;ROUND(AG740,12))</f>
        <v/>
      </c>
      <c r="AJ740">
        <f>IF(AF740&lt;1,1,0)</f>
        <v/>
      </c>
      <c r="AK740">
        <f>IF(AH740&lt;&gt;AI740,1,0)</f>
        <v/>
      </c>
      <c r="AL740">
        <f>IF(AND(AI740&gt;=3,AB740&lt;=0.2),1,0)</f>
        <v/>
      </c>
      <c r="AM740">
        <f>AVERAGE(W740:AB740)</f>
        <v/>
      </c>
      <c r="AN740">
        <f>1+COUNTIF(bounds,"&lt;"&amp;ROUND(AM740,12))</f>
        <v/>
      </c>
      <c r="AO740">
        <f>IF(AK740=1,AD740,NA())</f>
        <v/>
      </c>
      <c r="AP740">
        <f>IF(AK740=0,AD740,NA())</f>
        <v/>
      </c>
    </row>
    <row r="741">
      <c r="A741" t="n">
        <v>733</v>
      </c>
      <c r="B741" t="n">
        <v>1</v>
      </c>
      <c r="C741" t="n">
        <v>4</v>
      </c>
      <c r="D741" t="n">
        <v>5</v>
      </c>
      <c r="E741" t="n">
        <v>2</v>
      </c>
      <c r="F741" t="n">
        <v>3</v>
      </c>
      <c r="G741" t="n">
        <v>2</v>
      </c>
      <c r="H741" t="n">
        <v>1</v>
      </c>
      <c r="I741" t="n">
        <v>3</v>
      </c>
      <c r="J741" t="n">
        <v>1</v>
      </c>
      <c r="K741" t="n">
        <v>3</v>
      </c>
      <c r="L741" t="n">
        <v>2</v>
      </c>
      <c r="M741" t="n">
        <v>4</v>
      </c>
      <c r="N741" t="n">
        <v>1</v>
      </c>
      <c r="O741" t="n">
        <v>3</v>
      </c>
      <c r="P741" t="n">
        <v>1</v>
      </c>
      <c r="Q741" t="n">
        <v>5</v>
      </c>
      <c r="R741" t="n">
        <v>3</v>
      </c>
      <c r="S741" t="n">
        <v>3</v>
      </c>
      <c r="T741" t="n">
        <v>4</v>
      </c>
      <c r="U741" t="n">
        <v>4</v>
      </c>
      <c r="V741" t="n">
        <v>1</v>
      </c>
      <c r="W741">
        <f>(AVERAGE(B741:D741)-1)/4</f>
        <v/>
      </c>
      <c r="X741">
        <f>(AVERAGE(E741:G741)-1)/4</f>
        <v/>
      </c>
      <c r="Y741">
        <f>(AVERAGE(H741:J741)-1)/4</f>
        <v/>
      </c>
      <c r="Z741">
        <f>(AVERAGE(K741:M741)-1)/4</f>
        <v/>
      </c>
      <c r="AA741">
        <f>(AVERAGE(N741:P741)-1)/4</f>
        <v/>
      </c>
      <c r="AB741">
        <f>(AVERAGE(Q741:S741)-1)/4</f>
        <v/>
      </c>
      <c r="AC741">
        <f>(AVERAGE(T741:V741)-1)/4</f>
        <v/>
      </c>
      <c r="AD741">
        <f>AVERAGE(W741:AA741)</f>
        <v/>
      </c>
      <c r="AE741">
        <f>MIN(W741:AA741)</f>
        <v/>
      </c>
      <c r="AF741">
        <f>1-alpha*MAX(0,delta-AE741)</f>
        <v/>
      </c>
      <c r="AG741">
        <f>AD741*AF741</f>
        <v/>
      </c>
      <c r="AH741">
        <f>1+COUNTIF(bounds,"&lt;"&amp;ROUND(AD741,12))</f>
        <v/>
      </c>
      <c r="AI741">
        <f>1+COUNTIF(bounds,"&lt;"&amp;ROUND(AG741,12))</f>
        <v/>
      </c>
      <c r="AJ741">
        <f>IF(AF741&lt;1,1,0)</f>
        <v/>
      </c>
      <c r="AK741">
        <f>IF(AH741&lt;&gt;AI741,1,0)</f>
        <v/>
      </c>
      <c r="AL741">
        <f>IF(AND(AI741&gt;=3,AB741&lt;=0.2),1,0)</f>
        <v/>
      </c>
      <c r="AM741">
        <f>AVERAGE(W741:AB741)</f>
        <v/>
      </c>
      <c r="AN741">
        <f>1+COUNTIF(bounds,"&lt;"&amp;ROUND(AM741,12))</f>
        <v/>
      </c>
      <c r="AO741">
        <f>IF(AK741=1,AD741,NA())</f>
        <v/>
      </c>
      <c r="AP741">
        <f>IF(AK741=0,AD741,NA())</f>
        <v/>
      </c>
    </row>
    <row r="742">
      <c r="A742" t="n">
        <v>734</v>
      </c>
      <c r="B742" t="n">
        <v>5</v>
      </c>
      <c r="C742" t="n">
        <v>1</v>
      </c>
      <c r="D742" t="n">
        <v>4</v>
      </c>
      <c r="E742" t="n">
        <v>2</v>
      </c>
      <c r="F742" t="n">
        <v>2</v>
      </c>
      <c r="G742" t="n">
        <v>1</v>
      </c>
      <c r="H742" t="n">
        <v>5</v>
      </c>
      <c r="I742" t="n">
        <v>5</v>
      </c>
      <c r="J742" t="n">
        <v>2</v>
      </c>
      <c r="K742" t="n">
        <v>2</v>
      </c>
      <c r="L742" t="n">
        <v>3</v>
      </c>
      <c r="M742" t="n">
        <v>3</v>
      </c>
      <c r="N742" t="n">
        <v>5</v>
      </c>
      <c r="O742" t="n">
        <v>3</v>
      </c>
      <c r="P742" t="n">
        <v>1</v>
      </c>
      <c r="Q742" t="n">
        <v>3</v>
      </c>
      <c r="R742" t="n">
        <v>5</v>
      </c>
      <c r="S742" t="n">
        <v>1</v>
      </c>
      <c r="T742" t="n">
        <v>1</v>
      </c>
      <c r="U742" t="n">
        <v>2</v>
      </c>
      <c r="V742" t="n">
        <v>4</v>
      </c>
      <c r="W742">
        <f>(AVERAGE(B742:D742)-1)/4</f>
        <v/>
      </c>
      <c r="X742">
        <f>(AVERAGE(E742:G742)-1)/4</f>
        <v/>
      </c>
      <c r="Y742">
        <f>(AVERAGE(H742:J742)-1)/4</f>
        <v/>
      </c>
      <c r="Z742">
        <f>(AVERAGE(K742:M742)-1)/4</f>
        <v/>
      </c>
      <c r="AA742">
        <f>(AVERAGE(N742:P742)-1)/4</f>
        <v/>
      </c>
      <c r="AB742">
        <f>(AVERAGE(Q742:S742)-1)/4</f>
        <v/>
      </c>
      <c r="AC742">
        <f>(AVERAGE(T742:V742)-1)/4</f>
        <v/>
      </c>
      <c r="AD742">
        <f>AVERAGE(W742:AA742)</f>
        <v/>
      </c>
      <c r="AE742">
        <f>MIN(W742:AA742)</f>
        <v/>
      </c>
      <c r="AF742">
        <f>1-alpha*MAX(0,delta-AE742)</f>
        <v/>
      </c>
      <c r="AG742">
        <f>AD742*AF742</f>
        <v/>
      </c>
      <c r="AH742">
        <f>1+COUNTIF(bounds,"&lt;"&amp;ROUND(AD742,12))</f>
        <v/>
      </c>
      <c r="AI742">
        <f>1+COUNTIF(bounds,"&lt;"&amp;ROUND(AG742,12))</f>
        <v/>
      </c>
      <c r="AJ742">
        <f>IF(AF742&lt;1,1,0)</f>
        <v/>
      </c>
      <c r="AK742">
        <f>IF(AH742&lt;&gt;AI742,1,0)</f>
        <v/>
      </c>
      <c r="AL742">
        <f>IF(AND(AI742&gt;=3,AB742&lt;=0.2),1,0)</f>
        <v/>
      </c>
      <c r="AM742">
        <f>AVERAGE(W742:AB742)</f>
        <v/>
      </c>
      <c r="AN742">
        <f>1+COUNTIF(bounds,"&lt;"&amp;ROUND(AM742,12))</f>
        <v/>
      </c>
      <c r="AO742">
        <f>IF(AK742=1,AD742,NA())</f>
        <v/>
      </c>
      <c r="AP742">
        <f>IF(AK742=0,AD742,NA())</f>
        <v/>
      </c>
    </row>
    <row r="743">
      <c r="A743" t="n">
        <v>735</v>
      </c>
      <c r="B743" t="n">
        <v>3</v>
      </c>
      <c r="C743" t="n">
        <v>1</v>
      </c>
      <c r="D743" t="n">
        <v>4</v>
      </c>
      <c r="E743" t="n">
        <v>2</v>
      </c>
      <c r="F743" t="n">
        <v>3</v>
      </c>
      <c r="G743" t="n">
        <v>4</v>
      </c>
      <c r="H743" t="n">
        <v>3</v>
      </c>
      <c r="I743" t="n">
        <v>4</v>
      </c>
      <c r="J743" t="n">
        <v>1</v>
      </c>
      <c r="K743" t="n">
        <v>3</v>
      </c>
      <c r="L743" t="n">
        <v>4</v>
      </c>
      <c r="M743" t="n">
        <v>1</v>
      </c>
      <c r="N743" t="n">
        <v>3</v>
      </c>
      <c r="O743" t="n">
        <v>4</v>
      </c>
      <c r="P743" t="n">
        <v>1</v>
      </c>
      <c r="Q743" t="n">
        <v>4</v>
      </c>
      <c r="R743" t="n">
        <v>2</v>
      </c>
      <c r="S743" t="n">
        <v>1</v>
      </c>
      <c r="T743" t="n">
        <v>2</v>
      </c>
      <c r="U743" t="n">
        <v>1</v>
      </c>
      <c r="V743" t="n">
        <v>1</v>
      </c>
      <c r="W743">
        <f>(AVERAGE(B743:D743)-1)/4</f>
        <v/>
      </c>
      <c r="X743">
        <f>(AVERAGE(E743:G743)-1)/4</f>
        <v/>
      </c>
      <c r="Y743">
        <f>(AVERAGE(H743:J743)-1)/4</f>
        <v/>
      </c>
      <c r="Z743">
        <f>(AVERAGE(K743:M743)-1)/4</f>
        <v/>
      </c>
      <c r="AA743">
        <f>(AVERAGE(N743:P743)-1)/4</f>
        <v/>
      </c>
      <c r="AB743">
        <f>(AVERAGE(Q743:S743)-1)/4</f>
        <v/>
      </c>
      <c r="AC743">
        <f>(AVERAGE(T743:V743)-1)/4</f>
        <v/>
      </c>
      <c r="AD743">
        <f>AVERAGE(W743:AA743)</f>
        <v/>
      </c>
      <c r="AE743">
        <f>MIN(W743:AA743)</f>
        <v/>
      </c>
      <c r="AF743">
        <f>1-alpha*MAX(0,delta-AE743)</f>
        <v/>
      </c>
      <c r="AG743">
        <f>AD743*AF743</f>
        <v/>
      </c>
      <c r="AH743">
        <f>1+COUNTIF(bounds,"&lt;"&amp;ROUND(AD743,12))</f>
        <v/>
      </c>
      <c r="AI743">
        <f>1+COUNTIF(bounds,"&lt;"&amp;ROUND(AG743,12))</f>
        <v/>
      </c>
      <c r="AJ743">
        <f>IF(AF743&lt;1,1,0)</f>
        <v/>
      </c>
      <c r="AK743">
        <f>IF(AH743&lt;&gt;AI743,1,0)</f>
        <v/>
      </c>
      <c r="AL743">
        <f>IF(AND(AI743&gt;=3,AB743&lt;=0.2),1,0)</f>
        <v/>
      </c>
      <c r="AM743">
        <f>AVERAGE(W743:AB743)</f>
        <v/>
      </c>
      <c r="AN743">
        <f>1+COUNTIF(bounds,"&lt;"&amp;ROUND(AM743,12))</f>
        <v/>
      </c>
      <c r="AO743">
        <f>IF(AK743=1,AD743,NA())</f>
        <v/>
      </c>
      <c r="AP743">
        <f>IF(AK743=0,AD743,NA())</f>
        <v/>
      </c>
    </row>
    <row r="744">
      <c r="A744" t="n">
        <v>736</v>
      </c>
      <c r="B744" t="n">
        <v>3</v>
      </c>
      <c r="C744" t="n">
        <v>3</v>
      </c>
      <c r="D744" t="n">
        <v>2</v>
      </c>
      <c r="E744" t="n">
        <v>3</v>
      </c>
      <c r="F744" t="n">
        <v>3</v>
      </c>
      <c r="G744" t="n">
        <v>2</v>
      </c>
      <c r="H744" t="n">
        <v>4</v>
      </c>
      <c r="I744" t="n">
        <v>5</v>
      </c>
      <c r="J744" t="n">
        <v>3</v>
      </c>
      <c r="K744" t="n">
        <v>2</v>
      </c>
      <c r="L744" t="n">
        <v>5</v>
      </c>
      <c r="M744" t="n">
        <v>3</v>
      </c>
      <c r="N744" t="n">
        <v>1</v>
      </c>
      <c r="O744" t="n">
        <v>4</v>
      </c>
      <c r="P744" t="n">
        <v>4</v>
      </c>
      <c r="Q744" t="n">
        <v>5</v>
      </c>
      <c r="R744" t="n">
        <v>4</v>
      </c>
      <c r="S744" t="n">
        <v>1</v>
      </c>
      <c r="T744" t="n">
        <v>2</v>
      </c>
      <c r="U744" t="n">
        <v>5</v>
      </c>
      <c r="V744" t="n">
        <v>4</v>
      </c>
      <c r="W744">
        <f>(AVERAGE(B744:D744)-1)/4</f>
        <v/>
      </c>
      <c r="X744">
        <f>(AVERAGE(E744:G744)-1)/4</f>
        <v/>
      </c>
      <c r="Y744">
        <f>(AVERAGE(H744:J744)-1)/4</f>
        <v/>
      </c>
      <c r="Z744">
        <f>(AVERAGE(K744:M744)-1)/4</f>
        <v/>
      </c>
      <c r="AA744">
        <f>(AVERAGE(N744:P744)-1)/4</f>
        <v/>
      </c>
      <c r="AB744">
        <f>(AVERAGE(Q744:S744)-1)/4</f>
        <v/>
      </c>
      <c r="AC744">
        <f>(AVERAGE(T744:V744)-1)/4</f>
        <v/>
      </c>
      <c r="AD744">
        <f>AVERAGE(W744:AA744)</f>
        <v/>
      </c>
      <c r="AE744">
        <f>MIN(W744:AA744)</f>
        <v/>
      </c>
      <c r="AF744">
        <f>1-alpha*MAX(0,delta-AE744)</f>
        <v/>
      </c>
      <c r="AG744">
        <f>AD744*AF744</f>
        <v/>
      </c>
      <c r="AH744">
        <f>1+COUNTIF(bounds,"&lt;"&amp;ROUND(AD744,12))</f>
        <v/>
      </c>
      <c r="AI744">
        <f>1+COUNTIF(bounds,"&lt;"&amp;ROUND(AG744,12))</f>
        <v/>
      </c>
      <c r="AJ744">
        <f>IF(AF744&lt;1,1,0)</f>
        <v/>
      </c>
      <c r="AK744">
        <f>IF(AH744&lt;&gt;AI744,1,0)</f>
        <v/>
      </c>
      <c r="AL744">
        <f>IF(AND(AI744&gt;=3,AB744&lt;=0.2),1,0)</f>
        <v/>
      </c>
      <c r="AM744">
        <f>AVERAGE(W744:AB744)</f>
        <v/>
      </c>
      <c r="AN744">
        <f>1+COUNTIF(bounds,"&lt;"&amp;ROUND(AM744,12))</f>
        <v/>
      </c>
      <c r="AO744">
        <f>IF(AK744=1,AD744,NA())</f>
        <v/>
      </c>
      <c r="AP744">
        <f>IF(AK744=0,AD744,NA())</f>
        <v/>
      </c>
    </row>
    <row r="745">
      <c r="A745" t="n">
        <v>737</v>
      </c>
      <c r="B745" t="n">
        <v>2</v>
      </c>
      <c r="C745" t="n">
        <v>5</v>
      </c>
      <c r="D745" t="n">
        <v>5</v>
      </c>
      <c r="E745" t="n">
        <v>2</v>
      </c>
      <c r="F745" t="n">
        <v>5</v>
      </c>
      <c r="G745" t="n">
        <v>3</v>
      </c>
      <c r="H745" t="n">
        <v>5</v>
      </c>
      <c r="I745" t="n">
        <v>5</v>
      </c>
      <c r="J745" t="n">
        <v>5</v>
      </c>
      <c r="K745" t="n">
        <v>4</v>
      </c>
      <c r="L745" t="n">
        <v>5</v>
      </c>
      <c r="M745" t="n">
        <v>3</v>
      </c>
      <c r="N745" t="n">
        <v>1</v>
      </c>
      <c r="O745" t="n">
        <v>2</v>
      </c>
      <c r="P745" t="n">
        <v>5</v>
      </c>
      <c r="Q745" t="n">
        <v>5</v>
      </c>
      <c r="R745" t="n">
        <v>2</v>
      </c>
      <c r="S745" t="n">
        <v>1</v>
      </c>
      <c r="T745" t="n">
        <v>2</v>
      </c>
      <c r="U745" t="n">
        <v>1</v>
      </c>
      <c r="V745" t="n">
        <v>1</v>
      </c>
      <c r="W745">
        <f>(AVERAGE(B745:D745)-1)/4</f>
        <v/>
      </c>
      <c r="X745">
        <f>(AVERAGE(E745:G745)-1)/4</f>
        <v/>
      </c>
      <c r="Y745">
        <f>(AVERAGE(H745:J745)-1)/4</f>
        <v/>
      </c>
      <c r="Z745">
        <f>(AVERAGE(K745:M745)-1)/4</f>
        <v/>
      </c>
      <c r="AA745">
        <f>(AVERAGE(N745:P745)-1)/4</f>
        <v/>
      </c>
      <c r="AB745">
        <f>(AVERAGE(Q745:S745)-1)/4</f>
        <v/>
      </c>
      <c r="AC745">
        <f>(AVERAGE(T745:V745)-1)/4</f>
        <v/>
      </c>
      <c r="AD745">
        <f>AVERAGE(W745:AA745)</f>
        <v/>
      </c>
      <c r="AE745">
        <f>MIN(W745:AA745)</f>
        <v/>
      </c>
      <c r="AF745">
        <f>1-alpha*MAX(0,delta-AE745)</f>
        <v/>
      </c>
      <c r="AG745">
        <f>AD745*AF745</f>
        <v/>
      </c>
      <c r="AH745">
        <f>1+COUNTIF(bounds,"&lt;"&amp;ROUND(AD745,12))</f>
        <v/>
      </c>
      <c r="AI745">
        <f>1+COUNTIF(bounds,"&lt;"&amp;ROUND(AG745,12))</f>
        <v/>
      </c>
      <c r="AJ745">
        <f>IF(AF745&lt;1,1,0)</f>
        <v/>
      </c>
      <c r="AK745">
        <f>IF(AH745&lt;&gt;AI745,1,0)</f>
        <v/>
      </c>
      <c r="AL745">
        <f>IF(AND(AI745&gt;=3,AB745&lt;=0.2),1,0)</f>
        <v/>
      </c>
      <c r="AM745">
        <f>AVERAGE(W745:AB745)</f>
        <v/>
      </c>
      <c r="AN745">
        <f>1+COUNTIF(bounds,"&lt;"&amp;ROUND(AM745,12))</f>
        <v/>
      </c>
      <c r="AO745">
        <f>IF(AK745=1,AD745,NA())</f>
        <v/>
      </c>
      <c r="AP745">
        <f>IF(AK745=0,AD745,NA())</f>
        <v/>
      </c>
    </row>
    <row r="746">
      <c r="A746" t="n">
        <v>738</v>
      </c>
      <c r="B746" t="n">
        <v>1</v>
      </c>
      <c r="C746" t="n">
        <v>3</v>
      </c>
      <c r="D746" t="n">
        <v>1</v>
      </c>
      <c r="E746" t="n">
        <v>5</v>
      </c>
      <c r="F746" t="n">
        <v>5</v>
      </c>
      <c r="G746" t="n">
        <v>5</v>
      </c>
      <c r="H746" t="n">
        <v>3</v>
      </c>
      <c r="I746" t="n">
        <v>5</v>
      </c>
      <c r="J746" t="n">
        <v>4</v>
      </c>
      <c r="K746" t="n">
        <v>1</v>
      </c>
      <c r="L746" t="n">
        <v>4</v>
      </c>
      <c r="M746" t="n">
        <v>1</v>
      </c>
      <c r="N746" t="n">
        <v>3</v>
      </c>
      <c r="O746" t="n">
        <v>2</v>
      </c>
      <c r="P746" t="n">
        <v>1</v>
      </c>
      <c r="Q746" t="n">
        <v>2</v>
      </c>
      <c r="R746" t="n">
        <v>2</v>
      </c>
      <c r="S746" t="n">
        <v>2</v>
      </c>
      <c r="T746" t="n">
        <v>3</v>
      </c>
      <c r="U746" t="n">
        <v>1</v>
      </c>
      <c r="V746" t="n">
        <v>3</v>
      </c>
      <c r="W746">
        <f>(AVERAGE(B746:D746)-1)/4</f>
        <v/>
      </c>
      <c r="X746">
        <f>(AVERAGE(E746:G746)-1)/4</f>
        <v/>
      </c>
      <c r="Y746">
        <f>(AVERAGE(H746:J746)-1)/4</f>
        <v/>
      </c>
      <c r="Z746">
        <f>(AVERAGE(K746:M746)-1)/4</f>
        <v/>
      </c>
      <c r="AA746">
        <f>(AVERAGE(N746:P746)-1)/4</f>
        <v/>
      </c>
      <c r="AB746">
        <f>(AVERAGE(Q746:S746)-1)/4</f>
        <v/>
      </c>
      <c r="AC746">
        <f>(AVERAGE(T746:V746)-1)/4</f>
        <v/>
      </c>
      <c r="AD746">
        <f>AVERAGE(W746:AA746)</f>
        <v/>
      </c>
      <c r="AE746">
        <f>MIN(W746:AA746)</f>
        <v/>
      </c>
      <c r="AF746">
        <f>1-alpha*MAX(0,delta-AE746)</f>
        <v/>
      </c>
      <c r="AG746">
        <f>AD746*AF746</f>
        <v/>
      </c>
      <c r="AH746">
        <f>1+COUNTIF(bounds,"&lt;"&amp;ROUND(AD746,12))</f>
        <v/>
      </c>
      <c r="AI746">
        <f>1+COUNTIF(bounds,"&lt;"&amp;ROUND(AG746,12))</f>
        <v/>
      </c>
      <c r="AJ746">
        <f>IF(AF746&lt;1,1,0)</f>
        <v/>
      </c>
      <c r="AK746">
        <f>IF(AH746&lt;&gt;AI746,1,0)</f>
        <v/>
      </c>
      <c r="AL746">
        <f>IF(AND(AI746&gt;=3,AB746&lt;=0.2),1,0)</f>
        <v/>
      </c>
      <c r="AM746">
        <f>AVERAGE(W746:AB746)</f>
        <v/>
      </c>
      <c r="AN746">
        <f>1+COUNTIF(bounds,"&lt;"&amp;ROUND(AM746,12))</f>
        <v/>
      </c>
      <c r="AO746">
        <f>IF(AK746=1,AD746,NA())</f>
        <v/>
      </c>
      <c r="AP746">
        <f>IF(AK746=0,AD746,NA())</f>
        <v/>
      </c>
    </row>
    <row r="747">
      <c r="A747" t="n">
        <v>739</v>
      </c>
      <c r="B747" t="n">
        <v>1</v>
      </c>
      <c r="C747" t="n">
        <v>1</v>
      </c>
      <c r="D747" t="n">
        <v>4</v>
      </c>
      <c r="E747" t="n">
        <v>5</v>
      </c>
      <c r="F747" t="n">
        <v>4</v>
      </c>
      <c r="G747" t="n">
        <v>5</v>
      </c>
      <c r="H747" t="n">
        <v>1</v>
      </c>
      <c r="I747" t="n">
        <v>2</v>
      </c>
      <c r="J747" t="n">
        <v>5</v>
      </c>
      <c r="K747" t="n">
        <v>3</v>
      </c>
      <c r="L747" t="n">
        <v>4</v>
      </c>
      <c r="M747" t="n">
        <v>4</v>
      </c>
      <c r="N747" t="n">
        <v>4</v>
      </c>
      <c r="O747" t="n">
        <v>1</v>
      </c>
      <c r="P747" t="n">
        <v>5</v>
      </c>
      <c r="Q747" t="n">
        <v>4</v>
      </c>
      <c r="R747" t="n">
        <v>1</v>
      </c>
      <c r="S747" t="n">
        <v>3</v>
      </c>
      <c r="T747" t="n">
        <v>2</v>
      </c>
      <c r="U747" t="n">
        <v>3</v>
      </c>
      <c r="V747" t="n">
        <v>2</v>
      </c>
      <c r="W747">
        <f>(AVERAGE(B747:D747)-1)/4</f>
        <v/>
      </c>
      <c r="X747">
        <f>(AVERAGE(E747:G747)-1)/4</f>
        <v/>
      </c>
      <c r="Y747">
        <f>(AVERAGE(H747:J747)-1)/4</f>
        <v/>
      </c>
      <c r="Z747">
        <f>(AVERAGE(K747:M747)-1)/4</f>
        <v/>
      </c>
      <c r="AA747">
        <f>(AVERAGE(N747:P747)-1)/4</f>
        <v/>
      </c>
      <c r="AB747">
        <f>(AVERAGE(Q747:S747)-1)/4</f>
        <v/>
      </c>
      <c r="AC747">
        <f>(AVERAGE(T747:V747)-1)/4</f>
        <v/>
      </c>
      <c r="AD747">
        <f>AVERAGE(W747:AA747)</f>
        <v/>
      </c>
      <c r="AE747">
        <f>MIN(W747:AA747)</f>
        <v/>
      </c>
      <c r="AF747">
        <f>1-alpha*MAX(0,delta-AE747)</f>
        <v/>
      </c>
      <c r="AG747">
        <f>AD747*AF747</f>
        <v/>
      </c>
      <c r="AH747">
        <f>1+COUNTIF(bounds,"&lt;"&amp;ROUND(AD747,12))</f>
        <v/>
      </c>
      <c r="AI747">
        <f>1+COUNTIF(bounds,"&lt;"&amp;ROUND(AG747,12))</f>
        <v/>
      </c>
      <c r="AJ747">
        <f>IF(AF747&lt;1,1,0)</f>
        <v/>
      </c>
      <c r="AK747">
        <f>IF(AH747&lt;&gt;AI747,1,0)</f>
        <v/>
      </c>
      <c r="AL747">
        <f>IF(AND(AI747&gt;=3,AB747&lt;=0.2),1,0)</f>
        <v/>
      </c>
      <c r="AM747">
        <f>AVERAGE(W747:AB747)</f>
        <v/>
      </c>
      <c r="AN747">
        <f>1+COUNTIF(bounds,"&lt;"&amp;ROUND(AM747,12))</f>
        <v/>
      </c>
      <c r="AO747">
        <f>IF(AK747=1,AD747,NA())</f>
        <v/>
      </c>
      <c r="AP747">
        <f>IF(AK747=0,AD747,NA())</f>
        <v/>
      </c>
    </row>
    <row r="748">
      <c r="A748" t="n">
        <v>740</v>
      </c>
      <c r="B748" t="n">
        <v>4</v>
      </c>
      <c r="C748" t="n">
        <v>3</v>
      </c>
      <c r="D748" t="n">
        <v>1</v>
      </c>
      <c r="E748" t="n">
        <v>2</v>
      </c>
      <c r="F748" t="n">
        <v>2</v>
      </c>
      <c r="G748" t="n">
        <v>1</v>
      </c>
      <c r="H748" t="n">
        <v>2</v>
      </c>
      <c r="I748" t="n">
        <v>3</v>
      </c>
      <c r="J748" t="n">
        <v>2</v>
      </c>
      <c r="K748" t="n">
        <v>4</v>
      </c>
      <c r="L748" t="n">
        <v>4</v>
      </c>
      <c r="M748" t="n">
        <v>2</v>
      </c>
      <c r="N748" t="n">
        <v>4</v>
      </c>
      <c r="O748" t="n">
        <v>2</v>
      </c>
      <c r="P748" t="n">
        <v>5</v>
      </c>
      <c r="Q748" t="n">
        <v>3</v>
      </c>
      <c r="R748" t="n">
        <v>1</v>
      </c>
      <c r="S748" t="n">
        <v>4</v>
      </c>
      <c r="T748" t="n">
        <v>4</v>
      </c>
      <c r="U748" t="n">
        <v>2</v>
      </c>
      <c r="V748" t="n">
        <v>2</v>
      </c>
      <c r="W748">
        <f>(AVERAGE(B748:D748)-1)/4</f>
        <v/>
      </c>
      <c r="X748">
        <f>(AVERAGE(E748:G748)-1)/4</f>
        <v/>
      </c>
      <c r="Y748">
        <f>(AVERAGE(H748:J748)-1)/4</f>
        <v/>
      </c>
      <c r="Z748">
        <f>(AVERAGE(K748:M748)-1)/4</f>
        <v/>
      </c>
      <c r="AA748">
        <f>(AVERAGE(N748:P748)-1)/4</f>
        <v/>
      </c>
      <c r="AB748">
        <f>(AVERAGE(Q748:S748)-1)/4</f>
        <v/>
      </c>
      <c r="AC748">
        <f>(AVERAGE(T748:V748)-1)/4</f>
        <v/>
      </c>
      <c r="AD748">
        <f>AVERAGE(W748:AA748)</f>
        <v/>
      </c>
      <c r="AE748">
        <f>MIN(W748:AA748)</f>
        <v/>
      </c>
      <c r="AF748">
        <f>1-alpha*MAX(0,delta-AE748)</f>
        <v/>
      </c>
      <c r="AG748">
        <f>AD748*AF748</f>
        <v/>
      </c>
      <c r="AH748">
        <f>1+COUNTIF(bounds,"&lt;"&amp;ROUND(AD748,12))</f>
        <v/>
      </c>
      <c r="AI748">
        <f>1+COUNTIF(bounds,"&lt;"&amp;ROUND(AG748,12))</f>
        <v/>
      </c>
      <c r="AJ748">
        <f>IF(AF748&lt;1,1,0)</f>
        <v/>
      </c>
      <c r="AK748">
        <f>IF(AH748&lt;&gt;AI748,1,0)</f>
        <v/>
      </c>
      <c r="AL748">
        <f>IF(AND(AI748&gt;=3,AB748&lt;=0.2),1,0)</f>
        <v/>
      </c>
      <c r="AM748">
        <f>AVERAGE(W748:AB748)</f>
        <v/>
      </c>
      <c r="AN748">
        <f>1+COUNTIF(bounds,"&lt;"&amp;ROUND(AM748,12))</f>
        <v/>
      </c>
      <c r="AO748">
        <f>IF(AK748=1,AD748,NA())</f>
        <v/>
      </c>
      <c r="AP748">
        <f>IF(AK748=0,AD748,NA())</f>
        <v/>
      </c>
    </row>
    <row r="749">
      <c r="A749" t="n">
        <v>741</v>
      </c>
      <c r="B749" t="n">
        <v>1</v>
      </c>
      <c r="C749" t="n">
        <v>1</v>
      </c>
      <c r="D749" t="n">
        <v>5</v>
      </c>
      <c r="E749" t="n">
        <v>5</v>
      </c>
      <c r="F749" t="n">
        <v>3</v>
      </c>
      <c r="G749" t="n">
        <v>5</v>
      </c>
      <c r="H749" t="n">
        <v>5</v>
      </c>
      <c r="I749" t="n">
        <v>3</v>
      </c>
      <c r="J749" t="n">
        <v>4</v>
      </c>
      <c r="K749" t="n">
        <v>4</v>
      </c>
      <c r="L749" t="n">
        <v>1</v>
      </c>
      <c r="M749" t="n">
        <v>1</v>
      </c>
      <c r="N749" t="n">
        <v>4</v>
      </c>
      <c r="O749" t="n">
        <v>3</v>
      </c>
      <c r="P749" t="n">
        <v>5</v>
      </c>
      <c r="Q749" t="n">
        <v>5</v>
      </c>
      <c r="R749" t="n">
        <v>5</v>
      </c>
      <c r="S749" t="n">
        <v>1</v>
      </c>
      <c r="T749" t="n">
        <v>4</v>
      </c>
      <c r="U749" t="n">
        <v>2</v>
      </c>
      <c r="V749" t="n">
        <v>2</v>
      </c>
      <c r="W749">
        <f>(AVERAGE(B749:D749)-1)/4</f>
        <v/>
      </c>
      <c r="X749">
        <f>(AVERAGE(E749:G749)-1)/4</f>
        <v/>
      </c>
      <c r="Y749">
        <f>(AVERAGE(H749:J749)-1)/4</f>
        <v/>
      </c>
      <c r="Z749">
        <f>(AVERAGE(K749:M749)-1)/4</f>
        <v/>
      </c>
      <c r="AA749">
        <f>(AVERAGE(N749:P749)-1)/4</f>
        <v/>
      </c>
      <c r="AB749">
        <f>(AVERAGE(Q749:S749)-1)/4</f>
        <v/>
      </c>
      <c r="AC749">
        <f>(AVERAGE(T749:V749)-1)/4</f>
        <v/>
      </c>
      <c r="AD749">
        <f>AVERAGE(W749:AA749)</f>
        <v/>
      </c>
      <c r="AE749">
        <f>MIN(W749:AA749)</f>
        <v/>
      </c>
      <c r="AF749">
        <f>1-alpha*MAX(0,delta-AE749)</f>
        <v/>
      </c>
      <c r="AG749">
        <f>AD749*AF749</f>
        <v/>
      </c>
      <c r="AH749">
        <f>1+COUNTIF(bounds,"&lt;"&amp;ROUND(AD749,12))</f>
        <v/>
      </c>
      <c r="AI749">
        <f>1+COUNTIF(bounds,"&lt;"&amp;ROUND(AG749,12))</f>
        <v/>
      </c>
      <c r="AJ749">
        <f>IF(AF749&lt;1,1,0)</f>
        <v/>
      </c>
      <c r="AK749">
        <f>IF(AH749&lt;&gt;AI749,1,0)</f>
        <v/>
      </c>
      <c r="AL749">
        <f>IF(AND(AI749&gt;=3,AB749&lt;=0.2),1,0)</f>
        <v/>
      </c>
      <c r="AM749">
        <f>AVERAGE(W749:AB749)</f>
        <v/>
      </c>
      <c r="AN749">
        <f>1+COUNTIF(bounds,"&lt;"&amp;ROUND(AM749,12))</f>
        <v/>
      </c>
      <c r="AO749">
        <f>IF(AK749=1,AD749,NA())</f>
        <v/>
      </c>
      <c r="AP749">
        <f>IF(AK749=0,AD749,NA())</f>
        <v/>
      </c>
    </row>
    <row r="750">
      <c r="A750" t="n">
        <v>742</v>
      </c>
      <c r="B750" t="n">
        <v>2</v>
      </c>
      <c r="C750" t="n">
        <v>1</v>
      </c>
      <c r="D750" t="n">
        <v>5</v>
      </c>
      <c r="E750" t="n">
        <v>2</v>
      </c>
      <c r="F750" t="n">
        <v>1</v>
      </c>
      <c r="G750" t="n">
        <v>4</v>
      </c>
      <c r="H750" t="n">
        <v>1</v>
      </c>
      <c r="I750" t="n">
        <v>5</v>
      </c>
      <c r="J750" t="n">
        <v>4</v>
      </c>
      <c r="K750" t="n">
        <v>3</v>
      </c>
      <c r="L750" t="n">
        <v>2</v>
      </c>
      <c r="M750" t="n">
        <v>1</v>
      </c>
      <c r="N750" t="n">
        <v>5</v>
      </c>
      <c r="O750" t="n">
        <v>3</v>
      </c>
      <c r="P750" t="n">
        <v>3</v>
      </c>
      <c r="Q750" t="n">
        <v>4</v>
      </c>
      <c r="R750" t="n">
        <v>2</v>
      </c>
      <c r="S750" t="n">
        <v>3</v>
      </c>
      <c r="T750" t="n">
        <v>1</v>
      </c>
      <c r="U750" t="n">
        <v>3</v>
      </c>
      <c r="V750" t="n">
        <v>5</v>
      </c>
      <c r="W750">
        <f>(AVERAGE(B750:D750)-1)/4</f>
        <v/>
      </c>
      <c r="X750">
        <f>(AVERAGE(E750:G750)-1)/4</f>
        <v/>
      </c>
      <c r="Y750">
        <f>(AVERAGE(H750:J750)-1)/4</f>
        <v/>
      </c>
      <c r="Z750">
        <f>(AVERAGE(K750:M750)-1)/4</f>
        <v/>
      </c>
      <c r="AA750">
        <f>(AVERAGE(N750:P750)-1)/4</f>
        <v/>
      </c>
      <c r="AB750">
        <f>(AVERAGE(Q750:S750)-1)/4</f>
        <v/>
      </c>
      <c r="AC750">
        <f>(AVERAGE(T750:V750)-1)/4</f>
        <v/>
      </c>
      <c r="AD750">
        <f>AVERAGE(W750:AA750)</f>
        <v/>
      </c>
      <c r="AE750">
        <f>MIN(W750:AA750)</f>
        <v/>
      </c>
      <c r="AF750">
        <f>1-alpha*MAX(0,delta-AE750)</f>
        <v/>
      </c>
      <c r="AG750">
        <f>AD750*AF750</f>
        <v/>
      </c>
      <c r="AH750">
        <f>1+COUNTIF(bounds,"&lt;"&amp;ROUND(AD750,12))</f>
        <v/>
      </c>
      <c r="AI750">
        <f>1+COUNTIF(bounds,"&lt;"&amp;ROUND(AG750,12))</f>
        <v/>
      </c>
      <c r="AJ750">
        <f>IF(AF750&lt;1,1,0)</f>
        <v/>
      </c>
      <c r="AK750">
        <f>IF(AH750&lt;&gt;AI750,1,0)</f>
        <v/>
      </c>
      <c r="AL750">
        <f>IF(AND(AI750&gt;=3,AB750&lt;=0.2),1,0)</f>
        <v/>
      </c>
      <c r="AM750">
        <f>AVERAGE(W750:AB750)</f>
        <v/>
      </c>
      <c r="AN750">
        <f>1+COUNTIF(bounds,"&lt;"&amp;ROUND(AM750,12))</f>
        <v/>
      </c>
      <c r="AO750">
        <f>IF(AK750=1,AD750,NA())</f>
        <v/>
      </c>
      <c r="AP750">
        <f>IF(AK750=0,AD750,NA())</f>
        <v/>
      </c>
    </row>
    <row r="751">
      <c r="A751" t="n">
        <v>743</v>
      </c>
      <c r="B751" t="n">
        <v>5</v>
      </c>
      <c r="C751" t="n">
        <v>3</v>
      </c>
      <c r="D751" t="n">
        <v>2</v>
      </c>
      <c r="E751" t="n">
        <v>1</v>
      </c>
      <c r="F751" t="n">
        <v>2</v>
      </c>
      <c r="G751" t="n">
        <v>5</v>
      </c>
      <c r="H751" t="n">
        <v>2</v>
      </c>
      <c r="I751" t="n">
        <v>3</v>
      </c>
      <c r="J751" t="n">
        <v>5</v>
      </c>
      <c r="K751" t="n">
        <v>3</v>
      </c>
      <c r="L751" t="n">
        <v>5</v>
      </c>
      <c r="M751" t="n">
        <v>4</v>
      </c>
      <c r="N751" t="n">
        <v>5</v>
      </c>
      <c r="O751" t="n">
        <v>4</v>
      </c>
      <c r="P751" t="n">
        <v>1</v>
      </c>
      <c r="Q751" t="n">
        <v>2</v>
      </c>
      <c r="R751" t="n">
        <v>3</v>
      </c>
      <c r="S751" t="n">
        <v>4</v>
      </c>
      <c r="T751" t="n">
        <v>2</v>
      </c>
      <c r="U751" t="n">
        <v>3</v>
      </c>
      <c r="V751" t="n">
        <v>5</v>
      </c>
      <c r="W751">
        <f>(AVERAGE(B751:D751)-1)/4</f>
        <v/>
      </c>
      <c r="X751">
        <f>(AVERAGE(E751:G751)-1)/4</f>
        <v/>
      </c>
      <c r="Y751">
        <f>(AVERAGE(H751:J751)-1)/4</f>
        <v/>
      </c>
      <c r="Z751">
        <f>(AVERAGE(K751:M751)-1)/4</f>
        <v/>
      </c>
      <c r="AA751">
        <f>(AVERAGE(N751:P751)-1)/4</f>
        <v/>
      </c>
      <c r="AB751">
        <f>(AVERAGE(Q751:S751)-1)/4</f>
        <v/>
      </c>
      <c r="AC751">
        <f>(AVERAGE(T751:V751)-1)/4</f>
        <v/>
      </c>
      <c r="AD751">
        <f>AVERAGE(W751:AA751)</f>
        <v/>
      </c>
      <c r="AE751">
        <f>MIN(W751:AA751)</f>
        <v/>
      </c>
      <c r="AF751">
        <f>1-alpha*MAX(0,delta-AE751)</f>
        <v/>
      </c>
      <c r="AG751">
        <f>AD751*AF751</f>
        <v/>
      </c>
      <c r="AH751">
        <f>1+COUNTIF(bounds,"&lt;"&amp;ROUND(AD751,12))</f>
        <v/>
      </c>
      <c r="AI751">
        <f>1+COUNTIF(bounds,"&lt;"&amp;ROUND(AG751,12))</f>
        <v/>
      </c>
      <c r="AJ751">
        <f>IF(AF751&lt;1,1,0)</f>
        <v/>
      </c>
      <c r="AK751">
        <f>IF(AH751&lt;&gt;AI751,1,0)</f>
        <v/>
      </c>
      <c r="AL751">
        <f>IF(AND(AI751&gt;=3,AB751&lt;=0.2),1,0)</f>
        <v/>
      </c>
      <c r="AM751">
        <f>AVERAGE(W751:AB751)</f>
        <v/>
      </c>
      <c r="AN751">
        <f>1+COUNTIF(bounds,"&lt;"&amp;ROUND(AM751,12))</f>
        <v/>
      </c>
      <c r="AO751">
        <f>IF(AK751=1,AD751,NA())</f>
        <v/>
      </c>
      <c r="AP751">
        <f>IF(AK751=0,AD751,NA())</f>
        <v/>
      </c>
    </row>
    <row r="752">
      <c r="A752" t="n">
        <v>744</v>
      </c>
      <c r="B752" t="n">
        <v>2</v>
      </c>
      <c r="C752" t="n">
        <v>3</v>
      </c>
      <c r="D752" t="n">
        <v>2</v>
      </c>
      <c r="E752" t="n">
        <v>2</v>
      </c>
      <c r="F752" t="n">
        <v>1</v>
      </c>
      <c r="G752" t="n">
        <v>3</v>
      </c>
      <c r="H752" t="n">
        <v>2</v>
      </c>
      <c r="I752" t="n">
        <v>5</v>
      </c>
      <c r="J752" t="n">
        <v>2</v>
      </c>
      <c r="K752" t="n">
        <v>4</v>
      </c>
      <c r="L752" t="n">
        <v>1</v>
      </c>
      <c r="M752" t="n">
        <v>1</v>
      </c>
      <c r="N752" t="n">
        <v>3</v>
      </c>
      <c r="O752" t="n">
        <v>2</v>
      </c>
      <c r="P752" t="n">
        <v>1</v>
      </c>
      <c r="Q752" t="n">
        <v>2</v>
      </c>
      <c r="R752" t="n">
        <v>3</v>
      </c>
      <c r="S752" t="n">
        <v>3</v>
      </c>
      <c r="T752" t="n">
        <v>1</v>
      </c>
      <c r="U752" t="n">
        <v>5</v>
      </c>
      <c r="V752" t="n">
        <v>1</v>
      </c>
      <c r="W752">
        <f>(AVERAGE(B752:D752)-1)/4</f>
        <v/>
      </c>
      <c r="X752">
        <f>(AVERAGE(E752:G752)-1)/4</f>
        <v/>
      </c>
      <c r="Y752">
        <f>(AVERAGE(H752:J752)-1)/4</f>
        <v/>
      </c>
      <c r="Z752">
        <f>(AVERAGE(K752:M752)-1)/4</f>
        <v/>
      </c>
      <c r="AA752">
        <f>(AVERAGE(N752:P752)-1)/4</f>
        <v/>
      </c>
      <c r="AB752">
        <f>(AVERAGE(Q752:S752)-1)/4</f>
        <v/>
      </c>
      <c r="AC752">
        <f>(AVERAGE(T752:V752)-1)/4</f>
        <v/>
      </c>
      <c r="AD752">
        <f>AVERAGE(W752:AA752)</f>
        <v/>
      </c>
      <c r="AE752">
        <f>MIN(W752:AA752)</f>
        <v/>
      </c>
      <c r="AF752">
        <f>1-alpha*MAX(0,delta-AE752)</f>
        <v/>
      </c>
      <c r="AG752">
        <f>AD752*AF752</f>
        <v/>
      </c>
      <c r="AH752">
        <f>1+COUNTIF(bounds,"&lt;"&amp;ROUND(AD752,12))</f>
        <v/>
      </c>
      <c r="AI752">
        <f>1+COUNTIF(bounds,"&lt;"&amp;ROUND(AG752,12))</f>
        <v/>
      </c>
      <c r="AJ752">
        <f>IF(AF752&lt;1,1,0)</f>
        <v/>
      </c>
      <c r="AK752">
        <f>IF(AH752&lt;&gt;AI752,1,0)</f>
        <v/>
      </c>
      <c r="AL752">
        <f>IF(AND(AI752&gt;=3,AB752&lt;=0.2),1,0)</f>
        <v/>
      </c>
      <c r="AM752">
        <f>AVERAGE(W752:AB752)</f>
        <v/>
      </c>
      <c r="AN752">
        <f>1+COUNTIF(bounds,"&lt;"&amp;ROUND(AM752,12))</f>
        <v/>
      </c>
      <c r="AO752">
        <f>IF(AK752=1,AD752,NA())</f>
        <v/>
      </c>
      <c r="AP752">
        <f>IF(AK752=0,AD752,NA())</f>
        <v/>
      </c>
    </row>
    <row r="753">
      <c r="A753" t="n">
        <v>745</v>
      </c>
      <c r="B753" t="n">
        <v>2</v>
      </c>
      <c r="C753" t="n">
        <v>5</v>
      </c>
      <c r="D753" t="n">
        <v>1</v>
      </c>
      <c r="E753" t="n">
        <v>5</v>
      </c>
      <c r="F753" t="n">
        <v>4</v>
      </c>
      <c r="G753" t="n">
        <v>4</v>
      </c>
      <c r="H753" t="n">
        <v>1</v>
      </c>
      <c r="I753" t="n">
        <v>4</v>
      </c>
      <c r="J753" t="n">
        <v>5</v>
      </c>
      <c r="K753" t="n">
        <v>4</v>
      </c>
      <c r="L753" t="n">
        <v>2</v>
      </c>
      <c r="M753" t="n">
        <v>2</v>
      </c>
      <c r="N753" t="n">
        <v>3</v>
      </c>
      <c r="O753" t="n">
        <v>3</v>
      </c>
      <c r="P753" t="n">
        <v>3</v>
      </c>
      <c r="Q753" t="n">
        <v>2</v>
      </c>
      <c r="R753" t="n">
        <v>5</v>
      </c>
      <c r="S753" t="n">
        <v>3</v>
      </c>
      <c r="T753" t="n">
        <v>4</v>
      </c>
      <c r="U753" t="n">
        <v>2</v>
      </c>
      <c r="V753" t="n">
        <v>3</v>
      </c>
      <c r="W753">
        <f>(AVERAGE(B753:D753)-1)/4</f>
        <v/>
      </c>
      <c r="X753">
        <f>(AVERAGE(E753:G753)-1)/4</f>
        <v/>
      </c>
      <c r="Y753">
        <f>(AVERAGE(H753:J753)-1)/4</f>
        <v/>
      </c>
      <c r="Z753">
        <f>(AVERAGE(K753:M753)-1)/4</f>
        <v/>
      </c>
      <c r="AA753">
        <f>(AVERAGE(N753:P753)-1)/4</f>
        <v/>
      </c>
      <c r="AB753">
        <f>(AVERAGE(Q753:S753)-1)/4</f>
        <v/>
      </c>
      <c r="AC753">
        <f>(AVERAGE(T753:V753)-1)/4</f>
        <v/>
      </c>
      <c r="AD753">
        <f>AVERAGE(W753:AA753)</f>
        <v/>
      </c>
      <c r="AE753">
        <f>MIN(W753:AA753)</f>
        <v/>
      </c>
      <c r="AF753">
        <f>1-alpha*MAX(0,delta-AE753)</f>
        <v/>
      </c>
      <c r="AG753">
        <f>AD753*AF753</f>
        <v/>
      </c>
      <c r="AH753">
        <f>1+COUNTIF(bounds,"&lt;"&amp;ROUND(AD753,12))</f>
        <v/>
      </c>
      <c r="AI753">
        <f>1+COUNTIF(bounds,"&lt;"&amp;ROUND(AG753,12))</f>
        <v/>
      </c>
      <c r="AJ753">
        <f>IF(AF753&lt;1,1,0)</f>
        <v/>
      </c>
      <c r="AK753">
        <f>IF(AH753&lt;&gt;AI753,1,0)</f>
        <v/>
      </c>
      <c r="AL753">
        <f>IF(AND(AI753&gt;=3,AB753&lt;=0.2),1,0)</f>
        <v/>
      </c>
      <c r="AM753">
        <f>AVERAGE(W753:AB753)</f>
        <v/>
      </c>
      <c r="AN753">
        <f>1+COUNTIF(bounds,"&lt;"&amp;ROUND(AM753,12))</f>
        <v/>
      </c>
      <c r="AO753">
        <f>IF(AK753=1,AD753,NA())</f>
        <v/>
      </c>
      <c r="AP753">
        <f>IF(AK753=0,AD753,NA())</f>
        <v/>
      </c>
    </row>
    <row r="754">
      <c r="A754" t="n">
        <v>746</v>
      </c>
      <c r="B754" t="n">
        <v>1</v>
      </c>
      <c r="C754" t="n">
        <v>1</v>
      </c>
      <c r="D754" t="n">
        <v>1</v>
      </c>
      <c r="E754" t="n">
        <v>2</v>
      </c>
      <c r="F754" t="n">
        <v>5</v>
      </c>
      <c r="G754" t="n">
        <v>4</v>
      </c>
      <c r="H754" t="n">
        <v>4</v>
      </c>
      <c r="I754" t="n">
        <v>2</v>
      </c>
      <c r="J754" t="n">
        <v>3</v>
      </c>
      <c r="K754" t="n">
        <v>2</v>
      </c>
      <c r="L754" t="n">
        <v>4</v>
      </c>
      <c r="M754" t="n">
        <v>1</v>
      </c>
      <c r="N754" t="n">
        <v>2</v>
      </c>
      <c r="O754" t="n">
        <v>5</v>
      </c>
      <c r="P754" t="n">
        <v>3</v>
      </c>
      <c r="Q754" t="n">
        <v>1</v>
      </c>
      <c r="R754" t="n">
        <v>2</v>
      </c>
      <c r="S754" t="n">
        <v>5</v>
      </c>
      <c r="T754" t="n">
        <v>3</v>
      </c>
      <c r="U754" t="n">
        <v>1</v>
      </c>
      <c r="V754" t="n">
        <v>3</v>
      </c>
      <c r="W754">
        <f>(AVERAGE(B754:D754)-1)/4</f>
        <v/>
      </c>
      <c r="X754">
        <f>(AVERAGE(E754:G754)-1)/4</f>
        <v/>
      </c>
      <c r="Y754">
        <f>(AVERAGE(H754:J754)-1)/4</f>
        <v/>
      </c>
      <c r="Z754">
        <f>(AVERAGE(K754:M754)-1)/4</f>
        <v/>
      </c>
      <c r="AA754">
        <f>(AVERAGE(N754:P754)-1)/4</f>
        <v/>
      </c>
      <c r="AB754">
        <f>(AVERAGE(Q754:S754)-1)/4</f>
        <v/>
      </c>
      <c r="AC754">
        <f>(AVERAGE(T754:V754)-1)/4</f>
        <v/>
      </c>
      <c r="AD754">
        <f>AVERAGE(W754:AA754)</f>
        <v/>
      </c>
      <c r="AE754">
        <f>MIN(W754:AA754)</f>
        <v/>
      </c>
      <c r="AF754">
        <f>1-alpha*MAX(0,delta-AE754)</f>
        <v/>
      </c>
      <c r="AG754">
        <f>AD754*AF754</f>
        <v/>
      </c>
      <c r="AH754">
        <f>1+COUNTIF(bounds,"&lt;"&amp;ROUND(AD754,12))</f>
        <v/>
      </c>
      <c r="AI754">
        <f>1+COUNTIF(bounds,"&lt;"&amp;ROUND(AG754,12))</f>
        <v/>
      </c>
      <c r="AJ754">
        <f>IF(AF754&lt;1,1,0)</f>
        <v/>
      </c>
      <c r="AK754">
        <f>IF(AH754&lt;&gt;AI754,1,0)</f>
        <v/>
      </c>
      <c r="AL754">
        <f>IF(AND(AI754&gt;=3,AB754&lt;=0.2),1,0)</f>
        <v/>
      </c>
      <c r="AM754">
        <f>AVERAGE(W754:AB754)</f>
        <v/>
      </c>
      <c r="AN754">
        <f>1+COUNTIF(bounds,"&lt;"&amp;ROUND(AM754,12))</f>
        <v/>
      </c>
      <c r="AO754">
        <f>IF(AK754=1,AD754,NA())</f>
        <v/>
      </c>
      <c r="AP754">
        <f>IF(AK754=0,AD754,NA())</f>
        <v/>
      </c>
    </row>
    <row r="755">
      <c r="A755" t="n">
        <v>747</v>
      </c>
      <c r="B755" t="n">
        <v>1</v>
      </c>
      <c r="C755" t="n">
        <v>5</v>
      </c>
      <c r="D755" t="n">
        <v>5</v>
      </c>
      <c r="E755" t="n">
        <v>5</v>
      </c>
      <c r="F755" t="n">
        <v>4</v>
      </c>
      <c r="G755" t="n">
        <v>3</v>
      </c>
      <c r="H755" t="n">
        <v>2</v>
      </c>
      <c r="I755" t="n">
        <v>4</v>
      </c>
      <c r="J755" t="n">
        <v>2</v>
      </c>
      <c r="K755" t="n">
        <v>5</v>
      </c>
      <c r="L755" t="n">
        <v>4</v>
      </c>
      <c r="M755" t="n">
        <v>1</v>
      </c>
      <c r="N755" t="n">
        <v>5</v>
      </c>
      <c r="O755" t="n">
        <v>4</v>
      </c>
      <c r="P755" t="n">
        <v>1</v>
      </c>
      <c r="Q755" t="n">
        <v>4</v>
      </c>
      <c r="R755" t="n">
        <v>1</v>
      </c>
      <c r="S755" t="n">
        <v>1</v>
      </c>
      <c r="T755" t="n">
        <v>2</v>
      </c>
      <c r="U755" t="n">
        <v>3</v>
      </c>
      <c r="V755" t="n">
        <v>4</v>
      </c>
      <c r="W755">
        <f>(AVERAGE(B755:D755)-1)/4</f>
        <v/>
      </c>
      <c r="X755">
        <f>(AVERAGE(E755:G755)-1)/4</f>
        <v/>
      </c>
      <c r="Y755">
        <f>(AVERAGE(H755:J755)-1)/4</f>
        <v/>
      </c>
      <c r="Z755">
        <f>(AVERAGE(K755:M755)-1)/4</f>
        <v/>
      </c>
      <c r="AA755">
        <f>(AVERAGE(N755:P755)-1)/4</f>
        <v/>
      </c>
      <c r="AB755">
        <f>(AVERAGE(Q755:S755)-1)/4</f>
        <v/>
      </c>
      <c r="AC755">
        <f>(AVERAGE(T755:V755)-1)/4</f>
        <v/>
      </c>
      <c r="AD755">
        <f>AVERAGE(W755:AA755)</f>
        <v/>
      </c>
      <c r="AE755">
        <f>MIN(W755:AA755)</f>
        <v/>
      </c>
      <c r="AF755">
        <f>1-alpha*MAX(0,delta-AE755)</f>
        <v/>
      </c>
      <c r="AG755">
        <f>AD755*AF755</f>
        <v/>
      </c>
      <c r="AH755">
        <f>1+COUNTIF(bounds,"&lt;"&amp;ROUND(AD755,12))</f>
        <v/>
      </c>
      <c r="AI755">
        <f>1+COUNTIF(bounds,"&lt;"&amp;ROUND(AG755,12))</f>
        <v/>
      </c>
      <c r="AJ755">
        <f>IF(AF755&lt;1,1,0)</f>
        <v/>
      </c>
      <c r="AK755">
        <f>IF(AH755&lt;&gt;AI755,1,0)</f>
        <v/>
      </c>
      <c r="AL755">
        <f>IF(AND(AI755&gt;=3,AB755&lt;=0.2),1,0)</f>
        <v/>
      </c>
      <c r="AM755">
        <f>AVERAGE(W755:AB755)</f>
        <v/>
      </c>
      <c r="AN755">
        <f>1+COUNTIF(bounds,"&lt;"&amp;ROUND(AM755,12))</f>
        <v/>
      </c>
      <c r="AO755">
        <f>IF(AK755=1,AD755,NA())</f>
        <v/>
      </c>
      <c r="AP755">
        <f>IF(AK755=0,AD755,NA())</f>
        <v/>
      </c>
    </row>
    <row r="756">
      <c r="A756" t="n">
        <v>748</v>
      </c>
      <c r="B756" t="n">
        <v>5</v>
      </c>
      <c r="C756" t="n">
        <v>2</v>
      </c>
      <c r="D756" t="n">
        <v>5</v>
      </c>
      <c r="E756" t="n">
        <v>3</v>
      </c>
      <c r="F756" t="n">
        <v>2</v>
      </c>
      <c r="G756" t="n">
        <v>5</v>
      </c>
      <c r="H756" t="n">
        <v>5</v>
      </c>
      <c r="I756" t="n">
        <v>2</v>
      </c>
      <c r="J756" t="n">
        <v>1</v>
      </c>
      <c r="K756" t="n">
        <v>2</v>
      </c>
      <c r="L756" t="n">
        <v>5</v>
      </c>
      <c r="M756" t="n">
        <v>5</v>
      </c>
      <c r="N756" t="n">
        <v>4</v>
      </c>
      <c r="O756" t="n">
        <v>2</v>
      </c>
      <c r="P756" t="n">
        <v>5</v>
      </c>
      <c r="Q756" t="n">
        <v>1</v>
      </c>
      <c r="R756" t="n">
        <v>2</v>
      </c>
      <c r="S756" t="n">
        <v>4</v>
      </c>
      <c r="T756" t="n">
        <v>1</v>
      </c>
      <c r="U756" t="n">
        <v>5</v>
      </c>
      <c r="V756" t="n">
        <v>3</v>
      </c>
      <c r="W756">
        <f>(AVERAGE(B756:D756)-1)/4</f>
        <v/>
      </c>
      <c r="X756">
        <f>(AVERAGE(E756:G756)-1)/4</f>
        <v/>
      </c>
      <c r="Y756">
        <f>(AVERAGE(H756:J756)-1)/4</f>
        <v/>
      </c>
      <c r="Z756">
        <f>(AVERAGE(K756:M756)-1)/4</f>
        <v/>
      </c>
      <c r="AA756">
        <f>(AVERAGE(N756:P756)-1)/4</f>
        <v/>
      </c>
      <c r="AB756">
        <f>(AVERAGE(Q756:S756)-1)/4</f>
        <v/>
      </c>
      <c r="AC756">
        <f>(AVERAGE(T756:V756)-1)/4</f>
        <v/>
      </c>
      <c r="AD756">
        <f>AVERAGE(W756:AA756)</f>
        <v/>
      </c>
      <c r="AE756">
        <f>MIN(W756:AA756)</f>
        <v/>
      </c>
      <c r="AF756">
        <f>1-alpha*MAX(0,delta-AE756)</f>
        <v/>
      </c>
      <c r="AG756">
        <f>AD756*AF756</f>
        <v/>
      </c>
      <c r="AH756">
        <f>1+COUNTIF(bounds,"&lt;"&amp;ROUND(AD756,12))</f>
        <v/>
      </c>
      <c r="AI756">
        <f>1+COUNTIF(bounds,"&lt;"&amp;ROUND(AG756,12))</f>
        <v/>
      </c>
      <c r="AJ756">
        <f>IF(AF756&lt;1,1,0)</f>
        <v/>
      </c>
      <c r="AK756">
        <f>IF(AH756&lt;&gt;AI756,1,0)</f>
        <v/>
      </c>
      <c r="AL756">
        <f>IF(AND(AI756&gt;=3,AB756&lt;=0.2),1,0)</f>
        <v/>
      </c>
      <c r="AM756">
        <f>AVERAGE(W756:AB756)</f>
        <v/>
      </c>
      <c r="AN756">
        <f>1+COUNTIF(bounds,"&lt;"&amp;ROUND(AM756,12))</f>
        <v/>
      </c>
      <c r="AO756">
        <f>IF(AK756=1,AD756,NA())</f>
        <v/>
      </c>
      <c r="AP756">
        <f>IF(AK756=0,AD756,NA())</f>
        <v/>
      </c>
    </row>
    <row r="757">
      <c r="A757" t="n">
        <v>749</v>
      </c>
      <c r="B757" t="n">
        <v>5</v>
      </c>
      <c r="C757" t="n">
        <v>2</v>
      </c>
      <c r="D757" t="n">
        <v>3</v>
      </c>
      <c r="E757" t="n">
        <v>4</v>
      </c>
      <c r="F757" t="n">
        <v>2</v>
      </c>
      <c r="G757" t="n">
        <v>5</v>
      </c>
      <c r="H757" t="n">
        <v>2</v>
      </c>
      <c r="I757" t="n">
        <v>5</v>
      </c>
      <c r="J757" t="n">
        <v>5</v>
      </c>
      <c r="K757" t="n">
        <v>4</v>
      </c>
      <c r="L757" t="n">
        <v>5</v>
      </c>
      <c r="M757" t="n">
        <v>3</v>
      </c>
      <c r="N757" t="n">
        <v>2</v>
      </c>
      <c r="O757" t="n">
        <v>3</v>
      </c>
      <c r="P757" t="n">
        <v>1</v>
      </c>
      <c r="Q757" t="n">
        <v>4</v>
      </c>
      <c r="R757" t="n">
        <v>2</v>
      </c>
      <c r="S757" t="n">
        <v>4</v>
      </c>
      <c r="T757" t="n">
        <v>5</v>
      </c>
      <c r="U757" t="n">
        <v>3</v>
      </c>
      <c r="V757" t="n">
        <v>1</v>
      </c>
      <c r="W757">
        <f>(AVERAGE(B757:D757)-1)/4</f>
        <v/>
      </c>
      <c r="X757">
        <f>(AVERAGE(E757:G757)-1)/4</f>
        <v/>
      </c>
      <c r="Y757">
        <f>(AVERAGE(H757:J757)-1)/4</f>
        <v/>
      </c>
      <c r="Z757">
        <f>(AVERAGE(K757:M757)-1)/4</f>
        <v/>
      </c>
      <c r="AA757">
        <f>(AVERAGE(N757:P757)-1)/4</f>
        <v/>
      </c>
      <c r="AB757">
        <f>(AVERAGE(Q757:S757)-1)/4</f>
        <v/>
      </c>
      <c r="AC757">
        <f>(AVERAGE(T757:V757)-1)/4</f>
        <v/>
      </c>
      <c r="AD757">
        <f>AVERAGE(W757:AA757)</f>
        <v/>
      </c>
      <c r="AE757">
        <f>MIN(W757:AA757)</f>
        <v/>
      </c>
      <c r="AF757">
        <f>1-alpha*MAX(0,delta-AE757)</f>
        <v/>
      </c>
      <c r="AG757">
        <f>AD757*AF757</f>
        <v/>
      </c>
      <c r="AH757">
        <f>1+COUNTIF(bounds,"&lt;"&amp;ROUND(AD757,12))</f>
        <v/>
      </c>
      <c r="AI757">
        <f>1+COUNTIF(bounds,"&lt;"&amp;ROUND(AG757,12))</f>
        <v/>
      </c>
      <c r="AJ757">
        <f>IF(AF757&lt;1,1,0)</f>
        <v/>
      </c>
      <c r="AK757">
        <f>IF(AH757&lt;&gt;AI757,1,0)</f>
        <v/>
      </c>
      <c r="AL757">
        <f>IF(AND(AI757&gt;=3,AB757&lt;=0.2),1,0)</f>
        <v/>
      </c>
      <c r="AM757">
        <f>AVERAGE(W757:AB757)</f>
        <v/>
      </c>
      <c r="AN757">
        <f>1+COUNTIF(bounds,"&lt;"&amp;ROUND(AM757,12))</f>
        <v/>
      </c>
      <c r="AO757">
        <f>IF(AK757=1,AD757,NA())</f>
        <v/>
      </c>
      <c r="AP757">
        <f>IF(AK757=0,AD757,NA())</f>
        <v/>
      </c>
    </row>
    <row r="758">
      <c r="A758" t="n">
        <v>750</v>
      </c>
      <c r="B758" t="n">
        <v>4</v>
      </c>
      <c r="C758" t="n">
        <v>1</v>
      </c>
      <c r="D758" t="n">
        <v>4</v>
      </c>
      <c r="E758" t="n">
        <v>1</v>
      </c>
      <c r="F758" t="n">
        <v>1</v>
      </c>
      <c r="G758" t="n">
        <v>5</v>
      </c>
      <c r="H758" t="n">
        <v>3</v>
      </c>
      <c r="I758" t="n">
        <v>1</v>
      </c>
      <c r="J758" t="n">
        <v>5</v>
      </c>
      <c r="K758" t="n">
        <v>4</v>
      </c>
      <c r="L758" t="n">
        <v>5</v>
      </c>
      <c r="M758" t="n">
        <v>2</v>
      </c>
      <c r="N758" t="n">
        <v>3</v>
      </c>
      <c r="O758" t="n">
        <v>3</v>
      </c>
      <c r="P758" t="n">
        <v>3</v>
      </c>
      <c r="Q758" t="n">
        <v>1</v>
      </c>
      <c r="R758" t="n">
        <v>2</v>
      </c>
      <c r="S758" t="n">
        <v>1</v>
      </c>
      <c r="T758" t="n">
        <v>1</v>
      </c>
      <c r="U758" t="n">
        <v>1</v>
      </c>
      <c r="V758" t="n">
        <v>4</v>
      </c>
      <c r="W758">
        <f>(AVERAGE(B758:D758)-1)/4</f>
        <v/>
      </c>
      <c r="X758">
        <f>(AVERAGE(E758:G758)-1)/4</f>
        <v/>
      </c>
      <c r="Y758">
        <f>(AVERAGE(H758:J758)-1)/4</f>
        <v/>
      </c>
      <c r="Z758">
        <f>(AVERAGE(K758:M758)-1)/4</f>
        <v/>
      </c>
      <c r="AA758">
        <f>(AVERAGE(N758:P758)-1)/4</f>
        <v/>
      </c>
      <c r="AB758">
        <f>(AVERAGE(Q758:S758)-1)/4</f>
        <v/>
      </c>
      <c r="AC758">
        <f>(AVERAGE(T758:V758)-1)/4</f>
        <v/>
      </c>
      <c r="AD758">
        <f>AVERAGE(W758:AA758)</f>
        <v/>
      </c>
      <c r="AE758">
        <f>MIN(W758:AA758)</f>
        <v/>
      </c>
      <c r="AF758">
        <f>1-alpha*MAX(0,delta-AE758)</f>
        <v/>
      </c>
      <c r="AG758">
        <f>AD758*AF758</f>
        <v/>
      </c>
      <c r="AH758">
        <f>1+COUNTIF(bounds,"&lt;"&amp;ROUND(AD758,12))</f>
        <v/>
      </c>
      <c r="AI758">
        <f>1+COUNTIF(bounds,"&lt;"&amp;ROUND(AG758,12))</f>
        <v/>
      </c>
      <c r="AJ758">
        <f>IF(AF758&lt;1,1,0)</f>
        <v/>
      </c>
      <c r="AK758">
        <f>IF(AH758&lt;&gt;AI758,1,0)</f>
        <v/>
      </c>
      <c r="AL758">
        <f>IF(AND(AI758&gt;=3,AB758&lt;=0.2),1,0)</f>
        <v/>
      </c>
      <c r="AM758">
        <f>AVERAGE(W758:AB758)</f>
        <v/>
      </c>
      <c r="AN758">
        <f>1+COUNTIF(bounds,"&lt;"&amp;ROUND(AM758,12))</f>
        <v/>
      </c>
      <c r="AO758">
        <f>IF(AK758=1,AD758,NA())</f>
        <v/>
      </c>
      <c r="AP758">
        <f>IF(AK758=0,AD758,NA())</f>
        <v/>
      </c>
    </row>
    <row r="759">
      <c r="A759" t="n">
        <v>751</v>
      </c>
      <c r="B759" t="n">
        <v>4</v>
      </c>
      <c r="C759" t="n">
        <v>2</v>
      </c>
      <c r="D759" t="n">
        <v>4</v>
      </c>
      <c r="E759" t="n">
        <v>3</v>
      </c>
      <c r="F759" t="n">
        <v>3</v>
      </c>
      <c r="G759" t="n">
        <v>2</v>
      </c>
      <c r="H759" t="n">
        <v>2</v>
      </c>
      <c r="I759" t="n">
        <v>3</v>
      </c>
      <c r="J759" t="n">
        <v>5</v>
      </c>
      <c r="K759" t="n">
        <v>5</v>
      </c>
      <c r="L759" t="n">
        <v>3</v>
      </c>
      <c r="M759" t="n">
        <v>3</v>
      </c>
      <c r="N759" t="n">
        <v>1</v>
      </c>
      <c r="O759" t="n">
        <v>1</v>
      </c>
      <c r="P759" t="n">
        <v>3</v>
      </c>
      <c r="Q759" t="n">
        <v>1</v>
      </c>
      <c r="R759" t="n">
        <v>5</v>
      </c>
      <c r="S759" t="n">
        <v>3</v>
      </c>
      <c r="T759" t="n">
        <v>2</v>
      </c>
      <c r="U759" t="n">
        <v>3</v>
      </c>
      <c r="V759" t="n">
        <v>1</v>
      </c>
      <c r="W759">
        <f>(AVERAGE(B759:D759)-1)/4</f>
        <v/>
      </c>
      <c r="X759">
        <f>(AVERAGE(E759:G759)-1)/4</f>
        <v/>
      </c>
      <c r="Y759">
        <f>(AVERAGE(H759:J759)-1)/4</f>
        <v/>
      </c>
      <c r="Z759">
        <f>(AVERAGE(K759:M759)-1)/4</f>
        <v/>
      </c>
      <c r="AA759">
        <f>(AVERAGE(N759:P759)-1)/4</f>
        <v/>
      </c>
      <c r="AB759">
        <f>(AVERAGE(Q759:S759)-1)/4</f>
        <v/>
      </c>
      <c r="AC759">
        <f>(AVERAGE(T759:V759)-1)/4</f>
        <v/>
      </c>
      <c r="AD759">
        <f>AVERAGE(W759:AA759)</f>
        <v/>
      </c>
      <c r="AE759">
        <f>MIN(W759:AA759)</f>
        <v/>
      </c>
      <c r="AF759">
        <f>1-alpha*MAX(0,delta-AE759)</f>
        <v/>
      </c>
      <c r="AG759">
        <f>AD759*AF759</f>
        <v/>
      </c>
      <c r="AH759">
        <f>1+COUNTIF(bounds,"&lt;"&amp;ROUND(AD759,12))</f>
        <v/>
      </c>
      <c r="AI759">
        <f>1+COUNTIF(bounds,"&lt;"&amp;ROUND(AG759,12))</f>
        <v/>
      </c>
      <c r="AJ759">
        <f>IF(AF759&lt;1,1,0)</f>
        <v/>
      </c>
      <c r="AK759">
        <f>IF(AH759&lt;&gt;AI759,1,0)</f>
        <v/>
      </c>
      <c r="AL759">
        <f>IF(AND(AI759&gt;=3,AB759&lt;=0.2),1,0)</f>
        <v/>
      </c>
      <c r="AM759">
        <f>AVERAGE(W759:AB759)</f>
        <v/>
      </c>
      <c r="AN759">
        <f>1+COUNTIF(bounds,"&lt;"&amp;ROUND(AM759,12))</f>
        <v/>
      </c>
      <c r="AO759">
        <f>IF(AK759=1,AD759,NA())</f>
        <v/>
      </c>
      <c r="AP759">
        <f>IF(AK759=0,AD759,NA())</f>
        <v/>
      </c>
    </row>
    <row r="760">
      <c r="A760" t="n">
        <v>752</v>
      </c>
      <c r="B760" t="n">
        <v>3</v>
      </c>
      <c r="C760" t="n">
        <v>1</v>
      </c>
      <c r="D760" t="n">
        <v>3</v>
      </c>
      <c r="E760" t="n">
        <v>3</v>
      </c>
      <c r="F760" t="n">
        <v>1</v>
      </c>
      <c r="G760" t="n">
        <v>1</v>
      </c>
      <c r="H760" t="n">
        <v>2</v>
      </c>
      <c r="I760" t="n">
        <v>1</v>
      </c>
      <c r="J760" t="n">
        <v>1</v>
      </c>
      <c r="K760" t="n">
        <v>4</v>
      </c>
      <c r="L760" t="n">
        <v>1</v>
      </c>
      <c r="M760" t="n">
        <v>5</v>
      </c>
      <c r="N760" t="n">
        <v>3</v>
      </c>
      <c r="O760" t="n">
        <v>3</v>
      </c>
      <c r="P760" t="n">
        <v>2</v>
      </c>
      <c r="Q760" t="n">
        <v>5</v>
      </c>
      <c r="R760" t="n">
        <v>3</v>
      </c>
      <c r="S760" t="n">
        <v>5</v>
      </c>
      <c r="T760" t="n">
        <v>1</v>
      </c>
      <c r="U760" t="n">
        <v>1</v>
      </c>
      <c r="V760" t="n">
        <v>1</v>
      </c>
      <c r="W760">
        <f>(AVERAGE(B760:D760)-1)/4</f>
        <v/>
      </c>
      <c r="X760">
        <f>(AVERAGE(E760:G760)-1)/4</f>
        <v/>
      </c>
      <c r="Y760">
        <f>(AVERAGE(H760:J760)-1)/4</f>
        <v/>
      </c>
      <c r="Z760">
        <f>(AVERAGE(K760:M760)-1)/4</f>
        <v/>
      </c>
      <c r="AA760">
        <f>(AVERAGE(N760:P760)-1)/4</f>
        <v/>
      </c>
      <c r="AB760">
        <f>(AVERAGE(Q760:S760)-1)/4</f>
        <v/>
      </c>
      <c r="AC760">
        <f>(AVERAGE(T760:V760)-1)/4</f>
        <v/>
      </c>
      <c r="AD760">
        <f>AVERAGE(W760:AA760)</f>
        <v/>
      </c>
      <c r="AE760">
        <f>MIN(W760:AA760)</f>
        <v/>
      </c>
      <c r="AF760">
        <f>1-alpha*MAX(0,delta-AE760)</f>
        <v/>
      </c>
      <c r="AG760">
        <f>AD760*AF760</f>
        <v/>
      </c>
      <c r="AH760">
        <f>1+COUNTIF(bounds,"&lt;"&amp;ROUND(AD760,12))</f>
        <v/>
      </c>
      <c r="AI760">
        <f>1+COUNTIF(bounds,"&lt;"&amp;ROUND(AG760,12))</f>
        <v/>
      </c>
      <c r="AJ760">
        <f>IF(AF760&lt;1,1,0)</f>
        <v/>
      </c>
      <c r="AK760">
        <f>IF(AH760&lt;&gt;AI760,1,0)</f>
        <v/>
      </c>
      <c r="AL760">
        <f>IF(AND(AI760&gt;=3,AB760&lt;=0.2),1,0)</f>
        <v/>
      </c>
      <c r="AM760">
        <f>AVERAGE(W760:AB760)</f>
        <v/>
      </c>
      <c r="AN760">
        <f>1+COUNTIF(bounds,"&lt;"&amp;ROUND(AM760,12))</f>
        <v/>
      </c>
      <c r="AO760">
        <f>IF(AK760=1,AD760,NA())</f>
        <v/>
      </c>
      <c r="AP760">
        <f>IF(AK760=0,AD760,NA())</f>
        <v/>
      </c>
    </row>
    <row r="761">
      <c r="A761" t="n">
        <v>753</v>
      </c>
      <c r="B761" t="n">
        <v>1</v>
      </c>
      <c r="C761" t="n">
        <v>3</v>
      </c>
      <c r="D761" t="n">
        <v>2</v>
      </c>
      <c r="E761" t="n">
        <v>5</v>
      </c>
      <c r="F761" t="n">
        <v>1</v>
      </c>
      <c r="G761" t="n">
        <v>1</v>
      </c>
      <c r="H761" t="n">
        <v>3</v>
      </c>
      <c r="I761" t="n">
        <v>4</v>
      </c>
      <c r="J761" t="n">
        <v>3</v>
      </c>
      <c r="K761" t="n">
        <v>4</v>
      </c>
      <c r="L761" t="n">
        <v>3</v>
      </c>
      <c r="M761" t="n">
        <v>5</v>
      </c>
      <c r="N761" t="n">
        <v>4</v>
      </c>
      <c r="O761" t="n">
        <v>4</v>
      </c>
      <c r="P761" t="n">
        <v>1</v>
      </c>
      <c r="Q761" t="n">
        <v>1</v>
      </c>
      <c r="R761" t="n">
        <v>2</v>
      </c>
      <c r="S761" t="n">
        <v>4</v>
      </c>
      <c r="T761" t="n">
        <v>1</v>
      </c>
      <c r="U761" t="n">
        <v>5</v>
      </c>
      <c r="V761" t="n">
        <v>4</v>
      </c>
      <c r="W761">
        <f>(AVERAGE(B761:D761)-1)/4</f>
        <v/>
      </c>
      <c r="X761">
        <f>(AVERAGE(E761:G761)-1)/4</f>
        <v/>
      </c>
      <c r="Y761">
        <f>(AVERAGE(H761:J761)-1)/4</f>
        <v/>
      </c>
      <c r="Z761">
        <f>(AVERAGE(K761:M761)-1)/4</f>
        <v/>
      </c>
      <c r="AA761">
        <f>(AVERAGE(N761:P761)-1)/4</f>
        <v/>
      </c>
      <c r="AB761">
        <f>(AVERAGE(Q761:S761)-1)/4</f>
        <v/>
      </c>
      <c r="AC761">
        <f>(AVERAGE(T761:V761)-1)/4</f>
        <v/>
      </c>
      <c r="AD761">
        <f>AVERAGE(W761:AA761)</f>
        <v/>
      </c>
      <c r="AE761">
        <f>MIN(W761:AA761)</f>
        <v/>
      </c>
      <c r="AF761">
        <f>1-alpha*MAX(0,delta-AE761)</f>
        <v/>
      </c>
      <c r="AG761">
        <f>AD761*AF761</f>
        <v/>
      </c>
      <c r="AH761">
        <f>1+COUNTIF(bounds,"&lt;"&amp;ROUND(AD761,12))</f>
        <v/>
      </c>
      <c r="AI761">
        <f>1+COUNTIF(bounds,"&lt;"&amp;ROUND(AG761,12))</f>
        <v/>
      </c>
      <c r="AJ761">
        <f>IF(AF761&lt;1,1,0)</f>
        <v/>
      </c>
      <c r="AK761">
        <f>IF(AH761&lt;&gt;AI761,1,0)</f>
        <v/>
      </c>
      <c r="AL761">
        <f>IF(AND(AI761&gt;=3,AB761&lt;=0.2),1,0)</f>
        <v/>
      </c>
      <c r="AM761">
        <f>AVERAGE(W761:AB761)</f>
        <v/>
      </c>
      <c r="AN761">
        <f>1+COUNTIF(bounds,"&lt;"&amp;ROUND(AM761,12))</f>
        <v/>
      </c>
      <c r="AO761">
        <f>IF(AK761=1,AD761,NA())</f>
        <v/>
      </c>
      <c r="AP761">
        <f>IF(AK761=0,AD761,NA())</f>
        <v/>
      </c>
    </row>
    <row r="762">
      <c r="A762" t="n">
        <v>754</v>
      </c>
      <c r="B762" t="n">
        <v>1</v>
      </c>
      <c r="C762" t="n">
        <v>1</v>
      </c>
      <c r="D762" t="n">
        <v>1</v>
      </c>
      <c r="E762" t="n">
        <v>2</v>
      </c>
      <c r="F762" t="n">
        <v>2</v>
      </c>
      <c r="G762" t="n">
        <v>3</v>
      </c>
      <c r="H762" t="n">
        <v>1</v>
      </c>
      <c r="I762" t="n">
        <v>4</v>
      </c>
      <c r="J762" t="n">
        <v>1</v>
      </c>
      <c r="K762" t="n">
        <v>4</v>
      </c>
      <c r="L762" t="n">
        <v>5</v>
      </c>
      <c r="M762" t="n">
        <v>5</v>
      </c>
      <c r="N762" t="n">
        <v>2</v>
      </c>
      <c r="O762" t="n">
        <v>4</v>
      </c>
      <c r="P762" t="n">
        <v>5</v>
      </c>
      <c r="Q762" t="n">
        <v>2</v>
      </c>
      <c r="R762" t="n">
        <v>5</v>
      </c>
      <c r="S762" t="n">
        <v>2</v>
      </c>
      <c r="T762" t="n">
        <v>3</v>
      </c>
      <c r="U762" t="n">
        <v>3</v>
      </c>
      <c r="V762" t="n">
        <v>4</v>
      </c>
      <c r="W762">
        <f>(AVERAGE(B762:D762)-1)/4</f>
        <v/>
      </c>
      <c r="X762">
        <f>(AVERAGE(E762:G762)-1)/4</f>
        <v/>
      </c>
      <c r="Y762">
        <f>(AVERAGE(H762:J762)-1)/4</f>
        <v/>
      </c>
      <c r="Z762">
        <f>(AVERAGE(K762:M762)-1)/4</f>
        <v/>
      </c>
      <c r="AA762">
        <f>(AVERAGE(N762:P762)-1)/4</f>
        <v/>
      </c>
      <c r="AB762">
        <f>(AVERAGE(Q762:S762)-1)/4</f>
        <v/>
      </c>
      <c r="AC762">
        <f>(AVERAGE(T762:V762)-1)/4</f>
        <v/>
      </c>
      <c r="AD762">
        <f>AVERAGE(W762:AA762)</f>
        <v/>
      </c>
      <c r="AE762">
        <f>MIN(W762:AA762)</f>
        <v/>
      </c>
      <c r="AF762">
        <f>1-alpha*MAX(0,delta-AE762)</f>
        <v/>
      </c>
      <c r="AG762">
        <f>AD762*AF762</f>
        <v/>
      </c>
      <c r="AH762">
        <f>1+COUNTIF(bounds,"&lt;"&amp;ROUND(AD762,12))</f>
        <v/>
      </c>
      <c r="AI762">
        <f>1+COUNTIF(bounds,"&lt;"&amp;ROUND(AG762,12))</f>
        <v/>
      </c>
      <c r="AJ762">
        <f>IF(AF762&lt;1,1,0)</f>
        <v/>
      </c>
      <c r="AK762">
        <f>IF(AH762&lt;&gt;AI762,1,0)</f>
        <v/>
      </c>
      <c r="AL762">
        <f>IF(AND(AI762&gt;=3,AB762&lt;=0.2),1,0)</f>
        <v/>
      </c>
      <c r="AM762">
        <f>AVERAGE(W762:AB762)</f>
        <v/>
      </c>
      <c r="AN762">
        <f>1+COUNTIF(bounds,"&lt;"&amp;ROUND(AM762,12))</f>
        <v/>
      </c>
      <c r="AO762">
        <f>IF(AK762=1,AD762,NA())</f>
        <v/>
      </c>
      <c r="AP762">
        <f>IF(AK762=0,AD762,NA())</f>
        <v/>
      </c>
    </row>
    <row r="763">
      <c r="A763" t="n">
        <v>755</v>
      </c>
      <c r="B763" t="n">
        <v>4</v>
      </c>
      <c r="C763" t="n">
        <v>5</v>
      </c>
      <c r="D763" t="n">
        <v>2</v>
      </c>
      <c r="E763" t="n">
        <v>4</v>
      </c>
      <c r="F763" t="n">
        <v>5</v>
      </c>
      <c r="G763" t="n">
        <v>5</v>
      </c>
      <c r="H763" t="n">
        <v>3</v>
      </c>
      <c r="I763" t="n">
        <v>2</v>
      </c>
      <c r="J763" t="n">
        <v>1</v>
      </c>
      <c r="K763" t="n">
        <v>4</v>
      </c>
      <c r="L763" t="n">
        <v>3</v>
      </c>
      <c r="M763" t="n">
        <v>5</v>
      </c>
      <c r="N763" t="n">
        <v>4</v>
      </c>
      <c r="O763" t="n">
        <v>2</v>
      </c>
      <c r="P763" t="n">
        <v>5</v>
      </c>
      <c r="Q763" t="n">
        <v>1</v>
      </c>
      <c r="R763" t="n">
        <v>5</v>
      </c>
      <c r="S763" t="n">
        <v>4</v>
      </c>
      <c r="T763" t="n">
        <v>4</v>
      </c>
      <c r="U763" t="n">
        <v>3</v>
      </c>
      <c r="V763" t="n">
        <v>4</v>
      </c>
      <c r="W763">
        <f>(AVERAGE(B763:D763)-1)/4</f>
        <v/>
      </c>
      <c r="X763">
        <f>(AVERAGE(E763:G763)-1)/4</f>
        <v/>
      </c>
      <c r="Y763">
        <f>(AVERAGE(H763:J763)-1)/4</f>
        <v/>
      </c>
      <c r="Z763">
        <f>(AVERAGE(K763:M763)-1)/4</f>
        <v/>
      </c>
      <c r="AA763">
        <f>(AVERAGE(N763:P763)-1)/4</f>
        <v/>
      </c>
      <c r="AB763">
        <f>(AVERAGE(Q763:S763)-1)/4</f>
        <v/>
      </c>
      <c r="AC763">
        <f>(AVERAGE(T763:V763)-1)/4</f>
        <v/>
      </c>
      <c r="AD763">
        <f>AVERAGE(W763:AA763)</f>
        <v/>
      </c>
      <c r="AE763">
        <f>MIN(W763:AA763)</f>
        <v/>
      </c>
      <c r="AF763">
        <f>1-alpha*MAX(0,delta-AE763)</f>
        <v/>
      </c>
      <c r="AG763">
        <f>AD763*AF763</f>
        <v/>
      </c>
      <c r="AH763">
        <f>1+COUNTIF(bounds,"&lt;"&amp;ROUND(AD763,12))</f>
        <v/>
      </c>
      <c r="AI763">
        <f>1+COUNTIF(bounds,"&lt;"&amp;ROUND(AG763,12))</f>
        <v/>
      </c>
      <c r="AJ763">
        <f>IF(AF763&lt;1,1,0)</f>
        <v/>
      </c>
      <c r="AK763">
        <f>IF(AH763&lt;&gt;AI763,1,0)</f>
        <v/>
      </c>
      <c r="AL763">
        <f>IF(AND(AI763&gt;=3,AB763&lt;=0.2),1,0)</f>
        <v/>
      </c>
      <c r="AM763">
        <f>AVERAGE(W763:AB763)</f>
        <v/>
      </c>
      <c r="AN763">
        <f>1+COUNTIF(bounds,"&lt;"&amp;ROUND(AM763,12))</f>
        <v/>
      </c>
      <c r="AO763">
        <f>IF(AK763=1,AD763,NA())</f>
        <v/>
      </c>
      <c r="AP763">
        <f>IF(AK763=0,AD763,NA())</f>
        <v/>
      </c>
    </row>
    <row r="764">
      <c r="A764" t="n">
        <v>756</v>
      </c>
      <c r="B764" t="n">
        <v>3</v>
      </c>
      <c r="C764" t="n">
        <v>5</v>
      </c>
      <c r="D764" t="n">
        <v>2</v>
      </c>
      <c r="E764" t="n">
        <v>1</v>
      </c>
      <c r="F764" t="n">
        <v>5</v>
      </c>
      <c r="G764" t="n">
        <v>4</v>
      </c>
      <c r="H764" t="n">
        <v>4</v>
      </c>
      <c r="I764" t="n">
        <v>1</v>
      </c>
      <c r="J764" t="n">
        <v>4</v>
      </c>
      <c r="K764" t="n">
        <v>5</v>
      </c>
      <c r="L764" t="n">
        <v>3</v>
      </c>
      <c r="M764" t="n">
        <v>4</v>
      </c>
      <c r="N764" t="n">
        <v>3</v>
      </c>
      <c r="O764" t="n">
        <v>2</v>
      </c>
      <c r="P764" t="n">
        <v>4</v>
      </c>
      <c r="Q764" t="n">
        <v>3</v>
      </c>
      <c r="R764" t="n">
        <v>1</v>
      </c>
      <c r="S764" t="n">
        <v>2</v>
      </c>
      <c r="T764" t="n">
        <v>4</v>
      </c>
      <c r="U764" t="n">
        <v>2</v>
      </c>
      <c r="V764" t="n">
        <v>3</v>
      </c>
      <c r="W764">
        <f>(AVERAGE(B764:D764)-1)/4</f>
        <v/>
      </c>
      <c r="X764">
        <f>(AVERAGE(E764:G764)-1)/4</f>
        <v/>
      </c>
      <c r="Y764">
        <f>(AVERAGE(H764:J764)-1)/4</f>
        <v/>
      </c>
      <c r="Z764">
        <f>(AVERAGE(K764:M764)-1)/4</f>
        <v/>
      </c>
      <c r="AA764">
        <f>(AVERAGE(N764:P764)-1)/4</f>
        <v/>
      </c>
      <c r="AB764">
        <f>(AVERAGE(Q764:S764)-1)/4</f>
        <v/>
      </c>
      <c r="AC764">
        <f>(AVERAGE(T764:V764)-1)/4</f>
        <v/>
      </c>
      <c r="AD764">
        <f>AVERAGE(W764:AA764)</f>
        <v/>
      </c>
      <c r="AE764">
        <f>MIN(W764:AA764)</f>
        <v/>
      </c>
      <c r="AF764">
        <f>1-alpha*MAX(0,delta-AE764)</f>
        <v/>
      </c>
      <c r="AG764">
        <f>AD764*AF764</f>
        <v/>
      </c>
      <c r="AH764">
        <f>1+COUNTIF(bounds,"&lt;"&amp;ROUND(AD764,12))</f>
        <v/>
      </c>
      <c r="AI764">
        <f>1+COUNTIF(bounds,"&lt;"&amp;ROUND(AG764,12))</f>
        <v/>
      </c>
      <c r="AJ764">
        <f>IF(AF764&lt;1,1,0)</f>
        <v/>
      </c>
      <c r="AK764">
        <f>IF(AH764&lt;&gt;AI764,1,0)</f>
        <v/>
      </c>
      <c r="AL764">
        <f>IF(AND(AI764&gt;=3,AB764&lt;=0.2),1,0)</f>
        <v/>
      </c>
      <c r="AM764">
        <f>AVERAGE(W764:AB764)</f>
        <v/>
      </c>
      <c r="AN764">
        <f>1+COUNTIF(bounds,"&lt;"&amp;ROUND(AM764,12))</f>
        <v/>
      </c>
      <c r="AO764">
        <f>IF(AK764=1,AD764,NA())</f>
        <v/>
      </c>
      <c r="AP764">
        <f>IF(AK764=0,AD764,NA())</f>
        <v/>
      </c>
    </row>
    <row r="765">
      <c r="A765" t="n">
        <v>757</v>
      </c>
      <c r="B765" t="n">
        <v>4</v>
      </c>
      <c r="C765" t="n">
        <v>4</v>
      </c>
      <c r="D765" t="n">
        <v>3</v>
      </c>
      <c r="E765" t="n">
        <v>2</v>
      </c>
      <c r="F765" t="n">
        <v>4</v>
      </c>
      <c r="G765" t="n">
        <v>5</v>
      </c>
      <c r="H765" t="n">
        <v>2</v>
      </c>
      <c r="I765" t="n">
        <v>4</v>
      </c>
      <c r="J765" t="n">
        <v>2</v>
      </c>
      <c r="K765" t="n">
        <v>3</v>
      </c>
      <c r="L765" t="n">
        <v>4</v>
      </c>
      <c r="M765" t="n">
        <v>5</v>
      </c>
      <c r="N765" t="n">
        <v>2</v>
      </c>
      <c r="O765" t="n">
        <v>4</v>
      </c>
      <c r="P765" t="n">
        <v>5</v>
      </c>
      <c r="Q765" t="n">
        <v>1</v>
      </c>
      <c r="R765" t="n">
        <v>1</v>
      </c>
      <c r="S765" t="n">
        <v>2</v>
      </c>
      <c r="T765" t="n">
        <v>2</v>
      </c>
      <c r="U765" t="n">
        <v>5</v>
      </c>
      <c r="V765" t="n">
        <v>4</v>
      </c>
      <c r="W765">
        <f>(AVERAGE(B765:D765)-1)/4</f>
        <v/>
      </c>
      <c r="X765">
        <f>(AVERAGE(E765:G765)-1)/4</f>
        <v/>
      </c>
      <c r="Y765">
        <f>(AVERAGE(H765:J765)-1)/4</f>
        <v/>
      </c>
      <c r="Z765">
        <f>(AVERAGE(K765:M765)-1)/4</f>
        <v/>
      </c>
      <c r="AA765">
        <f>(AVERAGE(N765:P765)-1)/4</f>
        <v/>
      </c>
      <c r="AB765">
        <f>(AVERAGE(Q765:S765)-1)/4</f>
        <v/>
      </c>
      <c r="AC765">
        <f>(AVERAGE(T765:V765)-1)/4</f>
        <v/>
      </c>
      <c r="AD765">
        <f>AVERAGE(W765:AA765)</f>
        <v/>
      </c>
      <c r="AE765">
        <f>MIN(W765:AA765)</f>
        <v/>
      </c>
      <c r="AF765">
        <f>1-alpha*MAX(0,delta-AE765)</f>
        <v/>
      </c>
      <c r="AG765">
        <f>AD765*AF765</f>
        <v/>
      </c>
      <c r="AH765">
        <f>1+COUNTIF(bounds,"&lt;"&amp;ROUND(AD765,12))</f>
        <v/>
      </c>
      <c r="AI765">
        <f>1+COUNTIF(bounds,"&lt;"&amp;ROUND(AG765,12))</f>
        <v/>
      </c>
      <c r="AJ765">
        <f>IF(AF765&lt;1,1,0)</f>
        <v/>
      </c>
      <c r="AK765">
        <f>IF(AH765&lt;&gt;AI765,1,0)</f>
        <v/>
      </c>
      <c r="AL765">
        <f>IF(AND(AI765&gt;=3,AB765&lt;=0.2),1,0)</f>
        <v/>
      </c>
      <c r="AM765">
        <f>AVERAGE(W765:AB765)</f>
        <v/>
      </c>
      <c r="AN765">
        <f>1+COUNTIF(bounds,"&lt;"&amp;ROUND(AM765,12))</f>
        <v/>
      </c>
      <c r="AO765">
        <f>IF(AK765=1,AD765,NA())</f>
        <v/>
      </c>
      <c r="AP765">
        <f>IF(AK765=0,AD765,NA())</f>
        <v/>
      </c>
    </row>
    <row r="766">
      <c r="A766" t="n">
        <v>758</v>
      </c>
      <c r="B766" t="n">
        <v>5</v>
      </c>
      <c r="C766" t="n">
        <v>1</v>
      </c>
      <c r="D766" t="n">
        <v>1</v>
      </c>
      <c r="E766" t="n">
        <v>2</v>
      </c>
      <c r="F766" t="n">
        <v>2</v>
      </c>
      <c r="G766" t="n">
        <v>2</v>
      </c>
      <c r="H766" t="n">
        <v>1</v>
      </c>
      <c r="I766" t="n">
        <v>3</v>
      </c>
      <c r="J766" t="n">
        <v>3</v>
      </c>
      <c r="K766" t="n">
        <v>1</v>
      </c>
      <c r="L766" t="n">
        <v>5</v>
      </c>
      <c r="M766" t="n">
        <v>5</v>
      </c>
      <c r="N766" t="n">
        <v>3</v>
      </c>
      <c r="O766" t="n">
        <v>5</v>
      </c>
      <c r="P766" t="n">
        <v>2</v>
      </c>
      <c r="Q766" t="n">
        <v>3</v>
      </c>
      <c r="R766" t="n">
        <v>1</v>
      </c>
      <c r="S766" t="n">
        <v>3</v>
      </c>
      <c r="T766" t="n">
        <v>4</v>
      </c>
      <c r="U766" t="n">
        <v>2</v>
      </c>
      <c r="V766" t="n">
        <v>2</v>
      </c>
      <c r="W766">
        <f>(AVERAGE(B766:D766)-1)/4</f>
        <v/>
      </c>
      <c r="X766">
        <f>(AVERAGE(E766:G766)-1)/4</f>
        <v/>
      </c>
      <c r="Y766">
        <f>(AVERAGE(H766:J766)-1)/4</f>
        <v/>
      </c>
      <c r="Z766">
        <f>(AVERAGE(K766:M766)-1)/4</f>
        <v/>
      </c>
      <c r="AA766">
        <f>(AVERAGE(N766:P766)-1)/4</f>
        <v/>
      </c>
      <c r="AB766">
        <f>(AVERAGE(Q766:S766)-1)/4</f>
        <v/>
      </c>
      <c r="AC766">
        <f>(AVERAGE(T766:V766)-1)/4</f>
        <v/>
      </c>
      <c r="AD766">
        <f>AVERAGE(W766:AA766)</f>
        <v/>
      </c>
      <c r="AE766">
        <f>MIN(W766:AA766)</f>
        <v/>
      </c>
      <c r="AF766">
        <f>1-alpha*MAX(0,delta-AE766)</f>
        <v/>
      </c>
      <c r="AG766">
        <f>AD766*AF766</f>
        <v/>
      </c>
      <c r="AH766">
        <f>1+COUNTIF(bounds,"&lt;"&amp;ROUND(AD766,12))</f>
        <v/>
      </c>
      <c r="AI766">
        <f>1+COUNTIF(bounds,"&lt;"&amp;ROUND(AG766,12))</f>
        <v/>
      </c>
      <c r="AJ766">
        <f>IF(AF766&lt;1,1,0)</f>
        <v/>
      </c>
      <c r="AK766">
        <f>IF(AH766&lt;&gt;AI766,1,0)</f>
        <v/>
      </c>
      <c r="AL766">
        <f>IF(AND(AI766&gt;=3,AB766&lt;=0.2),1,0)</f>
        <v/>
      </c>
      <c r="AM766">
        <f>AVERAGE(W766:AB766)</f>
        <v/>
      </c>
      <c r="AN766">
        <f>1+COUNTIF(bounds,"&lt;"&amp;ROUND(AM766,12))</f>
        <v/>
      </c>
      <c r="AO766">
        <f>IF(AK766=1,AD766,NA())</f>
        <v/>
      </c>
      <c r="AP766">
        <f>IF(AK766=0,AD766,NA())</f>
        <v/>
      </c>
    </row>
    <row r="767">
      <c r="A767" t="n">
        <v>759</v>
      </c>
      <c r="B767" t="n">
        <v>5</v>
      </c>
      <c r="C767" t="n">
        <v>3</v>
      </c>
      <c r="D767" t="n">
        <v>2</v>
      </c>
      <c r="E767" t="n">
        <v>3</v>
      </c>
      <c r="F767" t="n">
        <v>4</v>
      </c>
      <c r="G767" t="n">
        <v>4</v>
      </c>
      <c r="H767" t="n">
        <v>5</v>
      </c>
      <c r="I767" t="n">
        <v>4</v>
      </c>
      <c r="J767" t="n">
        <v>4</v>
      </c>
      <c r="K767" t="n">
        <v>2</v>
      </c>
      <c r="L767" t="n">
        <v>2</v>
      </c>
      <c r="M767" t="n">
        <v>4</v>
      </c>
      <c r="N767" t="n">
        <v>1</v>
      </c>
      <c r="O767" t="n">
        <v>1</v>
      </c>
      <c r="P767" t="n">
        <v>4</v>
      </c>
      <c r="Q767" t="n">
        <v>4</v>
      </c>
      <c r="R767" t="n">
        <v>4</v>
      </c>
      <c r="S767" t="n">
        <v>2</v>
      </c>
      <c r="T767" t="n">
        <v>3</v>
      </c>
      <c r="U767" t="n">
        <v>4</v>
      </c>
      <c r="V767" t="n">
        <v>5</v>
      </c>
      <c r="W767">
        <f>(AVERAGE(B767:D767)-1)/4</f>
        <v/>
      </c>
      <c r="X767">
        <f>(AVERAGE(E767:G767)-1)/4</f>
        <v/>
      </c>
      <c r="Y767">
        <f>(AVERAGE(H767:J767)-1)/4</f>
        <v/>
      </c>
      <c r="Z767">
        <f>(AVERAGE(K767:M767)-1)/4</f>
        <v/>
      </c>
      <c r="AA767">
        <f>(AVERAGE(N767:P767)-1)/4</f>
        <v/>
      </c>
      <c r="AB767">
        <f>(AVERAGE(Q767:S767)-1)/4</f>
        <v/>
      </c>
      <c r="AC767">
        <f>(AVERAGE(T767:V767)-1)/4</f>
        <v/>
      </c>
      <c r="AD767">
        <f>AVERAGE(W767:AA767)</f>
        <v/>
      </c>
      <c r="AE767">
        <f>MIN(W767:AA767)</f>
        <v/>
      </c>
      <c r="AF767">
        <f>1-alpha*MAX(0,delta-AE767)</f>
        <v/>
      </c>
      <c r="AG767">
        <f>AD767*AF767</f>
        <v/>
      </c>
      <c r="AH767">
        <f>1+COUNTIF(bounds,"&lt;"&amp;ROUND(AD767,12))</f>
        <v/>
      </c>
      <c r="AI767">
        <f>1+COUNTIF(bounds,"&lt;"&amp;ROUND(AG767,12))</f>
        <v/>
      </c>
      <c r="AJ767">
        <f>IF(AF767&lt;1,1,0)</f>
        <v/>
      </c>
      <c r="AK767">
        <f>IF(AH767&lt;&gt;AI767,1,0)</f>
        <v/>
      </c>
      <c r="AL767">
        <f>IF(AND(AI767&gt;=3,AB767&lt;=0.2),1,0)</f>
        <v/>
      </c>
      <c r="AM767">
        <f>AVERAGE(W767:AB767)</f>
        <v/>
      </c>
      <c r="AN767">
        <f>1+COUNTIF(bounds,"&lt;"&amp;ROUND(AM767,12))</f>
        <v/>
      </c>
      <c r="AO767">
        <f>IF(AK767=1,AD767,NA())</f>
        <v/>
      </c>
      <c r="AP767">
        <f>IF(AK767=0,AD767,NA())</f>
        <v/>
      </c>
    </row>
    <row r="768">
      <c r="A768" t="n">
        <v>760</v>
      </c>
      <c r="B768" t="n">
        <v>5</v>
      </c>
      <c r="C768" t="n">
        <v>5</v>
      </c>
      <c r="D768" t="n">
        <v>5</v>
      </c>
      <c r="E768" t="n">
        <v>4</v>
      </c>
      <c r="F768" t="n">
        <v>4</v>
      </c>
      <c r="G768" t="n">
        <v>4</v>
      </c>
      <c r="H768" t="n">
        <v>2</v>
      </c>
      <c r="I768" t="n">
        <v>5</v>
      </c>
      <c r="J768" t="n">
        <v>3</v>
      </c>
      <c r="K768" t="n">
        <v>4</v>
      </c>
      <c r="L768" t="n">
        <v>2</v>
      </c>
      <c r="M768" t="n">
        <v>1</v>
      </c>
      <c r="N768" t="n">
        <v>1</v>
      </c>
      <c r="O768" t="n">
        <v>4</v>
      </c>
      <c r="P768" t="n">
        <v>4</v>
      </c>
      <c r="Q768" t="n">
        <v>4</v>
      </c>
      <c r="R768" t="n">
        <v>3</v>
      </c>
      <c r="S768" t="n">
        <v>2</v>
      </c>
      <c r="T768" t="n">
        <v>2</v>
      </c>
      <c r="U768" t="n">
        <v>1</v>
      </c>
      <c r="V768" t="n">
        <v>1</v>
      </c>
      <c r="W768">
        <f>(AVERAGE(B768:D768)-1)/4</f>
        <v/>
      </c>
      <c r="X768">
        <f>(AVERAGE(E768:G768)-1)/4</f>
        <v/>
      </c>
      <c r="Y768">
        <f>(AVERAGE(H768:J768)-1)/4</f>
        <v/>
      </c>
      <c r="Z768">
        <f>(AVERAGE(K768:M768)-1)/4</f>
        <v/>
      </c>
      <c r="AA768">
        <f>(AVERAGE(N768:P768)-1)/4</f>
        <v/>
      </c>
      <c r="AB768">
        <f>(AVERAGE(Q768:S768)-1)/4</f>
        <v/>
      </c>
      <c r="AC768">
        <f>(AVERAGE(T768:V768)-1)/4</f>
        <v/>
      </c>
      <c r="AD768">
        <f>AVERAGE(W768:AA768)</f>
        <v/>
      </c>
      <c r="AE768">
        <f>MIN(W768:AA768)</f>
        <v/>
      </c>
      <c r="AF768">
        <f>1-alpha*MAX(0,delta-AE768)</f>
        <v/>
      </c>
      <c r="AG768">
        <f>AD768*AF768</f>
        <v/>
      </c>
      <c r="AH768">
        <f>1+COUNTIF(bounds,"&lt;"&amp;ROUND(AD768,12))</f>
        <v/>
      </c>
      <c r="AI768">
        <f>1+COUNTIF(bounds,"&lt;"&amp;ROUND(AG768,12))</f>
        <v/>
      </c>
      <c r="AJ768">
        <f>IF(AF768&lt;1,1,0)</f>
        <v/>
      </c>
      <c r="AK768">
        <f>IF(AH768&lt;&gt;AI768,1,0)</f>
        <v/>
      </c>
      <c r="AL768">
        <f>IF(AND(AI768&gt;=3,AB768&lt;=0.2),1,0)</f>
        <v/>
      </c>
      <c r="AM768">
        <f>AVERAGE(W768:AB768)</f>
        <v/>
      </c>
      <c r="AN768">
        <f>1+COUNTIF(bounds,"&lt;"&amp;ROUND(AM768,12))</f>
        <v/>
      </c>
      <c r="AO768">
        <f>IF(AK768=1,AD768,NA())</f>
        <v/>
      </c>
      <c r="AP768">
        <f>IF(AK768=0,AD768,NA())</f>
        <v/>
      </c>
    </row>
    <row r="769">
      <c r="A769" t="n">
        <v>761</v>
      </c>
      <c r="B769" t="n">
        <v>1</v>
      </c>
      <c r="C769" t="n">
        <v>3</v>
      </c>
      <c r="D769" t="n">
        <v>5</v>
      </c>
      <c r="E769" t="n">
        <v>5</v>
      </c>
      <c r="F769" t="n">
        <v>4</v>
      </c>
      <c r="G769" t="n">
        <v>3</v>
      </c>
      <c r="H769" t="n">
        <v>2</v>
      </c>
      <c r="I769" t="n">
        <v>4</v>
      </c>
      <c r="J769" t="n">
        <v>1</v>
      </c>
      <c r="K769" t="n">
        <v>2</v>
      </c>
      <c r="L769" t="n">
        <v>5</v>
      </c>
      <c r="M769" t="n">
        <v>3</v>
      </c>
      <c r="N769" t="n">
        <v>3</v>
      </c>
      <c r="O769" t="n">
        <v>1</v>
      </c>
      <c r="P769" t="n">
        <v>2</v>
      </c>
      <c r="Q769" t="n">
        <v>4</v>
      </c>
      <c r="R769" t="n">
        <v>2</v>
      </c>
      <c r="S769" t="n">
        <v>1</v>
      </c>
      <c r="T769" t="n">
        <v>1</v>
      </c>
      <c r="U769" t="n">
        <v>5</v>
      </c>
      <c r="V769" t="n">
        <v>2</v>
      </c>
      <c r="W769">
        <f>(AVERAGE(B769:D769)-1)/4</f>
        <v/>
      </c>
      <c r="X769">
        <f>(AVERAGE(E769:G769)-1)/4</f>
        <v/>
      </c>
      <c r="Y769">
        <f>(AVERAGE(H769:J769)-1)/4</f>
        <v/>
      </c>
      <c r="Z769">
        <f>(AVERAGE(K769:M769)-1)/4</f>
        <v/>
      </c>
      <c r="AA769">
        <f>(AVERAGE(N769:P769)-1)/4</f>
        <v/>
      </c>
      <c r="AB769">
        <f>(AVERAGE(Q769:S769)-1)/4</f>
        <v/>
      </c>
      <c r="AC769">
        <f>(AVERAGE(T769:V769)-1)/4</f>
        <v/>
      </c>
      <c r="AD769">
        <f>AVERAGE(W769:AA769)</f>
        <v/>
      </c>
      <c r="AE769">
        <f>MIN(W769:AA769)</f>
        <v/>
      </c>
      <c r="AF769">
        <f>1-alpha*MAX(0,delta-AE769)</f>
        <v/>
      </c>
      <c r="AG769">
        <f>AD769*AF769</f>
        <v/>
      </c>
      <c r="AH769">
        <f>1+COUNTIF(bounds,"&lt;"&amp;ROUND(AD769,12))</f>
        <v/>
      </c>
      <c r="AI769">
        <f>1+COUNTIF(bounds,"&lt;"&amp;ROUND(AG769,12))</f>
        <v/>
      </c>
      <c r="AJ769">
        <f>IF(AF769&lt;1,1,0)</f>
        <v/>
      </c>
      <c r="AK769">
        <f>IF(AH769&lt;&gt;AI769,1,0)</f>
        <v/>
      </c>
      <c r="AL769">
        <f>IF(AND(AI769&gt;=3,AB769&lt;=0.2),1,0)</f>
        <v/>
      </c>
      <c r="AM769">
        <f>AVERAGE(W769:AB769)</f>
        <v/>
      </c>
      <c r="AN769">
        <f>1+COUNTIF(bounds,"&lt;"&amp;ROUND(AM769,12))</f>
        <v/>
      </c>
      <c r="AO769">
        <f>IF(AK769=1,AD769,NA())</f>
        <v/>
      </c>
      <c r="AP769">
        <f>IF(AK769=0,AD769,NA())</f>
        <v/>
      </c>
    </row>
    <row r="770">
      <c r="A770" t="n">
        <v>762</v>
      </c>
      <c r="B770" t="n">
        <v>3</v>
      </c>
      <c r="C770" t="n">
        <v>4</v>
      </c>
      <c r="D770" t="n">
        <v>5</v>
      </c>
      <c r="E770" t="n">
        <v>1</v>
      </c>
      <c r="F770" t="n">
        <v>1</v>
      </c>
      <c r="G770" t="n">
        <v>2</v>
      </c>
      <c r="H770" t="n">
        <v>2</v>
      </c>
      <c r="I770" t="n">
        <v>5</v>
      </c>
      <c r="J770" t="n">
        <v>3</v>
      </c>
      <c r="K770" t="n">
        <v>1</v>
      </c>
      <c r="L770" t="n">
        <v>5</v>
      </c>
      <c r="M770" t="n">
        <v>5</v>
      </c>
      <c r="N770" t="n">
        <v>3</v>
      </c>
      <c r="O770" t="n">
        <v>3</v>
      </c>
      <c r="P770" t="n">
        <v>4</v>
      </c>
      <c r="Q770" t="n">
        <v>5</v>
      </c>
      <c r="R770" t="n">
        <v>2</v>
      </c>
      <c r="S770" t="n">
        <v>5</v>
      </c>
      <c r="T770" t="n">
        <v>3</v>
      </c>
      <c r="U770" t="n">
        <v>2</v>
      </c>
      <c r="V770" t="n">
        <v>3</v>
      </c>
      <c r="W770">
        <f>(AVERAGE(B770:D770)-1)/4</f>
        <v/>
      </c>
      <c r="X770">
        <f>(AVERAGE(E770:G770)-1)/4</f>
        <v/>
      </c>
      <c r="Y770">
        <f>(AVERAGE(H770:J770)-1)/4</f>
        <v/>
      </c>
      <c r="Z770">
        <f>(AVERAGE(K770:M770)-1)/4</f>
        <v/>
      </c>
      <c r="AA770">
        <f>(AVERAGE(N770:P770)-1)/4</f>
        <v/>
      </c>
      <c r="AB770">
        <f>(AVERAGE(Q770:S770)-1)/4</f>
        <v/>
      </c>
      <c r="AC770">
        <f>(AVERAGE(T770:V770)-1)/4</f>
        <v/>
      </c>
      <c r="AD770">
        <f>AVERAGE(W770:AA770)</f>
        <v/>
      </c>
      <c r="AE770">
        <f>MIN(W770:AA770)</f>
        <v/>
      </c>
      <c r="AF770">
        <f>1-alpha*MAX(0,delta-AE770)</f>
        <v/>
      </c>
      <c r="AG770">
        <f>AD770*AF770</f>
        <v/>
      </c>
      <c r="AH770">
        <f>1+COUNTIF(bounds,"&lt;"&amp;ROUND(AD770,12))</f>
        <v/>
      </c>
      <c r="AI770">
        <f>1+COUNTIF(bounds,"&lt;"&amp;ROUND(AG770,12))</f>
        <v/>
      </c>
      <c r="AJ770">
        <f>IF(AF770&lt;1,1,0)</f>
        <v/>
      </c>
      <c r="AK770">
        <f>IF(AH770&lt;&gt;AI770,1,0)</f>
        <v/>
      </c>
      <c r="AL770">
        <f>IF(AND(AI770&gt;=3,AB770&lt;=0.2),1,0)</f>
        <v/>
      </c>
      <c r="AM770">
        <f>AVERAGE(W770:AB770)</f>
        <v/>
      </c>
      <c r="AN770">
        <f>1+COUNTIF(bounds,"&lt;"&amp;ROUND(AM770,12))</f>
        <v/>
      </c>
      <c r="AO770">
        <f>IF(AK770=1,AD770,NA())</f>
        <v/>
      </c>
      <c r="AP770">
        <f>IF(AK770=0,AD770,NA())</f>
        <v/>
      </c>
    </row>
    <row r="771">
      <c r="A771" t="n">
        <v>763</v>
      </c>
      <c r="B771" t="n">
        <v>4</v>
      </c>
      <c r="C771" t="n">
        <v>2</v>
      </c>
      <c r="D771" t="n">
        <v>4</v>
      </c>
      <c r="E771" t="n">
        <v>5</v>
      </c>
      <c r="F771" t="n">
        <v>2</v>
      </c>
      <c r="G771" t="n">
        <v>2</v>
      </c>
      <c r="H771" t="n">
        <v>3</v>
      </c>
      <c r="I771" t="n">
        <v>2</v>
      </c>
      <c r="J771" t="n">
        <v>4</v>
      </c>
      <c r="K771" t="n">
        <v>3</v>
      </c>
      <c r="L771" t="n">
        <v>1</v>
      </c>
      <c r="M771" t="n">
        <v>4</v>
      </c>
      <c r="N771" t="n">
        <v>3</v>
      </c>
      <c r="O771" t="n">
        <v>2</v>
      </c>
      <c r="P771" t="n">
        <v>4</v>
      </c>
      <c r="Q771" t="n">
        <v>2</v>
      </c>
      <c r="R771" t="n">
        <v>3</v>
      </c>
      <c r="S771" t="n">
        <v>2</v>
      </c>
      <c r="T771" t="n">
        <v>2</v>
      </c>
      <c r="U771" t="n">
        <v>2</v>
      </c>
      <c r="V771" t="n">
        <v>1</v>
      </c>
      <c r="W771">
        <f>(AVERAGE(B771:D771)-1)/4</f>
        <v/>
      </c>
      <c r="X771">
        <f>(AVERAGE(E771:G771)-1)/4</f>
        <v/>
      </c>
      <c r="Y771">
        <f>(AVERAGE(H771:J771)-1)/4</f>
        <v/>
      </c>
      <c r="Z771">
        <f>(AVERAGE(K771:M771)-1)/4</f>
        <v/>
      </c>
      <c r="AA771">
        <f>(AVERAGE(N771:P771)-1)/4</f>
        <v/>
      </c>
      <c r="AB771">
        <f>(AVERAGE(Q771:S771)-1)/4</f>
        <v/>
      </c>
      <c r="AC771">
        <f>(AVERAGE(T771:V771)-1)/4</f>
        <v/>
      </c>
      <c r="AD771">
        <f>AVERAGE(W771:AA771)</f>
        <v/>
      </c>
      <c r="AE771">
        <f>MIN(W771:AA771)</f>
        <v/>
      </c>
      <c r="AF771">
        <f>1-alpha*MAX(0,delta-AE771)</f>
        <v/>
      </c>
      <c r="AG771">
        <f>AD771*AF771</f>
        <v/>
      </c>
      <c r="AH771">
        <f>1+COUNTIF(bounds,"&lt;"&amp;ROUND(AD771,12))</f>
        <v/>
      </c>
      <c r="AI771">
        <f>1+COUNTIF(bounds,"&lt;"&amp;ROUND(AG771,12))</f>
        <v/>
      </c>
      <c r="AJ771">
        <f>IF(AF771&lt;1,1,0)</f>
        <v/>
      </c>
      <c r="AK771">
        <f>IF(AH771&lt;&gt;AI771,1,0)</f>
        <v/>
      </c>
      <c r="AL771">
        <f>IF(AND(AI771&gt;=3,AB771&lt;=0.2),1,0)</f>
        <v/>
      </c>
      <c r="AM771">
        <f>AVERAGE(W771:AB771)</f>
        <v/>
      </c>
      <c r="AN771">
        <f>1+COUNTIF(bounds,"&lt;"&amp;ROUND(AM771,12))</f>
        <v/>
      </c>
      <c r="AO771">
        <f>IF(AK771=1,AD771,NA())</f>
        <v/>
      </c>
      <c r="AP771">
        <f>IF(AK771=0,AD771,NA())</f>
        <v/>
      </c>
    </row>
    <row r="772">
      <c r="A772" t="n">
        <v>764</v>
      </c>
      <c r="B772" t="n">
        <v>5</v>
      </c>
      <c r="C772" t="n">
        <v>3</v>
      </c>
      <c r="D772" t="n">
        <v>2</v>
      </c>
      <c r="E772" t="n">
        <v>3</v>
      </c>
      <c r="F772" t="n">
        <v>3</v>
      </c>
      <c r="G772" t="n">
        <v>1</v>
      </c>
      <c r="H772" t="n">
        <v>4</v>
      </c>
      <c r="I772" t="n">
        <v>2</v>
      </c>
      <c r="J772" t="n">
        <v>1</v>
      </c>
      <c r="K772" t="n">
        <v>3</v>
      </c>
      <c r="L772" t="n">
        <v>4</v>
      </c>
      <c r="M772" t="n">
        <v>3</v>
      </c>
      <c r="N772" t="n">
        <v>1</v>
      </c>
      <c r="O772" t="n">
        <v>4</v>
      </c>
      <c r="P772" t="n">
        <v>4</v>
      </c>
      <c r="Q772" t="n">
        <v>2</v>
      </c>
      <c r="R772" t="n">
        <v>5</v>
      </c>
      <c r="S772" t="n">
        <v>3</v>
      </c>
      <c r="T772" t="n">
        <v>4</v>
      </c>
      <c r="U772" t="n">
        <v>3</v>
      </c>
      <c r="V772" t="n">
        <v>3</v>
      </c>
      <c r="W772">
        <f>(AVERAGE(B772:D772)-1)/4</f>
        <v/>
      </c>
      <c r="X772">
        <f>(AVERAGE(E772:G772)-1)/4</f>
        <v/>
      </c>
      <c r="Y772">
        <f>(AVERAGE(H772:J772)-1)/4</f>
        <v/>
      </c>
      <c r="Z772">
        <f>(AVERAGE(K772:M772)-1)/4</f>
        <v/>
      </c>
      <c r="AA772">
        <f>(AVERAGE(N772:P772)-1)/4</f>
        <v/>
      </c>
      <c r="AB772">
        <f>(AVERAGE(Q772:S772)-1)/4</f>
        <v/>
      </c>
      <c r="AC772">
        <f>(AVERAGE(T772:V772)-1)/4</f>
        <v/>
      </c>
      <c r="AD772">
        <f>AVERAGE(W772:AA772)</f>
        <v/>
      </c>
      <c r="AE772">
        <f>MIN(W772:AA772)</f>
        <v/>
      </c>
      <c r="AF772">
        <f>1-alpha*MAX(0,delta-AE772)</f>
        <v/>
      </c>
      <c r="AG772">
        <f>AD772*AF772</f>
        <v/>
      </c>
      <c r="AH772">
        <f>1+COUNTIF(bounds,"&lt;"&amp;ROUND(AD772,12))</f>
        <v/>
      </c>
      <c r="AI772">
        <f>1+COUNTIF(bounds,"&lt;"&amp;ROUND(AG772,12))</f>
        <v/>
      </c>
      <c r="AJ772">
        <f>IF(AF772&lt;1,1,0)</f>
        <v/>
      </c>
      <c r="AK772">
        <f>IF(AH772&lt;&gt;AI772,1,0)</f>
        <v/>
      </c>
      <c r="AL772">
        <f>IF(AND(AI772&gt;=3,AB772&lt;=0.2),1,0)</f>
        <v/>
      </c>
      <c r="AM772">
        <f>AVERAGE(W772:AB772)</f>
        <v/>
      </c>
      <c r="AN772">
        <f>1+COUNTIF(bounds,"&lt;"&amp;ROUND(AM772,12))</f>
        <v/>
      </c>
      <c r="AO772">
        <f>IF(AK772=1,AD772,NA())</f>
        <v/>
      </c>
      <c r="AP772">
        <f>IF(AK772=0,AD772,NA())</f>
        <v/>
      </c>
    </row>
    <row r="773">
      <c r="A773" t="n">
        <v>765</v>
      </c>
      <c r="B773" t="n">
        <v>4</v>
      </c>
      <c r="C773" t="n">
        <v>2</v>
      </c>
      <c r="D773" t="n">
        <v>2</v>
      </c>
      <c r="E773" t="n">
        <v>3</v>
      </c>
      <c r="F773" t="n">
        <v>3</v>
      </c>
      <c r="G773" t="n">
        <v>1</v>
      </c>
      <c r="H773" t="n">
        <v>4</v>
      </c>
      <c r="I773" t="n">
        <v>5</v>
      </c>
      <c r="J773" t="n">
        <v>4</v>
      </c>
      <c r="K773" t="n">
        <v>4</v>
      </c>
      <c r="L773" t="n">
        <v>3</v>
      </c>
      <c r="M773" t="n">
        <v>5</v>
      </c>
      <c r="N773" t="n">
        <v>3</v>
      </c>
      <c r="O773" t="n">
        <v>2</v>
      </c>
      <c r="P773" t="n">
        <v>5</v>
      </c>
      <c r="Q773" t="n">
        <v>1</v>
      </c>
      <c r="R773" t="n">
        <v>5</v>
      </c>
      <c r="S773" t="n">
        <v>1</v>
      </c>
      <c r="T773" t="n">
        <v>5</v>
      </c>
      <c r="U773" t="n">
        <v>5</v>
      </c>
      <c r="V773" t="n">
        <v>2</v>
      </c>
      <c r="W773">
        <f>(AVERAGE(B773:D773)-1)/4</f>
        <v/>
      </c>
      <c r="X773">
        <f>(AVERAGE(E773:G773)-1)/4</f>
        <v/>
      </c>
      <c r="Y773">
        <f>(AVERAGE(H773:J773)-1)/4</f>
        <v/>
      </c>
      <c r="Z773">
        <f>(AVERAGE(K773:M773)-1)/4</f>
        <v/>
      </c>
      <c r="AA773">
        <f>(AVERAGE(N773:P773)-1)/4</f>
        <v/>
      </c>
      <c r="AB773">
        <f>(AVERAGE(Q773:S773)-1)/4</f>
        <v/>
      </c>
      <c r="AC773">
        <f>(AVERAGE(T773:V773)-1)/4</f>
        <v/>
      </c>
      <c r="AD773">
        <f>AVERAGE(W773:AA773)</f>
        <v/>
      </c>
      <c r="AE773">
        <f>MIN(W773:AA773)</f>
        <v/>
      </c>
      <c r="AF773">
        <f>1-alpha*MAX(0,delta-AE773)</f>
        <v/>
      </c>
      <c r="AG773">
        <f>AD773*AF773</f>
        <v/>
      </c>
      <c r="AH773">
        <f>1+COUNTIF(bounds,"&lt;"&amp;ROUND(AD773,12))</f>
        <v/>
      </c>
      <c r="AI773">
        <f>1+COUNTIF(bounds,"&lt;"&amp;ROUND(AG773,12))</f>
        <v/>
      </c>
      <c r="AJ773">
        <f>IF(AF773&lt;1,1,0)</f>
        <v/>
      </c>
      <c r="AK773">
        <f>IF(AH773&lt;&gt;AI773,1,0)</f>
        <v/>
      </c>
      <c r="AL773">
        <f>IF(AND(AI773&gt;=3,AB773&lt;=0.2),1,0)</f>
        <v/>
      </c>
      <c r="AM773">
        <f>AVERAGE(W773:AB773)</f>
        <v/>
      </c>
      <c r="AN773">
        <f>1+COUNTIF(bounds,"&lt;"&amp;ROUND(AM773,12))</f>
        <v/>
      </c>
      <c r="AO773">
        <f>IF(AK773=1,AD773,NA())</f>
        <v/>
      </c>
      <c r="AP773">
        <f>IF(AK773=0,AD773,NA())</f>
        <v/>
      </c>
    </row>
    <row r="774">
      <c r="A774" t="n">
        <v>766</v>
      </c>
      <c r="B774" t="n">
        <v>2</v>
      </c>
      <c r="C774" t="n">
        <v>5</v>
      </c>
      <c r="D774" t="n">
        <v>4</v>
      </c>
      <c r="E774" t="n">
        <v>1</v>
      </c>
      <c r="F774" t="n">
        <v>2</v>
      </c>
      <c r="G774" t="n">
        <v>1</v>
      </c>
      <c r="H774" t="n">
        <v>2</v>
      </c>
      <c r="I774" t="n">
        <v>4</v>
      </c>
      <c r="J774" t="n">
        <v>2</v>
      </c>
      <c r="K774" t="n">
        <v>5</v>
      </c>
      <c r="L774" t="n">
        <v>2</v>
      </c>
      <c r="M774" t="n">
        <v>1</v>
      </c>
      <c r="N774" t="n">
        <v>3</v>
      </c>
      <c r="O774" t="n">
        <v>4</v>
      </c>
      <c r="P774" t="n">
        <v>4</v>
      </c>
      <c r="Q774" t="n">
        <v>5</v>
      </c>
      <c r="R774" t="n">
        <v>4</v>
      </c>
      <c r="S774" t="n">
        <v>5</v>
      </c>
      <c r="T774" t="n">
        <v>3</v>
      </c>
      <c r="U774" t="n">
        <v>5</v>
      </c>
      <c r="V774" t="n">
        <v>4</v>
      </c>
      <c r="W774">
        <f>(AVERAGE(B774:D774)-1)/4</f>
        <v/>
      </c>
      <c r="X774">
        <f>(AVERAGE(E774:G774)-1)/4</f>
        <v/>
      </c>
      <c r="Y774">
        <f>(AVERAGE(H774:J774)-1)/4</f>
        <v/>
      </c>
      <c r="Z774">
        <f>(AVERAGE(K774:M774)-1)/4</f>
        <v/>
      </c>
      <c r="AA774">
        <f>(AVERAGE(N774:P774)-1)/4</f>
        <v/>
      </c>
      <c r="AB774">
        <f>(AVERAGE(Q774:S774)-1)/4</f>
        <v/>
      </c>
      <c r="AC774">
        <f>(AVERAGE(T774:V774)-1)/4</f>
        <v/>
      </c>
      <c r="AD774">
        <f>AVERAGE(W774:AA774)</f>
        <v/>
      </c>
      <c r="AE774">
        <f>MIN(W774:AA774)</f>
        <v/>
      </c>
      <c r="AF774">
        <f>1-alpha*MAX(0,delta-AE774)</f>
        <v/>
      </c>
      <c r="AG774">
        <f>AD774*AF774</f>
        <v/>
      </c>
      <c r="AH774">
        <f>1+COUNTIF(bounds,"&lt;"&amp;ROUND(AD774,12))</f>
        <v/>
      </c>
      <c r="AI774">
        <f>1+COUNTIF(bounds,"&lt;"&amp;ROUND(AG774,12))</f>
        <v/>
      </c>
      <c r="AJ774">
        <f>IF(AF774&lt;1,1,0)</f>
        <v/>
      </c>
      <c r="AK774">
        <f>IF(AH774&lt;&gt;AI774,1,0)</f>
        <v/>
      </c>
      <c r="AL774">
        <f>IF(AND(AI774&gt;=3,AB774&lt;=0.2),1,0)</f>
        <v/>
      </c>
      <c r="AM774">
        <f>AVERAGE(W774:AB774)</f>
        <v/>
      </c>
      <c r="AN774">
        <f>1+COUNTIF(bounds,"&lt;"&amp;ROUND(AM774,12))</f>
        <v/>
      </c>
      <c r="AO774">
        <f>IF(AK774=1,AD774,NA())</f>
        <v/>
      </c>
      <c r="AP774">
        <f>IF(AK774=0,AD774,NA())</f>
        <v/>
      </c>
    </row>
    <row r="775">
      <c r="A775" t="n">
        <v>767</v>
      </c>
      <c r="B775" t="n">
        <v>5</v>
      </c>
      <c r="C775" t="n">
        <v>1</v>
      </c>
      <c r="D775" t="n">
        <v>1</v>
      </c>
      <c r="E775" t="n">
        <v>5</v>
      </c>
      <c r="F775" t="n">
        <v>4</v>
      </c>
      <c r="G775" t="n">
        <v>1</v>
      </c>
      <c r="H775" t="n">
        <v>5</v>
      </c>
      <c r="I775" t="n">
        <v>2</v>
      </c>
      <c r="J775" t="n">
        <v>4</v>
      </c>
      <c r="K775" t="n">
        <v>3</v>
      </c>
      <c r="L775" t="n">
        <v>5</v>
      </c>
      <c r="M775" t="n">
        <v>4</v>
      </c>
      <c r="N775" t="n">
        <v>2</v>
      </c>
      <c r="O775" t="n">
        <v>3</v>
      </c>
      <c r="P775" t="n">
        <v>2</v>
      </c>
      <c r="Q775" t="n">
        <v>3</v>
      </c>
      <c r="R775" t="n">
        <v>3</v>
      </c>
      <c r="S775" t="n">
        <v>4</v>
      </c>
      <c r="T775" t="n">
        <v>2</v>
      </c>
      <c r="U775" t="n">
        <v>5</v>
      </c>
      <c r="V775" t="n">
        <v>1</v>
      </c>
      <c r="W775">
        <f>(AVERAGE(B775:D775)-1)/4</f>
        <v/>
      </c>
      <c r="X775">
        <f>(AVERAGE(E775:G775)-1)/4</f>
        <v/>
      </c>
      <c r="Y775">
        <f>(AVERAGE(H775:J775)-1)/4</f>
        <v/>
      </c>
      <c r="Z775">
        <f>(AVERAGE(K775:M775)-1)/4</f>
        <v/>
      </c>
      <c r="AA775">
        <f>(AVERAGE(N775:P775)-1)/4</f>
        <v/>
      </c>
      <c r="AB775">
        <f>(AVERAGE(Q775:S775)-1)/4</f>
        <v/>
      </c>
      <c r="AC775">
        <f>(AVERAGE(T775:V775)-1)/4</f>
        <v/>
      </c>
      <c r="AD775">
        <f>AVERAGE(W775:AA775)</f>
        <v/>
      </c>
      <c r="AE775">
        <f>MIN(W775:AA775)</f>
        <v/>
      </c>
      <c r="AF775">
        <f>1-alpha*MAX(0,delta-AE775)</f>
        <v/>
      </c>
      <c r="AG775">
        <f>AD775*AF775</f>
        <v/>
      </c>
      <c r="AH775">
        <f>1+COUNTIF(bounds,"&lt;"&amp;ROUND(AD775,12))</f>
        <v/>
      </c>
      <c r="AI775">
        <f>1+COUNTIF(bounds,"&lt;"&amp;ROUND(AG775,12))</f>
        <v/>
      </c>
      <c r="AJ775">
        <f>IF(AF775&lt;1,1,0)</f>
        <v/>
      </c>
      <c r="AK775">
        <f>IF(AH775&lt;&gt;AI775,1,0)</f>
        <v/>
      </c>
      <c r="AL775">
        <f>IF(AND(AI775&gt;=3,AB775&lt;=0.2),1,0)</f>
        <v/>
      </c>
      <c r="AM775">
        <f>AVERAGE(W775:AB775)</f>
        <v/>
      </c>
      <c r="AN775">
        <f>1+COUNTIF(bounds,"&lt;"&amp;ROUND(AM775,12))</f>
        <v/>
      </c>
      <c r="AO775">
        <f>IF(AK775=1,AD775,NA())</f>
        <v/>
      </c>
      <c r="AP775">
        <f>IF(AK775=0,AD775,NA())</f>
        <v/>
      </c>
    </row>
    <row r="776">
      <c r="A776" t="n">
        <v>768</v>
      </c>
      <c r="B776" t="n">
        <v>5</v>
      </c>
      <c r="C776" t="n">
        <v>3</v>
      </c>
      <c r="D776" t="n">
        <v>5</v>
      </c>
      <c r="E776" t="n">
        <v>1</v>
      </c>
      <c r="F776" t="n">
        <v>4</v>
      </c>
      <c r="G776" t="n">
        <v>3</v>
      </c>
      <c r="H776" t="n">
        <v>4</v>
      </c>
      <c r="I776" t="n">
        <v>3</v>
      </c>
      <c r="J776" t="n">
        <v>1</v>
      </c>
      <c r="K776" t="n">
        <v>2</v>
      </c>
      <c r="L776" t="n">
        <v>3</v>
      </c>
      <c r="M776" t="n">
        <v>1</v>
      </c>
      <c r="N776" t="n">
        <v>2</v>
      </c>
      <c r="O776" t="n">
        <v>5</v>
      </c>
      <c r="P776" t="n">
        <v>1</v>
      </c>
      <c r="Q776" t="n">
        <v>2</v>
      </c>
      <c r="R776" t="n">
        <v>5</v>
      </c>
      <c r="S776" t="n">
        <v>1</v>
      </c>
      <c r="T776" t="n">
        <v>3</v>
      </c>
      <c r="U776" t="n">
        <v>4</v>
      </c>
      <c r="V776" t="n">
        <v>2</v>
      </c>
      <c r="W776">
        <f>(AVERAGE(B776:D776)-1)/4</f>
        <v/>
      </c>
      <c r="X776">
        <f>(AVERAGE(E776:G776)-1)/4</f>
        <v/>
      </c>
      <c r="Y776">
        <f>(AVERAGE(H776:J776)-1)/4</f>
        <v/>
      </c>
      <c r="Z776">
        <f>(AVERAGE(K776:M776)-1)/4</f>
        <v/>
      </c>
      <c r="AA776">
        <f>(AVERAGE(N776:P776)-1)/4</f>
        <v/>
      </c>
      <c r="AB776">
        <f>(AVERAGE(Q776:S776)-1)/4</f>
        <v/>
      </c>
      <c r="AC776">
        <f>(AVERAGE(T776:V776)-1)/4</f>
        <v/>
      </c>
      <c r="AD776">
        <f>AVERAGE(W776:AA776)</f>
        <v/>
      </c>
      <c r="AE776">
        <f>MIN(W776:AA776)</f>
        <v/>
      </c>
      <c r="AF776">
        <f>1-alpha*MAX(0,delta-AE776)</f>
        <v/>
      </c>
      <c r="AG776">
        <f>AD776*AF776</f>
        <v/>
      </c>
      <c r="AH776">
        <f>1+COUNTIF(bounds,"&lt;"&amp;ROUND(AD776,12))</f>
        <v/>
      </c>
      <c r="AI776">
        <f>1+COUNTIF(bounds,"&lt;"&amp;ROUND(AG776,12))</f>
        <v/>
      </c>
      <c r="AJ776">
        <f>IF(AF776&lt;1,1,0)</f>
        <v/>
      </c>
      <c r="AK776">
        <f>IF(AH776&lt;&gt;AI776,1,0)</f>
        <v/>
      </c>
      <c r="AL776">
        <f>IF(AND(AI776&gt;=3,AB776&lt;=0.2),1,0)</f>
        <v/>
      </c>
      <c r="AM776">
        <f>AVERAGE(W776:AB776)</f>
        <v/>
      </c>
      <c r="AN776">
        <f>1+COUNTIF(bounds,"&lt;"&amp;ROUND(AM776,12))</f>
        <v/>
      </c>
      <c r="AO776">
        <f>IF(AK776=1,AD776,NA())</f>
        <v/>
      </c>
      <c r="AP776">
        <f>IF(AK776=0,AD776,NA())</f>
        <v/>
      </c>
    </row>
    <row r="777">
      <c r="A777" t="n">
        <v>769</v>
      </c>
      <c r="B777" t="n">
        <v>2</v>
      </c>
      <c r="C777" t="n">
        <v>2</v>
      </c>
      <c r="D777" t="n">
        <v>4</v>
      </c>
      <c r="E777" t="n">
        <v>1</v>
      </c>
      <c r="F777" t="n">
        <v>5</v>
      </c>
      <c r="G777" t="n">
        <v>5</v>
      </c>
      <c r="H777" t="n">
        <v>3</v>
      </c>
      <c r="I777" t="n">
        <v>1</v>
      </c>
      <c r="J777" t="n">
        <v>5</v>
      </c>
      <c r="K777" t="n">
        <v>2</v>
      </c>
      <c r="L777" t="n">
        <v>1</v>
      </c>
      <c r="M777" t="n">
        <v>2</v>
      </c>
      <c r="N777" t="n">
        <v>4</v>
      </c>
      <c r="O777" t="n">
        <v>4</v>
      </c>
      <c r="P777" t="n">
        <v>3</v>
      </c>
      <c r="Q777" t="n">
        <v>3</v>
      </c>
      <c r="R777" t="n">
        <v>4</v>
      </c>
      <c r="S777" t="n">
        <v>2</v>
      </c>
      <c r="T777" t="n">
        <v>5</v>
      </c>
      <c r="U777" t="n">
        <v>3</v>
      </c>
      <c r="V777" t="n">
        <v>3</v>
      </c>
      <c r="W777">
        <f>(AVERAGE(B777:D777)-1)/4</f>
        <v/>
      </c>
      <c r="X777">
        <f>(AVERAGE(E777:G777)-1)/4</f>
        <v/>
      </c>
      <c r="Y777">
        <f>(AVERAGE(H777:J777)-1)/4</f>
        <v/>
      </c>
      <c r="Z777">
        <f>(AVERAGE(K777:M777)-1)/4</f>
        <v/>
      </c>
      <c r="AA777">
        <f>(AVERAGE(N777:P777)-1)/4</f>
        <v/>
      </c>
      <c r="AB777">
        <f>(AVERAGE(Q777:S777)-1)/4</f>
        <v/>
      </c>
      <c r="AC777">
        <f>(AVERAGE(T777:V777)-1)/4</f>
        <v/>
      </c>
      <c r="AD777">
        <f>AVERAGE(W777:AA777)</f>
        <v/>
      </c>
      <c r="AE777">
        <f>MIN(W777:AA777)</f>
        <v/>
      </c>
      <c r="AF777">
        <f>1-alpha*MAX(0,delta-AE777)</f>
        <v/>
      </c>
      <c r="AG777">
        <f>AD777*AF777</f>
        <v/>
      </c>
      <c r="AH777">
        <f>1+COUNTIF(bounds,"&lt;"&amp;ROUND(AD777,12))</f>
        <v/>
      </c>
      <c r="AI777">
        <f>1+COUNTIF(bounds,"&lt;"&amp;ROUND(AG777,12))</f>
        <v/>
      </c>
      <c r="AJ777">
        <f>IF(AF777&lt;1,1,0)</f>
        <v/>
      </c>
      <c r="AK777">
        <f>IF(AH777&lt;&gt;AI777,1,0)</f>
        <v/>
      </c>
      <c r="AL777">
        <f>IF(AND(AI777&gt;=3,AB777&lt;=0.2),1,0)</f>
        <v/>
      </c>
      <c r="AM777">
        <f>AVERAGE(W777:AB777)</f>
        <v/>
      </c>
      <c r="AN777">
        <f>1+COUNTIF(bounds,"&lt;"&amp;ROUND(AM777,12))</f>
        <v/>
      </c>
      <c r="AO777">
        <f>IF(AK777=1,AD777,NA())</f>
        <v/>
      </c>
      <c r="AP777">
        <f>IF(AK777=0,AD777,NA())</f>
        <v/>
      </c>
    </row>
    <row r="778">
      <c r="A778" t="n">
        <v>770</v>
      </c>
      <c r="B778" t="n">
        <v>2</v>
      </c>
      <c r="C778" t="n">
        <v>2</v>
      </c>
      <c r="D778" t="n">
        <v>3</v>
      </c>
      <c r="E778" t="n">
        <v>4</v>
      </c>
      <c r="F778" t="n">
        <v>3</v>
      </c>
      <c r="G778" t="n">
        <v>1</v>
      </c>
      <c r="H778" t="n">
        <v>2</v>
      </c>
      <c r="I778" t="n">
        <v>4</v>
      </c>
      <c r="J778" t="n">
        <v>5</v>
      </c>
      <c r="K778" t="n">
        <v>1</v>
      </c>
      <c r="L778" t="n">
        <v>2</v>
      </c>
      <c r="M778" t="n">
        <v>5</v>
      </c>
      <c r="N778" t="n">
        <v>3</v>
      </c>
      <c r="O778" t="n">
        <v>3</v>
      </c>
      <c r="P778" t="n">
        <v>2</v>
      </c>
      <c r="Q778" t="n">
        <v>5</v>
      </c>
      <c r="R778" t="n">
        <v>4</v>
      </c>
      <c r="S778" t="n">
        <v>5</v>
      </c>
      <c r="T778" t="n">
        <v>2</v>
      </c>
      <c r="U778" t="n">
        <v>1</v>
      </c>
      <c r="V778" t="n">
        <v>5</v>
      </c>
      <c r="W778">
        <f>(AVERAGE(B778:D778)-1)/4</f>
        <v/>
      </c>
      <c r="X778">
        <f>(AVERAGE(E778:G778)-1)/4</f>
        <v/>
      </c>
      <c r="Y778">
        <f>(AVERAGE(H778:J778)-1)/4</f>
        <v/>
      </c>
      <c r="Z778">
        <f>(AVERAGE(K778:M778)-1)/4</f>
        <v/>
      </c>
      <c r="AA778">
        <f>(AVERAGE(N778:P778)-1)/4</f>
        <v/>
      </c>
      <c r="AB778">
        <f>(AVERAGE(Q778:S778)-1)/4</f>
        <v/>
      </c>
      <c r="AC778">
        <f>(AVERAGE(T778:V778)-1)/4</f>
        <v/>
      </c>
      <c r="AD778">
        <f>AVERAGE(W778:AA778)</f>
        <v/>
      </c>
      <c r="AE778">
        <f>MIN(W778:AA778)</f>
        <v/>
      </c>
      <c r="AF778">
        <f>1-alpha*MAX(0,delta-AE778)</f>
        <v/>
      </c>
      <c r="AG778">
        <f>AD778*AF778</f>
        <v/>
      </c>
      <c r="AH778">
        <f>1+COUNTIF(bounds,"&lt;"&amp;ROUND(AD778,12))</f>
        <v/>
      </c>
      <c r="AI778">
        <f>1+COUNTIF(bounds,"&lt;"&amp;ROUND(AG778,12))</f>
        <v/>
      </c>
      <c r="AJ778">
        <f>IF(AF778&lt;1,1,0)</f>
        <v/>
      </c>
      <c r="AK778">
        <f>IF(AH778&lt;&gt;AI778,1,0)</f>
        <v/>
      </c>
      <c r="AL778">
        <f>IF(AND(AI778&gt;=3,AB778&lt;=0.2),1,0)</f>
        <v/>
      </c>
      <c r="AM778">
        <f>AVERAGE(W778:AB778)</f>
        <v/>
      </c>
      <c r="AN778">
        <f>1+COUNTIF(bounds,"&lt;"&amp;ROUND(AM778,12))</f>
        <v/>
      </c>
      <c r="AO778">
        <f>IF(AK778=1,AD778,NA())</f>
        <v/>
      </c>
      <c r="AP778">
        <f>IF(AK778=0,AD778,NA())</f>
        <v/>
      </c>
    </row>
    <row r="779">
      <c r="A779" t="n">
        <v>771</v>
      </c>
      <c r="B779" t="n">
        <v>4</v>
      </c>
      <c r="C779" t="n">
        <v>3</v>
      </c>
      <c r="D779" t="n">
        <v>3</v>
      </c>
      <c r="E779" t="n">
        <v>5</v>
      </c>
      <c r="F779" t="n">
        <v>3</v>
      </c>
      <c r="G779" t="n">
        <v>4</v>
      </c>
      <c r="H779" t="n">
        <v>4</v>
      </c>
      <c r="I779" t="n">
        <v>1</v>
      </c>
      <c r="J779" t="n">
        <v>2</v>
      </c>
      <c r="K779" t="n">
        <v>1</v>
      </c>
      <c r="L779" t="n">
        <v>3</v>
      </c>
      <c r="M779" t="n">
        <v>5</v>
      </c>
      <c r="N779" t="n">
        <v>2</v>
      </c>
      <c r="O779" t="n">
        <v>1</v>
      </c>
      <c r="P779" t="n">
        <v>5</v>
      </c>
      <c r="Q779" t="n">
        <v>3</v>
      </c>
      <c r="R779" t="n">
        <v>2</v>
      </c>
      <c r="S779" t="n">
        <v>5</v>
      </c>
      <c r="T779" t="n">
        <v>4</v>
      </c>
      <c r="U779" t="n">
        <v>2</v>
      </c>
      <c r="V779" t="n">
        <v>4</v>
      </c>
      <c r="W779">
        <f>(AVERAGE(B779:D779)-1)/4</f>
        <v/>
      </c>
      <c r="X779">
        <f>(AVERAGE(E779:G779)-1)/4</f>
        <v/>
      </c>
      <c r="Y779">
        <f>(AVERAGE(H779:J779)-1)/4</f>
        <v/>
      </c>
      <c r="Z779">
        <f>(AVERAGE(K779:M779)-1)/4</f>
        <v/>
      </c>
      <c r="AA779">
        <f>(AVERAGE(N779:P779)-1)/4</f>
        <v/>
      </c>
      <c r="AB779">
        <f>(AVERAGE(Q779:S779)-1)/4</f>
        <v/>
      </c>
      <c r="AC779">
        <f>(AVERAGE(T779:V779)-1)/4</f>
        <v/>
      </c>
      <c r="AD779">
        <f>AVERAGE(W779:AA779)</f>
        <v/>
      </c>
      <c r="AE779">
        <f>MIN(W779:AA779)</f>
        <v/>
      </c>
      <c r="AF779">
        <f>1-alpha*MAX(0,delta-AE779)</f>
        <v/>
      </c>
      <c r="AG779">
        <f>AD779*AF779</f>
        <v/>
      </c>
      <c r="AH779">
        <f>1+COUNTIF(bounds,"&lt;"&amp;ROUND(AD779,12))</f>
        <v/>
      </c>
      <c r="AI779">
        <f>1+COUNTIF(bounds,"&lt;"&amp;ROUND(AG779,12))</f>
        <v/>
      </c>
      <c r="AJ779">
        <f>IF(AF779&lt;1,1,0)</f>
        <v/>
      </c>
      <c r="AK779">
        <f>IF(AH779&lt;&gt;AI779,1,0)</f>
        <v/>
      </c>
      <c r="AL779">
        <f>IF(AND(AI779&gt;=3,AB779&lt;=0.2),1,0)</f>
        <v/>
      </c>
      <c r="AM779">
        <f>AVERAGE(W779:AB779)</f>
        <v/>
      </c>
      <c r="AN779">
        <f>1+COUNTIF(bounds,"&lt;"&amp;ROUND(AM779,12))</f>
        <v/>
      </c>
      <c r="AO779">
        <f>IF(AK779=1,AD779,NA())</f>
        <v/>
      </c>
      <c r="AP779">
        <f>IF(AK779=0,AD779,NA())</f>
        <v/>
      </c>
    </row>
    <row r="780">
      <c r="A780" t="n">
        <v>772</v>
      </c>
      <c r="B780" t="n">
        <v>3</v>
      </c>
      <c r="C780" t="n">
        <v>5</v>
      </c>
      <c r="D780" t="n">
        <v>5</v>
      </c>
      <c r="E780" t="n">
        <v>2</v>
      </c>
      <c r="F780" t="n">
        <v>2</v>
      </c>
      <c r="G780" t="n">
        <v>1</v>
      </c>
      <c r="H780" t="n">
        <v>2</v>
      </c>
      <c r="I780" t="n">
        <v>4</v>
      </c>
      <c r="J780" t="n">
        <v>3</v>
      </c>
      <c r="K780" t="n">
        <v>1</v>
      </c>
      <c r="L780" t="n">
        <v>3</v>
      </c>
      <c r="M780" t="n">
        <v>3</v>
      </c>
      <c r="N780" t="n">
        <v>5</v>
      </c>
      <c r="O780" t="n">
        <v>2</v>
      </c>
      <c r="P780" t="n">
        <v>2</v>
      </c>
      <c r="Q780" t="n">
        <v>1</v>
      </c>
      <c r="R780" t="n">
        <v>4</v>
      </c>
      <c r="S780" t="n">
        <v>4</v>
      </c>
      <c r="T780" t="n">
        <v>5</v>
      </c>
      <c r="U780" t="n">
        <v>1</v>
      </c>
      <c r="V780" t="n">
        <v>1</v>
      </c>
      <c r="W780">
        <f>(AVERAGE(B780:D780)-1)/4</f>
        <v/>
      </c>
      <c r="X780">
        <f>(AVERAGE(E780:G780)-1)/4</f>
        <v/>
      </c>
      <c r="Y780">
        <f>(AVERAGE(H780:J780)-1)/4</f>
        <v/>
      </c>
      <c r="Z780">
        <f>(AVERAGE(K780:M780)-1)/4</f>
        <v/>
      </c>
      <c r="AA780">
        <f>(AVERAGE(N780:P780)-1)/4</f>
        <v/>
      </c>
      <c r="AB780">
        <f>(AVERAGE(Q780:S780)-1)/4</f>
        <v/>
      </c>
      <c r="AC780">
        <f>(AVERAGE(T780:V780)-1)/4</f>
        <v/>
      </c>
      <c r="AD780">
        <f>AVERAGE(W780:AA780)</f>
        <v/>
      </c>
      <c r="AE780">
        <f>MIN(W780:AA780)</f>
        <v/>
      </c>
      <c r="AF780">
        <f>1-alpha*MAX(0,delta-AE780)</f>
        <v/>
      </c>
      <c r="AG780">
        <f>AD780*AF780</f>
        <v/>
      </c>
      <c r="AH780">
        <f>1+COUNTIF(bounds,"&lt;"&amp;ROUND(AD780,12))</f>
        <v/>
      </c>
      <c r="AI780">
        <f>1+COUNTIF(bounds,"&lt;"&amp;ROUND(AG780,12))</f>
        <v/>
      </c>
      <c r="AJ780">
        <f>IF(AF780&lt;1,1,0)</f>
        <v/>
      </c>
      <c r="AK780">
        <f>IF(AH780&lt;&gt;AI780,1,0)</f>
        <v/>
      </c>
      <c r="AL780">
        <f>IF(AND(AI780&gt;=3,AB780&lt;=0.2),1,0)</f>
        <v/>
      </c>
      <c r="AM780">
        <f>AVERAGE(W780:AB780)</f>
        <v/>
      </c>
      <c r="AN780">
        <f>1+COUNTIF(bounds,"&lt;"&amp;ROUND(AM780,12))</f>
        <v/>
      </c>
      <c r="AO780">
        <f>IF(AK780=1,AD780,NA())</f>
        <v/>
      </c>
      <c r="AP780">
        <f>IF(AK780=0,AD780,NA())</f>
        <v/>
      </c>
    </row>
    <row r="781">
      <c r="A781" t="n">
        <v>773</v>
      </c>
      <c r="B781" t="n">
        <v>3</v>
      </c>
      <c r="C781" t="n">
        <v>3</v>
      </c>
      <c r="D781" t="n">
        <v>1</v>
      </c>
      <c r="E781" t="n">
        <v>2</v>
      </c>
      <c r="F781" t="n">
        <v>2</v>
      </c>
      <c r="G781" t="n">
        <v>5</v>
      </c>
      <c r="H781" t="n">
        <v>4</v>
      </c>
      <c r="I781" t="n">
        <v>2</v>
      </c>
      <c r="J781" t="n">
        <v>3</v>
      </c>
      <c r="K781" t="n">
        <v>1</v>
      </c>
      <c r="L781" t="n">
        <v>4</v>
      </c>
      <c r="M781" t="n">
        <v>1</v>
      </c>
      <c r="N781" t="n">
        <v>2</v>
      </c>
      <c r="O781" t="n">
        <v>2</v>
      </c>
      <c r="P781" t="n">
        <v>3</v>
      </c>
      <c r="Q781" t="n">
        <v>1</v>
      </c>
      <c r="R781" t="n">
        <v>1</v>
      </c>
      <c r="S781" t="n">
        <v>4</v>
      </c>
      <c r="T781" t="n">
        <v>3</v>
      </c>
      <c r="U781" t="n">
        <v>3</v>
      </c>
      <c r="V781" t="n">
        <v>3</v>
      </c>
      <c r="W781">
        <f>(AVERAGE(B781:D781)-1)/4</f>
        <v/>
      </c>
      <c r="X781">
        <f>(AVERAGE(E781:G781)-1)/4</f>
        <v/>
      </c>
      <c r="Y781">
        <f>(AVERAGE(H781:J781)-1)/4</f>
        <v/>
      </c>
      <c r="Z781">
        <f>(AVERAGE(K781:M781)-1)/4</f>
        <v/>
      </c>
      <c r="AA781">
        <f>(AVERAGE(N781:P781)-1)/4</f>
        <v/>
      </c>
      <c r="AB781">
        <f>(AVERAGE(Q781:S781)-1)/4</f>
        <v/>
      </c>
      <c r="AC781">
        <f>(AVERAGE(T781:V781)-1)/4</f>
        <v/>
      </c>
      <c r="AD781">
        <f>AVERAGE(W781:AA781)</f>
        <v/>
      </c>
      <c r="AE781">
        <f>MIN(W781:AA781)</f>
        <v/>
      </c>
      <c r="AF781">
        <f>1-alpha*MAX(0,delta-AE781)</f>
        <v/>
      </c>
      <c r="AG781">
        <f>AD781*AF781</f>
        <v/>
      </c>
      <c r="AH781">
        <f>1+COUNTIF(bounds,"&lt;"&amp;ROUND(AD781,12))</f>
        <v/>
      </c>
      <c r="AI781">
        <f>1+COUNTIF(bounds,"&lt;"&amp;ROUND(AG781,12))</f>
        <v/>
      </c>
      <c r="AJ781">
        <f>IF(AF781&lt;1,1,0)</f>
        <v/>
      </c>
      <c r="AK781">
        <f>IF(AH781&lt;&gt;AI781,1,0)</f>
        <v/>
      </c>
      <c r="AL781">
        <f>IF(AND(AI781&gt;=3,AB781&lt;=0.2),1,0)</f>
        <v/>
      </c>
      <c r="AM781">
        <f>AVERAGE(W781:AB781)</f>
        <v/>
      </c>
      <c r="AN781">
        <f>1+COUNTIF(bounds,"&lt;"&amp;ROUND(AM781,12))</f>
        <v/>
      </c>
      <c r="AO781">
        <f>IF(AK781=1,AD781,NA())</f>
        <v/>
      </c>
      <c r="AP781">
        <f>IF(AK781=0,AD781,NA())</f>
        <v/>
      </c>
    </row>
    <row r="782">
      <c r="A782" t="n">
        <v>774</v>
      </c>
      <c r="B782" t="n">
        <v>4</v>
      </c>
      <c r="C782" t="n">
        <v>4</v>
      </c>
      <c r="D782" t="n">
        <v>1</v>
      </c>
      <c r="E782" t="n">
        <v>3</v>
      </c>
      <c r="F782" t="n">
        <v>5</v>
      </c>
      <c r="G782" t="n">
        <v>5</v>
      </c>
      <c r="H782" t="n">
        <v>2</v>
      </c>
      <c r="I782" t="n">
        <v>1</v>
      </c>
      <c r="J782" t="n">
        <v>1</v>
      </c>
      <c r="K782" t="n">
        <v>4</v>
      </c>
      <c r="L782" t="n">
        <v>1</v>
      </c>
      <c r="M782" t="n">
        <v>5</v>
      </c>
      <c r="N782" t="n">
        <v>4</v>
      </c>
      <c r="O782" t="n">
        <v>1</v>
      </c>
      <c r="P782" t="n">
        <v>2</v>
      </c>
      <c r="Q782" t="n">
        <v>1</v>
      </c>
      <c r="R782" t="n">
        <v>5</v>
      </c>
      <c r="S782" t="n">
        <v>5</v>
      </c>
      <c r="T782" t="n">
        <v>1</v>
      </c>
      <c r="U782" t="n">
        <v>2</v>
      </c>
      <c r="V782" t="n">
        <v>4</v>
      </c>
      <c r="W782">
        <f>(AVERAGE(B782:D782)-1)/4</f>
        <v/>
      </c>
      <c r="X782">
        <f>(AVERAGE(E782:G782)-1)/4</f>
        <v/>
      </c>
      <c r="Y782">
        <f>(AVERAGE(H782:J782)-1)/4</f>
        <v/>
      </c>
      <c r="Z782">
        <f>(AVERAGE(K782:M782)-1)/4</f>
        <v/>
      </c>
      <c r="AA782">
        <f>(AVERAGE(N782:P782)-1)/4</f>
        <v/>
      </c>
      <c r="AB782">
        <f>(AVERAGE(Q782:S782)-1)/4</f>
        <v/>
      </c>
      <c r="AC782">
        <f>(AVERAGE(T782:V782)-1)/4</f>
        <v/>
      </c>
      <c r="AD782">
        <f>AVERAGE(W782:AA782)</f>
        <v/>
      </c>
      <c r="AE782">
        <f>MIN(W782:AA782)</f>
        <v/>
      </c>
      <c r="AF782">
        <f>1-alpha*MAX(0,delta-AE782)</f>
        <v/>
      </c>
      <c r="AG782">
        <f>AD782*AF782</f>
        <v/>
      </c>
      <c r="AH782">
        <f>1+COUNTIF(bounds,"&lt;"&amp;ROUND(AD782,12))</f>
        <v/>
      </c>
      <c r="AI782">
        <f>1+COUNTIF(bounds,"&lt;"&amp;ROUND(AG782,12))</f>
        <v/>
      </c>
      <c r="AJ782">
        <f>IF(AF782&lt;1,1,0)</f>
        <v/>
      </c>
      <c r="AK782">
        <f>IF(AH782&lt;&gt;AI782,1,0)</f>
        <v/>
      </c>
      <c r="AL782">
        <f>IF(AND(AI782&gt;=3,AB782&lt;=0.2),1,0)</f>
        <v/>
      </c>
      <c r="AM782">
        <f>AVERAGE(W782:AB782)</f>
        <v/>
      </c>
      <c r="AN782">
        <f>1+COUNTIF(bounds,"&lt;"&amp;ROUND(AM782,12))</f>
        <v/>
      </c>
      <c r="AO782">
        <f>IF(AK782=1,AD782,NA())</f>
        <v/>
      </c>
      <c r="AP782">
        <f>IF(AK782=0,AD782,NA())</f>
        <v/>
      </c>
    </row>
    <row r="783">
      <c r="A783" t="n">
        <v>775</v>
      </c>
      <c r="B783" t="n">
        <v>1</v>
      </c>
      <c r="C783" t="n">
        <v>1</v>
      </c>
      <c r="D783" t="n">
        <v>3</v>
      </c>
      <c r="E783" t="n">
        <v>4</v>
      </c>
      <c r="F783" t="n">
        <v>1</v>
      </c>
      <c r="G783" t="n">
        <v>3</v>
      </c>
      <c r="H783" t="n">
        <v>5</v>
      </c>
      <c r="I783" t="n">
        <v>2</v>
      </c>
      <c r="J783" t="n">
        <v>3</v>
      </c>
      <c r="K783" t="n">
        <v>4</v>
      </c>
      <c r="L783" t="n">
        <v>5</v>
      </c>
      <c r="M783" t="n">
        <v>4</v>
      </c>
      <c r="N783" t="n">
        <v>1</v>
      </c>
      <c r="O783" t="n">
        <v>1</v>
      </c>
      <c r="P783" t="n">
        <v>4</v>
      </c>
      <c r="Q783" t="n">
        <v>5</v>
      </c>
      <c r="R783" t="n">
        <v>1</v>
      </c>
      <c r="S783" t="n">
        <v>2</v>
      </c>
      <c r="T783" t="n">
        <v>5</v>
      </c>
      <c r="U783" t="n">
        <v>3</v>
      </c>
      <c r="V783" t="n">
        <v>1</v>
      </c>
      <c r="W783">
        <f>(AVERAGE(B783:D783)-1)/4</f>
        <v/>
      </c>
      <c r="X783">
        <f>(AVERAGE(E783:G783)-1)/4</f>
        <v/>
      </c>
      <c r="Y783">
        <f>(AVERAGE(H783:J783)-1)/4</f>
        <v/>
      </c>
      <c r="Z783">
        <f>(AVERAGE(K783:M783)-1)/4</f>
        <v/>
      </c>
      <c r="AA783">
        <f>(AVERAGE(N783:P783)-1)/4</f>
        <v/>
      </c>
      <c r="AB783">
        <f>(AVERAGE(Q783:S783)-1)/4</f>
        <v/>
      </c>
      <c r="AC783">
        <f>(AVERAGE(T783:V783)-1)/4</f>
        <v/>
      </c>
      <c r="AD783">
        <f>AVERAGE(W783:AA783)</f>
        <v/>
      </c>
      <c r="AE783">
        <f>MIN(W783:AA783)</f>
        <v/>
      </c>
      <c r="AF783">
        <f>1-alpha*MAX(0,delta-AE783)</f>
        <v/>
      </c>
      <c r="AG783">
        <f>AD783*AF783</f>
        <v/>
      </c>
      <c r="AH783">
        <f>1+COUNTIF(bounds,"&lt;"&amp;ROUND(AD783,12))</f>
        <v/>
      </c>
      <c r="AI783">
        <f>1+COUNTIF(bounds,"&lt;"&amp;ROUND(AG783,12))</f>
        <v/>
      </c>
      <c r="AJ783">
        <f>IF(AF783&lt;1,1,0)</f>
        <v/>
      </c>
      <c r="AK783">
        <f>IF(AH783&lt;&gt;AI783,1,0)</f>
        <v/>
      </c>
      <c r="AL783">
        <f>IF(AND(AI783&gt;=3,AB783&lt;=0.2),1,0)</f>
        <v/>
      </c>
      <c r="AM783">
        <f>AVERAGE(W783:AB783)</f>
        <v/>
      </c>
      <c r="AN783">
        <f>1+COUNTIF(bounds,"&lt;"&amp;ROUND(AM783,12))</f>
        <v/>
      </c>
      <c r="AO783">
        <f>IF(AK783=1,AD783,NA())</f>
        <v/>
      </c>
      <c r="AP783">
        <f>IF(AK783=0,AD783,NA())</f>
        <v/>
      </c>
    </row>
    <row r="784">
      <c r="A784" t="n">
        <v>776</v>
      </c>
      <c r="B784" t="n">
        <v>3</v>
      </c>
      <c r="C784" t="n">
        <v>1</v>
      </c>
      <c r="D784" t="n">
        <v>5</v>
      </c>
      <c r="E784" t="n">
        <v>5</v>
      </c>
      <c r="F784" t="n">
        <v>4</v>
      </c>
      <c r="G784" t="n">
        <v>2</v>
      </c>
      <c r="H784" t="n">
        <v>5</v>
      </c>
      <c r="I784" t="n">
        <v>4</v>
      </c>
      <c r="J784" t="n">
        <v>5</v>
      </c>
      <c r="K784" t="n">
        <v>4</v>
      </c>
      <c r="L784" t="n">
        <v>1</v>
      </c>
      <c r="M784" t="n">
        <v>2</v>
      </c>
      <c r="N784" t="n">
        <v>1</v>
      </c>
      <c r="O784" t="n">
        <v>5</v>
      </c>
      <c r="P784" t="n">
        <v>4</v>
      </c>
      <c r="Q784" t="n">
        <v>1</v>
      </c>
      <c r="R784" t="n">
        <v>2</v>
      </c>
      <c r="S784" t="n">
        <v>1</v>
      </c>
      <c r="T784" t="n">
        <v>3</v>
      </c>
      <c r="U784" t="n">
        <v>2</v>
      </c>
      <c r="V784" t="n">
        <v>5</v>
      </c>
      <c r="W784">
        <f>(AVERAGE(B784:D784)-1)/4</f>
        <v/>
      </c>
      <c r="X784">
        <f>(AVERAGE(E784:G784)-1)/4</f>
        <v/>
      </c>
      <c r="Y784">
        <f>(AVERAGE(H784:J784)-1)/4</f>
        <v/>
      </c>
      <c r="Z784">
        <f>(AVERAGE(K784:M784)-1)/4</f>
        <v/>
      </c>
      <c r="AA784">
        <f>(AVERAGE(N784:P784)-1)/4</f>
        <v/>
      </c>
      <c r="AB784">
        <f>(AVERAGE(Q784:S784)-1)/4</f>
        <v/>
      </c>
      <c r="AC784">
        <f>(AVERAGE(T784:V784)-1)/4</f>
        <v/>
      </c>
      <c r="AD784">
        <f>AVERAGE(W784:AA784)</f>
        <v/>
      </c>
      <c r="AE784">
        <f>MIN(W784:AA784)</f>
        <v/>
      </c>
      <c r="AF784">
        <f>1-alpha*MAX(0,delta-AE784)</f>
        <v/>
      </c>
      <c r="AG784">
        <f>AD784*AF784</f>
        <v/>
      </c>
      <c r="AH784">
        <f>1+COUNTIF(bounds,"&lt;"&amp;ROUND(AD784,12))</f>
        <v/>
      </c>
      <c r="AI784">
        <f>1+COUNTIF(bounds,"&lt;"&amp;ROUND(AG784,12))</f>
        <v/>
      </c>
      <c r="AJ784">
        <f>IF(AF784&lt;1,1,0)</f>
        <v/>
      </c>
      <c r="AK784">
        <f>IF(AH784&lt;&gt;AI784,1,0)</f>
        <v/>
      </c>
      <c r="AL784">
        <f>IF(AND(AI784&gt;=3,AB784&lt;=0.2),1,0)</f>
        <v/>
      </c>
      <c r="AM784">
        <f>AVERAGE(W784:AB784)</f>
        <v/>
      </c>
      <c r="AN784">
        <f>1+COUNTIF(bounds,"&lt;"&amp;ROUND(AM784,12))</f>
        <v/>
      </c>
      <c r="AO784">
        <f>IF(AK784=1,AD784,NA())</f>
        <v/>
      </c>
      <c r="AP784">
        <f>IF(AK784=0,AD784,NA())</f>
        <v/>
      </c>
    </row>
    <row r="785">
      <c r="A785" t="n">
        <v>777</v>
      </c>
      <c r="B785" t="n">
        <v>1</v>
      </c>
      <c r="C785" t="n">
        <v>1</v>
      </c>
      <c r="D785" t="n">
        <v>4</v>
      </c>
      <c r="E785" t="n">
        <v>3</v>
      </c>
      <c r="F785" t="n">
        <v>5</v>
      </c>
      <c r="G785" t="n">
        <v>4</v>
      </c>
      <c r="H785" t="n">
        <v>5</v>
      </c>
      <c r="I785" t="n">
        <v>1</v>
      </c>
      <c r="J785" t="n">
        <v>4</v>
      </c>
      <c r="K785" t="n">
        <v>3</v>
      </c>
      <c r="L785" t="n">
        <v>2</v>
      </c>
      <c r="M785" t="n">
        <v>4</v>
      </c>
      <c r="N785" t="n">
        <v>3</v>
      </c>
      <c r="O785" t="n">
        <v>4</v>
      </c>
      <c r="P785" t="n">
        <v>5</v>
      </c>
      <c r="Q785" t="n">
        <v>3</v>
      </c>
      <c r="R785" t="n">
        <v>5</v>
      </c>
      <c r="S785" t="n">
        <v>4</v>
      </c>
      <c r="T785" t="n">
        <v>5</v>
      </c>
      <c r="U785" t="n">
        <v>2</v>
      </c>
      <c r="V785" t="n">
        <v>5</v>
      </c>
      <c r="W785">
        <f>(AVERAGE(B785:D785)-1)/4</f>
        <v/>
      </c>
      <c r="X785">
        <f>(AVERAGE(E785:G785)-1)/4</f>
        <v/>
      </c>
      <c r="Y785">
        <f>(AVERAGE(H785:J785)-1)/4</f>
        <v/>
      </c>
      <c r="Z785">
        <f>(AVERAGE(K785:M785)-1)/4</f>
        <v/>
      </c>
      <c r="AA785">
        <f>(AVERAGE(N785:P785)-1)/4</f>
        <v/>
      </c>
      <c r="AB785">
        <f>(AVERAGE(Q785:S785)-1)/4</f>
        <v/>
      </c>
      <c r="AC785">
        <f>(AVERAGE(T785:V785)-1)/4</f>
        <v/>
      </c>
      <c r="AD785">
        <f>AVERAGE(W785:AA785)</f>
        <v/>
      </c>
      <c r="AE785">
        <f>MIN(W785:AA785)</f>
        <v/>
      </c>
      <c r="AF785">
        <f>1-alpha*MAX(0,delta-AE785)</f>
        <v/>
      </c>
      <c r="AG785">
        <f>AD785*AF785</f>
        <v/>
      </c>
      <c r="AH785">
        <f>1+COUNTIF(bounds,"&lt;"&amp;ROUND(AD785,12))</f>
        <v/>
      </c>
      <c r="AI785">
        <f>1+COUNTIF(bounds,"&lt;"&amp;ROUND(AG785,12))</f>
        <v/>
      </c>
      <c r="AJ785">
        <f>IF(AF785&lt;1,1,0)</f>
        <v/>
      </c>
      <c r="AK785">
        <f>IF(AH785&lt;&gt;AI785,1,0)</f>
        <v/>
      </c>
      <c r="AL785">
        <f>IF(AND(AI785&gt;=3,AB785&lt;=0.2),1,0)</f>
        <v/>
      </c>
      <c r="AM785">
        <f>AVERAGE(W785:AB785)</f>
        <v/>
      </c>
      <c r="AN785">
        <f>1+COUNTIF(bounds,"&lt;"&amp;ROUND(AM785,12))</f>
        <v/>
      </c>
      <c r="AO785">
        <f>IF(AK785=1,AD785,NA())</f>
        <v/>
      </c>
      <c r="AP785">
        <f>IF(AK785=0,AD785,NA())</f>
        <v/>
      </c>
    </row>
    <row r="786">
      <c r="A786" t="n">
        <v>778</v>
      </c>
      <c r="B786" t="n">
        <v>4</v>
      </c>
      <c r="C786" t="n">
        <v>5</v>
      </c>
      <c r="D786" t="n">
        <v>5</v>
      </c>
      <c r="E786" t="n">
        <v>1</v>
      </c>
      <c r="F786" t="n">
        <v>1</v>
      </c>
      <c r="G786" t="n">
        <v>4</v>
      </c>
      <c r="H786" t="n">
        <v>4</v>
      </c>
      <c r="I786" t="n">
        <v>2</v>
      </c>
      <c r="J786" t="n">
        <v>1</v>
      </c>
      <c r="K786" t="n">
        <v>1</v>
      </c>
      <c r="L786" t="n">
        <v>4</v>
      </c>
      <c r="M786" t="n">
        <v>1</v>
      </c>
      <c r="N786" t="n">
        <v>3</v>
      </c>
      <c r="O786" t="n">
        <v>2</v>
      </c>
      <c r="P786" t="n">
        <v>3</v>
      </c>
      <c r="Q786" t="n">
        <v>1</v>
      </c>
      <c r="R786" t="n">
        <v>1</v>
      </c>
      <c r="S786" t="n">
        <v>5</v>
      </c>
      <c r="T786" t="n">
        <v>5</v>
      </c>
      <c r="U786" t="n">
        <v>2</v>
      </c>
      <c r="V786" t="n">
        <v>1</v>
      </c>
      <c r="W786">
        <f>(AVERAGE(B786:D786)-1)/4</f>
        <v/>
      </c>
      <c r="X786">
        <f>(AVERAGE(E786:G786)-1)/4</f>
        <v/>
      </c>
      <c r="Y786">
        <f>(AVERAGE(H786:J786)-1)/4</f>
        <v/>
      </c>
      <c r="Z786">
        <f>(AVERAGE(K786:M786)-1)/4</f>
        <v/>
      </c>
      <c r="AA786">
        <f>(AVERAGE(N786:P786)-1)/4</f>
        <v/>
      </c>
      <c r="AB786">
        <f>(AVERAGE(Q786:S786)-1)/4</f>
        <v/>
      </c>
      <c r="AC786">
        <f>(AVERAGE(T786:V786)-1)/4</f>
        <v/>
      </c>
      <c r="AD786">
        <f>AVERAGE(W786:AA786)</f>
        <v/>
      </c>
      <c r="AE786">
        <f>MIN(W786:AA786)</f>
        <v/>
      </c>
      <c r="AF786">
        <f>1-alpha*MAX(0,delta-AE786)</f>
        <v/>
      </c>
      <c r="AG786">
        <f>AD786*AF786</f>
        <v/>
      </c>
      <c r="AH786">
        <f>1+COUNTIF(bounds,"&lt;"&amp;ROUND(AD786,12))</f>
        <v/>
      </c>
      <c r="AI786">
        <f>1+COUNTIF(bounds,"&lt;"&amp;ROUND(AG786,12))</f>
        <v/>
      </c>
      <c r="AJ786">
        <f>IF(AF786&lt;1,1,0)</f>
        <v/>
      </c>
      <c r="AK786">
        <f>IF(AH786&lt;&gt;AI786,1,0)</f>
        <v/>
      </c>
      <c r="AL786">
        <f>IF(AND(AI786&gt;=3,AB786&lt;=0.2),1,0)</f>
        <v/>
      </c>
      <c r="AM786">
        <f>AVERAGE(W786:AB786)</f>
        <v/>
      </c>
      <c r="AN786">
        <f>1+COUNTIF(bounds,"&lt;"&amp;ROUND(AM786,12))</f>
        <v/>
      </c>
      <c r="AO786">
        <f>IF(AK786=1,AD786,NA())</f>
        <v/>
      </c>
      <c r="AP786">
        <f>IF(AK786=0,AD786,NA())</f>
        <v/>
      </c>
    </row>
    <row r="787">
      <c r="A787" t="n">
        <v>779</v>
      </c>
      <c r="B787" t="n">
        <v>5</v>
      </c>
      <c r="C787" t="n">
        <v>4</v>
      </c>
      <c r="D787" t="n">
        <v>3</v>
      </c>
      <c r="E787" t="n">
        <v>1</v>
      </c>
      <c r="F787" t="n">
        <v>2</v>
      </c>
      <c r="G787" t="n">
        <v>1</v>
      </c>
      <c r="H787" t="n">
        <v>4</v>
      </c>
      <c r="I787" t="n">
        <v>3</v>
      </c>
      <c r="J787" t="n">
        <v>4</v>
      </c>
      <c r="K787" t="n">
        <v>1</v>
      </c>
      <c r="L787" t="n">
        <v>5</v>
      </c>
      <c r="M787" t="n">
        <v>5</v>
      </c>
      <c r="N787" t="n">
        <v>3</v>
      </c>
      <c r="O787" t="n">
        <v>2</v>
      </c>
      <c r="P787" t="n">
        <v>3</v>
      </c>
      <c r="Q787" t="n">
        <v>5</v>
      </c>
      <c r="R787" t="n">
        <v>5</v>
      </c>
      <c r="S787" t="n">
        <v>3</v>
      </c>
      <c r="T787" t="n">
        <v>3</v>
      </c>
      <c r="U787" t="n">
        <v>4</v>
      </c>
      <c r="V787" t="n">
        <v>2</v>
      </c>
      <c r="W787">
        <f>(AVERAGE(B787:D787)-1)/4</f>
        <v/>
      </c>
      <c r="X787">
        <f>(AVERAGE(E787:G787)-1)/4</f>
        <v/>
      </c>
      <c r="Y787">
        <f>(AVERAGE(H787:J787)-1)/4</f>
        <v/>
      </c>
      <c r="Z787">
        <f>(AVERAGE(K787:M787)-1)/4</f>
        <v/>
      </c>
      <c r="AA787">
        <f>(AVERAGE(N787:P787)-1)/4</f>
        <v/>
      </c>
      <c r="AB787">
        <f>(AVERAGE(Q787:S787)-1)/4</f>
        <v/>
      </c>
      <c r="AC787">
        <f>(AVERAGE(T787:V787)-1)/4</f>
        <v/>
      </c>
      <c r="AD787">
        <f>AVERAGE(W787:AA787)</f>
        <v/>
      </c>
      <c r="AE787">
        <f>MIN(W787:AA787)</f>
        <v/>
      </c>
      <c r="AF787">
        <f>1-alpha*MAX(0,delta-AE787)</f>
        <v/>
      </c>
      <c r="AG787">
        <f>AD787*AF787</f>
        <v/>
      </c>
      <c r="AH787">
        <f>1+COUNTIF(bounds,"&lt;"&amp;ROUND(AD787,12))</f>
        <v/>
      </c>
      <c r="AI787">
        <f>1+COUNTIF(bounds,"&lt;"&amp;ROUND(AG787,12))</f>
        <v/>
      </c>
      <c r="AJ787">
        <f>IF(AF787&lt;1,1,0)</f>
        <v/>
      </c>
      <c r="AK787">
        <f>IF(AH787&lt;&gt;AI787,1,0)</f>
        <v/>
      </c>
      <c r="AL787">
        <f>IF(AND(AI787&gt;=3,AB787&lt;=0.2),1,0)</f>
        <v/>
      </c>
      <c r="AM787">
        <f>AVERAGE(W787:AB787)</f>
        <v/>
      </c>
      <c r="AN787">
        <f>1+COUNTIF(bounds,"&lt;"&amp;ROUND(AM787,12))</f>
        <v/>
      </c>
      <c r="AO787">
        <f>IF(AK787=1,AD787,NA())</f>
        <v/>
      </c>
      <c r="AP787">
        <f>IF(AK787=0,AD787,NA())</f>
        <v/>
      </c>
    </row>
    <row r="788">
      <c r="A788" t="n">
        <v>780</v>
      </c>
      <c r="B788" t="n">
        <v>1</v>
      </c>
      <c r="C788" t="n">
        <v>3</v>
      </c>
      <c r="D788" t="n">
        <v>2</v>
      </c>
      <c r="E788" t="n">
        <v>2</v>
      </c>
      <c r="F788" t="n">
        <v>2</v>
      </c>
      <c r="G788" t="n">
        <v>2</v>
      </c>
      <c r="H788" t="n">
        <v>2</v>
      </c>
      <c r="I788" t="n">
        <v>1</v>
      </c>
      <c r="J788" t="n">
        <v>5</v>
      </c>
      <c r="K788" t="n">
        <v>1</v>
      </c>
      <c r="L788" t="n">
        <v>4</v>
      </c>
      <c r="M788" t="n">
        <v>3</v>
      </c>
      <c r="N788" t="n">
        <v>5</v>
      </c>
      <c r="O788" t="n">
        <v>3</v>
      </c>
      <c r="P788" t="n">
        <v>4</v>
      </c>
      <c r="Q788" t="n">
        <v>2</v>
      </c>
      <c r="R788" t="n">
        <v>2</v>
      </c>
      <c r="S788" t="n">
        <v>3</v>
      </c>
      <c r="T788" t="n">
        <v>4</v>
      </c>
      <c r="U788" t="n">
        <v>2</v>
      </c>
      <c r="V788" t="n">
        <v>1</v>
      </c>
      <c r="W788">
        <f>(AVERAGE(B788:D788)-1)/4</f>
        <v/>
      </c>
      <c r="X788">
        <f>(AVERAGE(E788:G788)-1)/4</f>
        <v/>
      </c>
      <c r="Y788">
        <f>(AVERAGE(H788:J788)-1)/4</f>
        <v/>
      </c>
      <c r="Z788">
        <f>(AVERAGE(K788:M788)-1)/4</f>
        <v/>
      </c>
      <c r="AA788">
        <f>(AVERAGE(N788:P788)-1)/4</f>
        <v/>
      </c>
      <c r="AB788">
        <f>(AVERAGE(Q788:S788)-1)/4</f>
        <v/>
      </c>
      <c r="AC788">
        <f>(AVERAGE(T788:V788)-1)/4</f>
        <v/>
      </c>
      <c r="AD788">
        <f>AVERAGE(W788:AA788)</f>
        <v/>
      </c>
      <c r="AE788">
        <f>MIN(W788:AA788)</f>
        <v/>
      </c>
      <c r="AF788">
        <f>1-alpha*MAX(0,delta-AE788)</f>
        <v/>
      </c>
      <c r="AG788">
        <f>AD788*AF788</f>
        <v/>
      </c>
      <c r="AH788">
        <f>1+COUNTIF(bounds,"&lt;"&amp;ROUND(AD788,12))</f>
        <v/>
      </c>
      <c r="AI788">
        <f>1+COUNTIF(bounds,"&lt;"&amp;ROUND(AG788,12))</f>
        <v/>
      </c>
      <c r="AJ788">
        <f>IF(AF788&lt;1,1,0)</f>
        <v/>
      </c>
      <c r="AK788">
        <f>IF(AH788&lt;&gt;AI788,1,0)</f>
        <v/>
      </c>
      <c r="AL788">
        <f>IF(AND(AI788&gt;=3,AB788&lt;=0.2),1,0)</f>
        <v/>
      </c>
      <c r="AM788">
        <f>AVERAGE(W788:AB788)</f>
        <v/>
      </c>
      <c r="AN788">
        <f>1+COUNTIF(bounds,"&lt;"&amp;ROUND(AM788,12))</f>
        <v/>
      </c>
      <c r="AO788">
        <f>IF(AK788=1,AD788,NA())</f>
        <v/>
      </c>
      <c r="AP788">
        <f>IF(AK788=0,AD788,NA())</f>
        <v/>
      </c>
    </row>
    <row r="789">
      <c r="A789" t="n">
        <v>781</v>
      </c>
      <c r="B789" t="n">
        <v>1</v>
      </c>
      <c r="C789" t="n">
        <v>4</v>
      </c>
      <c r="D789" t="n">
        <v>1</v>
      </c>
      <c r="E789" t="n">
        <v>3</v>
      </c>
      <c r="F789" t="n">
        <v>1</v>
      </c>
      <c r="G789" t="n">
        <v>4</v>
      </c>
      <c r="H789" t="n">
        <v>1</v>
      </c>
      <c r="I789" t="n">
        <v>2</v>
      </c>
      <c r="J789" t="n">
        <v>3</v>
      </c>
      <c r="K789" t="n">
        <v>4</v>
      </c>
      <c r="L789" t="n">
        <v>5</v>
      </c>
      <c r="M789" t="n">
        <v>2</v>
      </c>
      <c r="N789" t="n">
        <v>4</v>
      </c>
      <c r="O789" t="n">
        <v>2</v>
      </c>
      <c r="P789" t="n">
        <v>4</v>
      </c>
      <c r="Q789" t="n">
        <v>3</v>
      </c>
      <c r="R789" t="n">
        <v>5</v>
      </c>
      <c r="S789" t="n">
        <v>1</v>
      </c>
      <c r="T789" t="n">
        <v>3</v>
      </c>
      <c r="U789" t="n">
        <v>4</v>
      </c>
      <c r="V789" t="n">
        <v>1</v>
      </c>
      <c r="W789">
        <f>(AVERAGE(B789:D789)-1)/4</f>
        <v/>
      </c>
      <c r="X789">
        <f>(AVERAGE(E789:G789)-1)/4</f>
        <v/>
      </c>
      <c r="Y789">
        <f>(AVERAGE(H789:J789)-1)/4</f>
        <v/>
      </c>
      <c r="Z789">
        <f>(AVERAGE(K789:M789)-1)/4</f>
        <v/>
      </c>
      <c r="AA789">
        <f>(AVERAGE(N789:P789)-1)/4</f>
        <v/>
      </c>
      <c r="AB789">
        <f>(AVERAGE(Q789:S789)-1)/4</f>
        <v/>
      </c>
      <c r="AC789">
        <f>(AVERAGE(T789:V789)-1)/4</f>
        <v/>
      </c>
      <c r="AD789">
        <f>AVERAGE(W789:AA789)</f>
        <v/>
      </c>
      <c r="AE789">
        <f>MIN(W789:AA789)</f>
        <v/>
      </c>
      <c r="AF789">
        <f>1-alpha*MAX(0,delta-AE789)</f>
        <v/>
      </c>
      <c r="AG789">
        <f>AD789*AF789</f>
        <v/>
      </c>
      <c r="AH789">
        <f>1+COUNTIF(bounds,"&lt;"&amp;ROUND(AD789,12))</f>
        <v/>
      </c>
      <c r="AI789">
        <f>1+COUNTIF(bounds,"&lt;"&amp;ROUND(AG789,12))</f>
        <v/>
      </c>
      <c r="AJ789">
        <f>IF(AF789&lt;1,1,0)</f>
        <v/>
      </c>
      <c r="AK789">
        <f>IF(AH789&lt;&gt;AI789,1,0)</f>
        <v/>
      </c>
      <c r="AL789">
        <f>IF(AND(AI789&gt;=3,AB789&lt;=0.2),1,0)</f>
        <v/>
      </c>
      <c r="AM789">
        <f>AVERAGE(W789:AB789)</f>
        <v/>
      </c>
      <c r="AN789">
        <f>1+COUNTIF(bounds,"&lt;"&amp;ROUND(AM789,12))</f>
        <v/>
      </c>
      <c r="AO789">
        <f>IF(AK789=1,AD789,NA())</f>
        <v/>
      </c>
      <c r="AP789">
        <f>IF(AK789=0,AD789,NA())</f>
        <v/>
      </c>
    </row>
    <row r="790">
      <c r="A790" t="n">
        <v>782</v>
      </c>
      <c r="B790" t="n">
        <v>4</v>
      </c>
      <c r="C790" t="n">
        <v>5</v>
      </c>
      <c r="D790" t="n">
        <v>3</v>
      </c>
      <c r="E790" t="n">
        <v>2</v>
      </c>
      <c r="F790" t="n">
        <v>3</v>
      </c>
      <c r="G790" t="n">
        <v>1</v>
      </c>
      <c r="H790" t="n">
        <v>3</v>
      </c>
      <c r="I790" t="n">
        <v>1</v>
      </c>
      <c r="J790" t="n">
        <v>3</v>
      </c>
      <c r="K790" t="n">
        <v>5</v>
      </c>
      <c r="L790" t="n">
        <v>4</v>
      </c>
      <c r="M790" t="n">
        <v>2</v>
      </c>
      <c r="N790" t="n">
        <v>1</v>
      </c>
      <c r="O790" t="n">
        <v>4</v>
      </c>
      <c r="P790" t="n">
        <v>4</v>
      </c>
      <c r="Q790" t="n">
        <v>4</v>
      </c>
      <c r="R790" t="n">
        <v>1</v>
      </c>
      <c r="S790" t="n">
        <v>4</v>
      </c>
      <c r="T790" t="n">
        <v>3</v>
      </c>
      <c r="U790" t="n">
        <v>3</v>
      </c>
      <c r="V790" t="n">
        <v>3</v>
      </c>
      <c r="W790">
        <f>(AVERAGE(B790:D790)-1)/4</f>
        <v/>
      </c>
      <c r="X790">
        <f>(AVERAGE(E790:G790)-1)/4</f>
        <v/>
      </c>
      <c r="Y790">
        <f>(AVERAGE(H790:J790)-1)/4</f>
        <v/>
      </c>
      <c r="Z790">
        <f>(AVERAGE(K790:M790)-1)/4</f>
        <v/>
      </c>
      <c r="AA790">
        <f>(AVERAGE(N790:P790)-1)/4</f>
        <v/>
      </c>
      <c r="AB790">
        <f>(AVERAGE(Q790:S790)-1)/4</f>
        <v/>
      </c>
      <c r="AC790">
        <f>(AVERAGE(T790:V790)-1)/4</f>
        <v/>
      </c>
      <c r="AD790">
        <f>AVERAGE(W790:AA790)</f>
        <v/>
      </c>
      <c r="AE790">
        <f>MIN(W790:AA790)</f>
        <v/>
      </c>
      <c r="AF790">
        <f>1-alpha*MAX(0,delta-AE790)</f>
        <v/>
      </c>
      <c r="AG790">
        <f>AD790*AF790</f>
        <v/>
      </c>
      <c r="AH790">
        <f>1+COUNTIF(bounds,"&lt;"&amp;ROUND(AD790,12))</f>
        <v/>
      </c>
      <c r="AI790">
        <f>1+COUNTIF(bounds,"&lt;"&amp;ROUND(AG790,12))</f>
        <v/>
      </c>
      <c r="AJ790">
        <f>IF(AF790&lt;1,1,0)</f>
        <v/>
      </c>
      <c r="AK790">
        <f>IF(AH790&lt;&gt;AI790,1,0)</f>
        <v/>
      </c>
      <c r="AL790">
        <f>IF(AND(AI790&gt;=3,AB790&lt;=0.2),1,0)</f>
        <v/>
      </c>
      <c r="AM790">
        <f>AVERAGE(W790:AB790)</f>
        <v/>
      </c>
      <c r="AN790">
        <f>1+COUNTIF(bounds,"&lt;"&amp;ROUND(AM790,12))</f>
        <v/>
      </c>
      <c r="AO790">
        <f>IF(AK790=1,AD790,NA())</f>
        <v/>
      </c>
      <c r="AP790">
        <f>IF(AK790=0,AD790,NA())</f>
        <v/>
      </c>
    </row>
    <row r="791">
      <c r="A791" t="n">
        <v>783</v>
      </c>
      <c r="B791" t="n">
        <v>4</v>
      </c>
      <c r="C791" t="n">
        <v>1</v>
      </c>
      <c r="D791" t="n">
        <v>2</v>
      </c>
      <c r="E791" t="n">
        <v>2</v>
      </c>
      <c r="F791" t="n">
        <v>4</v>
      </c>
      <c r="G791" t="n">
        <v>5</v>
      </c>
      <c r="H791" t="n">
        <v>1</v>
      </c>
      <c r="I791" t="n">
        <v>5</v>
      </c>
      <c r="J791" t="n">
        <v>4</v>
      </c>
      <c r="K791" t="n">
        <v>2</v>
      </c>
      <c r="L791" t="n">
        <v>5</v>
      </c>
      <c r="M791" t="n">
        <v>1</v>
      </c>
      <c r="N791" t="n">
        <v>3</v>
      </c>
      <c r="O791" t="n">
        <v>4</v>
      </c>
      <c r="P791" t="n">
        <v>1</v>
      </c>
      <c r="Q791" t="n">
        <v>2</v>
      </c>
      <c r="R791" t="n">
        <v>3</v>
      </c>
      <c r="S791" t="n">
        <v>3</v>
      </c>
      <c r="T791" t="n">
        <v>4</v>
      </c>
      <c r="U791" t="n">
        <v>1</v>
      </c>
      <c r="V791" t="n">
        <v>5</v>
      </c>
      <c r="W791">
        <f>(AVERAGE(B791:D791)-1)/4</f>
        <v/>
      </c>
      <c r="X791">
        <f>(AVERAGE(E791:G791)-1)/4</f>
        <v/>
      </c>
      <c r="Y791">
        <f>(AVERAGE(H791:J791)-1)/4</f>
        <v/>
      </c>
      <c r="Z791">
        <f>(AVERAGE(K791:M791)-1)/4</f>
        <v/>
      </c>
      <c r="AA791">
        <f>(AVERAGE(N791:P791)-1)/4</f>
        <v/>
      </c>
      <c r="AB791">
        <f>(AVERAGE(Q791:S791)-1)/4</f>
        <v/>
      </c>
      <c r="AC791">
        <f>(AVERAGE(T791:V791)-1)/4</f>
        <v/>
      </c>
      <c r="AD791">
        <f>AVERAGE(W791:AA791)</f>
        <v/>
      </c>
      <c r="AE791">
        <f>MIN(W791:AA791)</f>
        <v/>
      </c>
      <c r="AF791">
        <f>1-alpha*MAX(0,delta-AE791)</f>
        <v/>
      </c>
      <c r="AG791">
        <f>AD791*AF791</f>
        <v/>
      </c>
      <c r="AH791">
        <f>1+COUNTIF(bounds,"&lt;"&amp;ROUND(AD791,12))</f>
        <v/>
      </c>
      <c r="AI791">
        <f>1+COUNTIF(bounds,"&lt;"&amp;ROUND(AG791,12))</f>
        <v/>
      </c>
      <c r="AJ791">
        <f>IF(AF791&lt;1,1,0)</f>
        <v/>
      </c>
      <c r="AK791">
        <f>IF(AH791&lt;&gt;AI791,1,0)</f>
        <v/>
      </c>
      <c r="AL791">
        <f>IF(AND(AI791&gt;=3,AB791&lt;=0.2),1,0)</f>
        <v/>
      </c>
      <c r="AM791">
        <f>AVERAGE(W791:AB791)</f>
        <v/>
      </c>
      <c r="AN791">
        <f>1+COUNTIF(bounds,"&lt;"&amp;ROUND(AM791,12))</f>
        <v/>
      </c>
      <c r="AO791">
        <f>IF(AK791=1,AD791,NA())</f>
        <v/>
      </c>
      <c r="AP791">
        <f>IF(AK791=0,AD791,NA())</f>
        <v/>
      </c>
    </row>
    <row r="792">
      <c r="A792" t="n">
        <v>784</v>
      </c>
      <c r="B792" t="n">
        <v>1</v>
      </c>
      <c r="C792" t="n">
        <v>2</v>
      </c>
      <c r="D792" t="n">
        <v>1</v>
      </c>
      <c r="E792" t="n">
        <v>2</v>
      </c>
      <c r="F792" t="n">
        <v>1</v>
      </c>
      <c r="G792" t="n">
        <v>5</v>
      </c>
      <c r="H792" t="n">
        <v>1</v>
      </c>
      <c r="I792" t="n">
        <v>3</v>
      </c>
      <c r="J792" t="n">
        <v>4</v>
      </c>
      <c r="K792" t="n">
        <v>2</v>
      </c>
      <c r="L792" t="n">
        <v>1</v>
      </c>
      <c r="M792" t="n">
        <v>5</v>
      </c>
      <c r="N792" t="n">
        <v>5</v>
      </c>
      <c r="O792" t="n">
        <v>5</v>
      </c>
      <c r="P792" t="n">
        <v>2</v>
      </c>
      <c r="Q792" t="n">
        <v>4</v>
      </c>
      <c r="R792" t="n">
        <v>5</v>
      </c>
      <c r="S792" t="n">
        <v>5</v>
      </c>
      <c r="T792" t="n">
        <v>5</v>
      </c>
      <c r="U792" t="n">
        <v>1</v>
      </c>
      <c r="V792" t="n">
        <v>1</v>
      </c>
      <c r="W792">
        <f>(AVERAGE(B792:D792)-1)/4</f>
        <v/>
      </c>
      <c r="X792">
        <f>(AVERAGE(E792:G792)-1)/4</f>
        <v/>
      </c>
      <c r="Y792">
        <f>(AVERAGE(H792:J792)-1)/4</f>
        <v/>
      </c>
      <c r="Z792">
        <f>(AVERAGE(K792:M792)-1)/4</f>
        <v/>
      </c>
      <c r="AA792">
        <f>(AVERAGE(N792:P792)-1)/4</f>
        <v/>
      </c>
      <c r="AB792">
        <f>(AVERAGE(Q792:S792)-1)/4</f>
        <v/>
      </c>
      <c r="AC792">
        <f>(AVERAGE(T792:V792)-1)/4</f>
        <v/>
      </c>
      <c r="AD792">
        <f>AVERAGE(W792:AA792)</f>
        <v/>
      </c>
      <c r="AE792">
        <f>MIN(W792:AA792)</f>
        <v/>
      </c>
      <c r="AF792">
        <f>1-alpha*MAX(0,delta-AE792)</f>
        <v/>
      </c>
      <c r="AG792">
        <f>AD792*AF792</f>
        <v/>
      </c>
      <c r="AH792">
        <f>1+COUNTIF(bounds,"&lt;"&amp;ROUND(AD792,12))</f>
        <v/>
      </c>
      <c r="AI792">
        <f>1+COUNTIF(bounds,"&lt;"&amp;ROUND(AG792,12))</f>
        <v/>
      </c>
      <c r="AJ792">
        <f>IF(AF792&lt;1,1,0)</f>
        <v/>
      </c>
      <c r="AK792">
        <f>IF(AH792&lt;&gt;AI792,1,0)</f>
        <v/>
      </c>
      <c r="AL792">
        <f>IF(AND(AI792&gt;=3,AB792&lt;=0.2),1,0)</f>
        <v/>
      </c>
      <c r="AM792">
        <f>AVERAGE(W792:AB792)</f>
        <v/>
      </c>
      <c r="AN792">
        <f>1+COUNTIF(bounds,"&lt;"&amp;ROUND(AM792,12))</f>
        <v/>
      </c>
      <c r="AO792">
        <f>IF(AK792=1,AD792,NA())</f>
        <v/>
      </c>
      <c r="AP792">
        <f>IF(AK792=0,AD792,NA())</f>
        <v/>
      </c>
    </row>
    <row r="793">
      <c r="A793" t="n">
        <v>785</v>
      </c>
      <c r="B793" t="n">
        <v>3</v>
      </c>
      <c r="C793" t="n">
        <v>4</v>
      </c>
      <c r="D793" t="n">
        <v>4</v>
      </c>
      <c r="E793" t="n">
        <v>2</v>
      </c>
      <c r="F793" t="n">
        <v>3</v>
      </c>
      <c r="G793" t="n">
        <v>4</v>
      </c>
      <c r="H793" t="n">
        <v>3</v>
      </c>
      <c r="I793" t="n">
        <v>2</v>
      </c>
      <c r="J793" t="n">
        <v>3</v>
      </c>
      <c r="K793" t="n">
        <v>5</v>
      </c>
      <c r="L793" t="n">
        <v>5</v>
      </c>
      <c r="M793" t="n">
        <v>1</v>
      </c>
      <c r="N793" t="n">
        <v>2</v>
      </c>
      <c r="O793" t="n">
        <v>3</v>
      </c>
      <c r="P793" t="n">
        <v>2</v>
      </c>
      <c r="Q793" t="n">
        <v>3</v>
      </c>
      <c r="R793" t="n">
        <v>1</v>
      </c>
      <c r="S793" t="n">
        <v>2</v>
      </c>
      <c r="T793" t="n">
        <v>5</v>
      </c>
      <c r="U793" t="n">
        <v>1</v>
      </c>
      <c r="V793" t="n">
        <v>5</v>
      </c>
      <c r="W793">
        <f>(AVERAGE(B793:D793)-1)/4</f>
        <v/>
      </c>
      <c r="X793">
        <f>(AVERAGE(E793:G793)-1)/4</f>
        <v/>
      </c>
      <c r="Y793">
        <f>(AVERAGE(H793:J793)-1)/4</f>
        <v/>
      </c>
      <c r="Z793">
        <f>(AVERAGE(K793:M793)-1)/4</f>
        <v/>
      </c>
      <c r="AA793">
        <f>(AVERAGE(N793:P793)-1)/4</f>
        <v/>
      </c>
      <c r="AB793">
        <f>(AVERAGE(Q793:S793)-1)/4</f>
        <v/>
      </c>
      <c r="AC793">
        <f>(AVERAGE(T793:V793)-1)/4</f>
        <v/>
      </c>
      <c r="AD793">
        <f>AVERAGE(W793:AA793)</f>
        <v/>
      </c>
      <c r="AE793">
        <f>MIN(W793:AA793)</f>
        <v/>
      </c>
      <c r="AF793">
        <f>1-alpha*MAX(0,delta-AE793)</f>
        <v/>
      </c>
      <c r="AG793">
        <f>AD793*AF793</f>
        <v/>
      </c>
      <c r="AH793">
        <f>1+COUNTIF(bounds,"&lt;"&amp;ROUND(AD793,12))</f>
        <v/>
      </c>
      <c r="AI793">
        <f>1+COUNTIF(bounds,"&lt;"&amp;ROUND(AG793,12))</f>
        <v/>
      </c>
      <c r="AJ793">
        <f>IF(AF793&lt;1,1,0)</f>
        <v/>
      </c>
      <c r="AK793">
        <f>IF(AH793&lt;&gt;AI793,1,0)</f>
        <v/>
      </c>
      <c r="AL793">
        <f>IF(AND(AI793&gt;=3,AB793&lt;=0.2),1,0)</f>
        <v/>
      </c>
      <c r="AM793">
        <f>AVERAGE(W793:AB793)</f>
        <v/>
      </c>
      <c r="AN793">
        <f>1+COUNTIF(bounds,"&lt;"&amp;ROUND(AM793,12))</f>
        <v/>
      </c>
      <c r="AO793">
        <f>IF(AK793=1,AD793,NA())</f>
        <v/>
      </c>
      <c r="AP793">
        <f>IF(AK793=0,AD793,NA())</f>
        <v/>
      </c>
    </row>
    <row r="794">
      <c r="A794" t="n">
        <v>786</v>
      </c>
      <c r="B794" t="n">
        <v>5</v>
      </c>
      <c r="C794" t="n">
        <v>5</v>
      </c>
      <c r="D794" t="n">
        <v>4</v>
      </c>
      <c r="E794" t="n">
        <v>5</v>
      </c>
      <c r="F794" t="n">
        <v>2</v>
      </c>
      <c r="G794" t="n">
        <v>4</v>
      </c>
      <c r="H794" t="n">
        <v>2</v>
      </c>
      <c r="I794" t="n">
        <v>4</v>
      </c>
      <c r="J794" t="n">
        <v>4</v>
      </c>
      <c r="K794" t="n">
        <v>3</v>
      </c>
      <c r="L794" t="n">
        <v>4</v>
      </c>
      <c r="M794" t="n">
        <v>5</v>
      </c>
      <c r="N794" t="n">
        <v>3</v>
      </c>
      <c r="O794" t="n">
        <v>3</v>
      </c>
      <c r="P794" t="n">
        <v>1</v>
      </c>
      <c r="Q794" t="n">
        <v>5</v>
      </c>
      <c r="R794" t="n">
        <v>4</v>
      </c>
      <c r="S794" t="n">
        <v>3</v>
      </c>
      <c r="T794" t="n">
        <v>5</v>
      </c>
      <c r="U794" t="n">
        <v>5</v>
      </c>
      <c r="V794" t="n">
        <v>4</v>
      </c>
      <c r="W794">
        <f>(AVERAGE(B794:D794)-1)/4</f>
        <v/>
      </c>
      <c r="X794">
        <f>(AVERAGE(E794:G794)-1)/4</f>
        <v/>
      </c>
      <c r="Y794">
        <f>(AVERAGE(H794:J794)-1)/4</f>
        <v/>
      </c>
      <c r="Z794">
        <f>(AVERAGE(K794:M794)-1)/4</f>
        <v/>
      </c>
      <c r="AA794">
        <f>(AVERAGE(N794:P794)-1)/4</f>
        <v/>
      </c>
      <c r="AB794">
        <f>(AVERAGE(Q794:S794)-1)/4</f>
        <v/>
      </c>
      <c r="AC794">
        <f>(AVERAGE(T794:V794)-1)/4</f>
        <v/>
      </c>
      <c r="AD794">
        <f>AVERAGE(W794:AA794)</f>
        <v/>
      </c>
      <c r="AE794">
        <f>MIN(W794:AA794)</f>
        <v/>
      </c>
      <c r="AF794">
        <f>1-alpha*MAX(0,delta-AE794)</f>
        <v/>
      </c>
      <c r="AG794">
        <f>AD794*AF794</f>
        <v/>
      </c>
      <c r="AH794">
        <f>1+COUNTIF(bounds,"&lt;"&amp;ROUND(AD794,12))</f>
        <v/>
      </c>
      <c r="AI794">
        <f>1+COUNTIF(bounds,"&lt;"&amp;ROUND(AG794,12))</f>
        <v/>
      </c>
      <c r="AJ794">
        <f>IF(AF794&lt;1,1,0)</f>
        <v/>
      </c>
      <c r="AK794">
        <f>IF(AH794&lt;&gt;AI794,1,0)</f>
        <v/>
      </c>
      <c r="AL794">
        <f>IF(AND(AI794&gt;=3,AB794&lt;=0.2),1,0)</f>
        <v/>
      </c>
      <c r="AM794">
        <f>AVERAGE(W794:AB794)</f>
        <v/>
      </c>
      <c r="AN794">
        <f>1+COUNTIF(bounds,"&lt;"&amp;ROUND(AM794,12))</f>
        <v/>
      </c>
      <c r="AO794">
        <f>IF(AK794=1,AD794,NA())</f>
        <v/>
      </c>
      <c r="AP794">
        <f>IF(AK794=0,AD794,NA())</f>
        <v/>
      </c>
    </row>
    <row r="795">
      <c r="A795" t="n">
        <v>787</v>
      </c>
      <c r="B795" t="n">
        <v>4</v>
      </c>
      <c r="C795" t="n">
        <v>3</v>
      </c>
      <c r="D795" t="n">
        <v>1</v>
      </c>
      <c r="E795" t="n">
        <v>3</v>
      </c>
      <c r="F795" t="n">
        <v>3</v>
      </c>
      <c r="G795" t="n">
        <v>4</v>
      </c>
      <c r="H795" t="n">
        <v>5</v>
      </c>
      <c r="I795" t="n">
        <v>4</v>
      </c>
      <c r="J795" t="n">
        <v>3</v>
      </c>
      <c r="K795" t="n">
        <v>3</v>
      </c>
      <c r="L795" t="n">
        <v>2</v>
      </c>
      <c r="M795" t="n">
        <v>4</v>
      </c>
      <c r="N795" t="n">
        <v>2</v>
      </c>
      <c r="O795" t="n">
        <v>5</v>
      </c>
      <c r="P795" t="n">
        <v>5</v>
      </c>
      <c r="Q795" t="n">
        <v>1</v>
      </c>
      <c r="R795" t="n">
        <v>2</v>
      </c>
      <c r="S795" t="n">
        <v>5</v>
      </c>
      <c r="T795" t="n">
        <v>3</v>
      </c>
      <c r="U795" t="n">
        <v>5</v>
      </c>
      <c r="V795" t="n">
        <v>2</v>
      </c>
      <c r="W795">
        <f>(AVERAGE(B795:D795)-1)/4</f>
        <v/>
      </c>
      <c r="X795">
        <f>(AVERAGE(E795:G795)-1)/4</f>
        <v/>
      </c>
      <c r="Y795">
        <f>(AVERAGE(H795:J795)-1)/4</f>
        <v/>
      </c>
      <c r="Z795">
        <f>(AVERAGE(K795:M795)-1)/4</f>
        <v/>
      </c>
      <c r="AA795">
        <f>(AVERAGE(N795:P795)-1)/4</f>
        <v/>
      </c>
      <c r="AB795">
        <f>(AVERAGE(Q795:S795)-1)/4</f>
        <v/>
      </c>
      <c r="AC795">
        <f>(AVERAGE(T795:V795)-1)/4</f>
        <v/>
      </c>
      <c r="AD795">
        <f>AVERAGE(W795:AA795)</f>
        <v/>
      </c>
      <c r="AE795">
        <f>MIN(W795:AA795)</f>
        <v/>
      </c>
      <c r="AF795">
        <f>1-alpha*MAX(0,delta-AE795)</f>
        <v/>
      </c>
      <c r="AG795">
        <f>AD795*AF795</f>
        <v/>
      </c>
      <c r="AH795">
        <f>1+COUNTIF(bounds,"&lt;"&amp;ROUND(AD795,12))</f>
        <v/>
      </c>
      <c r="AI795">
        <f>1+COUNTIF(bounds,"&lt;"&amp;ROUND(AG795,12))</f>
        <v/>
      </c>
      <c r="AJ795">
        <f>IF(AF795&lt;1,1,0)</f>
        <v/>
      </c>
      <c r="AK795">
        <f>IF(AH795&lt;&gt;AI795,1,0)</f>
        <v/>
      </c>
      <c r="AL795">
        <f>IF(AND(AI795&gt;=3,AB795&lt;=0.2),1,0)</f>
        <v/>
      </c>
      <c r="AM795">
        <f>AVERAGE(W795:AB795)</f>
        <v/>
      </c>
      <c r="AN795">
        <f>1+COUNTIF(bounds,"&lt;"&amp;ROUND(AM795,12))</f>
        <v/>
      </c>
      <c r="AO795">
        <f>IF(AK795=1,AD795,NA())</f>
        <v/>
      </c>
      <c r="AP795">
        <f>IF(AK795=0,AD795,NA())</f>
        <v/>
      </c>
    </row>
    <row r="796">
      <c r="A796" t="n">
        <v>788</v>
      </c>
      <c r="B796" t="n">
        <v>4</v>
      </c>
      <c r="C796" t="n">
        <v>4</v>
      </c>
      <c r="D796" t="n">
        <v>5</v>
      </c>
      <c r="E796" t="n">
        <v>4</v>
      </c>
      <c r="F796" t="n">
        <v>1</v>
      </c>
      <c r="G796" t="n">
        <v>5</v>
      </c>
      <c r="H796" t="n">
        <v>1</v>
      </c>
      <c r="I796" t="n">
        <v>5</v>
      </c>
      <c r="J796" t="n">
        <v>5</v>
      </c>
      <c r="K796" t="n">
        <v>2</v>
      </c>
      <c r="L796" t="n">
        <v>1</v>
      </c>
      <c r="M796" t="n">
        <v>1</v>
      </c>
      <c r="N796" t="n">
        <v>2</v>
      </c>
      <c r="O796" t="n">
        <v>2</v>
      </c>
      <c r="P796" t="n">
        <v>3</v>
      </c>
      <c r="Q796" t="n">
        <v>2</v>
      </c>
      <c r="R796" t="n">
        <v>1</v>
      </c>
      <c r="S796" t="n">
        <v>3</v>
      </c>
      <c r="T796" t="n">
        <v>3</v>
      </c>
      <c r="U796" t="n">
        <v>3</v>
      </c>
      <c r="V796" t="n">
        <v>4</v>
      </c>
      <c r="W796">
        <f>(AVERAGE(B796:D796)-1)/4</f>
        <v/>
      </c>
      <c r="X796">
        <f>(AVERAGE(E796:G796)-1)/4</f>
        <v/>
      </c>
      <c r="Y796">
        <f>(AVERAGE(H796:J796)-1)/4</f>
        <v/>
      </c>
      <c r="Z796">
        <f>(AVERAGE(K796:M796)-1)/4</f>
        <v/>
      </c>
      <c r="AA796">
        <f>(AVERAGE(N796:P796)-1)/4</f>
        <v/>
      </c>
      <c r="AB796">
        <f>(AVERAGE(Q796:S796)-1)/4</f>
        <v/>
      </c>
      <c r="AC796">
        <f>(AVERAGE(T796:V796)-1)/4</f>
        <v/>
      </c>
      <c r="AD796">
        <f>AVERAGE(W796:AA796)</f>
        <v/>
      </c>
      <c r="AE796">
        <f>MIN(W796:AA796)</f>
        <v/>
      </c>
      <c r="AF796">
        <f>1-alpha*MAX(0,delta-AE796)</f>
        <v/>
      </c>
      <c r="AG796">
        <f>AD796*AF796</f>
        <v/>
      </c>
      <c r="AH796">
        <f>1+COUNTIF(bounds,"&lt;"&amp;ROUND(AD796,12))</f>
        <v/>
      </c>
      <c r="AI796">
        <f>1+COUNTIF(bounds,"&lt;"&amp;ROUND(AG796,12))</f>
        <v/>
      </c>
      <c r="AJ796">
        <f>IF(AF796&lt;1,1,0)</f>
        <v/>
      </c>
      <c r="AK796">
        <f>IF(AH796&lt;&gt;AI796,1,0)</f>
        <v/>
      </c>
      <c r="AL796">
        <f>IF(AND(AI796&gt;=3,AB796&lt;=0.2),1,0)</f>
        <v/>
      </c>
      <c r="AM796">
        <f>AVERAGE(W796:AB796)</f>
        <v/>
      </c>
      <c r="AN796">
        <f>1+COUNTIF(bounds,"&lt;"&amp;ROUND(AM796,12))</f>
        <v/>
      </c>
      <c r="AO796">
        <f>IF(AK796=1,AD796,NA())</f>
        <v/>
      </c>
      <c r="AP796">
        <f>IF(AK796=0,AD796,NA())</f>
        <v/>
      </c>
    </row>
    <row r="797">
      <c r="A797" t="n">
        <v>789</v>
      </c>
      <c r="B797" t="n">
        <v>1</v>
      </c>
      <c r="C797" t="n">
        <v>5</v>
      </c>
      <c r="D797" t="n">
        <v>1</v>
      </c>
      <c r="E797" t="n">
        <v>3</v>
      </c>
      <c r="F797" t="n">
        <v>5</v>
      </c>
      <c r="G797" t="n">
        <v>2</v>
      </c>
      <c r="H797" t="n">
        <v>3</v>
      </c>
      <c r="I797" t="n">
        <v>2</v>
      </c>
      <c r="J797" t="n">
        <v>2</v>
      </c>
      <c r="K797" t="n">
        <v>2</v>
      </c>
      <c r="L797" t="n">
        <v>2</v>
      </c>
      <c r="M797" t="n">
        <v>3</v>
      </c>
      <c r="N797" t="n">
        <v>4</v>
      </c>
      <c r="O797" t="n">
        <v>2</v>
      </c>
      <c r="P797" t="n">
        <v>3</v>
      </c>
      <c r="Q797" t="n">
        <v>3</v>
      </c>
      <c r="R797" t="n">
        <v>4</v>
      </c>
      <c r="S797" t="n">
        <v>3</v>
      </c>
      <c r="T797" t="n">
        <v>4</v>
      </c>
      <c r="U797" t="n">
        <v>2</v>
      </c>
      <c r="V797" t="n">
        <v>3</v>
      </c>
      <c r="W797">
        <f>(AVERAGE(B797:D797)-1)/4</f>
        <v/>
      </c>
      <c r="X797">
        <f>(AVERAGE(E797:G797)-1)/4</f>
        <v/>
      </c>
      <c r="Y797">
        <f>(AVERAGE(H797:J797)-1)/4</f>
        <v/>
      </c>
      <c r="Z797">
        <f>(AVERAGE(K797:M797)-1)/4</f>
        <v/>
      </c>
      <c r="AA797">
        <f>(AVERAGE(N797:P797)-1)/4</f>
        <v/>
      </c>
      <c r="AB797">
        <f>(AVERAGE(Q797:S797)-1)/4</f>
        <v/>
      </c>
      <c r="AC797">
        <f>(AVERAGE(T797:V797)-1)/4</f>
        <v/>
      </c>
      <c r="AD797">
        <f>AVERAGE(W797:AA797)</f>
        <v/>
      </c>
      <c r="AE797">
        <f>MIN(W797:AA797)</f>
        <v/>
      </c>
      <c r="AF797">
        <f>1-alpha*MAX(0,delta-AE797)</f>
        <v/>
      </c>
      <c r="AG797">
        <f>AD797*AF797</f>
        <v/>
      </c>
      <c r="AH797">
        <f>1+COUNTIF(bounds,"&lt;"&amp;ROUND(AD797,12))</f>
        <v/>
      </c>
      <c r="AI797">
        <f>1+COUNTIF(bounds,"&lt;"&amp;ROUND(AG797,12))</f>
        <v/>
      </c>
      <c r="AJ797">
        <f>IF(AF797&lt;1,1,0)</f>
        <v/>
      </c>
      <c r="AK797">
        <f>IF(AH797&lt;&gt;AI797,1,0)</f>
        <v/>
      </c>
      <c r="AL797">
        <f>IF(AND(AI797&gt;=3,AB797&lt;=0.2),1,0)</f>
        <v/>
      </c>
      <c r="AM797">
        <f>AVERAGE(W797:AB797)</f>
        <v/>
      </c>
      <c r="AN797">
        <f>1+COUNTIF(bounds,"&lt;"&amp;ROUND(AM797,12))</f>
        <v/>
      </c>
      <c r="AO797">
        <f>IF(AK797=1,AD797,NA())</f>
        <v/>
      </c>
      <c r="AP797">
        <f>IF(AK797=0,AD797,NA())</f>
        <v/>
      </c>
    </row>
    <row r="798">
      <c r="A798" t="n">
        <v>790</v>
      </c>
      <c r="B798" t="n">
        <v>1</v>
      </c>
      <c r="C798" t="n">
        <v>4</v>
      </c>
      <c r="D798" t="n">
        <v>2</v>
      </c>
      <c r="E798" t="n">
        <v>3</v>
      </c>
      <c r="F798" t="n">
        <v>5</v>
      </c>
      <c r="G798" t="n">
        <v>5</v>
      </c>
      <c r="H798" t="n">
        <v>3</v>
      </c>
      <c r="I798" t="n">
        <v>2</v>
      </c>
      <c r="J798" t="n">
        <v>2</v>
      </c>
      <c r="K798" t="n">
        <v>3</v>
      </c>
      <c r="L798" t="n">
        <v>3</v>
      </c>
      <c r="M798" t="n">
        <v>4</v>
      </c>
      <c r="N798" t="n">
        <v>5</v>
      </c>
      <c r="O798" t="n">
        <v>3</v>
      </c>
      <c r="P798" t="n">
        <v>2</v>
      </c>
      <c r="Q798" t="n">
        <v>1</v>
      </c>
      <c r="R798" t="n">
        <v>4</v>
      </c>
      <c r="S798" t="n">
        <v>2</v>
      </c>
      <c r="T798" t="n">
        <v>5</v>
      </c>
      <c r="U798" t="n">
        <v>2</v>
      </c>
      <c r="V798" t="n">
        <v>3</v>
      </c>
      <c r="W798">
        <f>(AVERAGE(B798:D798)-1)/4</f>
        <v/>
      </c>
      <c r="X798">
        <f>(AVERAGE(E798:G798)-1)/4</f>
        <v/>
      </c>
      <c r="Y798">
        <f>(AVERAGE(H798:J798)-1)/4</f>
        <v/>
      </c>
      <c r="Z798">
        <f>(AVERAGE(K798:M798)-1)/4</f>
        <v/>
      </c>
      <c r="AA798">
        <f>(AVERAGE(N798:P798)-1)/4</f>
        <v/>
      </c>
      <c r="AB798">
        <f>(AVERAGE(Q798:S798)-1)/4</f>
        <v/>
      </c>
      <c r="AC798">
        <f>(AVERAGE(T798:V798)-1)/4</f>
        <v/>
      </c>
      <c r="AD798">
        <f>AVERAGE(W798:AA798)</f>
        <v/>
      </c>
      <c r="AE798">
        <f>MIN(W798:AA798)</f>
        <v/>
      </c>
      <c r="AF798">
        <f>1-alpha*MAX(0,delta-AE798)</f>
        <v/>
      </c>
      <c r="AG798">
        <f>AD798*AF798</f>
        <v/>
      </c>
      <c r="AH798">
        <f>1+COUNTIF(bounds,"&lt;"&amp;ROUND(AD798,12))</f>
        <v/>
      </c>
      <c r="AI798">
        <f>1+COUNTIF(bounds,"&lt;"&amp;ROUND(AG798,12))</f>
        <v/>
      </c>
      <c r="AJ798">
        <f>IF(AF798&lt;1,1,0)</f>
        <v/>
      </c>
      <c r="AK798">
        <f>IF(AH798&lt;&gt;AI798,1,0)</f>
        <v/>
      </c>
      <c r="AL798">
        <f>IF(AND(AI798&gt;=3,AB798&lt;=0.2),1,0)</f>
        <v/>
      </c>
      <c r="AM798">
        <f>AVERAGE(W798:AB798)</f>
        <v/>
      </c>
      <c r="AN798">
        <f>1+COUNTIF(bounds,"&lt;"&amp;ROUND(AM798,12))</f>
        <v/>
      </c>
      <c r="AO798">
        <f>IF(AK798=1,AD798,NA())</f>
        <v/>
      </c>
      <c r="AP798">
        <f>IF(AK798=0,AD798,NA())</f>
        <v/>
      </c>
    </row>
    <row r="799">
      <c r="A799" t="n">
        <v>791</v>
      </c>
      <c r="B799" t="n">
        <v>3</v>
      </c>
      <c r="C799" t="n">
        <v>2</v>
      </c>
      <c r="D799" t="n">
        <v>1</v>
      </c>
      <c r="E799" t="n">
        <v>5</v>
      </c>
      <c r="F799" t="n">
        <v>3</v>
      </c>
      <c r="G799" t="n">
        <v>5</v>
      </c>
      <c r="H799" t="n">
        <v>5</v>
      </c>
      <c r="I799" t="n">
        <v>3</v>
      </c>
      <c r="J799" t="n">
        <v>4</v>
      </c>
      <c r="K799" t="n">
        <v>4</v>
      </c>
      <c r="L799" t="n">
        <v>1</v>
      </c>
      <c r="M799" t="n">
        <v>1</v>
      </c>
      <c r="N799" t="n">
        <v>3</v>
      </c>
      <c r="O799" t="n">
        <v>4</v>
      </c>
      <c r="P799" t="n">
        <v>1</v>
      </c>
      <c r="Q799" t="n">
        <v>1</v>
      </c>
      <c r="R799" t="n">
        <v>3</v>
      </c>
      <c r="S799" t="n">
        <v>4</v>
      </c>
      <c r="T799" t="n">
        <v>3</v>
      </c>
      <c r="U799" t="n">
        <v>3</v>
      </c>
      <c r="V799" t="n">
        <v>1</v>
      </c>
      <c r="W799">
        <f>(AVERAGE(B799:D799)-1)/4</f>
        <v/>
      </c>
      <c r="X799">
        <f>(AVERAGE(E799:G799)-1)/4</f>
        <v/>
      </c>
      <c r="Y799">
        <f>(AVERAGE(H799:J799)-1)/4</f>
        <v/>
      </c>
      <c r="Z799">
        <f>(AVERAGE(K799:M799)-1)/4</f>
        <v/>
      </c>
      <c r="AA799">
        <f>(AVERAGE(N799:P799)-1)/4</f>
        <v/>
      </c>
      <c r="AB799">
        <f>(AVERAGE(Q799:S799)-1)/4</f>
        <v/>
      </c>
      <c r="AC799">
        <f>(AVERAGE(T799:V799)-1)/4</f>
        <v/>
      </c>
      <c r="AD799">
        <f>AVERAGE(W799:AA799)</f>
        <v/>
      </c>
      <c r="AE799">
        <f>MIN(W799:AA799)</f>
        <v/>
      </c>
      <c r="AF799">
        <f>1-alpha*MAX(0,delta-AE799)</f>
        <v/>
      </c>
      <c r="AG799">
        <f>AD799*AF799</f>
        <v/>
      </c>
      <c r="AH799">
        <f>1+COUNTIF(bounds,"&lt;"&amp;ROUND(AD799,12))</f>
        <v/>
      </c>
      <c r="AI799">
        <f>1+COUNTIF(bounds,"&lt;"&amp;ROUND(AG799,12))</f>
        <v/>
      </c>
      <c r="AJ799">
        <f>IF(AF799&lt;1,1,0)</f>
        <v/>
      </c>
      <c r="AK799">
        <f>IF(AH799&lt;&gt;AI799,1,0)</f>
        <v/>
      </c>
      <c r="AL799">
        <f>IF(AND(AI799&gt;=3,AB799&lt;=0.2),1,0)</f>
        <v/>
      </c>
      <c r="AM799">
        <f>AVERAGE(W799:AB799)</f>
        <v/>
      </c>
      <c r="AN799">
        <f>1+COUNTIF(bounds,"&lt;"&amp;ROUND(AM799,12))</f>
        <v/>
      </c>
      <c r="AO799">
        <f>IF(AK799=1,AD799,NA())</f>
        <v/>
      </c>
      <c r="AP799">
        <f>IF(AK799=0,AD799,NA())</f>
        <v/>
      </c>
    </row>
    <row r="800">
      <c r="A800" t="n">
        <v>792</v>
      </c>
      <c r="B800" t="n">
        <v>5</v>
      </c>
      <c r="C800" t="n">
        <v>5</v>
      </c>
      <c r="D800" t="n">
        <v>2</v>
      </c>
      <c r="E800" t="n">
        <v>5</v>
      </c>
      <c r="F800" t="n">
        <v>1</v>
      </c>
      <c r="G800" t="n">
        <v>4</v>
      </c>
      <c r="H800" t="n">
        <v>3</v>
      </c>
      <c r="I800" t="n">
        <v>5</v>
      </c>
      <c r="J800" t="n">
        <v>2</v>
      </c>
      <c r="K800" t="n">
        <v>3</v>
      </c>
      <c r="L800" t="n">
        <v>4</v>
      </c>
      <c r="M800" t="n">
        <v>2</v>
      </c>
      <c r="N800" t="n">
        <v>2</v>
      </c>
      <c r="O800" t="n">
        <v>3</v>
      </c>
      <c r="P800" t="n">
        <v>5</v>
      </c>
      <c r="Q800" t="n">
        <v>2</v>
      </c>
      <c r="R800" t="n">
        <v>5</v>
      </c>
      <c r="S800" t="n">
        <v>1</v>
      </c>
      <c r="T800" t="n">
        <v>3</v>
      </c>
      <c r="U800" t="n">
        <v>2</v>
      </c>
      <c r="V800" t="n">
        <v>5</v>
      </c>
      <c r="W800">
        <f>(AVERAGE(B800:D800)-1)/4</f>
        <v/>
      </c>
      <c r="X800">
        <f>(AVERAGE(E800:G800)-1)/4</f>
        <v/>
      </c>
      <c r="Y800">
        <f>(AVERAGE(H800:J800)-1)/4</f>
        <v/>
      </c>
      <c r="Z800">
        <f>(AVERAGE(K800:M800)-1)/4</f>
        <v/>
      </c>
      <c r="AA800">
        <f>(AVERAGE(N800:P800)-1)/4</f>
        <v/>
      </c>
      <c r="AB800">
        <f>(AVERAGE(Q800:S800)-1)/4</f>
        <v/>
      </c>
      <c r="AC800">
        <f>(AVERAGE(T800:V800)-1)/4</f>
        <v/>
      </c>
      <c r="AD800">
        <f>AVERAGE(W800:AA800)</f>
        <v/>
      </c>
      <c r="AE800">
        <f>MIN(W800:AA800)</f>
        <v/>
      </c>
      <c r="AF800">
        <f>1-alpha*MAX(0,delta-AE800)</f>
        <v/>
      </c>
      <c r="AG800">
        <f>AD800*AF800</f>
        <v/>
      </c>
      <c r="AH800">
        <f>1+COUNTIF(bounds,"&lt;"&amp;ROUND(AD800,12))</f>
        <v/>
      </c>
      <c r="AI800">
        <f>1+COUNTIF(bounds,"&lt;"&amp;ROUND(AG800,12))</f>
        <v/>
      </c>
      <c r="AJ800">
        <f>IF(AF800&lt;1,1,0)</f>
        <v/>
      </c>
      <c r="AK800">
        <f>IF(AH800&lt;&gt;AI800,1,0)</f>
        <v/>
      </c>
      <c r="AL800">
        <f>IF(AND(AI800&gt;=3,AB800&lt;=0.2),1,0)</f>
        <v/>
      </c>
      <c r="AM800">
        <f>AVERAGE(W800:AB800)</f>
        <v/>
      </c>
      <c r="AN800">
        <f>1+COUNTIF(bounds,"&lt;"&amp;ROUND(AM800,12))</f>
        <v/>
      </c>
      <c r="AO800">
        <f>IF(AK800=1,AD800,NA())</f>
        <v/>
      </c>
      <c r="AP800">
        <f>IF(AK800=0,AD800,NA())</f>
        <v/>
      </c>
    </row>
    <row r="801">
      <c r="A801" t="n">
        <v>793</v>
      </c>
      <c r="B801" t="n">
        <v>2</v>
      </c>
      <c r="C801" t="n">
        <v>4</v>
      </c>
      <c r="D801" t="n">
        <v>3</v>
      </c>
      <c r="E801" t="n">
        <v>5</v>
      </c>
      <c r="F801" t="n">
        <v>2</v>
      </c>
      <c r="G801" t="n">
        <v>1</v>
      </c>
      <c r="H801" t="n">
        <v>4</v>
      </c>
      <c r="I801" t="n">
        <v>5</v>
      </c>
      <c r="J801" t="n">
        <v>1</v>
      </c>
      <c r="K801" t="n">
        <v>4</v>
      </c>
      <c r="L801" t="n">
        <v>2</v>
      </c>
      <c r="M801" t="n">
        <v>3</v>
      </c>
      <c r="N801" t="n">
        <v>1</v>
      </c>
      <c r="O801" t="n">
        <v>1</v>
      </c>
      <c r="P801" t="n">
        <v>4</v>
      </c>
      <c r="Q801" t="n">
        <v>3</v>
      </c>
      <c r="R801" t="n">
        <v>4</v>
      </c>
      <c r="S801" t="n">
        <v>5</v>
      </c>
      <c r="T801" t="n">
        <v>1</v>
      </c>
      <c r="U801" t="n">
        <v>5</v>
      </c>
      <c r="V801" t="n">
        <v>4</v>
      </c>
      <c r="W801">
        <f>(AVERAGE(B801:D801)-1)/4</f>
        <v/>
      </c>
      <c r="X801">
        <f>(AVERAGE(E801:G801)-1)/4</f>
        <v/>
      </c>
      <c r="Y801">
        <f>(AVERAGE(H801:J801)-1)/4</f>
        <v/>
      </c>
      <c r="Z801">
        <f>(AVERAGE(K801:M801)-1)/4</f>
        <v/>
      </c>
      <c r="AA801">
        <f>(AVERAGE(N801:P801)-1)/4</f>
        <v/>
      </c>
      <c r="AB801">
        <f>(AVERAGE(Q801:S801)-1)/4</f>
        <v/>
      </c>
      <c r="AC801">
        <f>(AVERAGE(T801:V801)-1)/4</f>
        <v/>
      </c>
      <c r="AD801">
        <f>AVERAGE(W801:AA801)</f>
        <v/>
      </c>
      <c r="AE801">
        <f>MIN(W801:AA801)</f>
        <v/>
      </c>
      <c r="AF801">
        <f>1-alpha*MAX(0,delta-AE801)</f>
        <v/>
      </c>
      <c r="AG801">
        <f>AD801*AF801</f>
        <v/>
      </c>
      <c r="AH801">
        <f>1+COUNTIF(bounds,"&lt;"&amp;ROUND(AD801,12))</f>
        <v/>
      </c>
      <c r="AI801">
        <f>1+COUNTIF(bounds,"&lt;"&amp;ROUND(AG801,12))</f>
        <v/>
      </c>
      <c r="AJ801">
        <f>IF(AF801&lt;1,1,0)</f>
        <v/>
      </c>
      <c r="AK801">
        <f>IF(AH801&lt;&gt;AI801,1,0)</f>
        <v/>
      </c>
      <c r="AL801">
        <f>IF(AND(AI801&gt;=3,AB801&lt;=0.2),1,0)</f>
        <v/>
      </c>
      <c r="AM801">
        <f>AVERAGE(W801:AB801)</f>
        <v/>
      </c>
      <c r="AN801">
        <f>1+COUNTIF(bounds,"&lt;"&amp;ROUND(AM801,12))</f>
        <v/>
      </c>
      <c r="AO801">
        <f>IF(AK801=1,AD801,NA())</f>
        <v/>
      </c>
      <c r="AP801">
        <f>IF(AK801=0,AD801,NA())</f>
        <v/>
      </c>
    </row>
    <row r="802">
      <c r="A802" t="n">
        <v>794</v>
      </c>
      <c r="B802" t="n">
        <v>4</v>
      </c>
      <c r="C802" t="n">
        <v>5</v>
      </c>
      <c r="D802" t="n">
        <v>5</v>
      </c>
      <c r="E802" t="n">
        <v>3</v>
      </c>
      <c r="F802" t="n">
        <v>3</v>
      </c>
      <c r="G802" t="n">
        <v>3</v>
      </c>
      <c r="H802" t="n">
        <v>1</v>
      </c>
      <c r="I802" t="n">
        <v>4</v>
      </c>
      <c r="J802" t="n">
        <v>3</v>
      </c>
      <c r="K802" t="n">
        <v>5</v>
      </c>
      <c r="L802" t="n">
        <v>4</v>
      </c>
      <c r="M802" t="n">
        <v>1</v>
      </c>
      <c r="N802" t="n">
        <v>4</v>
      </c>
      <c r="O802" t="n">
        <v>2</v>
      </c>
      <c r="P802" t="n">
        <v>1</v>
      </c>
      <c r="Q802" t="n">
        <v>4</v>
      </c>
      <c r="R802" t="n">
        <v>5</v>
      </c>
      <c r="S802" t="n">
        <v>4</v>
      </c>
      <c r="T802" t="n">
        <v>3</v>
      </c>
      <c r="U802" t="n">
        <v>3</v>
      </c>
      <c r="V802" t="n">
        <v>1</v>
      </c>
      <c r="W802">
        <f>(AVERAGE(B802:D802)-1)/4</f>
        <v/>
      </c>
      <c r="X802">
        <f>(AVERAGE(E802:G802)-1)/4</f>
        <v/>
      </c>
      <c r="Y802">
        <f>(AVERAGE(H802:J802)-1)/4</f>
        <v/>
      </c>
      <c r="Z802">
        <f>(AVERAGE(K802:M802)-1)/4</f>
        <v/>
      </c>
      <c r="AA802">
        <f>(AVERAGE(N802:P802)-1)/4</f>
        <v/>
      </c>
      <c r="AB802">
        <f>(AVERAGE(Q802:S802)-1)/4</f>
        <v/>
      </c>
      <c r="AC802">
        <f>(AVERAGE(T802:V802)-1)/4</f>
        <v/>
      </c>
      <c r="AD802">
        <f>AVERAGE(W802:AA802)</f>
        <v/>
      </c>
      <c r="AE802">
        <f>MIN(W802:AA802)</f>
        <v/>
      </c>
      <c r="AF802">
        <f>1-alpha*MAX(0,delta-AE802)</f>
        <v/>
      </c>
      <c r="AG802">
        <f>AD802*AF802</f>
        <v/>
      </c>
      <c r="AH802">
        <f>1+COUNTIF(bounds,"&lt;"&amp;ROUND(AD802,12))</f>
        <v/>
      </c>
      <c r="AI802">
        <f>1+COUNTIF(bounds,"&lt;"&amp;ROUND(AG802,12))</f>
        <v/>
      </c>
      <c r="AJ802">
        <f>IF(AF802&lt;1,1,0)</f>
        <v/>
      </c>
      <c r="AK802">
        <f>IF(AH802&lt;&gt;AI802,1,0)</f>
        <v/>
      </c>
      <c r="AL802">
        <f>IF(AND(AI802&gt;=3,AB802&lt;=0.2),1,0)</f>
        <v/>
      </c>
      <c r="AM802">
        <f>AVERAGE(W802:AB802)</f>
        <v/>
      </c>
      <c r="AN802">
        <f>1+COUNTIF(bounds,"&lt;"&amp;ROUND(AM802,12))</f>
        <v/>
      </c>
      <c r="AO802">
        <f>IF(AK802=1,AD802,NA())</f>
        <v/>
      </c>
      <c r="AP802">
        <f>IF(AK802=0,AD802,NA())</f>
        <v/>
      </c>
    </row>
    <row r="803">
      <c r="A803" t="n">
        <v>795</v>
      </c>
      <c r="B803" t="n">
        <v>3</v>
      </c>
      <c r="C803" t="n">
        <v>4</v>
      </c>
      <c r="D803" t="n">
        <v>1</v>
      </c>
      <c r="E803" t="n">
        <v>4</v>
      </c>
      <c r="F803" t="n">
        <v>3</v>
      </c>
      <c r="G803" t="n">
        <v>5</v>
      </c>
      <c r="H803" t="n">
        <v>1</v>
      </c>
      <c r="I803" t="n">
        <v>3</v>
      </c>
      <c r="J803" t="n">
        <v>4</v>
      </c>
      <c r="K803" t="n">
        <v>5</v>
      </c>
      <c r="L803" t="n">
        <v>4</v>
      </c>
      <c r="M803" t="n">
        <v>4</v>
      </c>
      <c r="N803" t="n">
        <v>2</v>
      </c>
      <c r="O803" t="n">
        <v>2</v>
      </c>
      <c r="P803" t="n">
        <v>4</v>
      </c>
      <c r="Q803" t="n">
        <v>2</v>
      </c>
      <c r="R803" t="n">
        <v>4</v>
      </c>
      <c r="S803" t="n">
        <v>2</v>
      </c>
      <c r="T803" t="n">
        <v>2</v>
      </c>
      <c r="U803" t="n">
        <v>1</v>
      </c>
      <c r="V803" t="n">
        <v>3</v>
      </c>
      <c r="W803">
        <f>(AVERAGE(B803:D803)-1)/4</f>
        <v/>
      </c>
      <c r="X803">
        <f>(AVERAGE(E803:G803)-1)/4</f>
        <v/>
      </c>
      <c r="Y803">
        <f>(AVERAGE(H803:J803)-1)/4</f>
        <v/>
      </c>
      <c r="Z803">
        <f>(AVERAGE(K803:M803)-1)/4</f>
        <v/>
      </c>
      <c r="AA803">
        <f>(AVERAGE(N803:P803)-1)/4</f>
        <v/>
      </c>
      <c r="AB803">
        <f>(AVERAGE(Q803:S803)-1)/4</f>
        <v/>
      </c>
      <c r="AC803">
        <f>(AVERAGE(T803:V803)-1)/4</f>
        <v/>
      </c>
      <c r="AD803">
        <f>AVERAGE(W803:AA803)</f>
        <v/>
      </c>
      <c r="AE803">
        <f>MIN(W803:AA803)</f>
        <v/>
      </c>
      <c r="AF803">
        <f>1-alpha*MAX(0,delta-AE803)</f>
        <v/>
      </c>
      <c r="AG803">
        <f>AD803*AF803</f>
        <v/>
      </c>
      <c r="AH803">
        <f>1+COUNTIF(bounds,"&lt;"&amp;ROUND(AD803,12))</f>
        <v/>
      </c>
      <c r="AI803">
        <f>1+COUNTIF(bounds,"&lt;"&amp;ROUND(AG803,12))</f>
        <v/>
      </c>
      <c r="AJ803">
        <f>IF(AF803&lt;1,1,0)</f>
        <v/>
      </c>
      <c r="AK803">
        <f>IF(AH803&lt;&gt;AI803,1,0)</f>
        <v/>
      </c>
      <c r="AL803">
        <f>IF(AND(AI803&gt;=3,AB803&lt;=0.2),1,0)</f>
        <v/>
      </c>
      <c r="AM803">
        <f>AVERAGE(W803:AB803)</f>
        <v/>
      </c>
      <c r="AN803">
        <f>1+COUNTIF(bounds,"&lt;"&amp;ROUND(AM803,12))</f>
        <v/>
      </c>
      <c r="AO803">
        <f>IF(AK803=1,AD803,NA())</f>
        <v/>
      </c>
      <c r="AP803">
        <f>IF(AK803=0,AD803,NA())</f>
        <v/>
      </c>
    </row>
    <row r="804">
      <c r="A804" t="n">
        <v>796</v>
      </c>
      <c r="B804" t="n">
        <v>5</v>
      </c>
      <c r="C804" t="n">
        <v>2</v>
      </c>
      <c r="D804" t="n">
        <v>3</v>
      </c>
      <c r="E804" t="n">
        <v>4</v>
      </c>
      <c r="F804" t="n">
        <v>4</v>
      </c>
      <c r="G804" t="n">
        <v>3</v>
      </c>
      <c r="H804" t="n">
        <v>4</v>
      </c>
      <c r="I804" t="n">
        <v>5</v>
      </c>
      <c r="J804" t="n">
        <v>2</v>
      </c>
      <c r="K804" t="n">
        <v>4</v>
      </c>
      <c r="L804" t="n">
        <v>1</v>
      </c>
      <c r="M804" t="n">
        <v>4</v>
      </c>
      <c r="N804" t="n">
        <v>1</v>
      </c>
      <c r="O804" t="n">
        <v>5</v>
      </c>
      <c r="P804" t="n">
        <v>4</v>
      </c>
      <c r="Q804" t="n">
        <v>3</v>
      </c>
      <c r="R804" t="n">
        <v>1</v>
      </c>
      <c r="S804" t="n">
        <v>5</v>
      </c>
      <c r="T804" t="n">
        <v>3</v>
      </c>
      <c r="U804" t="n">
        <v>3</v>
      </c>
      <c r="V804" t="n">
        <v>5</v>
      </c>
      <c r="W804">
        <f>(AVERAGE(B804:D804)-1)/4</f>
        <v/>
      </c>
      <c r="X804">
        <f>(AVERAGE(E804:G804)-1)/4</f>
        <v/>
      </c>
      <c r="Y804">
        <f>(AVERAGE(H804:J804)-1)/4</f>
        <v/>
      </c>
      <c r="Z804">
        <f>(AVERAGE(K804:M804)-1)/4</f>
        <v/>
      </c>
      <c r="AA804">
        <f>(AVERAGE(N804:P804)-1)/4</f>
        <v/>
      </c>
      <c r="AB804">
        <f>(AVERAGE(Q804:S804)-1)/4</f>
        <v/>
      </c>
      <c r="AC804">
        <f>(AVERAGE(T804:V804)-1)/4</f>
        <v/>
      </c>
      <c r="AD804">
        <f>AVERAGE(W804:AA804)</f>
        <v/>
      </c>
      <c r="AE804">
        <f>MIN(W804:AA804)</f>
        <v/>
      </c>
      <c r="AF804">
        <f>1-alpha*MAX(0,delta-AE804)</f>
        <v/>
      </c>
      <c r="AG804">
        <f>AD804*AF804</f>
        <v/>
      </c>
      <c r="AH804">
        <f>1+COUNTIF(bounds,"&lt;"&amp;ROUND(AD804,12))</f>
        <v/>
      </c>
      <c r="AI804">
        <f>1+COUNTIF(bounds,"&lt;"&amp;ROUND(AG804,12))</f>
        <v/>
      </c>
      <c r="AJ804">
        <f>IF(AF804&lt;1,1,0)</f>
        <v/>
      </c>
      <c r="AK804">
        <f>IF(AH804&lt;&gt;AI804,1,0)</f>
        <v/>
      </c>
      <c r="AL804">
        <f>IF(AND(AI804&gt;=3,AB804&lt;=0.2),1,0)</f>
        <v/>
      </c>
      <c r="AM804">
        <f>AVERAGE(W804:AB804)</f>
        <v/>
      </c>
      <c r="AN804">
        <f>1+COUNTIF(bounds,"&lt;"&amp;ROUND(AM804,12))</f>
        <v/>
      </c>
      <c r="AO804">
        <f>IF(AK804=1,AD804,NA())</f>
        <v/>
      </c>
      <c r="AP804">
        <f>IF(AK804=0,AD804,NA())</f>
        <v/>
      </c>
    </row>
    <row r="805">
      <c r="A805" t="n">
        <v>797</v>
      </c>
      <c r="B805" t="n">
        <v>4</v>
      </c>
      <c r="C805" t="n">
        <v>2</v>
      </c>
      <c r="D805" t="n">
        <v>5</v>
      </c>
      <c r="E805" t="n">
        <v>3</v>
      </c>
      <c r="F805" t="n">
        <v>2</v>
      </c>
      <c r="G805" t="n">
        <v>5</v>
      </c>
      <c r="H805" t="n">
        <v>4</v>
      </c>
      <c r="I805" t="n">
        <v>2</v>
      </c>
      <c r="J805" t="n">
        <v>3</v>
      </c>
      <c r="K805" t="n">
        <v>2</v>
      </c>
      <c r="L805" t="n">
        <v>2</v>
      </c>
      <c r="M805" t="n">
        <v>4</v>
      </c>
      <c r="N805" t="n">
        <v>5</v>
      </c>
      <c r="O805" t="n">
        <v>5</v>
      </c>
      <c r="P805" t="n">
        <v>1</v>
      </c>
      <c r="Q805" t="n">
        <v>5</v>
      </c>
      <c r="R805" t="n">
        <v>5</v>
      </c>
      <c r="S805" t="n">
        <v>1</v>
      </c>
      <c r="T805" t="n">
        <v>5</v>
      </c>
      <c r="U805" t="n">
        <v>2</v>
      </c>
      <c r="V805" t="n">
        <v>2</v>
      </c>
      <c r="W805">
        <f>(AVERAGE(B805:D805)-1)/4</f>
        <v/>
      </c>
      <c r="X805">
        <f>(AVERAGE(E805:G805)-1)/4</f>
        <v/>
      </c>
      <c r="Y805">
        <f>(AVERAGE(H805:J805)-1)/4</f>
        <v/>
      </c>
      <c r="Z805">
        <f>(AVERAGE(K805:M805)-1)/4</f>
        <v/>
      </c>
      <c r="AA805">
        <f>(AVERAGE(N805:P805)-1)/4</f>
        <v/>
      </c>
      <c r="AB805">
        <f>(AVERAGE(Q805:S805)-1)/4</f>
        <v/>
      </c>
      <c r="AC805">
        <f>(AVERAGE(T805:V805)-1)/4</f>
        <v/>
      </c>
      <c r="AD805">
        <f>AVERAGE(W805:AA805)</f>
        <v/>
      </c>
      <c r="AE805">
        <f>MIN(W805:AA805)</f>
        <v/>
      </c>
      <c r="AF805">
        <f>1-alpha*MAX(0,delta-AE805)</f>
        <v/>
      </c>
      <c r="AG805">
        <f>AD805*AF805</f>
        <v/>
      </c>
      <c r="AH805">
        <f>1+COUNTIF(bounds,"&lt;"&amp;ROUND(AD805,12))</f>
        <v/>
      </c>
      <c r="AI805">
        <f>1+COUNTIF(bounds,"&lt;"&amp;ROUND(AG805,12))</f>
        <v/>
      </c>
      <c r="AJ805">
        <f>IF(AF805&lt;1,1,0)</f>
        <v/>
      </c>
      <c r="AK805">
        <f>IF(AH805&lt;&gt;AI805,1,0)</f>
        <v/>
      </c>
      <c r="AL805">
        <f>IF(AND(AI805&gt;=3,AB805&lt;=0.2),1,0)</f>
        <v/>
      </c>
      <c r="AM805">
        <f>AVERAGE(W805:AB805)</f>
        <v/>
      </c>
      <c r="AN805">
        <f>1+COUNTIF(bounds,"&lt;"&amp;ROUND(AM805,12))</f>
        <v/>
      </c>
      <c r="AO805">
        <f>IF(AK805=1,AD805,NA())</f>
        <v/>
      </c>
      <c r="AP805">
        <f>IF(AK805=0,AD805,NA())</f>
        <v/>
      </c>
    </row>
    <row r="806">
      <c r="A806" t="n">
        <v>798</v>
      </c>
      <c r="B806" t="n">
        <v>3</v>
      </c>
      <c r="C806" t="n">
        <v>5</v>
      </c>
      <c r="D806" t="n">
        <v>2</v>
      </c>
      <c r="E806" t="n">
        <v>5</v>
      </c>
      <c r="F806" t="n">
        <v>2</v>
      </c>
      <c r="G806" t="n">
        <v>4</v>
      </c>
      <c r="H806" t="n">
        <v>3</v>
      </c>
      <c r="I806" t="n">
        <v>5</v>
      </c>
      <c r="J806" t="n">
        <v>1</v>
      </c>
      <c r="K806" t="n">
        <v>1</v>
      </c>
      <c r="L806" t="n">
        <v>5</v>
      </c>
      <c r="M806" t="n">
        <v>2</v>
      </c>
      <c r="N806" t="n">
        <v>1</v>
      </c>
      <c r="O806" t="n">
        <v>5</v>
      </c>
      <c r="P806" t="n">
        <v>5</v>
      </c>
      <c r="Q806" t="n">
        <v>2</v>
      </c>
      <c r="R806" t="n">
        <v>4</v>
      </c>
      <c r="S806" t="n">
        <v>3</v>
      </c>
      <c r="T806" t="n">
        <v>4</v>
      </c>
      <c r="U806" t="n">
        <v>4</v>
      </c>
      <c r="V806" t="n">
        <v>4</v>
      </c>
      <c r="W806">
        <f>(AVERAGE(B806:D806)-1)/4</f>
        <v/>
      </c>
      <c r="X806">
        <f>(AVERAGE(E806:G806)-1)/4</f>
        <v/>
      </c>
      <c r="Y806">
        <f>(AVERAGE(H806:J806)-1)/4</f>
        <v/>
      </c>
      <c r="Z806">
        <f>(AVERAGE(K806:M806)-1)/4</f>
        <v/>
      </c>
      <c r="AA806">
        <f>(AVERAGE(N806:P806)-1)/4</f>
        <v/>
      </c>
      <c r="AB806">
        <f>(AVERAGE(Q806:S806)-1)/4</f>
        <v/>
      </c>
      <c r="AC806">
        <f>(AVERAGE(T806:V806)-1)/4</f>
        <v/>
      </c>
      <c r="AD806">
        <f>AVERAGE(W806:AA806)</f>
        <v/>
      </c>
      <c r="AE806">
        <f>MIN(W806:AA806)</f>
        <v/>
      </c>
      <c r="AF806">
        <f>1-alpha*MAX(0,delta-AE806)</f>
        <v/>
      </c>
      <c r="AG806">
        <f>AD806*AF806</f>
        <v/>
      </c>
      <c r="AH806">
        <f>1+COUNTIF(bounds,"&lt;"&amp;ROUND(AD806,12))</f>
        <v/>
      </c>
      <c r="AI806">
        <f>1+COUNTIF(bounds,"&lt;"&amp;ROUND(AG806,12))</f>
        <v/>
      </c>
      <c r="AJ806">
        <f>IF(AF806&lt;1,1,0)</f>
        <v/>
      </c>
      <c r="AK806">
        <f>IF(AH806&lt;&gt;AI806,1,0)</f>
        <v/>
      </c>
      <c r="AL806">
        <f>IF(AND(AI806&gt;=3,AB806&lt;=0.2),1,0)</f>
        <v/>
      </c>
      <c r="AM806">
        <f>AVERAGE(W806:AB806)</f>
        <v/>
      </c>
      <c r="AN806">
        <f>1+COUNTIF(bounds,"&lt;"&amp;ROUND(AM806,12))</f>
        <v/>
      </c>
      <c r="AO806">
        <f>IF(AK806=1,AD806,NA())</f>
        <v/>
      </c>
      <c r="AP806">
        <f>IF(AK806=0,AD806,NA())</f>
        <v/>
      </c>
    </row>
    <row r="807">
      <c r="A807" t="n">
        <v>799</v>
      </c>
      <c r="B807" t="n">
        <v>4</v>
      </c>
      <c r="C807" t="n">
        <v>1</v>
      </c>
      <c r="D807" t="n">
        <v>1</v>
      </c>
      <c r="E807" t="n">
        <v>3</v>
      </c>
      <c r="F807" t="n">
        <v>3</v>
      </c>
      <c r="G807" t="n">
        <v>4</v>
      </c>
      <c r="H807" t="n">
        <v>5</v>
      </c>
      <c r="I807" t="n">
        <v>4</v>
      </c>
      <c r="J807" t="n">
        <v>3</v>
      </c>
      <c r="K807" t="n">
        <v>2</v>
      </c>
      <c r="L807" t="n">
        <v>4</v>
      </c>
      <c r="M807" t="n">
        <v>3</v>
      </c>
      <c r="N807" t="n">
        <v>5</v>
      </c>
      <c r="O807" t="n">
        <v>5</v>
      </c>
      <c r="P807" t="n">
        <v>5</v>
      </c>
      <c r="Q807" t="n">
        <v>3</v>
      </c>
      <c r="R807" t="n">
        <v>5</v>
      </c>
      <c r="S807" t="n">
        <v>5</v>
      </c>
      <c r="T807" t="n">
        <v>4</v>
      </c>
      <c r="U807" t="n">
        <v>5</v>
      </c>
      <c r="V807" t="n">
        <v>1</v>
      </c>
      <c r="W807">
        <f>(AVERAGE(B807:D807)-1)/4</f>
        <v/>
      </c>
      <c r="X807">
        <f>(AVERAGE(E807:G807)-1)/4</f>
        <v/>
      </c>
      <c r="Y807">
        <f>(AVERAGE(H807:J807)-1)/4</f>
        <v/>
      </c>
      <c r="Z807">
        <f>(AVERAGE(K807:M807)-1)/4</f>
        <v/>
      </c>
      <c r="AA807">
        <f>(AVERAGE(N807:P807)-1)/4</f>
        <v/>
      </c>
      <c r="AB807">
        <f>(AVERAGE(Q807:S807)-1)/4</f>
        <v/>
      </c>
      <c r="AC807">
        <f>(AVERAGE(T807:V807)-1)/4</f>
        <v/>
      </c>
      <c r="AD807">
        <f>AVERAGE(W807:AA807)</f>
        <v/>
      </c>
      <c r="AE807">
        <f>MIN(W807:AA807)</f>
        <v/>
      </c>
      <c r="AF807">
        <f>1-alpha*MAX(0,delta-AE807)</f>
        <v/>
      </c>
      <c r="AG807">
        <f>AD807*AF807</f>
        <v/>
      </c>
      <c r="AH807">
        <f>1+COUNTIF(bounds,"&lt;"&amp;ROUND(AD807,12))</f>
        <v/>
      </c>
      <c r="AI807">
        <f>1+COUNTIF(bounds,"&lt;"&amp;ROUND(AG807,12))</f>
        <v/>
      </c>
      <c r="AJ807">
        <f>IF(AF807&lt;1,1,0)</f>
        <v/>
      </c>
      <c r="AK807">
        <f>IF(AH807&lt;&gt;AI807,1,0)</f>
        <v/>
      </c>
      <c r="AL807">
        <f>IF(AND(AI807&gt;=3,AB807&lt;=0.2),1,0)</f>
        <v/>
      </c>
      <c r="AM807">
        <f>AVERAGE(W807:AB807)</f>
        <v/>
      </c>
      <c r="AN807">
        <f>1+COUNTIF(bounds,"&lt;"&amp;ROUND(AM807,12))</f>
        <v/>
      </c>
      <c r="AO807">
        <f>IF(AK807=1,AD807,NA())</f>
        <v/>
      </c>
      <c r="AP807">
        <f>IF(AK807=0,AD807,NA())</f>
        <v/>
      </c>
    </row>
    <row r="808">
      <c r="A808" t="n">
        <v>800</v>
      </c>
      <c r="B808" t="n">
        <v>3</v>
      </c>
      <c r="C808" t="n">
        <v>5</v>
      </c>
      <c r="D808" t="n">
        <v>3</v>
      </c>
      <c r="E808" t="n">
        <v>5</v>
      </c>
      <c r="F808" t="n">
        <v>2</v>
      </c>
      <c r="G808" t="n">
        <v>2</v>
      </c>
      <c r="H808" t="n">
        <v>2</v>
      </c>
      <c r="I808" t="n">
        <v>5</v>
      </c>
      <c r="J808" t="n">
        <v>1</v>
      </c>
      <c r="K808" t="n">
        <v>3</v>
      </c>
      <c r="L808" t="n">
        <v>5</v>
      </c>
      <c r="M808" t="n">
        <v>5</v>
      </c>
      <c r="N808" t="n">
        <v>4</v>
      </c>
      <c r="O808" t="n">
        <v>4</v>
      </c>
      <c r="P808" t="n">
        <v>2</v>
      </c>
      <c r="Q808" t="n">
        <v>1</v>
      </c>
      <c r="R808" t="n">
        <v>3</v>
      </c>
      <c r="S808" t="n">
        <v>1</v>
      </c>
      <c r="T808" t="n">
        <v>5</v>
      </c>
      <c r="U808" t="n">
        <v>1</v>
      </c>
      <c r="V808" t="n">
        <v>1</v>
      </c>
      <c r="W808">
        <f>(AVERAGE(B808:D808)-1)/4</f>
        <v/>
      </c>
      <c r="X808">
        <f>(AVERAGE(E808:G808)-1)/4</f>
        <v/>
      </c>
      <c r="Y808">
        <f>(AVERAGE(H808:J808)-1)/4</f>
        <v/>
      </c>
      <c r="Z808">
        <f>(AVERAGE(K808:M808)-1)/4</f>
        <v/>
      </c>
      <c r="AA808">
        <f>(AVERAGE(N808:P808)-1)/4</f>
        <v/>
      </c>
      <c r="AB808">
        <f>(AVERAGE(Q808:S808)-1)/4</f>
        <v/>
      </c>
      <c r="AC808">
        <f>(AVERAGE(T808:V808)-1)/4</f>
        <v/>
      </c>
      <c r="AD808">
        <f>AVERAGE(W808:AA808)</f>
        <v/>
      </c>
      <c r="AE808">
        <f>MIN(W808:AA808)</f>
        <v/>
      </c>
      <c r="AF808">
        <f>1-alpha*MAX(0,delta-AE808)</f>
        <v/>
      </c>
      <c r="AG808">
        <f>AD808*AF808</f>
        <v/>
      </c>
      <c r="AH808">
        <f>1+COUNTIF(bounds,"&lt;"&amp;ROUND(AD808,12))</f>
        <v/>
      </c>
      <c r="AI808">
        <f>1+COUNTIF(bounds,"&lt;"&amp;ROUND(AG808,12))</f>
        <v/>
      </c>
      <c r="AJ808">
        <f>IF(AF808&lt;1,1,0)</f>
        <v/>
      </c>
      <c r="AK808">
        <f>IF(AH808&lt;&gt;AI808,1,0)</f>
        <v/>
      </c>
      <c r="AL808">
        <f>IF(AND(AI808&gt;=3,AB808&lt;=0.2),1,0)</f>
        <v/>
      </c>
      <c r="AM808">
        <f>AVERAGE(W808:AB808)</f>
        <v/>
      </c>
      <c r="AN808">
        <f>1+COUNTIF(bounds,"&lt;"&amp;ROUND(AM808,12))</f>
        <v/>
      </c>
      <c r="AO808">
        <f>IF(AK808=1,AD808,NA())</f>
        <v/>
      </c>
      <c r="AP808">
        <f>IF(AK808=0,AD808,NA())</f>
        <v/>
      </c>
    </row>
    <row r="809">
      <c r="A809" t="n">
        <v>801</v>
      </c>
      <c r="B809" t="n">
        <v>3</v>
      </c>
      <c r="C809" t="n">
        <v>5</v>
      </c>
      <c r="D809" t="n">
        <v>2</v>
      </c>
      <c r="E809" t="n">
        <v>4</v>
      </c>
      <c r="F809" t="n">
        <v>1</v>
      </c>
      <c r="G809" t="n">
        <v>4</v>
      </c>
      <c r="H809" t="n">
        <v>5</v>
      </c>
      <c r="I809" t="n">
        <v>2</v>
      </c>
      <c r="J809" t="n">
        <v>1</v>
      </c>
      <c r="K809" t="n">
        <v>3</v>
      </c>
      <c r="L809" t="n">
        <v>2</v>
      </c>
      <c r="M809" t="n">
        <v>5</v>
      </c>
      <c r="N809" t="n">
        <v>3</v>
      </c>
      <c r="O809" t="n">
        <v>5</v>
      </c>
      <c r="P809" t="n">
        <v>2</v>
      </c>
      <c r="Q809" t="n">
        <v>4</v>
      </c>
      <c r="R809" t="n">
        <v>1</v>
      </c>
      <c r="S809" t="n">
        <v>5</v>
      </c>
      <c r="T809" t="n">
        <v>5</v>
      </c>
      <c r="U809" t="n">
        <v>3</v>
      </c>
      <c r="V809" t="n">
        <v>1</v>
      </c>
      <c r="W809">
        <f>(AVERAGE(B809:D809)-1)/4</f>
        <v/>
      </c>
      <c r="X809">
        <f>(AVERAGE(E809:G809)-1)/4</f>
        <v/>
      </c>
      <c r="Y809">
        <f>(AVERAGE(H809:J809)-1)/4</f>
        <v/>
      </c>
      <c r="Z809">
        <f>(AVERAGE(K809:M809)-1)/4</f>
        <v/>
      </c>
      <c r="AA809">
        <f>(AVERAGE(N809:P809)-1)/4</f>
        <v/>
      </c>
      <c r="AB809">
        <f>(AVERAGE(Q809:S809)-1)/4</f>
        <v/>
      </c>
      <c r="AC809">
        <f>(AVERAGE(T809:V809)-1)/4</f>
        <v/>
      </c>
      <c r="AD809">
        <f>AVERAGE(W809:AA809)</f>
        <v/>
      </c>
      <c r="AE809">
        <f>MIN(W809:AA809)</f>
        <v/>
      </c>
      <c r="AF809">
        <f>1-alpha*MAX(0,delta-AE809)</f>
        <v/>
      </c>
      <c r="AG809">
        <f>AD809*AF809</f>
        <v/>
      </c>
      <c r="AH809">
        <f>1+COUNTIF(bounds,"&lt;"&amp;ROUND(AD809,12))</f>
        <v/>
      </c>
      <c r="AI809">
        <f>1+COUNTIF(bounds,"&lt;"&amp;ROUND(AG809,12))</f>
        <v/>
      </c>
      <c r="AJ809">
        <f>IF(AF809&lt;1,1,0)</f>
        <v/>
      </c>
      <c r="AK809">
        <f>IF(AH809&lt;&gt;AI809,1,0)</f>
        <v/>
      </c>
      <c r="AL809">
        <f>IF(AND(AI809&gt;=3,AB809&lt;=0.2),1,0)</f>
        <v/>
      </c>
      <c r="AM809">
        <f>AVERAGE(W809:AB809)</f>
        <v/>
      </c>
      <c r="AN809">
        <f>1+COUNTIF(bounds,"&lt;"&amp;ROUND(AM809,12))</f>
        <v/>
      </c>
      <c r="AO809">
        <f>IF(AK809=1,AD809,NA())</f>
        <v/>
      </c>
      <c r="AP809">
        <f>IF(AK809=0,AD809,NA())</f>
        <v/>
      </c>
    </row>
    <row r="810">
      <c r="A810" t="n">
        <v>802</v>
      </c>
      <c r="B810" t="n">
        <v>5</v>
      </c>
      <c r="C810" t="n">
        <v>4</v>
      </c>
      <c r="D810" t="n">
        <v>4</v>
      </c>
      <c r="E810" t="n">
        <v>1</v>
      </c>
      <c r="F810" t="n">
        <v>1</v>
      </c>
      <c r="G810" t="n">
        <v>4</v>
      </c>
      <c r="H810" t="n">
        <v>4</v>
      </c>
      <c r="I810" t="n">
        <v>1</v>
      </c>
      <c r="J810" t="n">
        <v>1</v>
      </c>
      <c r="K810" t="n">
        <v>5</v>
      </c>
      <c r="L810" t="n">
        <v>5</v>
      </c>
      <c r="M810" t="n">
        <v>4</v>
      </c>
      <c r="N810" t="n">
        <v>3</v>
      </c>
      <c r="O810" t="n">
        <v>2</v>
      </c>
      <c r="P810" t="n">
        <v>1</v>
      </c>
      <c r="Q810" t="n">
        <v>2</v>
      </c>
      <c r="R810" t="n">
        <v>2</v>
      </c>
      <c r="S810" t="n">
        <v>4</v>
      </c>
      <c r="T810" t="n">
        <v>5</v>
      </c>
      <c r="U810" t="n">
        <v>2</v>
      </c>
      <c r="V810" t="n">
        <v>1</v>
      </c>
      <c r="W810">
        <f>(AVERAGE(B810:D810)-1)/4</f>
        <v/>
      </c>
      <c r="X810">
        <f>(AVERAGE(E810:G810)-1)/4</f>
        <v/>
      </c>
      <c r="Y810">
        <f>(AVERAGE(H810:J810)-1)/4</f>
        <v/>
      </c>
      <c r="Z810">
        <f>(AVERAGE(K810:M810)-1)/4</f>
        <v/>
      </c>
      <c r="AA810">
        <f>(AVERAGE(N810:P810)-1)/4</f>
        <v/>
      </c>
      <c r="AB810">
        <f>(AVERAGE(Q810:S810)-1)/4</f>
        <v/>
      </c>
      <c r="AC810">
        <f>(AVERAGE(T810:V810)-1)/4</f>
        <v/>
      </c>
      <c r="AD810">
        <f>AVERAGE(W810:AA810)</f>
        <v/>
      </c>
      <c r="AE810">
        <f>MIN(W810:AA810)</f>
        <v/>
      </c>
      <c r="AF810">
        <f>1-alpha*MAX(0,delta-AE810)</f>
        <v/>
      </c>
      <c r="AG810">
        <f>AD810*AF810</f>
        <v/>
      </c>
      <c r="AH810">
        <f>1+COUNTIF(bounds,"&lt;"&amp;ROUND(AD810,12))</f>
        <v/>
      </c>
      <c r="AI810">
        <f>1+COUNTIF(bounds,"&lt;"&amp;ROUND(AG810,12))</f>
        <v/>
      </c>
      <c r="AJ810">
        <f>IF(AF810&lt;1,1,0)</f>
        <v/>
      </c>
      <c r="AK810">
        <f>IF(AH810&lt;&gt;AI810,1,0)</f>
        <v/>
      </c>
      <c r="AL810">
        <f>IF(AND(AI810&gt;=3,AB810&lt;=0.2),1,0)</f>
        <v/>
      </c>
      <c r="AM810">
        <f>AVERAGE(W810:AB810)</f>
        <v/>
      </c>
      <c r="AN810">
        <f>1+COUNTIF(bounds,"&lt;"&amp;ROUND(AM810,12))</f>
        <v/>
      </c>
      <c r="AO810">
        <f>IF(AK810=1,AD810,NA())</f>
        <v/>
      </c>
      <c r="AP810">
        <f>IF(AK810=0,AD810,NA())</f>
        <v/>
      </c>
    </row>
    <row r="811">
      <c r="A811" t="n">
        <v>803</v>
      </c>
      <c r="B811" t="n">
        <v>2</v>
      </c>
      <c r="C811" t="n">
        <v>5</v>
      </c>
      <c r="D811" t="n">
        <v>5</v>
      </c>
      <c r="E811" t="n">
        <v>5</v>
      </c>
      <c r="F811" t="n">
        <v>1</v>
      </c>
      <c r="G811" t="n">
        <v>2</v>
      </c>
      <c r="H811" t="n">
        <v>3</v>
      </c>
      <c r="I811" t="n">
        <v>5</v>
      </c>
      <c r="J811" t="n">
        <v>1</v>
      </c>
      <c r="K811" t="n">
        <v>5</v>
      </c>
      <c r="L811" t="n">
        <v>4</v>
      </c>
      <c r="M811" t="n">
        <v>3</v>
      </c>
      <c r="N811" t="n">
        <v>3</v>
      </c>
      <c r="O811" t="n">
        <v>5</v>
      </c>
      <c r="P811" t="n">
        <v>5</v>
      </c>
      <c r="Q811" t="n">
        <v>5</v>
      </c>
      <c r="R811" t="n">
        <v>3</v>
      </c>
      <c r="S811" t="n">
        <v>2</v>
      </c>
      <c r="T811" t="n">
        <v>4</v>
      </c>
      <c r="U811" t="n">
        <v>1</v>
      </c>
      <c r="V811" t="n">
        <v>4</v>
      </c>
      <c r="W811">
        <f>(AVERAGE(B811:D811)-1)/4</f>
        <v/>
      </c>
      <c r="X811">
        <f>(AVERAGE(E811:G811)-1)/4</f>
        <v/>
      </c>
      <c r="Y811">
        <f>(AVERAGE(H811:J811)-1)/4</f>
        <v/>
      </c>
      <c r="Z811">
        <f>(AVERAGE(K811:M811)-1)/4</f>
        <v/>
      </c>
      <c r="AA811">
        <f>(AVERAGE(N811:P811)-1)/4</f>
        <v/>
      </c>
      <c r="AB811">
        <f>(AVERAGE(Q811:S811)-1)/4</f>
        <v/>
      </c>
      <c r="AC811">
        <f>(AVERAGE(T811:V811)-1)/4</f>
        <v/>
      </c>
      <c r="AD811">
        <f>AVERAGE(W811:AA811)</f>
        <v/>
      </c>
      <c r="AE811">
        <f>MIN(W811:AA811)</f>
        <v/>
      </c>
      <c r="AF811">
        <f>1-alpha*MAX(0,delta-AE811)</f>
        <v/>
      </c>
      <c r="AG811">
        <f>AD811*AF811</f>
        <v/>
      </c>
      <c r="AH811">
        <f>1+COUNTIF(bounds,"&lt;"&amp;ROUND(AD811,12))</f>
        <v/>
      </c>
      <c r="AI811">
        <f>1+COUNTIF(bounds,"&lt;"&amp;ROUND(AG811,12))</f>
        <v/>
      </c>
      <c r="AJ811">
        <f>IF(AF811&lt;1,1,0)</f>
        <v/>
      </c>
      <c r="AK811">
        <f>IF(AH811&lt;&gt;AI811,1,0)</f>
        <v/>
      </c>
      <c r="AL811">
        <f>IF(AND(AI811&gt;=3,AB811&lt;=0.2),1,0)</f>
        <v/>
      </c>
      <c r="AM811">
        <f>AVERAGE(W811:AB811)</f>
        <v/>
      </c>
      <c r="AN811">
        <f>1+COUNTIF(bounds,"&lt;"&amp;ROUND(AM811,12))</f>
        <v/>
      </c>
      <c r="AO811">
        <f>IF(AK811=1,AD811,NA())</f>
        <v/>
      </c>
      <c r="AP811">
        <f>IF(AK811=0,AD811,NA())</f>
        <v/>
      </c>
    </row>
    <row r="812">
      <c r="A812" t="n">
        <v>804</v>
      </c>
      <c r="B812" t="n">
        <v>2</v>
      </c>
      <c r="C812" t="n">
        <v>3</v>
      </c>
      <c r="D812" t="n">
        <v>4</v>
      </c>
      <c r="E812" t="n">
        <v>4</v>
      </c>
      <c r="F812" t="n">
        <v>3</v>
      </c>
      <c r="G812" t="n">
        <v>2</v>
      </c>
      <c r="H812" t="n">
        <v>2</v>
      </c>
      <c r="I812" t="n">
        <v>5</v>
      </c>
      <c r="J812" t="n">
        <v>3</v>
      </c>
      <c r="K812" t="n">
        <v>1</v>
      </c>
      <c r="L812" t="n">
        <v>2</v>
      </c>
      <c r="M812" t="n">
        <v>1</v>
      </c>
      <c r="N812" t="n">
        <v>3</v>
      </c>
      <c r="O812" t="n">
        <v>5</v>
      </c>
      <c r="P812" t="n">
        <v>4</v>
      </c>
      <c r="Q812" t="n">
        <v>4</v>
      </c>
      <c r="R812" t="n">
        <v>2</v>
      </c>
      <c r="S812" t="n">
        <v>2</v>
      </c>
      <c r="T812" t="n">
        <v>1</v>
      </c>
      <c r="U812" t="n">
        <v>4</v>
      </c>
      <c r="V812" t="n">
        <v>1</v>
      </c>
      <c r="W812">
        <f>(AVERAGE(B812:D812)-1)/4</f>
        <v/>
      </c>
      <c r="X812">
        <f>(AVERAGE(E812:G812)-1)/4</f>
        <v/>
      </c>
      <c r="Y812">
        <f>(AVERAGE(H812:J812)-1)/4</f>
        <v/>
      </c>
      <c r="Z812">
        <f>(AVERAGE(K812:M812)-1)/4</f>
        <v/>
      </c>
      <c r="AA812">
        <f>(AVERAGE(N812:P812)-1)/4</f>
        <v/>
      </c>
      <c r="AB812">
        <f>(AVERAGE(Q812:S812)-1)/4</f>
        <v/>
      </c>
      <c r="AC812">
        <f>(AVERAGE(T812:V812)-1)/4</f>
        <v/>
      </c>
      <c r="AD812">
        <f>AVERAGE(W812:AA812)</f>
        <v/>
      </c>
      <c r="AE812">
        <f>MIN(W812:AA812)</f>
        <v/>
      </c>
      <c r="AF812">
        <f>1-alpha*MAX(0,delta-AE812)</f>
        <v/>
      </c>
      <c r="AG812">
        <f>AD812*AF812</f>
        <v/>
      </c>
      <c r="AH812">
        <f>1+COUNTIF(bounds,"&lt;"&amp;ROUND(AD812,12))</f>
        <v/>
      </c>
      <c r="AI812">
        <f>1+COUNTIF(bounds,"&lt;"&amp;ROUND(AG812,12))</f>
        <v/>
      </c>
      <c r="AJ812">
        <f>IF(AF812&lt;1,1,0)</f>
        <v/>
      </c>
      <c r="AK812">
        <f>IF(AH812&lt;&gt;AI812,1,0)</f>
        <v/>
      </c>
      <c r="AL812">
        <f>IF(AND(AI812&gt;=3,AB812&lt;=0.2),1,0)</f>
        <v/>
      </c>
      <c r="AM812">
        <f>AVERAGE(W812:AB812)</f>
        <v/>
      </c>
      <c r="AN812">
        <f>1+COUNTIF(bounds,"&lt;"&amp;ROUND(AM812,12))</f>
        <v/>
      </c>
      <c r="AO812">
        <f>IF(AK812=1,AD812,NA())</f>
        <v/>
      </c>
      <c r="AP812">
        <f>IF(AK812=0,AD812,NA())</f>
        <v/>
      </c>
    </row>
    <row r="813">
      <c r="A813" t="n">
        <v>805</v>
      </c>
      <c r="B813" t="n">
        <v>3</v>
      </c>
      <c r="C813" t="n">
        <v>2</v>
      </c>
      <c r="D813" t="n">
        <v>5</v>
      </c>
      <c r="E813" t="n">
        <v>4</v>
      </c>
      <c r="F813" t="n">
        <v>4</v>
      </c>
      <c r="G813" t="n">
        <v>4</v>
      </c>
      <c r="H813" t="n">
        <v>1</v>
      </c>
      <c r="I813" t="n">
        <v>4</v>
      </c>
      <c r="J813" t="n">
        <v>2</v>
      </c>
      <c r="K813" t="n">
        <v>2</v>
      </c>
      <c r="L813" t="n">
        <v>1</v>
      </c>
      <c r="M813" t="n">
        <v>3</v>
      </c>
      <c r="N813" t="n">
        <v>2</v>
      </c>
      <c r="O813" t="n">
        <v>4</v>
      </c>
      <c r="P813" t="n">
        <v>1</v>
      </c>
      <c r="Q813" t="n">
        <v>3</v>
      </c>
      <c r="R813" t="n">
        <v>1</v>
      </c>
      <c r="S813" t="n">
        <v>2</v>
      </c>
      <c r="T813" t="n">
        <v>3</v>
      </c>
      <c r="U813" t="n">
        <v>4</v>
      </c>
      <c r="V813" t="n">
        <v>1</v>
      </c>
      <c r="W813">
        <f>(AVERAGE(B813:D813)-1)/4</f>
        <v/>
      </c>
      <c r="X813">
        <f>(AVERAGE(E813:G813)-1)/4</f>
        <v/>
      </c>
      <c r="Y813">
        <f>(AVERAGE(H813:J813)-1)/4</f>
        <v/>
      </c>
      <c r="Z813">
        <f>(AVERAGE(K813:M813)-1)/4</f>
        <v/>
      </c>
      <c r="AA813">
        <f>(AVERAGE(N813:P813)-1)/4</f>
        <v/>
      </c>
      <c r="AB813">
        <f>(AVERAGE(Q813:S813)-1)/4</f>
        <v/>
      </c>
      <c r="AC813">
        <f>(AVERAGE(T813:V813)-1)/4</f>
        <v/>
      </c>
      <c r="AD813">
        <f>AVERAGE(W813:AA813)</f>
        <v/>
      </c>
      <c r="AE813">
        <f>MIN(W813:AA813)</f>
        <v/>
      </c>
      <c r="AF813">
        <f>1-alpha*MAX(0,delta-AE813)</f>
        <v/>
      </c>
      <c r="AG813">
        <f>AD813*AF813</f>
        <v/>
      </c>
      <c r="AH813">
        <f>1+COUNTIF(bounds,"&lt;"&amp;ROUND(AD813,12))</f>
        <v/>
      </c>
      <c r="AI813">
        <f>1+COUNTIF(bounds,"&lt;"&amp;ROUND(AG813,12))</f>
        <v/>
      </c>
      <c r="AJ813">
        <f>IF(AF813&lt;1,1,0)</f>
        <v/>
      </c>
      <c r="AK813">
        <f>IF(AH813&lt;&gt;AI813,1,0)</f>
        <v/>
      </c>
      <c r="AL813">
        <f>IF(AND(AI813&gt;=3,AB813&lt;=0.2),1,0)</f>
        <v/>
      </c>
      <c r="AM813">
        <f>AVERAGE(W813:AB813)</f>
        <v/>
      </c>
      <c r="AN813">
        <f>1+COUNTIF(bounds,"&lt;"&amp;ROUND(AM813,12))</f>
        <v/>
      </c>
      <c r="AO813">
        <f>IF(AK813=1,AD813,NA())</f>
        <v/>
      </c>
      <c r="AP813">
        <f>IF(AK813=0,AD813,NA())</f>
        <v/>
      </c>
    </row>
    <row r="814">
      <c r="A814" t="n">
        <v>806</v>
      </c>
      <c r="B814" t="n">
        <v>4</v>
      </c>
      <c r="C814" t="n">
        <v>3</v>
      </c>
      <c r="D814" t="n">
        <v>3</v>
      </c>
      <c r="E814" t="n">
        <v>3</v>
      </c>
      <c r="F814" t="n">
        <v>3</v>
      </c>
      <c r="G814" t="n">
        <v>5</v>
      </c>
      <c r="H814" t="n">
        <v>5</v>
      </c>
      <c r="I814" t="n">
        <v>5</v>
      </c>
      <c r="J814" t="n">
        <v>4</v>
      </c>
      <c r="K814" t="n">
        <v>3</v>
      </c>
      <c r="L814" t="n">
        <v>1</v>
      </c>
      <c r="M814" t="n">
        <v>3</v>
      </c>
      <c r="N814" t="n">
        <v>5</v>
      </c>
      <c r="O814" t="n">
        <v>4</v>
      </c>
      <c r="P814" t="n">
        <v>5</v>
      </c>
      <c r="Q814" t="n">
        <v>2</v>
      </c>
      <c r="R814" t="n">
        <v>2</v>
      </c>
      <c r="S814" t="n">
        <v>1</v>
      </c>
      <c r="T814" t="n">
        <v>1</v>
      </c>
      <c r="U814" t="n">
        <v>1</v>
      </c>
      <c r="V814" t="n">
        <v>2</v>
      </c>
      <c r="W814">
        <f>(AVERAGE(B814:D814)-1)/4</f>
        <v/>
      </c>
      <c r="X814">
        <f>(AVERAGE(E814:G814)-1)/4</f>
        <v/>
      </c>
      <c r="Y814">
        <f>(AVERAGE(H814:J814)-1)/4</f>
        <v/>
      </c>
      <c r="Z814">
        <f>(AVERAGE(K814:M814)-1)/4</f>
        <v/>
      </c>
      <c r="AA814">
        <f>(AVERAGE(N814:P814)-1)/4</f>
        <v/>
      </c>
      <c r="AB814">
        <f>(AVERAGE(Q814:S814)-1)/4</f>
        <v/>
      </c>
      <c r="AC814">
        <f>(AVERAGE(T814:V814)-1)/4</f>
        <v/>
      </c>
      <c r="AD814">
        <f>AVERAGE(W814:AA814)</f>
        <v/>
      </c>
      <c r="AE814">
        <f>MIN(W814:AA814)</f>
        <v/>
      </c>
      <c r="AF814">
        <f>1-alpha*MAX(0,delta-AE814)</f>
        <v/>
      </c>
      <c r="AG814">
        <f>AD814*AF814</f>
        <v/>
      </c>
      <c r="AH814">
        <f>1+COUNTIF(bounds,"&lt;"&amp;ROUND(AD814,12))</f>
        <v/>
      </c>
      <c r="AI814">
        <f>1+COUNTIF(bounds,"&lt;"&amp;ROUND(AG814,12))</f>
        <v/>
      </c>
      <c r="AJ814">
        <f>IF(AF814&lt;1,1,0)</f>
        <v/>
      </c>
      <c r="AK814">
        <f>IF(AH814&lt;&gt;AI814,1,0)</f>
        <v/>
      </c>
      <c r="AL814">
        <f>IF(AND(AI814&gt;=3,AB814&lt;=0.2),1,0)</f>
        <v/>
      </c>
      <c r="AM814">
        <f>AVERAGE(W814:AB814)</f>
        <v/>
      </c>
      <c r="AN814">
        <f>1+COUNTIF(bounds,"&lt;"&amp;ROUND(AM814,12))</f>
        <v/>
      </c>
      <c r="AO814">
        <f>IF(AK814=1,AD814,NA())</f>
        <v/>
      </c>
      <c r="AP814">
        <f>IF(AK814=0,AD814,NA())</f>
        <v/>
      </c>
    </row>
    <row r="815">
      <c r="A815" t="n">
        <v>807</v>
      </c>
      <c r="B815" t="n">
        <v>4</v>
      </c>
      <c r="C815" t="n">
        <v>2</v>
      </c>
      <c r="D815" t="n">
        <v>4</v>
      </c>
      <c r="E815" t="n">
        <v>3</v>
      </c>
      <c r="F815" t="n">
        <v>1</v>
      </c>
      <c r="G815" t="n">
        <v>2</v>
      </c>
      <c r="H815" t="n">
        <v>4</v>
      </c>
      <c r="I815" t="n">
        <v>4</v>
      </c>
      <c r="J815" t="n">
        <v>3</v>
      </c>
      <c r="K815" t="n">
        <v>5</v>
      </c>
      <c r="L815" t="n">
        <v>5</v>
      </c>
      <c r="M815" t="n">
        <v>1</v>
      </c>
      <c r="N815" t="n">
        <v>3</v>
      </c>
      <c r="O815" t="n">
        <v>2</v>
      </c>
      <c r="P815" t="n">
        <v>2</v>
      </c>
      <c r="Q815" t="n">
        <v>4</v>
      </c>
      <c r="R815" t="n">
        <v>3</v>
      </c>
      <c r="S815" t="n">
        <v>3</v>
      </c>
      <c r="T815" t="n">
        <v>5</v>
      </c>
      <c r="U815" t="n">
        <v>2</v>
      </c>
      <c r="V815" t="n">
        <v>1</v>
      </c>
      <c r="W815">
        <f>(AVERAGE(B815:D815)-1)/4</f>
        <v/>
      </c>
      <c r="X815">
        <f>(AVERAGE(E815:G815)-1)/4</f>
        <v/>
      </c>
      <c r="Y815">
        <f>(AVERAGE(H815:J815)-1)/4</f>
        <v/>
      </c>
      <c r="Z815">
        <f>(AVERAGE(K815:M815)-1)/4</f>
        <v/>
      </c>
      <c r="AA815">
        <f>(AVERAGE(N815:P815)-1)/4</f>
        <v/>
      </c>
      <c r="AB815">
        <f>(AVERAGE(Q815:S815)-1)/4</f>
        <v/>
      </c>
      <c r="AC815">
        <f>(AVERAGE(T815:V815)-1)/4</f>
        <v/>
      </c>
      <c r="AD815">
        <f>AVERAGE(W815:AA815)</f>
        <v/>
      </c>
      <c r="AE815">
        <f>MIN(W815:AA815)</f>
        <v/>
      </c>
      <c r="AF815">
        <f>1-alpha*MAX(0,delta-AE815)</f>
        <v/>
      </c>
      <c r="AG815">
        <f>AD815*AF815</f>
        <v/>
      </c>
      <c r="AH815">
        <f>1+COUNTIF(bounds,"&lt;"&amp;ROUND(AD815,12))</f>
        <v/>
      </c>
      <c r="AI815">
        <f>1+COUNTIF(bounds,"&lt;"&amp;ROUND(AG815,12))</f>
        <v/>
      </c>
      <c r="AJ815">
        <f>IF(AF815&lt;1,1,0)</f>
        <v/>
      </c>
      <c r="AK815">
        <f>IF(AH815&lt;&gt;AI815,1,0)</f>
        <v/>
      </c>
      <c r="AL815">
        <f>IF(AND(AI815&gt;=3,AB815&lt;=0.2),1,0)</f>
        <v/>
      </c>
      <c r="AM815">
        <f>AVERAGE(W815:AB815)</f>
        <v/>
      </c>
      <c r="AN815">
        <f>1+COUNTIF(bounds,"&lt;"&amp;ROUND(AM815,12))</f>
        <v/>
      </c>
      <c r="AO815">
        <f>IF(AK815=1,AD815,NA())</f>
        <v/>
      </c>
      <c r="AP815">
        <f>IF(AK815=0,AD815,NA())</f>
        <v/>
      </c>
    </row>
    <row r="816">
      <c r="A816" t="n">
        <v>808</v>
      </c>
      <c r="B816" t="n">
        <v>1</v>
      </c>
      <c r="C816" t="n">
        <v>2</v>
      </c>
      <c r="D816" t="n">
        <v>5</v>
      </c>
      <c r="E816" t="n">
        <v>1</v>
      </c>
      <c r="F816" t="n">
        <v>4</v>
      </c>
      <c r="G816" t="n">
        <v>2</v>
      </c>
      <c r="H816" t="n">
        <v>4</v>
      </c>
      <c r="I816" t="n">
        <v>3</v>
      </c>
      <c r="J816" t="n">
        <v>2</v>
      </c>
      <c r="K816" t="n">
        <v>1</v>
      </c>
      <c r="L816" t="n">
        <v>4</v>
      </c>
      <c r="M816" t="n">
        <v>3</v>
      </c>
      <c r="N816" t="n">
        <v>1</v>
      </c>
      <c r="O816" t="n">
        <v>1</v>
      </c>
      <c r="P816" t="n">
        <v>3</v>
      </c>
      <c r="Q816" t="n">
        <v>5</v>
      </c>
      <c r="R816" t="n">
        <v>1</v>
      </c>
      <c r="S816" t="n">
        <v>3</v>
      </c>
      <c r="T816" t="n">
        <v>5</v>
      </c>
      <c r="U816" t="n">
        <v>4</v>
      </c>
      <c r="V816" t="n">
        <v>1</v>
      </c>
      <c r="W816">
        <f>(AVERAGE(B816:D816)-1)/4</f>
        <v/>
      </c>
      <c r="X816">
        <f>(AVERAGE(E816:G816)-1)/4</f>
        <v/>
      </c>
      <c r="Y816">
        <f>(AVERAGE(H816:J816)-1)/4</f>
        <v/>
      </c>
      <c r="Z816">
        <f>(AVERAGE(K816:M816)-1)/4</f>
        <v/>
      </c>
      <c r="AA816">
        <f>(AVERAGE(N816:P816)-1)/4</f>
        <v/>
      </c>
      <c r="AB816">
        <f>(AVERAGE(Q816:S816)-1)/4</f>
        <v/>
      </c>
      <c r="AC816">
        <f>(AVERAGE(T816:V816)-1)/4</f>
        <v/>
      </c>
      <c r="AD816">
        <f>AVERAGE(W816:AA816)</f>
        <v/>
      </c>
      <c r="AE816">
        <f>MIN(W816:AA816)</f>
        <v/>
      </c>
      <c r="AF816">
        <f>1-alpha*MAX(0,delta-AE816)</f>
        <v/>
      </c>
      <c r="AG816">
        <f>AD816*AF816</f>
        <v/>
      </c>
      <c r="AH816">
        <f>1+COUNTIF(bounds,"&lt;"&amp;ROUND(AD816,12))</f>
        <v/>
      </c>
      <c r="AI816">
        <f>1+COUNTIF(bounds,"&lt;"&amp;ROUND(AG816,12))</f>
        <v/>
      </c>
      <c r="AJ816">
        <f>IF(AF816&lt;1,1,0)</f>
        <v/>
      </c>
      <c r="AK816">
        <f>IF(AH816&lt;&gt;AI816,1,0)</f>
        <v/>
      </c>
      <c r="AL816">
        <f>IF(AND(AI816&gt;=3,AB816&lt;=0.2),1,0)</f>
        <v/>
      </c>
      <c r="AM816">
        <f>AVERAGE(W816:AB816)</f>
        <v/>
      </c>
      <c r="AN816">
        <f>1+COUNTIF(bounds,"&lt;"&amp;ROUND(AM816,12))</f>
        <v/>
      </c>
      <c r="AO816">
        <f>IF(AK816=1,AD816,NA())</f>
        <v/>
      </c>
      <c r="AP816">
        <f>IF(AK816=0,AD816,NA())</f>
        <v/>
      </c>
    </row>
    <row r="817">
      <c r="A817" t="n">
        <v>809</v>
      </c>
      <c r="B817" t="n">
        <v>1</v>
      </c>
      <c r="C817" t="n">
        <v>4</v>
      </c>
      <c r="D817" t="n">
        <v>4</v>
      </c>
      <c r="E817" t="n">
        <v>4</v>
      </c>
      <c r="F817" t="n">
        <v>3</v>
      </c>
      <c r="G817" t="n">
        <v>2</v>
      </c>
      <c r="H817" t="n">
        <v>1</v>
      </c>
      <c r="I817" t="n">
        <v>3</v>
      </c>
      <c r="J817" t="n">
        <v>2</v>
      </c>
      <c r="K817" t="n">
        <v>4</v>
      </c>
      <c r="L817" t="n">
        <v>5</v>
      </c>
      <c r="M817" t="n">
        <v>5</v>
      </c>
      <c r="N817" t="n">
        <v>2</v>
      </c>
      <c r="O817" t="n">
        <v>1</v>
      </c>
      <c r="P817" t="n">
        <v>3</v>
      </c>
      <c r="Q817" t="n">
        <v>1</v>
      </c>
      <c r="R817" t="n">
        <v>1</v>
      </c>
      <c r="S817" t="n">
        <v>4</v>
      </c>
      <c r="T817" t="n">
        <v>3</v>
      </c>
      <c r="U817" t="n">
        <v>3</v>
      </c>
      <c r="V817" t="n">
        <v>5</v>
      </c>
      <c r="W817">
        <f>(AVERAGE(B817:D817)-1)/4</f>
        <v/>
      </c>
      <c r="X817">
        <f>(AVERAGE(E817:G817)-1)/4</f>
        <v/>
      </c>
      <c r="Y817">
        <f>(AVERAGE(H817:J817)-1)/4</f>
        <v/>
      </c>
      <c r="Z817">
        <f>(AVERAGE(K817:M817)-1)/4</f>
        <v/>
      </c>
      <c r="AA817">
        <f>(AVERAGE(N817:P817)-1)/4</f>
        <v/>
      </c>
      <c r="AB817">
        <f>(AVERAGE(Q817:S817)-1)/4</f>
        <v/>
      </c>
      <c r="AC817">
        <f>(AVERAGE(T817:V817)-1)/4</f>
        <v/>
      </c>
      <c r="AD817">
        <f>AVERAGE(W817:AA817)</f>
        <v/>
      </c>
      <c r="AE817">
        <f>MIN(W817:AA817)</f>
        <v/>
      </c>
      <c r="AF817">
        <f>1-alpha*MAX(0,delta-AE817)</f>
        <v/>
      </c>
      <c r="AG817">
        <f>AD817*AF817</f>
        <v/>
      </c>
      <c r="AH817">
        <f>1+COUNTIF(bounds,"&lt;"&amp;ROUND(AD817,12))</f>
        <v/>
      </c>
      <c r="AI817">
        <f>1+COUNTIF(bounds,"&lt;"&amp;ROUND(AG817,12))</f>
        <v/>
      </c>
      <c r="AJ817">
        <f>IF(AF817&lt;1,1,0)</f>
        <v/>
      </c>
      <c r="AK817">
        <f>IF(AH817&lt;&gt;AI817,1,0)</f>
        <v/>
      </c>
      <c r="AL817">
        <f>IF(AND(AI817&gt;=3,AB817&lt;=0.2),1,0)</f>
        <v/>
      </c>
      <c r="AM817">
        <f>AVERAGE(W817:AB817)</f>
        <v/>
      </c>
      <c r="AN817">
        <f>1+COUNTIF(bounds,"&lt;"&amp;ROUND(AM817,12))</f>
        <v/>
      </c>
      <c r="AO817">
        <f>IF(AK817=1,AD817,NA())</f>
        <v/>
      </c>
      <c r="AP817">
        <f>IF(AK817=0,AD817,NA())</f>
        <v/>
      </c>
    </row>
    <row r="818">
      <c r="A818" t="n">
        <v>810</v>
      </c>
      <c r="B818" t="n">
        <v>4</v>
      </c>
      <c r="C818" t="n">
        <v>1</v>
      </c>
      <c r="D818" t="n">
        <v>5</v>
      </c>
      <c r="E818" t="n">
        <v>2</v>
      </c>
      <c r="F818" t="n">
        <v>1</v>
      </c>
      <c r="G818" t="n">
        <v>4</v>
      </c>
      <c r="H818" t="n">
        <v>5</v>
      </c>
      <c r="I818" t="n">
        <v>2</v>
      </c>
      <c r="J818" t="n">
        <v>1</v>
      </c>
      <c r="K818" t="n">
        <v>1</v>
      </c>
      <c r="L818" t="n">
        <v>5</v>
      </c>
      <c r="M818" t="n">
        <v>3</v>
      </c>
      <c r="N818" t="n">
        <v>1</v>
      </c>
      <c r="O818" t="n">
        <v>2</v>
      </c>
      <c r="P818" t="n">
        <v>4</v>
      </c>
      <c r="Q818" t="n">
        <v>2</v>
      </c>
      <c r="R818" t="n">
        <v>2</v>
      </c>
      <c r="S818" t="n">
        <v>5</v>
      </c>
      <c r="T818" t="n">
        <v>2</v>
      </c>
      <c r="U818" t="n">
        <v>4</v>
      </c>
      <c r="V818" t="n">
        <v>4</v>
      </c>
      <c r="W818">
        <f>(AVERAGE(B818:D818)-1)/4</f>
        <v/>
      </c>
      <c r="X818">
        <f>(AVERAGE(E818:G818)-1)/4</f>
        <v/>
      </c>
      <c r="Y818">
        <f>(AVERAGE(H818:J818)-1)/4</f>
        <v/>
      </c>
      <c r="Z818">
        <f>(AVERAGE(K818:M818)-1)/4</f>
        <v/>
      </c>
      <c r="AA818">
        <f>(AVERAGE(N818:P818)-1)/4</f>
        <v/>
      </c>
      <c r="AB818">
        <f>(AVERAGE(Q818:S818)-1)/4</f>
        <v/>
      </c>
      <c r="AC818">
        <f>(AVERAGE(T818:V818)-1)/4</f>
        <v/>
      </c>
      <c r="AD818">
        <f>AVERAGE(W818:AA818)</f>
        <v/>
      </c>
      <c r="AE818">
        <f>MIN(W818:AA818)</f>
        <v/>
      </c>
      <c r="AF818">
        <f>1-alpha*MAX(0,delta-AE818)</f>
        <v/>
      </c>
      <c r="AG818">
        <f>AD818*AF818</f>
        <v/>
      </c>
      <c r="AH818">
        <f>1+COUNTIF(bounds,"&lt;"&amp;ROUND(AD818,12))</f>
        <v/>
      </c>
      <c r="AI818">
        <f>1+COUNTIF(bounds,"&lt;"&amp;ROUND(AG818,12))</f>
        <v/>
      </c>
      <c r="AJ818">
        <f>IF(AF818&lt;1,1,0)</f>
        <v/>
      </c>
      <c r="AK818">
        <f>IF(AH818&lt;&gt;AI818,1,0)</f>
        <v/>
      </c>
      <c r="AL818">
        <f>IF(AND(AI818&gt;=3,AB818&lt;=0.2),1,0)</f>
        <v/>
      </c>
      <c r="AM818">
        <f>AVERAGE(W818:AB818)</f>
        <v/>
      </c>
      <c r="AN818">
        <f>1+COUNTIF(bounds,"&lt;"&amp;ROUND(AM818,12))</f>
        <v/>
      </c>
      <c r="AO818">
        <f>IF(AK818=1,AD818,NA())</f>
        <v/>
      </c>
      <c r="AP818">
        <f>IF(AK818=0,AD818,NA())</f>
        <v/>
      </c>
    </row>
    <row r="819">
      <c r="A819" t="n">
        <v>811</v>
      </c>
      <c r="B819" t="n">
        <v>2</v>
      </c>
      <c r="C819" t="n">
        <v>1</v>
      </c>
      <c r="D819" t="n">
        <v>1</v>
      </c>
      <c r="E819" t="n">
        <v>4</v>
      </c>
      <c r="F819" t="n">
        <v>5</v>
      </c>
      <c r="G819" t="n">
        <v>4</v>
      </c>
      <c r="H819" t="n">
        <v>5</v>
      </c>
      <c r="I819" t="n">
        <v>1</v>
      </c>
      <c r="J819" t="n">
        <v>4</v>
      </c>
      <c r="K819" t="n">
        <v>4</v>
      </c>
      <c r="L819" t="n">
        <v>4</v>
      </c>
      <c r="M819" t="n">
        <v>4</v>
      </c>
      <c r="N819" t="n">
        <v>1</v>
      </c>
      <c r="O819" t="n">
        <v>4</v>
      </c>
      <c r="P819" t="n">
        <v>4</v>
      </c>
      <c r="Q819" t="n">
        <v>2</v>
      </c>
      <c r="R819" t="n">
        <v>4</v>
      </c>
      <c r="S819" t="n">
        <v>5</v>
      </c>
      <c r="T819" t="n">
        <v>5</v>
      </c>
      <c r="U819" t="n">
        <v>4</v>
      </c>
      <c r="V819" t="n">
        <v>3</v>
      </c>
      <c r="W819">
        <f>(AVERAGE(B819:D819)-1)/4</f>
        <v/>
      </c>
      <c r="X819">
        <f>(AVERAGE(E819:G819)-1)/4</f>
        <v/>
      </c>
      <c r="Y819">
        <f>(AVERAGE(H819:J819)-1)/4</f>
        <v/>
      </c>
      <c r="Z819">
        <f>(AVERAGE(K819:M819)-1)/4</f>
        <v/>
      </c>
      <c r="AA819">
        <f>(AVERAGE(N819:P819)-1)/4</f>
        <v/>
      </c>
      <c r="AB819">
        <f>(AVERAGE(Q819:S819)-1)/4</f>
        <v/>
      </c>
      <c r="AC819">
        <f>(AVERAGE(T819:V819)-1)/4</f>
        <v/>
      </c>
      <c r="AD819">
        <f>AVERAGE(W819:AA819)</f>
        <v/>
      </c>
      <c r="AE819">
        <f>MIN(W819:AA819)</f>
        <v/>
      </c>
      <c r="AF819">
        <f>1-alpha*MAX(0,delta-AE819)</f>
        <v/>
      </c>
      <c r="AG819">
        <f>AD819*AF819</f>
        <v/>
      </c>
      <c r="AH819">
        <f>1+COUNTIF(bounds,"&lt;"&amp;ROUND(AD819,12))</f>
        <v/>
      </c>
      <c r="AI819">
        <f>1+COUNTIF(bounds,"&lt;"&amp;ROUND(AG819,12))</f>
        <v/>
      </c>
      <c r="AJ819">
        <f>IF(AF819&lt;1,1,0)</f>
        <v/>
      </c>
      <c r="AK819">
        <f>IF(AH819&lt;&gt;AI819,1,0)</f>
        <v/>
      </c>
      <c r="AL819">
        <f>IF(AND(AI819&gt;=3,AB819&lt;=0.2),1,0)</f>
        <v/>
      </c>
      <c r="AM819">
        <f>AVERAGE(W819:AB819)</f>
        <v/>
      </c>
      <c r="AN819">
        <f>1+COUNTIF(bounds,"&lt;"&amp;ROUND(AM819,12))</f>
        <v/>
      </c>
      <c r="AO819">
        <f>IF(AK819=1,AD819,NA())</f>
        <v/>
      </c>
      <c r="AP819">
        <f>IF(AK819=0,AD819,NA())</f>
        <v/>
      </c>
    </row>
    <row r="820">
      <c r="A820" t="n">
        <v>812</v>
      </c>
      <c r="B820" t="n">
        <v>3</v>
      </c>
      <c r="C820" t="n">
        <v>4</v>
      </c>
      <c r="D820" t="n">
        <v>4</v>
      </c>
      <c r="E820" t="n">
        <v>4</v>
      </c>
      <c r="F820" t="n">
        <v>3</v>
      </c>
      <c r="G820" t="n">
        <v>1</v>
      </c>
      <c r="H820" t="n">
        <v>3</v>
      </c>
      <c r="I820" t="n">
        <v>4</v>
      </c>
      <c r="J820" t="n">
        <v>5</v>
      </c>
      <c r="K820" t="n">
        <v>5</v>
      </c>
      <c r="L820" t="n">
        <v>3</v>
      </c>
      <c r="M820" t="n">
        <v>4</v>
      </c>
      <c r="N820" t="n">
        <v>4</v>
      </c>
      <c r="O820" t="n">
        <v>3</v>
      </c>
      <c r="P820" t="n">
        <v>2</v>
      </c>
      <c r="Q820" t="n">
        <v>2</v>
      </c>
      <c r="R820" t="n">
        <v>3</v>
      </c>
      <c r="S820" t="n">
        <v>1</v>
      </c>
      <c r="T820" t="n">
        <v>5</v>
      </c>
      <c r="U820" t="n">
        <v>4</v>
      </c>
      <c r="V820" t="n">
        <v>2</v>
      </c>
      <c r="W820">
        <f>(AVERAGE(B820:D820)-1)/4</f>
        <v/>
      </c>
      <c r="X820">
        <f>(AVERAGE(E820:G820)-1)/4</f>
        <v/>
      </c>
      <c r="Y820">
        <f>(AVERAGE(H820:J820)-1)/4</f>
        <v/>
      </c>
      <c r="Z820">
        <f>(AVERAGE(K820:M820)-1)/4</f>
        <v/>
      </c>
      <c r="AA820">
        <f>(AVERAGE(N820:P820)-1)/4</f>
        <v/>
      </c>
      <c r="AB820">
        <f>(AVERAGE(Q820:S820)-1)/4</f>
        <v/>
      </c>
      <c r="AC820">
        <f>(AVERAGE(T820:V820)-1)/4</f>
        <v/>
      </c>
      <c r="AD820">
        <f>AVERAGE(W820:AA820)</f>
        <v/>
      </c>
      <c r="AE820">
        <f>MIN(W820:AA820)</f>
        <v/>
      </c>
      <c r="AF820">
        <f>1-alpha*MAX(0,delta-AE820)</f>
        <v/>
      </c>
      <c r="AG820">
        <f>AD820*AF820</f>
        <v/>
      </c>
      <c r="AH820">
        <f>1+COUNTIF(bounds,"&lt;"&amp;ROUND(AD820,12))</f>
        <v/>
      </c>
      <c r="AI820">
        <f>1+COUNTIF(bounds,"&lt;"&amp;ROUND(AG820,12))</f>
        <v/>
      </c>
      <c r="AJ820">
        <f>IF(AF820&lt;1,1,0)</f>
        <v/>
      </c>
      <c r="AK820">
        <f>IF(AH820&lt;&gt;AI820,1,0)</f>
        <v/>
      </c>
      <c r="AL820">
        <f>IF(AND(AI820&gt;=3,AB820&lt;=0.2),1,0)</f>
        <v/>
      </c>
      <c r="AM820">
        <f>AVERAGE(W820:AB820)</f>
        <v/>
      </c>
      <c r="AN820">
        <f>1+COUNTIF(bounds,"&lt;"&amp;ROUND(AM820,12))</f>
        <v/>
      </c>
      <c r="AO820">
        <f>IF(AK820=1,AD820,NA())</f>
        <v/>
      </c>
      <c r="AP820">
        <f>IF(AK820=0,AD820,NA())</f>
        <v/>
      </c>
    </row>
    <row r="821">
      <c r="A821" t="n">
        <v>813</v>
      </c>
      <c r="B821" t="n">
        <v>5</v>
      </c>
      <c r="C821" t="n">
        <v>2</v>
      </c>
      <c r="D821" t="n">
        <v>1</v>
      </c>
      <c r="E821" t="n">
        <v>4</v>
      </c>
      <c r="F821" t="n">
        <v>5</v>
      </c>
      <c r="G821" t="n">
        <v>1</v>
      </c>
      <c r="H821" t="n">
        <v>4</v>
      </c>
      <c r="I821" t="n">
        <v>3</v>
      </c>
      <c r="J821" t="n">
        <v>4</v>
      </c>
      <c r="K821" t="n">
        <v>2</v>
      </c>
      <c r="L821" t="n">
        <v>4</v>
      </c>
      <c r="M821" t="n">
        <v>2</v>
      </c>
      <c r="N821" t="n">
        <v>2</v>
      </c>
      <c r="O821" t="n">
        <v>5</v>
      </c>
      <c r="P821" t="n">
        <v>2</v>
      </c>
      <c r="Q821" t="n">
        <v>4</v>
      </c>
      <c r="R821" t="n">
        <v>3</v>
      </c>
      <c r="S821" t="n">
        <v>4</v>
      </c>
      <c r="T821" t="n">
        <v>3</v>
      </c>
      <c r="U821" t="n">
        <v>5</v>
      </c>
      <c r="V821" t="n">
        <v>3</v>
      </c>
      <c r="W821">
        <f>(AVERAGE(B821:D821)-1)/4</f>
        <v/>
      </c>
      <c r="X821">
        <f>(AVERAGE(E821:G821)-1)/4</f>
        <v/>
      </c>
      <c r="Y821">
        <f>(AVERAGE(H821:J821)-1)/4</f>
        <v/>
      </c>
      <c r="Z821">
        <f>(AVERAGE(K821:M821)-1)/4</f>
        <v/>
      </c>
      <c r="AA821">
        <f>(AVERAGE(N821:P821)-1)/4</f>
        <v/>
      </c>
      <c r="AB821">
        <f>(AVERAGE(Q821:S821)-1)/4</f>
        <v/>
      </c>
      <c r="AC821">
        <f>(AVERAGE(T821:V821)-1)/4</f>
        <v/>
      </c>
      <c r="AD821">
        <f>AVERAGE(W821:AA821)</f>
        <v/>
      </c>
      <c r="AE821">
        <f>MIN(W821:AA821)</f>
        <v/>
      </c>
      <c r="AF821">
        <f>1-alpha*MAX(0,delta-AE821)</f>
        <v/>
      </c>
      <c r="AG821">
        <f>AD821*AF821</f>
        <v/>
      </c>
      <c r="AH821">
        <f>1+COUNTIF(bounds,"&lt;"&amp;ROUND(AD821,12))</f>
        <v/>
      </c>
      <c r="AI821">
        <f>1+COUNTIF(bounds,"&lt;"&amp;ROUND(AG821,12))</f>
        <v/>
      </c>
      <c r="AJ821">
        <f>IF(AF821&lt;1,1,0)</f>
        <v/>
      </c>
      <c r="AK821">
        <f>IF(AH821&lt;&gt;AI821,1,0)</f>
        <v/>
      </c>
      <c r="AL821">
        <f>IF(AND(AI821&gt;=3,AB821&lt;=0.2),1,0)</f>
        <v/>
      </c>
      <c r="AM821">
        <f>AVERAGE(W821:AB821)</f>
        <v/>
      </c>
      <c r="AN821">
        <f>1+COUNTIF(bounds,"&lt;"&amp;ROUND(AM821,12))</f>
        <v/>
      </c>
      <c r="AO821">
        <f>IF(AK821=1,AD821,NA())</f>
        <v/>
      </c>
      <c r="AP821">
        <f>IF(AK821=0,AD821,NA())</f>
        <v/>
      </c>
    </row>
    <row r="822">
      <c r="A822" t="n">
        <v>814</v>
      </c>
      <c r="B822" t="n">
        <v>2</v>
      </c>
      <c r="C822" t="n">
        <v>1</v>
      </c>
      <c r="D822" t="n">
        <v>4</v>
      </c>
      <c r="E822" t="n">
        <v>5</v>
      </c>
      <c r="F822" t="n">
        <v>3</v>
      </c>
      <c r="G822" t="n">
        <v>1</v>
      </c>
      <c r="H822" t="n">
        <v>5</v>
      </c>
      <c r="I822" t="n">
        <v>1</v>
      </c>
      <c r="J822" t="n">
        <v>2</v>
      </c>
      <c r="K822" t="n">
        <v>5</v>
      </c>
      <c r="L822" t="n">
        <v>3</v>
      </c>
      <c r="M822" t="n">
        <v>3</v>
      </c>
      <c r="N822" t="n">
        <v>5</v>
      </c>
      <c r="O822" t="n">
        <v>1</v>
      </c>
      <c r="P822" t="n">
        <v>3</v>
      </c>
      <c r="Q822" t="n">
        <v>2</v>
      </c>
      <c r="R822" t="n">
        <v>4</v>
      </c>
      <c r="S822" t="n">
        <v>3</v>
      </c>
      <c r="T822" t="n">
        <v>1</v>
      </c>
      <c r="U822" t="n">
        <v>1</v>
      </c>
      <c r="V822" t="n">
        <v>5</v>
      </c>
      <c r="W822">
        <f>(AVERAGE(B822:D822)-1)/4</f>
        <v/>
      </c>
      <c r="X822">
        <f>(AVERAGE(E822:G822)-1)/4</f>
        <v/>
      </c>
      <c r="Y822">
        <f>(AVERAGE(H822:J822)-1)/4</f>
        <v/>
      </c>
      <c r="Z822">
        <f>(AVERAGE(K822:M822)-1)/4</f>
        <v/>
      </c>
      <c r="AA822">
        <f>(AVERAGE(N822:P822)-1)/4</f>
        <v/>
      </c>
      <c r="AB822">
        <f>(AVERAGE(Q822:S822)-1)/4</f>
        <v/>
      </c>
      <c r="AC822">
        <f>(AVERAGE(T822:V822)-1)/4</f>
        <v/>
      </c>
      <c r="AD822">
        <f>AVERAGE(W822:AA822)</f>
        <v/>
      </c>
      <c r="AE822">
        <f>MIN(W822:AA822)</f>
        <v/>
      </c>
      <c r="AF822">
        <f>1-alpha*MAX(0,delta-AE822)</f>
        <v/>
      </c>
      <c r="AG822">
        <f>AD822*AF822</f>
        <v/>
      </c>
      <c r="AH822">
        <f>1+COUNTIF(bounds,"&lt;"&amp;ROUND(AD822,12))</f>
        <v/>
      </c>
      <c r="AI822">
        <f>1+COUNTIF(bounds,"&lt;"&amp;ROUND(AG822,12))</f>
        <v/>
      </c>
      <c r="AJ822">
        <f>IF(AF822&lt;1,1,0)</f>
        <v/>
      </c>
      <c r="AK822">
        <f>IF(AH822&lt;&gt;AI822,1,0)</f>
        <v/>
      </c>
      <c r="AL822">
        <f>IF(AND(AI822&gt;=3,AB822&lt;=0.2),1,0)</f>
        <v/>
      </c>
      <c r="AM822">
        <f>AVERAGE(W822:AB822)</f>
        <v/>
      </c>
      <c r="AN822">
        <f>1+COUNTIF(bounds,"&lt;"&amp;ROUND(AM822,12))</f>
        <v/>
      </c>
      <c r="AO822">
        <f>IF(AK822=1,AD822,NA())</f>
        <v/>
      </c>
      <c r="AP822">
        <f>IF(AK822=0,AD822,NA())</f>
        <v/>
      </c>
    </row>
    <row r="823">
      <c r="A823" t="n">
        <v>815</v>
      </c>
      <c r="B823" t="n">
        <v>4</v>
      </c>
      <c r="C823" t="n">
        <v>3</v>
      </c>
      <c r="D823" t="n">
        <v>2</v>
      </c>
      <c r="E823" t="n">
        <v>3</v>
      </c>
      <c r="F823" t="n">
        <v>5</v>
      </c>
      <c r="G823" t="n">
        <v>5</v>
      </c>
      <c r="H823" t="n">
        <v>3</v>
      </c>
      <c r="I823" t="n">
        <v>4</v>
      </c>
      <c r="J823" t="n">
        <v>1</v>
      </c>
      <c r="K823" t="n">
        <v>1</v>
      </c>
      <c r="L823" t="n">
        <v>5</v>
      </c>
      <c r="M823" t="n">
        <v>3</v>
      </c>
      <c r="N823" t="n">
        <v>5</v>
      </c>
      <c r="O823" t="n">
        <v>3</v>
      </c>
      <c r="P823" t="n">
        <v>3</v>
      </c>
      <c r="Q823" t="n">
        <v>1</v>
      </c>
      <c r="R823" t="n">
        <v>3</v>
      </c>
      <c r="S823" t="n">
        <v>3</v>
      </c>
      <c r="T823" t="n">
        <v>3</v>
      </c>
      <c r="U823" t="n">
        <v>1</v>
      </c>
      <c r="V823" t="n">
        <v>1</v>
      </c>
      <c r="W823">
        <f>(AVERAGE(B823:D823)-1)/4</f>
        <v/>
      </c>
      <c r="X823">
        <f>(AVERAGE(E823:G823)-1)/4</f>
        <v/>
      </c>
      <c r="Y823">
        <f>(AVERAGE(H823:J823)-1)/4</f>
        <v/>
      </c>
      <c r="Z823">
        <f>(AVERAGE(K823:M823)-1)/4</f>
        <v/>
      </c>
      <c r="AA823">
        <f>(AVERAGE(N823:P823)-1)/4</f>
        <v/>
      </c>
      <c r="AB823">
        <f>(AVERAGE(Q823:S823)-1)/4</f>
        <v/>
      </c>
      <c r="AC823">
        <f>(AVERAGE(T823:V823)-1)/4</f>
        <v/>
      </c>
      <c r="AD823">
        <f>AVERAGE(W823:AA823)</f>
        <v/>
      </c>
      <c r="AE823">
        <f>MIN(W823:AA823)</f>
        <v/>
      </c>
      <c r="AF823">
        <f>1-alpha*MAX(0,delta-AE823)</f>
        <v/>
      </c>
      <c r="AG823">
        <f>AD823*AF823</f>
        <v/>
      </c>
      <c r="AH823">
        <f>1+COUNTIF(bounds,"&lt;"&amp;ROUND(AD823,12))</f>
        <v/>
      </c>
      <c r="AI823">
        <f>1+COUNTIF(bounds,"&lt;"&amp;ROUND(AG823,12))</f>
        <v/>
      </c>
      <c r="AJ823">
        <f>IF(AF823&lt;1,1,0)</f>
        <v/>
      </c>
      <c r="AK823">
        <f>IF(AH823&lt;&gt;AI823,1,0)</f>
        <v/>
      </c>
      <c r="AL823">
        <f>IF(AND(AI823&gt;=3,AB823&lt;=0.2),1,0)</f>
        <v/>
      </c>
      <c r="AM823">
        <f>AVERAGE(W823:AB823)</f>
        <v/>
      </c>
      <c r="AN823">
        <f>1+COUNTIF(bounds,"&lt;"&amp;ROUND(AM823,12))</f>
        <v/>
      </c>
      <c r="AO823">
        <f>IF(AK823=1,AD823,NA())</f>
        <v/>
      </c>
      <c r="AP823">
        <f>IF(AK823=0,AD823,NA())</f>
        <v/>
      </c>
    </row>
    <row r="824">
      <c r="A824" t="n">
        <v>816</v>
      </c>
      <c r="B824" t="n">
        <v>3</v>
      </c>
      <c r="C824" t="n">
        <v>4</v>
      </c>
      <c r="D824" t="n">
        <v>1</v>
      </c>
      <c r="E824" t="n">
        <v>2</v>
      </c>
      <c r="F824" t="n">
        <v>1</v>
      </c>
      <c r="G824" t="n">
        <v>4</v>
      </c>
      <c r="H824" t="n">
        <v>3</v>
      </c>
      <c r="I824" t="n">
        <v>5</v>
      </c>
      <c r="J824" t="n">
        <v>1</v>
      </c>
      <c r="K824" t="n">
        <v>3</v>
      </c>
      <c r="L824" t="n">
        <v>2</v>
      </c>
      <c r="M824" t="n">
        <v>5</v>
      </c>
      <c r="N824" t="n">
        <v>3</v>
      </c>
      <c r="O824" t="n">
        <v>2</v>
      </c>
      <c r="P824" t="n">
        <v>2</v>
      </c>
      <c r="Q824" t="n">
        <v>4</v>
      </c>
      <c r="R824" t="n">
        <v>3</v>
      </c>
      <c r="S824" t="n">
        <v>5</v>
      </c>
      <c r="T824" t="n">
        <v>4</v>
      </c>
      <c r="U824" t="n">
        <v>5</v>
      </c>
      <c r="V824" t="n">
        <v>2</v>
      </c>
      <c r="W824">
        <f>(AVERAGE(B824:D824)-1)/4</f>
        <v/>
      </c>
      <c r="X824">
        <f>(AVERAGE(E824:G824)-1)/4</f>
        <v/>
      </c>
      <c r="Y824">
        <f>(AVERAGE(H824:J824)-1)/4</f>
        <v/>
      </c>
      <c r="Z824">
        <f>(AVERAGE(K824:M824)-1)/4</f>
        <v/>
      </c>
      <c r="AA824">
        <f>(AVERAGE(N824:P824)-1)/4</f>
        <v/>
      </c>
      <c r="AB824">
        <f>(AVERAGE(Q824:S824)-1)/4</f>
        <v/>
      </c>
      <c r="AC824">
        <f>(AVERAGE(T824:V824)-1)/4</f>
        <v/>
      </c>
      <c r="AD824">
        <f>AVERAGE(W824:AA824)</f>
        <v/>
      </c>
      <c r="AE824">
        <f>MIN(W824:AA824)</f>
        <v/>
      </c>
      <c r="AF824">
        <f>1-alpha*MAX(0,delta-AE824)</f>
        <v/>
      </c>
      <c r="AG824">
        <f>AD824*AF824</f>
        <v/>
      </c>
      <c r="AH824">
        <f>1+COUNTIF(bounds,"&lt;"&amp;ROUND(AD824,12))</f>
        <v/>
      </c>
      <c r="AI824">
        <f>1+COUNTIF(bounds,"&lt;"&amp;ROUND(AG824,12))</f>
        <v/>
      </c>
      <c r="AJ824">
        <f>IF(AF824&lt;1,1,0)</f>
        <v/>
      </c>
      <c r="AK824">
        <f>IF(AH824&lt;&gt;AI824,1,0)</f>
        <v/>
      </c>
      <c r="AL824">
        <f>IF(AND(AI824&gt;=3,AB824&lt;=0.2),1,0)</f>
        <v/>
      </c>
      <c r="AM824">
        <f>AVERAGE(W824:AB824)</f>
        <v/>
      </c>
      <c r="AN824">
        <f>1+COUNTIF(bounds,"&lt;"&amp;ROUND(AM824,12))</f>
        <v/>
      </c>
      <c r="AO824">
        <f>IF(AK824=1,AD824,NA())</f>
        <v/>
      </c>
      <c r="AP824">
        <f>IF(AK824=0,AD824,NA())</f>
        <v/>
      </c>
    </row>
    <row r="825">
      <c r="A825" t="n">
        <v>817</v>
      </c>
      <c r="B825" t="n">
        <v>3</v>
      </c>
      <c r="C825" t="n">
        <v>2</v>
      </c>
      <c r="D825" t="n">
        <v>4</v>
      </c>
      <c r="E825" t="n">
        <v>3</v>
      </c>
      <c r="F825" t="n">
        <v>4</v>
      </c>
      <c r="G825" t="n">
        <v>5</v>
      </c>
      <c r="H825" t="n">
        <v>1</v>
      </c>
      <c r="I825" t="n">
        <v>4</v>
      </c>
      <c r="J825" t="n">
        <v>3</v>
      </c>
      <c r="K825" t="n">
        <v>2</v>
      </c>
      <c r="L825" t="n">
        <v>5</v>
      </c>
      <c r="M825" t="n">
        <v>5</v>
      </c>
      <c r="N825" t="n">
        <v>5</v>
      </c>
      <c r="O825" t="n">
        <v>1</v>
      </c>
      <c r="P825" t="n">
        <v>4</v>
      </c>
      <c r="Q825" t="n">
        <v>3</v>
      </c>
      <c r="R825" t="n">
        <v>2</v>
      </c>
      <c r="S825" t="n">
        <v>5</v>
      </c>
      <c r="T825" t="n">
        <v>1</v>
      </c>
      <c r="U825" t="n">
        <v>4</v>
      </c>
      <c r="V825" t="n">
        <v>4</v>
      </c>
      <c r="W825">
        <f>(AVERAGE(B825:D825)-1)/4</f>
        <v/>
      </c>
      <c r="X825">
        <f>(AVERAGE(E825:G825)-1)/4</f>
        <v/>
      </c>
      <c r="Y825">
        <f>(AVERAGE(H825:J825)-1)/4</f>
        <v/>
      </c>
      <c r="Z825">
        <f>(AVERAGE(K825:M825)-1)/4</f>
        <v/>
      </c>
      <c r="AA825">
        <f>(AVERAGE(N825:P825)-1)/4</f>
        <v/>
      </c>
      <c r="AB825">
        <f>(AVERAGE(Q825:S825)-1)/4</f>
        <v/>
      </c>
      <c r="AC825">
        <f>(AVERAGE(T825:V825)-1)/4</f>
        <v/>
      </c>
      <c r="AD825">
        <f>AVERAGE(W825:AA825)</f>
        <v/>
      </c>
      <c r="AE825">
        <f>MIN(W825:AA825)</f>
        <v/>
      </c>
      <c r="AF825">
        <f>1-alpha*MAX(0,delta-AE825)</f>
        <v/>
      </c>
      <c r="AG825">
        <f>AD825*AF825</f>
        <v/>
      </c>
      <c r="AH825">
        <f>1+COUNTIF(bounds,"&lt;"&amp;ROUND(AD825,12))</f>
        <v/>
      </c>
      <c r="AI825">
        <f>1+COUNTIF(bounds,"&lt;"&amp;ROUND(AG825,12))</f>
        <v/>
      </c>
      <c r="AJ825">
        <f>IF(AF825&lt;1,1,0)</f>
        <v/>
      </c>
      <c r="AK825">
        <f>IF(AH825&lt;&gt;AI825,1,0)</f>
        <v/>
      </c>
      <c r="AL825">
        <f>IF(AND(AI825&gt;=3,AB825&lt;=0.2),1,0)</f>
        <v/>
      </c>
      <c r="AM825">
        <f>AVERAGE(W825:AB825)</f>
        <v/>
      </c>
      <c r="AN825">
        <f>1+COUNTIF(bounds,"&lt;"&amp;ROUND(AM825,12))</f>
        <v/>
      </c>
      <c r="AO825">
        <f>IF(AK825=1,AD825,NA())</f>
        <v/>
      </c>
      <c r="AP825">
        <f>IF(AK825=0,AD825,NA())</f>
        <v/>
      </c>
    </row>
    <row r="826">
      <c r="A826" t="n">
        <v>818</v>
      </c>
      <c r="B826" t="n">
        <v>3</v>
      </c>
      <c r="C826" t="n">
        <v>3</v>
      </c>
      <c r="D826" t="n">
        <v>3</v>
      </c>
      <c r="E826" t="n">
        <v>3</v>
      </c>
      <c r="F826" t="n">
        <v>3</v>
      </c>
      <c r="G826" t="n">
        <v>3</v>
      </c>
      <c r="H826" t="n">
        <v>3</v>
      </c>
      <c r="I826" t="n">
        <v>5</v>
      </c>
      <c r="J826" t="n">
        <v>4</v>
      </c>
      <c r="K826" t="n">
        <v>3</v>
      </c>
      <c r="L826" t="n">
        <v>1</v>
      </c>
      <c r="M826" t="n">
        <v>1</v>
      </c>
      <c r="N826" t="n">
        <v>1</v>
      </c>
      <c r="O826" t="n">
        <v>2</v>
      </c>
      <c r="P826" t="n">
        <v>4</v>
      </c>
      <c r="Q826" t="n">
        <v>2</v>
      </c>
      <c r="R826" t="n">
        <v>4</v>
      </c>
      <c r="S826" t="n">
        <v>5</v>
      </c>
      <c r="T826" t="n">
        <v>4</v>
      </c>
      <c r="U826" t="n">
        <v>2</v>
      </c>
      <c r="V826" t="n">
        <v>5</v>
      </c>
      <c r="W826">
        <f>(AVERAGE(B826:D826)-1)/4</f>
        <v/>
      </c>
      <c r="X826">
        <f>(AVERAGE(E826:G826)-1)/4</f>
        <v/>
      </c>
      <c r="Y826">
        <f>(AVERAGE(H826:J826)-1)/4</f>
        <v/>
      </c>
      <c r="Z826">
        <f>(AVERAGE(K826:M826)-1)/4</f>
        <v/>
      </c>
      <c r="AA826">
        <f>(AVERAGE(N826:P826)-1)/4</f>
        <v/>
      </c>
      <c r="AB826">
        <f>(AVERAGE(Q826:S826)-1)/4</f>
        <v/>
      </c>
      <c r="AC826">
        <f>(AVERAGE(T826:V826)-1)/4</f>
        <v/>
      </c>
      <c r="AD826">
        <f>AVERAGE(W826:AA826)</f>
        <v/>
      </c>
      <c r="AE826">
        <f>MIN(W826:AA826)</f>
        <v/>
      </c>
      <c r="AF826">
        <f>1-alpha*MAX(0,delta-AE826)</f>
        <v/>
      </c>
      <c r="AG826">
        <f>AD826*AF826</f>
        <v/>
      </c>
      <c r="AH826">
        <f>1+COUNTIF(bounds,"&lt;"&amp;ROUND(AD826,12))</f>
        <v/>
      </c>
      <c r="AI826">
        <f>1+COUNTIF(bounds,"&lt;"&amp;ROUND(AG826,12))</f>
        <v/>
      </c>
      <c r="AJ826">
        <f>IF(AF826&lt;1,1,0)</f>
        <v/>
      </c>
      <c r="AK826">
        <f>IF(AH826&lt;&gt;AI826,1,0)</f>
        <v/>
      </c>
      <c r="AL826">
        <f>IF(AND(AI826&gt;=3,AB826&lt;=0.2),1,0)</f>
        <v/>
      </c>
      <c r="AM826">
        <f>AVERAGE(W826:AB826)</f>
        <v/>
      </c>
      <c r="AN826">
        <f>1+COUNTIF(bounds,"&lt;"&amp;ROUND(AM826,12))</f>
        <v/>
      </c>
      <c r="AO826">
        <f>IF(AK826=1,AD826,NA())</f>
        <v/>
      </c>
      <c r="AP826">
        <f>IF(AK826=0,AD826,NA())</f>
        <v/>
      </c>
    </row>
    <row r="827">
      <c r="A827" t="n">
        <v>819</v>
      </c>
      <c r="B827" t="n">
        <v>2</v>
      </c>
      <c r="C827" t="n">
        <v>5</v>
      </c>
      <c r="D827" t="n">
        <v>1</v>
      </c>
      <c r="E827" t="n">
        <v>3</v>
      </c>
      <c r="F827" t="n">
        <v>1</v>
      </c>
      <c r="G827" t="n">
        <v>5</v>
      </c>
      <c r="H827" t="n">
        <v>4</v>
      </c>
      <c r="I827" t="n">
        <v>2</v>
      </c>
      <c r="J827" t="n">
        <v>1</v>
      </c>
      <c r="K827" t="n">
        <v>1</v>
      </c>
      <c r="L827" t="n">
        <v>1</v>
      </c>
      <c r="M827" t="n">
        <v>5</v>
      </c>
      <c r="N827" t="n">
        <v>4</v>
      </c>
      <c r="O827" t="n">
        <v>2</v>
      </c>
      <c r="P827" t="n">
        <v>3</v>
      </c>
      <c r="Q827" t="n">
        <v>4</v>
      </c>
      <c r="R827" t="n">
        <v>1</v>
      </c>
      <c r="S827" t="n">
        <v>3</v>
      </c>
      <c r="T827" t="n">
        <v>4</v>
      </c>
      <c r="U827" t="n">
        <v>1</v>
      </c>
      <c r="V827" t="n">
        <v>4</v>
      </c>
      <c r="W827">
        <f>(AVERAGE(B827:D827)-1)/4</f>
        <v/>
      </c>
      <c r="X827">
        <f>(AVERAGE(E827:G827)-1)/4</f>
        <v/>
      </c>
      <c r="Y827">
        <f>(AVERAGE(H827:J827)-1)/4</f>
        <v/>
      </c>
      <c r="Z827">
        <f>(AVERAGE(K827:M827)-1)/4</f>
        <v/>
      </c>
      <c r="AA827">
        <f>(AVERAGE(N827:P827)-1)/4</f>
        <v/>
      </c>
      <c r="AB827">
        <f>(AVERAGE(Q827:S827)-1)/4</f>
        <v/>
      </c>
      <c r="AC827">
        <f>(AVERAGE(T827:V827)-1)/4</f>
        <v/>
      </c>
      <c r="AD827">
        <f>AVERAGE(W827:AA827)</f>
        <v/>
      </c>
      <c r="AE827">
        <f>MIN(W827:AA827)</f>
        <v/>
      </c>
      <c r="AF827">
        <f>1-alpha*MAX(0,delta-AE827)</f>
        <v/>
      </c>
      <c r="AG827">
        <f>AD827*AF827</f>
        <v/>
      </c>
      <c r="AH827">
        <f>1+COUNTIF(bounds,"&lt;"&amp;ROUND(AD827,12))</f>
        <v/>
      </c>
      <c r="AI827">
        <f>1+COUNTIF(bounds,"&lt;"&amp;ROUND(AG827,12))</f>
        <v/>
      </c>
      <c r="AJ827">
        <f>IF(AF827&lt;1,1,0)</f>
        <v/>
      </c>
      <c r="AK827">
        <f>IF(AH827&lt;&gt;AI827,1,0)</f>
        <v/>
      </c>
      <c r="AL827">
        <f>IF(AND(AI827&gt;=3,AB827&lt;=0.2),1,0)</f>
        <v/>
      </c>
      <c r="AM827">
        <f>AVERAGE(W827:AB827)</f>
        <v/>
      </c>
      <c r="AN827">
        <f>1+COUNTIF(bounds,"&lt;"&amp;ROUND(AM827,12))</f>
        <v/>
      </c>
      <c r="AO827">
        <f>IF(AK827=1,AD827,NA())</f>
        <v/>
      </c>
      <c r="AP827">
        <f>IF(AK827=0,AD827,NA())</f>
        <v/>
      </c>
    </row>
    <row r="828">
      <c r="A828" t="n">
        <v>820</v>
      </c>
      <c r="B828" t="n">
        <v>2</v>
      </c>
      <c r="C828" t="n">
        <v>2</v>
      </c>
      <c r="D828" t="n">
        <v>1</v>
      </c>
      <c r="E828" t="n">
        <v>4</v>
      </c>
      <c r="F828" t="n">
        <v>5</v>
      </c>
      <c r="G828" t="n">
        <v>4</v>
      </c>
      <c r="H828" t="n">
        <v>1</v>
      </c>
      <c r="I828" t="n">
        <v>2</v>
      </c>
      <c r="J828" t="n">
        <v>4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4</v>
      </c>
      <c r="Q828" t="n">
        <v>4</v>
      </c>
      <c r="R828" t="n">
        <v>1</v>
      </c>
      <c r="S828" t="n">
        <v>1</v>
      </c>
      <c r="T828" t="n">
        <v>3</v>
      </c>
      <c r="U828" t="n">
        <v>2</v>
      </c>
      <c r="V828" t="n">
        <v>2</v>
      </c>
      <c r="W828">
        <f>(AVERAGE(B828:D828)-1)/4</f>
        <v/>
      </c>
      <c r="X828">
        <f>(AVERAGE(E828:G828)-1)/4</f>
        <v/>
      </c>
      <c r="Y828">
        <f>(AVERAGE(H828:J828)-1)/4</f>
        <v/>
      </c>
      <c r="Z828">
        <f>(AVERAGE(K828:M828)-1)/4</f>
        <v/>
      </c>
      <c r="AA828">
        <f>(AVERAGE(N828:P828)-1)/4</f>
        <v/>
      </c>
      <c r="AB828">
        <f>(AVERAGE(Q828:S828)-1)/4</f>
        <v/>
      </c>
      <c r="AC828">
        <f>(AVERAGE(T828:V828)-1)/4</f>
        <v/>
      </c>
      <c r="AD828">
        <f>AVERAGE(W828:AA828)</f>
        <v/>
      </c>
      <c r="AE828">
        <f>MIN(W828:AA828)</f>
        <v/>
      </c>
      <c r="AF828">
        <f>1-alpha*MAX(0,delta-AE828)</f>
        <v/>
      </c>
      <c r="AG828">
        <f>AD828*AF828</f>
        <v/>
      </c>
      <c r="AH828">
        <f>1+COUNTIF(bounds,"&lt;"&amp;ROUND(AD828,12))</f>
        <v/>
      </c>
      <c r="AI828">
        <f>1+COUNTIF(bounds,"&lt;"&amp;ROUND(AG828,12))</f>
        <v/>
      </c>
      <c r="AJ828">
        <f>IF(AF828&lt;1,1,0)</f>
        <v/>
      </c>
      <c r="AK828">
        <f>IF(AH828&lt;&gt;AI828,1,0)</f>
        <v/>
      </c>
      <c r="AL828">
        <f>IF(AND(AI828&gt;=3,AB828&lt;=0.2),1,0)</f>
        <v/>
      </c>
      <c r="AM828">
        <f>AVERAGE(W828:AB828)</f>
        <v/>
      </c>
      <c r="AN828">
        <f>1+COUNTIF(bounds,"&lt;"&amp;ROUND(AM828,12))</f>
        <v/>
      </c>
      <c r="AO828">
        <f>IF(AK828=1,AD828,NA())</f>
        <v/>
      </c>
      <c r="AP828">
        <f>IF(AK828=0,AD828,NA())</f>
        <v/>
      </c>
    </row>
    <row r="829">
      <c r="A829" t="n">
        <v>821</v>
      </c>
      <c r="B829" t="n">
        <v>4</v>
      </c>
      <c r="C829" t="n">
        <v>1</v>
      </c>
      <c r="D829" t="n">
        <v>4</v>
      </c>
      <c r="E829" t="n">
        <v>1</v>
      </c>
      <c r="F829" t="n">
        <v>5</v>
      </c>
      <c r="G829" t="n">
        <v>1</v>
      </c>
      <c r="H829" t="n">
        <v>4</v>
      </c>
      <c r="I829" t="n">
        <v>2</v>
      </c>
      <c r="J829" t="n">
        <v>3</v>
      </c>
      <c r="K829" t="n">
        <v>4</v>
      </c>
      <c r="L829" t="n">
        <v>3</v>
      </c>
      <c r="M829" t="n">
        <v>3</v>
      </c>
      <c r="N829" t="n">
        <v>5</v>
      </c>
      <c r="O829" t="n">
        <v>2</v>
      </c>
      <c r="P829" t="n">
        <v>1</v>
      </c>
      <c r="Q829" t="n">
        <v>3</v>
      </c>
      <c r="R829" t="n">
        <v>5</v>
      </c>
      <c r="S829" t="n">
        <v>4</v>
      </c>
      <c r="T829" t="n">
        <v>3</v>
      </c>
      <c r="U829" t="n">
        <v>4</v>
      </c>
      <c r="V829" t="n">
        <v>5</v>
      </c>
      <c r="W829">
        <f>(AVERAGE(B829:D829)-1)/4</f>
        <v/>
      </c>
      <c r="X829">
        <f>(AVERAGE(E829:G829)-1)/4</f>
        <v/>
      </c>
      <c r="Y829">
        <f>(AVERAGE(H829:J829)-1)/4</f>
        <v/>
      </c>
      <c r="Z829">
        <f>(AVERAGE(K829:M829)-1)/4</f>
        <v/>
      </c>
      <c r="AA829">
        <f>(AVERAGE(N829:P829)-1)/4</f>
        <v/>
      </c>
      <c r="AB829">
        <f>(AVERAGE(Q829:S829)-1)/4</f>
        <v/>
      </c>
      <c r="AC829">
        <f>(AVERAGE(T829:V829)-1)/4</f>
        <v/>
      </c>
      <c r="AD829">
        <f>AVERAGE(W829:AA829)</f>
        <v/>
      </c>
      <c r="AE829">
        <f>MIN(W829:AA829)</f>
        <v/>
      </c>
      <c r="AF829">
        <f>1-alpha*MAX(0,delta-AE829)</f>
        <v/>
      </c>
      <c r="AG829">
        <f>AD829*AF829</f>
        <v/>
      </c>
      <c r="AH829">
        <f>1+COUNTIF(bounds,"&lt;"&amp;ROUND(AD829,12))</f>
        <v/>
      </c>
      <c r="AI829">
        <f>1+COUNTIF(bounds,"&lt;"&amp;ROUND(AG829,12))</f>
        <v/>
      </c>
      <c r="AJ829">
        <f>IF(AF829&lt;1,1,0)</f>
        <v/>
      </c>
      <c r="AK829">
        <f>IF(AH829&lt;&gt;AI829,1,0)</f>
        <v/>
      </c>
      <c r="AL829">
        <f>IF(AND(AI829&gt;=3,AB829&lt;=0.2),1,0)</f>
        <v/>
      </c>
      <c r="AM829">
        <f>AVERAGE(W829:AB829)</f>
        <v/>
      </c>
      <c r="AN829">
        <f>1+COUNTIF(bounds,"&lt;"&amp;ROUND(AM829,12))</f>
        <v/>
      </c>
      <c r="AO829">
        <f>IF(AK829=1,AD829,NA())</f>
        <v/>
      </c>
      <c r="AP829">
        <f>IF(AK829=0,AD829,NA())</f>
        <v/>
      </c>
    </row>
    <row r="830">
      <c r="A830" t="n">
        <v>822</v>
      </c>
      <c r="B830" t="n">
        <v>4</v>
      </c>
      <c r="C830" t="n">
        <v>2</v>
      </c>
      <c r="D830" t="n">
        <v>2</v>
      </c>
      <c r="E830" t="n">
        <v>2</v>
      </c>
      <c r="F830" t="n">
        <v>5</v>
      </c>
      <c r="G830" t="n">
        <v>4</v>
      </c>
      <c r="H830" t="n">
        <v>4</v>
      </c>
      <c r="I830" t="n">
        <v>5</v>
      </c>
      <c r="J830" t="n">
        <v>3</v>
      </c>
      <c r="K830" t="n">
        <v>2</v>
      </c>
      <c r="L830" t="n">
        <v>4</v>
      </c>
      <c r="M830" t="n">
        <v>4</v>
      </c>
      <c r="N830" t="n">
        <v>3</v>
      </c>
      <c r="O830" t="n">
        <v>3</v>
      </c>
      <c r="P830" t="n">
        <v>1</v>
      </c>
      <c r="Q830" t="n">
        <v>1</v>
      </c>
      <c r="R830" t="n">
        <v>1</v>
      </c>
      <c r="S830" t="n">
        <v>3</v>
      </c>
      <c r="T830" t="n">
        <v>2</v>
      </c>
      <c r="U830" t="n">
        <v>5</v>
      </c>
      <c r="V830" t="n">
        <v>3</v>
      </c>
      <c r="W830">
        <f>(AVERAGE(B830:D830)-1)/4</f>
        <v/>
      </c>
      <c r="X830">
        <f>(AVERAGE(E830:G830)-1)/4</f>
        <v/>
      </c>
      <c r="Y830">
        <f>(AVERAGE(H830:J830)-1)/4</f>
        <v/>
      </c>
      <c r="Z830">
        <f>(AVERAGE(K830:M830)-1)/4</f>
        <v/>
      </c>
      <c r="AA830">
        <f>(AVERAGE(N830:P830)-1)/4</f>
        <v/>
      </c>
      <c r="AB830">
        <f>(AVERAGE(Q830:S830)-1)/4</f>
        <v/>
      </c>
      <c r="AC830">
        <f>(AVERAGE(T830:V830)-1)/4</f>
        <v/>
      </c>
      <c r="AD830">
        <f>AVERAGE(W830:AA830)</f>
        <v/>
      </c>
      <c r="AE830">
        <f>MIN(W830:AA830)</f>
        <v/>
      </c>
      <c r="AF830">
        <f>1-alpha*MAX(0,delta-AE830)</f>
        <v/>
      </c>
      <c r="AG830">
        <f>AD830*AF830</f>
        <v/>
      </c>
      <c r="AH830">
        <f>1+COUNTIF(bounds,"&lt;"&amp;ROUND(AD830,12))</f>
        <v/>
      </c>
      <c r="AI830">
        <f>1+COUNTIF(bounds,"&lt;"&amp;ROUND(AG830,12))</f>
        <v/>
      </c>
      <c r="AJ830">
        <f>IF(AF830&lt;1,1,0)</f>
        <v/>
      </c>
      <c r="AK830">
        <f>IF(AH830&lt;&gt;AI830,1,0)</f>
        <v/>
      </c>
      <c r="AL830">
        <f>IF(AND(AI830&gt;=3,AB830&lt;=0.2),1,0)</f>
        <v/>
      </c>
      <c r="AM830">
        <f>AVERAGE(W830:AB830)</f>
        <v/>
      </c>
      <c r="AN830">
        <f>1+COUNTIF(bounds,"&lt;"&amp;ROUND(AM830,12))</f>
        <v/>
      </c>
      <c r="AO830">
        <f>IF(AK830=1,AD830,NA())</f>
        <v/>
      </c>
      <c r="AP830">
        <f>IF(AK830=0,AD830,NA())</f>
        <v/>
      </c>
    </row>
    <row r="831">
      <c r="A831" t="n">
        <v>823</v>
      </c>
      <c r="B831" t="n">
        <v>3</v>
      </c>
      <c r="C831" t="n">
        <v>2</v>
      </c>
      <c r="D831" t="n">
        <v>2</v>
      </c>
      <c r="E831" t="n">
        <v>4</v>
      </c>
      <c r="F831" t="n">
        <v>4</v>
      </c>
      <c r="G831" t="n">
        <v>1</v>
      </c>
      <c r="H831" t="n">
        <v>2</v>
      </c>
      <c r="I831" t="n">
        <v>3</v>
      </c>
      <c r="J831" t="n">
        <v>3</v>
      </c>
      <c r="K831" t="n">
        <v>2</v>
      </c>
      <c r="L831" t="n">
        <v>5</v>
      </c>
      <c r="M831" t="n">
        <v>2</v>
      </c>
      <c r="N831" t="n">
        <v>4</v>
      </c>
      <c r="O831" t="n">
        <v>1</v>
      </c>
      <c r="P831" t="n">
        <v>1</v>
      </c>
      <c r="Q831" t="n">
        <v>2</v>
      </c>
      <c r="R831" t="n">
        <v>4</v>
      </c>
      <c r="S831" t="n">
        <v>1</v>
      </c>
      <c r="T831" t="n">
        <v>1</v>
      </c>
      <c r="U831" t="n">
        <v>4</v>
      </c>
      <c r="V831" t="n">
        <v>3</v>
      </c>
      <c r="W831">
        <f>(AVERAGE(B831:D831)-1)/4</f>
        <v/>
      </c>
      <c r="X831">
        <f>(AVERAGE(E831:G831)-1)/4</f>
        <v/>
      </c>
      <c r="Y831">
        <f>(AVERAGE(H831:J831)-1)/4</f>
        <v/>
      </c>
      <c r="Z831">
        <f>(AVERAGE(K831:M831)-1)/4</f>
        <v/>
      </c>
      <c r="AA831">
        <f>(AVERAGE(N831:P831)-1)/4</f>
        <v/>
      </c>
      <c r="AB831">
        <f>(AVERAGE(Q831:S831)-1)/4</f>
        <v/>
      </c>
      <c r="AC831">
        <f>(AVERAGE(T831:V831)-1)/4</f>
        <v/>
      </c>
      <c r="AD831">
        <f>AVERAGE(W831:AA831)</f>
        <v/>
      </c>
      <c r="AE831">
        <f>MIN(W831:AA831)</f>
        <v/>
      </c>
      <c r="AF831">
        <f>1-alpha*MAX(0,delta-AE831)</f>
        <v/>
      </c>
      <c r="AG831">
        <f>AD831*AF831</f>
        <v/>
      </c>
      <c r="AH831">
        <f>1+COUNTIF(bounds,"&lt;"&amp;ROUND(AD831,12))</f>
        <v/>
      </c>
      <c r="AI831">
        <f>1+COUNTIF(bounds,"&lt;"&amp;ROUND(AG831,12))</f>
        <v/>
      </c>
      <c r="AJ831">
        <f>IF(AF831&lt;1,1,0)</f>
        <v/>
      </c>
      <c r="AK831">
        <f>IF(AH831&lt;&gt;AI831,1,0)</f>
        <v/>
      </c>
      <c r="AL831">
        <f>IF(AND(AI831&gt;=3,AB831&lt;=0.2),1,0)</f>
        <v/>
      </c>
      <c r="AM831">
        <f>AVERAGE(W831:AB831)</f>
        <v/>
      </c>
      <c r="AN831">
        <f>1+COUNTIF(bounds,"&lt;"&amp;ROUND(AM831,12))</f>
        <v/>
      </c>
      <c r="AO831">
        <f>IF(AK831=1,AD831,NA())</f>
        <v/>
      </c>
      <c r="AP831">
        <f>IF(AK831=0,AD831,NA())</f>
        <v/>
      </c>
    </row>
    <row r="832">
      <c r="A832" t="n">
        <v>824</v>
      </c>
      <c r="B832" t="n">
        <v>4</v>
      </c>
      <c r="C832" t="n">
        <v>2</v>
      </c>
      <c r="D832" t="n">
        <v>4</v>
      </c>
      <c r="E832" t="n">
        <v>2</v>
      </c>
      <c r="F832" t="n">
        <v>5</v>
      </c>
      <c r="G832" t="n">
        <v>3</v>
      </c>
      <c r="H832" t="n">
        <v>2</v>
      </c>
      <c r="I832" t="n">
        <v>3</v>
      </c>
      <c r="J832" t="n">
        <v>1</v>
      </c>
      <c r="K832" t="n">
        <v>5</v>
      </c>
      <c r="L832" t="n">
        <v>1</v>
      </c>
      <c r="M832" t="n">
        <v>2</v>
      </c>
      <c r="N832" t="n">
        <v>3</v>
      </c>
      <c r="O832" t="n">
        <v>4</v>
      </c>
      <c r="P832" t="n">
        <v>5</v>
      </c>
      <c r="Q832" t="n">
        <v>1</v>
      </c>
      <c r="R832" t="n">
        <v>1</v>
      </c>
      <c r="S832" t="n">
        <v>2</v>
      </c>
      <c r="T832" t="n">
        <v>3</v>
      </c>
      <c r="U832" t="n">
        <v>5</v>
      </c>
      <c r="V832" t="n">
        <v>1</v>
      </c>
      <c r="W832">
        <f>(AVERAGE(B832:D832)-1)/4</f>
        <v/>
      </c>
      <c r="X832">
        <f>(AVERAGE(E832:G832)-1)/4</f>
        <v/>
      </c>
      <c r="Y832">
        <f>(AVERAGE(H832:J832)-1)/4</f>
        <v/>
      </c>
      <c r="Z832">
        <f>(AVERAGE(K832:M832)-1)/4</f>
        <v/>
      </c>
      <c r="AA832">
        <f>(AVERAGE(N832:P832)-1)/4</f>
        <v/>
      </c>
      <c r="AB832">
        <f>(AVERAGE(Q832:S832)-1)/4</f>
        <v/>
      </c>
      <c r="AC832">
        <f>(AVERAGE(T832:V832)-1)/4</f>
        <v/>
      </c>
      <c r="AD832">
        <f>AVERAGE(W832:AA832)</f>
        <v/>
      </c>
      <c r="AE832">
        <f>MIN(W832:AA832)</f>
        <v/>
      </c>
      <c r="AF832">
        <f>1-alpha*MAX(0,delta-AE832)</f>
        <v/>
      </c>
      <c r="AG832">
        <f>AD832*AF832</f>
        <v/>
      </c>
      <c r="AH832">
        <f>1+COUNTIF(bounds,"&lt;"&amp;ROUND(AD832,12))</f>
        <v/>
      </c>
      <c r="AI832">
        <f>1+COUNTIF(bounds,"&lt;"&amp;ROUND(AG832,12))</f>
        <v/>
      </c>
      <c r="AJ832">
        <f>IF(AF832&lt;1,1,0)</f>
        <v/>
      </c>
      <c r="AK832">
        <f>IF(AH832&lt;&gt;AI832,1,0)</f>
        <v/>
      </c>
      <c r="AL832">
        <f>IF(AND(AI832&gt;=3,AB832&lt;=0.2),1,0)</f>
        <v/>
      </c>
      <c r="AM832">
        <f>AVERAGE(W832:AB832)</f>
        <v/>
      </c>
      <c r="AN832">
        <f>1+COUNTIF(bounds,"&lt;"&amp;ROUND(AM832,12))</f>
        <v/>
      </c>
      <c r="AO832">
        <f>IF(AK832=1,AD832,NA())</f>
        <v/>
      </c>
      <c r="AP832">
        <f>IF(AK832=0,AD832,NA())</f>
        <v/>
      </c>
    </row>
    <row r="833">
      <c r="A833" t="n">
        <v>825</v>
      </c>
      <c r="B833" t="n">
        <v>2</v>
      </c>
      <c r="C833" t="n">
        <v>5</v>
      </c>
      <c r="D833" t="n">
        <v>5</v>
      </c>
      <c r="E833" t="n">
        <v>5</v>
      </c>
      <c r="F833" t="n">
        <v>3</v>
      </c>
      <c r="G833" t="n">
        <v>2</v>
      </c>
      <c r="H833" t="n">
        <v>2</v>
      </c>
      <c r="I833" t="n">
        <v>5</v>
      </c>
      <c r="J833" t="n">
        <v>5</v>
      </c>
      <c r="K833" t="n">
        <v>3</v>
      </c>
      <c r="L833" t="n">
        <v>4</v>
      </c>
      <c r="M833" t="n">
        <v>3</v>
      </c>
      <c r="N833" t="n">
        <v>3</v>
      </c>
      <c r="O833" t="n">
        <v>4</v>
      </c>
      <c r="P833" t="n">
        <v>4</v>
      </c>
      <c r="Q833" t="n">
        <v>2</v>
      </c>
      <c r="R833" t="n">
        <v>3</v>
      </c>
      <c r="S833" t="n">
        <v>3</v>
      </c>
      <c r="T833" t="n">
        <v>5</v>
      </c>
      <c r="U833" t="n">
        <v>1</v>
      </c>
      <c r="V833" t="n">
        <v>1</v>
      </c>
      <c r="W833">
        <f>(AVERAGE(B833:D833)-1)/4</f>
        <v/>
      </c>
      <c r="X833">
        <f>(AVERAGE(E833:G833)-1)/4</f>
        <v/>
      </c>
      <c r="Y833">
        <f>(AVERAGE(H833:J833)-1)/4</f>
        <v/>
      </c>
      <c r="Z833">
        <f>(AVERAGE(K833:M833)-1)/4</f>
        <v/>
      </c>
      <c r="AA833">
        <f>(AVERAGE(N833:P833)-1)/4</f>
        <v/>
      </c>
      <c r="AB833">
        <f>(AVERAGE(Q833:S833)-1)/4</f>
        <v/>
      </c>
      <c r="AC833">
        <f>(AVERAGE(T833:V833)-1)/4</f>
        <v/>
      </c>
      <c r="AD833">
        <f>AVERAGE(W833:AA833)</f>
        <v/>
      </c>
      <c r="AE833">
        <f>MIN(W833:AA833)</f>
        <v/>
      </c>
      <c r="AF833">
        <f>1-alpha*MAX(0,delta-AE833)</f>
        <v/>
      </c>
      <c r="AG833">
        <f>AD833*AF833</f>
        <v/>
      </c>
      <c r="AH833">
        <f>1+COUNTIF(bounds,"&lt;"&amp;ROUND(AD833,12))</f>
        <v/>
      </c>
      <c r="AI833">
        <f>1+COUNTIF(bounds,"&lt;"&amp;ROUND(AG833,12))</f>
        <v/>
      </c>
      <c r="AJ833">
        <f>IF(AF833&lt;1,1,0)</f>
        <v/>
      </c>
      <c r="AK833">
        <f>IF(AH833&lt;&gt;AI833,1,0)</f>
        <v/>
      </c>
      <c r="AL833">
        <f>IF(AND(AI833&gt;=3,AB833&lt;=0.2),1,0)</f>
        <v/>
      </c>
      <c r="AM833">
        <f>AVERAGE(W833:AB833)</f>
        <v/>
      </c>
      <c r="AN833">
        <f>1+COUNTIF(bounds,"&lt;"&amp;ROUND(AM833,12))</f>
        <v/>
      </c>
      <c r="AO833">
        <f>IF(AK833=1,AD833,NA())</f>
        <v/>
      </c>
      <c r="AP833">
        <f>IF(AK833=0,AD833,NA())</f>
        <v/>
      </c>
    </row>
    <row r="834">
      <c r="A834" t="n">
        <v>826</v>
      </c>
      <c r="B834" t="n">
        <v>4</v>
      </c>
      <c r="C834" t="n">
        <v>2</v>
      </c>
      <c r="D834" t="n">
        <v>4</v>
      </c>
      <c r="E834" t="n">
        <v>3</v>
      </c>
      <c r="F834" t="n">
        <v>4</v>
      </c>
      <c r="G834" t="n">
        <v>2</v>
      </c>
      <c r="H834" t="n">
        <v>1</v>
      </c>
      <c r="I834" t="n">
        <v>5</v>
      </c>
      <c r="J834" t="n">
        <v>2</v>
      </c>
      <c r="K834" t="n">
        <v>1</v>
      </c>
      <c r="L834" t="n">
        <v>4</v>
      </c>
      <c r="M834" t="n">
        <v>1</v>
      </c>
      <c r="N834" t="n">
        <v>5</v>
      </c>
      <c r="O834" t="n">
        <v>2</v>
      </c>
      <c r="P834" t="n">
        <v>3</v>
      </c>
      <c r="Q834" t="n">
        <v>1</v>
      </c>
      <c r="R834" t="n">
        <v>2</v>
      </c>
      <c r="S834" t="n">
        <v>2</v>
      </c>
      <c r="T834" t="n">
        <v>2</v>
      </c>
      <c r="U834" t="n">
        <v>1</v>
      </c>
      <c r="V834" t="n">
        <v>5</v>
      </c>
      <c r="W834">
        <f>(AVERAGE(B834:D834)-1)/4</f>
        <v/>
      </c>
      <c r="X834">
        <f>(AVERAGE(E834:G834)-1)/4</f>
        <v/>
      </c>
      <c r="Y834">
        <f>(AVERAGE(H834:J834)-1)/4</f>
        <v/>
      </c>
      <c r="Z834">
        <f>(AVERAGE(K834:M834)-1)/4</f>
        <v/>
      </c>
      <c r="AA834">
        <f>(AVERAGE(N834:P834)-1)/4</f>
        <v/>
      </c>
      <c r="AB834">
        <f>(AVERAGE(Q834:S834)-1)/4</f>
        <v/>
      </c>
      <c r="AC834">
        <f>(AVERAGE(T834:V834)-1)/4</f>
        <v/>
      </c>
      <c r="AD834">
        <f>AVERAGE(W834:AA834)</f>
        <v/>
      </c>
      <c r="AE834">
        <f>MIN(W834:AA834)</f>
        <v/>
      </c>
      <c r="AF834">
        <f>1-alpha*MAX(0,delta-AE834)</f>
        <v/>
      </c>
      <c r="AG834">
        <f>AD834*AF834</f>
        <v/>
      </c>
      <c r="AH834">
        <f>1+COUNTIF(bounds,"&lt;"&amp;ROUND(AD834,12))</f>
        <v/>
      </c>
      <c r="AI834">
        <f>1+COUNTIF(bounds,"&lt;"&amp;ROUND(AG834,12))</f>
        <v/>
      </c>
      <c r="AJ834">
        <f>IF(AF834&lt;1,1,0)</f>
        <v/>
      </c>
      <c r="AK834">
        <f>IF(AH834&lt;&gt;AI834,1,0)</f>
        <v/>
      </c>
      <c r="AL834">
        <f>IF(AND(AI834&gt;=3,AB834&lt;=0.2),1,0)</f>
        <v/>
      </c>
      <c r="AM834">
        <f>AVERAGE(W834:AB834)</f>
        <v/>
      </c>
      <c r="AN834">
        <f>1+COUNTIF(bounds,"&lt;"&amp;ROUND(AM834,12))</f>
        <v/>
      </c>
      <c r="AO834">
        <f>IF(AK834=1,AD834,NA())</f>
        <v/>
      </c>
      <c r="AP834">
        <f>IF(AK834=0,AD834,NA())</f>
        <v/>
      </c>
    </row>
    <row r="835">
      <c r="A835" t="n">
        <v>827</v>
      </c>
      <c r="B835" t="n">
        <v>4</v>
      </c>
      <c r="C835" t="n">
        <v>2</v>
      </c>
      <c r="D835" t="n">
        <v>3</v>
      </c>
      <c r="E835" t="n">
        <v>3</v>
      </c>
      <c r="F835" t="n">
        <v>2</v>
      </c>
      <c r="G835" t="n">
        <v>1</v>
      </c>
      <c r="H835" t="n">
        <v>3</v>
      </c>
      <c r="I835" t="n">
        <v>3</v>
      </c>
      <c r="J835" t="n">
        <v>2</v>
      </c>
      <c r="K835" t="n">
        <v>1</v>
      </c>
      <c r="L835" t="n">
        <v>4</v>
      </c>
      <c r="M835" t="n">
        <v>4</v>
      </c>
      <c r="N835" t="n">
        <v>4</v>
      </c>
      <c r="O835" t="n">
        <v>4</v>
      </c>
      <c r="P835" t="n">
        <v>5</v>
      </c>
      <c r="Q835" t="n">
        <v>3</v>
      </c>
      <c r="R835" t="n">
        <v>3</v>
      </c>
      <c r="S835" t="n">
        <v>2</v>
      </c>
      <c r="T835" t="n">
        <v>4</v>
      </c>
      <c r="U835" t="n">
        <v>2</v>
      </c>
      <c r="V835" t="n">
        <v>5</v>
      </c>
      <c r="W835">
        <f>(AVERAGE(B835:D835)-1)/4</f>
        <v/>
      </c>
      <c r="X835">
        <f>(AVERAGE(E835:G835)-1)/4</f>
        <v/>
      </c>
      <c r="Y835">
        <f>(AVERAGE(H835:J835)-1)/4</f>
        <v/>
      </c>
      <c r="Z835">
        <f>(AVERAGE(K835:M835)-1)/4</f>
        <v/>
      </c>
      <c r="AA835">
        <f>(AVERAGE(N835:P835)-1)/4</f>
        <v/>
      </c>
      <c r="AB835">
        <f>(AVERAGE(Q835:S835)-1)/4</f>
        <v/>
      </c>
      <c r="AC835">
        <f>(AVERAGE(T835:V835)-1)/4</f>
        <v/>
      </c>
      <c r="AD835">
        <f>AVERAGE(W835:AA835)</f>
        <v/>
      </c>
      <c r="AE835">
        <f>MIN(W835:AA835)</f>
        <v/>
      </c>
      <c r="AF835">
        <f>1-alpha*MAX(0,delta-AE835)</f>
        <v/>
      </c>
      <c r="AG835">
        <f>AD835*AF835</f>
        <v/>
      </c>
      <c r="AH835">
        <f>1+COUNTIF(bounds,"&lt;"&amp;ROUND(AD835,12))</f>
        <v/>
      </c>
      <c r="AI835">
        <f>1+COUNTIF(bounds,"&lt;"&amp;ROUND(AG835,12))</f>
        <v/>
      </c>
      <c r="AJ835">
        <f>IF(AF835&lt;1,1,0)</f>
        <v/>
      </c>
      <c r="AK835">
        <f>IF(AH835&lt;&gt;AI835,1,0)</f>
        <v/>
      </c>
      <c r="AL835">
        <f>IF(AND(AI835&gt;=3,AB835&lt;=0.2),1,0)</f>
        <v/>
      </c>
      <c r="AM835">
        <f>AVERAGE(W835:AB835)</f>
        <v/>
      </c>
      <c r="AN835">
        <f>1+COUNTIF(bounds,"&lt;"&amp;ROUND(AM835,12))</f>
        <v/>
      </c>
      <c r="AO835">
        <f>IF(AK835=1,AD835,NA())</f>
        <v/>
      </c>
      <c r="AP835">
        <f>IF(AK835=0,AD835,NA())</f>
        <v/>
      </c>
    </row>
    <row r="836">
      <c r="A836" t="n">
        <v>828</v>
      </c>
      <c r="B836" t="n">
        <v>1</v>
      </c>
      <c r="C836" t="n">
        <v>3</v>
      </c>
      <c r="D836" t="n">
        <v>3</v>
      </c>
      <c r="E836" t="n">
        <v>5</v>
      </c>
      <c r="F836" t="n">
        <v>5</v>
      </c>
      <c r="G836" t="n">
        <v>2</v>
      </c>
      <c r="H836" t="n">
        <v>3</v>
      </c>
      <c r="I836" t="n">
        <v>3</v>
      </c>
      <c r="J836" t="n">
        <v>1</v>
      </c>
      <c r="K836" t="n">
        <v>3</v>
      </c>
      <c r="L836" t="n">
        <v>4</v>
      </c>
      <c r="M836" t="n">
        <v>4</v>
      </c>
      <c r="N836" t="n">
        <v>1</v>
      </c>
      <c r="O836" t="n">
        <v>5</v>
      </c>
      <c r="P836" t="n">
        <v>5</v>
      </c>
      <c r="Q836" t="n">
        <v>1</v>
      </c>
      <c r="R836" t="n">
        <v>5</v>
      </c>
      <c r="S836" t="n">
        <v>5</v>
      </c>
      <c r="T836" t="n">
        <v>1</v>
      </c>
      <c r="U836" t="n">
        <v>1</v>
      </c>
      <c r="V836" t="n">
        <v>1</v>
      </c>
      <c r="W836">
        <f>(AVERAGE(B836:D836)-1)/4</f>
        <v/>
      </c>
      <c r="X836">
        <f>(AVERAGE(E836:G836)-1)/4</f>
        <v/>
      </c>
      <c r="Y836">
        <f>(AVERAGE(H836:J836)-1)/4</f>
        <v/>
      </c>
      <c r="Z836">
        <f>(AVERAGE(K836:M836)-1)/4</f>
        <v/>
      </c>
      <c r="AA836">
        <f>(AVERAGE(N836:P836)-1)/4</f>
        <v/>
      </c>
      <c r="AB836">
        <f>(AVERAGE(Q836:S836)-1)/4</f>
        <v/>
      </c>
      <c r="AC836">
        <f>(AVERAGE(T836:V836)-1)/4</f>
        <v/>
      </c>
      <c r="AD836">
        <f>AVERAGE(W836:AA836)</f>
        <v/>
      </c>
      <c r="AE836">
        <f>MIN(W836:AA836)</f>
        <v/>
      </c>
      <c r="AF836">
        <f>1-alpha*MAX(0,delta-AE836)</f>
        <v/>
      </c>
      <c r="AG836">
        <f>AD836*AF836</f>
        <v/>
      </c>
      <c r="AH836">
        <f>1+COUNTIF(bounds,"&lt;"&amp;ROUND(AD836,12))</f>
        <v/>
      </c>
      <c r="AI836">
        <f>1+COUNTIF(bounds,"&lt;"&amp;ROUND(AG836,12))</f>
        <v/>
      </c>
      <c r="AJ836">
        <f>IF(AF836&lt;1,1,0)</f>
        <v/>
      </c>
      <c r="AK836">
        <f>IF(AH836&lt;&gt;AI836,1,0)</f>
        <v/>
      </c>
      <c r="AL836">
        <f>IF(AND(AI836&gt;=3,AB836&lt;=0.2),1,0)</f>
        <v/>
      </c>
      <c r="AM836">
        <f>AVERAGE(W836:AB836)</f>
        <v/>
      </c>
      <c r="AN836">
        <f>1+COUNTIF(bounds,"&lt;"&amp;ROUND(AM836,12))</f>
        <v/>
      </c>
      <c r="AO836">
        <f>IF(AK836=1,AD836,NA())</f>
        <v/>
      </c>
      <c r="AP836">
        <f>IF(AK836=0,AD836,NA())</f>
        <v/>
      </c>
    </row>
    <row r="837">
      <c r="A837" t="n">
        <v>829</v>
      </c>
      <c r="B837" t="n">
        <v>2</v>
      </c>
      <c r="C837" t="n">
        <v>2</v>
      </c>
      <c r="D837" t="n">
        <v>1</v>
      </c>
      <c r="E837" t="n">
        <v>4</v>
      </c>
      <c r="F837" t="n">
        <v>2</v>
      </c>
      <c r="G837" t="n">
        <v>2</v>
      </c>
      <c r="H837" t="n">
        <v>4</v>
      </c>
      <c r="I837" t="n">
        <v>1</v>
      </c>
      <c r="J837" t="n">
        <v>1</v>
      </c>
      <c r="K837" t="n">
        <v>4</v>
      </c>
      <c r="L837" t="n">
        <v>1</v>
      </c>
      <c r="M837" t="n">
        <v>3</v>
      </c>
      <c r="N837" t="n">
        <v>5</v>
      </c>
      <c r="O837" t="n">
        <v>2</v>
      </c>
      <c r="P837" t="n">
        <v>3</v>
      </c>
      <c r="Q837" t="n">
        <v>2</v>
      </c>
      <c r="R837" t="n">
        <v>5</v>
      </c>
      <c r="S837" t="n">
        <v>5</v>
      </c>
      <c r="T837" t="n">
        <v>5</v>
      </c>
      <c r="U837" t="n">
        <v>5</v>
      </c>
      <c r="V837" t="n">
        <v>2</v>
      </c>
      <c r="W837">
        <f>(AVERAGE(B837:D837)-1)/4</f>
        <v/>
      </c>
      <c r="X837">
        <f>(AVERAGE(E837:G837)-1)/4</f>
        <v/>
      </c>
      <c r="Y837">
        <f>(AVERAGE(H837:J837)-1)/4</f>
        <v/>
      </c>
      <c r="Z837">
        <f>(AVERAGE(K837:M837)-1)/4</f>
        <v/>
      </c>
      <c r="AA837">
        <f>(AVERAGE(N837:P837)-1)/4</f>
        <v/>
      </c>
      <c r="AB837">
        <f>(AVERAGE(Q837:S837)-1)/4</f>
        <v/>
      </c>
      <c r="AC837">
        <f>(AVERAGE(T837:V837)-1)/4</f>
        <v/>
      </c>
      <c r="AD837">
        <f>AVERAGE(W837:AA837)</f>
        <v/>
      </c>
      <c r="AE837">
        <f>MIN(W837:AA837)</f>
        <v/>
      </c>
      <c r="AF837">
        <f>1-alpha*MAX(0,delta-AE837)</f>
        <v/>
      </c>
      <c r="AG837">
        <f>AD837*AF837</f>
        <v/>
      </c>
      <c r="AH837">
        <f>1+COUNTIF(bounds,"&lt;"&amp;ROUND(AD837,12))</f>
        <v/>
      </c>
      <c r="AI837">
        <f>1+COUNTIF(bounds,"&lt;"&amp;ROUND(AG837,12))</f>
        <v/>
      </c>
      <c r="AJ837">
        <f>IF(AF837&lt;1,1,0)</f>
        <v/>
      </c>
      <c r="AK837">
        <f>IF(AH837&lt;&gt;AI837,1,0)</f>
        <v/>
      </c>
      <c r="AL837">
        <f>IF(AND(AI837&gt;=3,AB837&lt;=0.2),1,0)</f>
        <v/>
      </c>
      <c r="AM837">
        <f>AVERAGE(W837:AB837)</f>
        <v/>
      </c>
      <c r="AN837">
        <f>1+COUNTIF(bounds,"&lt;"&amp;ROUND(AM837,12))</f>
        <v/>
      </c>
      <c r="AO837">
        <f>IF(AK837=1,AD837,NA())</f>
        <v/>
      </c>
      <c r="AP837">
        <f>IF(AK837=0,AD837,NA())</f>
        <v/>
      </c>
    </row>
    <row r="838">
      <c r="A838" t="n">
        <v>830</v>
      </c>
      <c r="B838" t="n">
        <v>1</v>
      </c>
      <c r="C838" t="n">
        <v>1</v>
      </c>
      <c r="D838" t="n">
        <v>1</v>
      </c>
      <c r="E838" t="n">
        <v>4</v>
      </c>
      <c r="F838" t="n">
        <v>5</v>
      </c>
      <c r="G838" t="n">
        <v>2</v>
      </c>
      <c r="H838" t="n">
        <v>3</v>
      </c>
      <c r="I838" t="n">
        <v>4</v>
      </c>
      <c r="J838" t="n">
        <v>3</v>
      </c>
      <c r="K838" t="n">
        <v>2</v>
      </c>
      <c r="L838" t="n">
        <v>2</v>
      </c>
      <c r="M838" t="n">
        <v>2</v>
      </c>
      <c r="N838" t="n">
        <v>2</v>
      </c>
      <c r="O838" t="n">
        <v>5</v>
      </c>
      <c r="P838" t="n">
        <v>3</v>
      </c>
      <c r="Q838" t="n">
        <v>4</v>
      </c>
      <c r="R838" t="n">
        <v>5</v>
      </c>
      <c r="S838" t="n">
        <v>4</v>
      </c>
      <c r="T838" t="n">
        <v>1</v>
      </c>
      <c r="U838" t="n">
        <v>3</v>
      </c>
      <c r="V838" t="n">
        <v>3</v>
      </c>
      <c r="W838">
        <f>(AVERAGE(B838:D838)-1)/4</f>
        <v/>
      </c>
      <c r="X838">
        <f>(AVERAGE(E838:G838)-1)/4</f>
        <v/>
      </c>
      <c r="Y838">
        <f>(AVERAGE(H838:J838)-1)/4</f>
        <v/>
      </c>
      <c r="Z838">
        <f>(AVERAGE(K838:M838)-1)/4</f>
        <v/>
      </c>
      <c r="AA838">
        <f>(AVERAGE(N838:P838)-1)/4</f>
        <v/>
      </c>
      <c r="AB838">
        <f>(AVERAGE(Q838:S838)-1)/4</f>
        <v/>
      </c>
      <c r="AC838">
        <f>(AVERAGE(T838:V838)-1)/4</f>
        <v/>
      </c>
      <c r="AD838">
        <f>AVERAGE(W838:AA838)</f>
        <v/>
      </c>
      <c r="AE838">
        <f>MIN(W838:AA838)</f>
        <v/>
      </c>
      <c r="AF838">
        <f>1-alpha*MAX(0,delta-AE838)</f>
        <v/>
      </c>
      <c r="AG838">
        <f>AD838*AF838</f>
        <v/>
      </c>
      <c r="AH838">
        <f>1+COUNTIF(bounds,"&lt;"&amp;ROUND(AD838,12))</f>
        <v/>
      </c>
      <c r="AI838">
        <f>1+COUNTIF(bounds,"&lt;"&amp;ROUND(AG838,12))</f>
        <v/>
      </c>
      <c r="AJ838">
        <f>IF(AF838&lt;1,1,0)</f>
        <v/>
      </c>
      <c r="AK838">
        <f>IF(AH838&lt;&gt;AI838,1,0)</f>
        <v/>
      </c>
      <c r="AL838">
        <f>IF(AND(AI838&gt;=3,AB838&lt;=0.2),1,0)</f>
        <v/>
      </c>
      <c r="AM838">
        <f>AVERAGE(W838:AB838)</f>
        <v/>
      </c>
      <c r="AN838">
        <f>1+COUNTIF(bounds,"&lt;"&amp;ROUND(AM838,12))</f>
        <v/>
      </c>
      <c r="AO838">
        <f>IF(AK838=1,AD838,NA())</f>
        <v/>
      </c>
      <c r="AP838">
        <f>IF(AK838=0,AD838,NA())</f>
        <v/>
      </c>
    </row>
    <row r="839">
      <c r="A839" t="n">
        <v>831</v>
      </c>
      <c r="B839" t="n">
        <v>5</v>
      </c>
      <c r="C839" t="n">
        <v>1</v>
      </c>
      <c r="D839" t="n">
        <v>2</v>
      </c>
      <c r="E839" t="n">
        <v>2</v>
      </c>
      <c r="F839" t="n">
        <v>1</v>
      </c>
      <c r="G839" t="n">
        <v>4</v>
      </c>
      <c r="H839" t="n">
        <v>3</v>
      </c>
      <c r="I839" t="n">
        <v>2</v>
      </c>
      <c r="J839" t="n">
        <v>1</v>
      </c>
      <c r="K839" t="n">
        <v>2</v>
      </c>
      <c r="L839" t="n">
        <v>1</v>
      </c>
      <c r="M839" t="n">
        <v>3</v>
      </c>
      <c r="N839" t="n">
        <v>4</v>
      </c>
      <c r="O839" t="n">
        <v>2</v>
      </c>
      <c r="P839" t="n">
        <v>2</v>
      </c>
      <c r="Q839" t="n">
        <v>1</v>
      </c>
      <c r="R839" t="n">
        <v>1</v>
      </c>
      <c r="S839" t="n">
        <v>2</v>
      </c>
      <c r="T839" t="n">
        <v>1</v>
      </c>
      <c r="U839" t="n">
        <v>1</v>
      </c>
      <c r="V839" t="n">
        <v>4</v>
      </c>
      <c r="W839">
        <f>(AVERAGE(B839:D839)-1)/4</f>
        <v/>
      </c>
      <c r="X839">
        <f>(AVERAGE(E839:G839)-1)/4</f>
        <v/>
      </c>
      <c r="Y839">
        <f>(AVERAGE(H839:J839)-1)/4</f>
        <v/>
      </c>
      <c r="Z839">
        <f>(AVERAGE(K839:M839)-1)/4</f>
        <v/>
      </c>
      <c r="AA839">
        <f>(AVERAGE(N839:P839)-1)/4</f>
        <v/>
      </c>
      <c r="AB839">
        <f>(AVERAGE(Q839:S839)-1)/4</f>
        <v/>
      </c>
      <c r="AC839">
        <f>(AVERAGE(T839:V839)-1)/4</f>
        <v/>
      </c>
      <c r="AD839">
        <f>AVERAGE(W839:AA839)</f>
        <v/>
      </c>
      <c r="AE839">
        <f>MIN(W839:AA839)</f>
        <v/>
      </c>
      <c r="AF839">
        <f>1-alpha*MAX(0,delta-AE839)</f>
        <v/>
      </c>
      <c r="AG839">
        <f>AD839*AF839</f>
        <v/>
      </c>
      <c r="AH839">
        <f>1+COUNTIF(bounds,"&lt;"&amp;ROUND(AD839,12))</f>
        <v/>
      </c>
      <c r="AI839">
        <f>1+COUNTIF(bounds,"&lt;"&amp;ROUND(AG839,12))</f>
        <v/>
      </c>
      <c r="AJ839">
        <f>IF(AF839&lt;1,1,0)</f>
        <v/>
      </c>
      <c r="AK839">
        <f>IF(AH839&lt;&gt;AI839,1,0)</f>
        <v/>
      </c>
      <c r="AL839">
        <f>IF(AND(AI839&gt;=3,AB839&lt;=0.2),1,0)</f>
        <v/>
      </c>
      <c r="AM839">
        <f>AVERAGE(W839:AB839)</f>
        <v/>
      </c>
      <c r="AN839">
        <f>1+COUNTIF(bounds,"&lt;"&amp;ROUND(AM839,12))</f>
        <v/>
      </c>
      <c r="AO839">
        <f>IF(AK839=1,AD839,NA())</f>
        <v/>
      </c>
      <c r="AP839">
        <f>IF(AK839=0,AD839,NA())</f>
        <v/>
      </c>
    </row>
    <row r="840">
      <c r="A840" t="n">
        <v>832</v>
      </c>
      <c r="B840" t="n">
        <v>5</v>
      </c>
      <c r="C840" t="n">
        <v>3</v>
      </c>
      <c r="D840" t="n">
        <v>5</v>
      </c>
      <c r="E840" t="n">
        <v>4</v>
      </c>
      <c r="F840" t="n">
        <v>5</v>
      </c>
      <c r="G840" t="n">
        <v>1</v>
      </c>
      <c r="H840" t="n">
        <v>5</v>
      </c>
      <c r="I840" t="n">
        <v>1</v>
      </c>
      <c r="J840" t="n">
        <v>1</v>
      </c>
      <c r="K840" t="n">
        <v>4</v>
      </c>
      <c r="L840" t="n">
        <v>5</v>
      </c>
      <c r="M840" t="n">
        <v>1</v>
      </c>
      <c r="N840" t="n">
        <v>1</v>
      </c>
      <c r="O840" t="n">
        <v>3</v>
      </c>
      <c r="P840" t="n">
        <v>2</v>
      </c>
      <c r="Q840" t="n">
        <v>4</v>
      </c>
      <c r="R840" t="n">
        <v>2</v>
      </c>
      <c r="S840" t="n">
        <v>1</v>
      </c>
      <c r="T840" t="n">
        <v>4</v>
      </c>
      <c r="U840" t="n">
        <v>1</v>
      </c>
      <c r="V840" t="n">
        <v>2</v>
      </c>
      <c r="W840">
        <f>(AVERAGE(B840:D840)-1)/4</f>
        <v/>
      </c>
      <c r="X840">
        <f>(AVERAGE(E840:G840)-1)/4</f>
        <v/>
      </c>
      <c r="Y840">
        <f>(AVERAGE(H840:J840)-1)/4</f>
        <v/>
      </c>
      <c r="Z840">
        <f>(AVERAGE(K840:M840)-1)/4</f>
        <v/>
      </c>
      <c r="AA840">
        <f>(AVERAGE(N840:P840)-1)/4</f>
        <v/>
      </c>
      <c r="AB840">
        <f>(AVERAGE(Q840:S840)-1)/4</f>
        <v/>
      </c>
      <c r="AC840">
        <f>(AVERAGE(T840:V840)-1)/4</f>
        <v/>
      </c>
      <c r="AD840">
        <f>AVERAGE(W840:AA840)</f>
        <v/>
      </c>
      <c r="AE840">
        <f>MIN(W840:AA840)</f>
        <v/>
      </c>
      <c r="AF840">
        <f>1-alpha*MAX(0,delta-AE840)</f>
        <v/>
      </c>
      <c r="AG840">
        <f>AD840*AF840</f>
        <v/>
      </c>
      <c r="AH840">
        <f>1+COUNTIF(bounds,"&lt;"&amp;ROUND(AD840,12))</f>
        <v/>
      </c>
      <c r="AI840">
        <f>1+COUNTIF(bounds,"&lt;"&amp;ROUND(AG840,12))</f>
        <v/>
      </c>
      <c r="AJ840">
        <f>IF(AF840&lt;1,1,0)</f>
        <v/>
      </c>
      <c r="AK840">
        <f>IF(AH840&lt;&gt;AI840,1,0)</f>
        <v/>
      </c>
      <c r="AL840">
        <f>IF(AND(AI840&gt;=3,AB840&lt;=0.2),1,0)</f>
        <v/>
      </c>
      <c r="AM840">
        <f>AVERAGE(W840:AB840)</f>
        <v/>
      </c>
      <c r="AN840">
        <f>1+COUNTIF(bounds,"&lt;"&amp;ROUND(AM840,12))</f>
        <v/>
      </c>
      <c r="AO840">
        <f>IF(AK840=1,AD840,NA())</f>
        <v/>
      </c>
      <c r="AP840">
        <f>IF(AK840=0,AD840,NA())</f>
        <v/>
      </c>
    </row>
    <row r="841">
      <c r="A841" t="n">
        <v>833</v>
      </c>
      <c r="B841" t="n">
        <v>2</v>
      </c>
      <c r="C841" t="n">
        <v>5</v>
      </c>
      <c r="D841" t="n">
        <v>3</v>
      </c>
      <c r="E841" t="n">
        <v>4</v>
      </c>
      <c r="F841" t="n">
        <v>3</v>
      </c>
      <c r="G841" t="n">
        <v>1</v>
      </c>
      <c r="H841" t="n">
        <v>2</v>
      </c>
      <c r="I841" t="n">
        <v>1</v>
      </c>
      <c r="J841" t="n">
        <v>2</v>
      </c>
      <c r="K841" t="n">
        <v>4</v>
      </c>
      <c r="L841" t="n">
        <v>2</v>
      </c>
      <c r="M841" t="n">
        <v>3</v>
      </c>
      <c r="N841" t="n">
        <v>2</v>
      </c>
      <c r="O841" t="n">
        <v>1</v>
      </c>
      <c r="P841" t="n">
        <v>1</v>
      </c>
      <c r="Q841" t="n">
        <v>1</v>
      </c>
      <c r="R841" t="n">
        <v>2</v>
      </c>
      <c r="S841" t="n">
        <v>3</v>
      </c>
      <c r="T841" t="n">
        <v>3</v>
      </c>
      <c r="U841" t="n">
        <v>5</v>
      </c>
      <c r="V841" t="n">
        <v>2</v>
      </c>
      <c r="W841">
        <f>(AVERAGE(B841:D841)-1)/4</f>
        <v/>
      </c>
      <c r="X841">
        <f>(AVERAGE(E841:G841)-1)/4</f>
        <v/>
      </c>
      <c r="Y841">
        <f>(AVERAGE(H841:J841)-1)/4</f>
        <v/>
      </c>
      <c r="Z841">
        <f>(AVERAGE(K841:M841)-1)/4</f>
        <v/>
      </c>
      <c r="AA841">
        <f>(AVERAGE(N841:P841)-1)/4</f>
        <v/>
      </c>
      <c r="AB841">
        <f>(AVERAGE(Q841:S841)-1)/4</f>
        <v/>
      </c>
      <c r="AC841">
        <f>(AVERAGE(T841:V841)-1)/4</f>
        <v/>
      </c>
      <c r="AD841">
        <f>AVERAGE(W841:AA841)</f>
        <v/>
      </c>
      <c r="AE841">
        <f>MIN(W841:AA841)</f>
        <v/>
      </c>
      <c r="AF841">
        <f>1-alpha*MAX(0,delta-AE841)</f>
        <v/>
      </c>
      <c r="AG841">
        <f>AD841*AF841</f>
        <v/>
      </c>
      <c r="AH841">
        <f>1+COUNTIF(bounds,"&lt;"&amp;ROUND(AD841,12))</f>
        <v/>
      </c>
      <c r="AI841">
        <f>1+COUNTIF(bounds,"&lt;"&amp;ROUND(AG841,12))</f>
        <v/>
      </c>
      <c r="AJ841">
        <f>IF(AF841&lt;1,1,0)</f>
        <v/>
      </c>
      <c r="AK841">
        <f>IF(AH841&lt;&gt;AI841,1,0)</f>
        <v/>
      </c>
      <c r="AL841">
        <f>IF(AND(AI841&gt;=3,AB841&lt;=0.2),1,0)</f>
        <v/>
      </c>
      <c r="AM841">
        <f>AVERAGE(W841:AB841)</f>
        <v/>
      </c>
      <c r="AN841">
        <f>1+COUNTIF(bounds,"&lt;"&amp;ROUND(AM841,12))</f>
        <v/>
      </c>
      <c r="AO841">
        <f>IF(AK841=1,AD841,NA())</f>
        <v/>
      </c>
      <c r="AP841">
        <f>IF(AK841=0,AD841,NA())</f>
        <v/>
      </c>
    </row>
    <row r="842">
      <c r="A842" t="n">
        <v>834</v>
      </c>
      <c r="B842" t="n">
        <v>4</v>
      </c>
      <c r="C842" t="n">
        <v>2</v>
      </c>
      <c r="D842" t="n">
        <v>2</v>
      </c>
      <c r="E842" t="n">
        <v>2</v>
      </c>
      <c r="F842" t="n">
        <v>3</v>
      </c>
      <c r="G842" t="n">
        <v>3</v>
      </c>
      <c r="H842" t="n">
        <v>2</v>
      </c>
      <c r="I842" t="n">
        <v>1</v>
      </c>
      <c r="J842" t="n">
        <v>1</v>
      </c>
      <c r="K842" t="n">
        <v>5</v>
      </c>
      <c r="L842" t="n">
        <v>4</v>
      </c>
      <c r="M842" t="n">
        <v>3</v>
      </c>
      <c r="N842" t="n">
        <v>3</v>
      </c>
      <c r="O842" t="n">
        <v>1</v>
      </c>
      <c r="P842" t="n">
        <v>5</v>
      </c>
      <c r="Q842" t="n">
        <v>4</v>
      </c>
      <c r="R842" t="n">
        <v>5</v>
      </c>
      <c r="S842" t="n">
        <v>4</v>
      </c>
      <c r="T842" t="n">
        <v>1</v>
      </c>
      <c r="U842" t="n">
        <v>2</v>
      </c>
      <c r="V842" t="n">
        <v>5</v>
      </c>
      <c r="W842">
        <f>(AVERAGE(B842:D842)-1)/4</f>
        <v/>
      </c>
      <c r="X842">
        <f>(AVERAGE(E842:G842)-1)/4</f>
        <v/>
      </c>
      <c r="Y842">
        <f>(AVERAGE(H842:J842)-1)/4</f>
        <v/>
      </c>
      <c r="Z842">
        <f>(AVERAGE(K842:M842)-1)/4</f>
        <v/>
      </c>
      <c r="AA842">
        <f>(AVERAGE(N842:P842)-1)/4</f>
        <v/>
      </c>
      <c r="AB842">
        <f>(AVERAGE(Q842:S842)-1)/4</f>
        <v/>
      </c>
      <c r="AC842">
        <f>(AVERAGE(T842:V842)-1)/4</f>
        <v/>
      </c>
      <c r="AD842">
        <f>AVERAGE(W842:AA842)</f>
        <v/>
      </c>
      <c r="AE842">
        <f>MIN(W842:AA842)</f>
        <v/>
      </c>
      <c r="AF842">
        <f>1-alpha*MAX(0,delta-AE842)</f>
        <v/>
      </c>
      <c r="AG842">
        <f>AD842*AF842</f>
        <v/>
      </c>
      <c r="AH842">
        <f>1+COUNTIF(bounds,"&lt;"&amp;ROUND(AD842,12))</f>
        <v/>
      </c>
      <c r="AI842">
        <f>1+COUNTIF(bounds,"&lt;"&amp;ROUND(AG842,12))</f>
        <v/>
      </c>
      <c r="AJ842">
        <f>IF(AF842&lt;1,1,0)</f>
        <v/>
      </c>
      <c r="AK842">
        <f>IF(AH842&lt;&gt;AI842,1,0)</f>
        <v/>
      </c>
      <c r="AL842">
        <f>IF(AND(AI842&gt;=3,AB842&lt;=0.2),1,0)</f>
        <v/>
      </c>
      <c r="AM842">
        <f>AVERAGE(W842:AB842)</f>
        <v/>
      </c>
      <c r="AN842">
        <f>1+COUNTIF(bounds,"&lt;"&amp;ROUND(AM842,12))</f>
        <v/>
      </c>
      <c r="AO842">
        <f>IF(AK842=1,AD842,NA())</f>
        <v/>
      </c>
      <c r="AP842">
        <f>IF(AK842=0,AD842,NA())</f>
        <v/>
      </c>
    </row>
    <row r="843">
      <c r="A843" t="n">
        <v>835</v>
      </c>
      <c r="B843" t="n">
        <v>1</v>
      </c>
      <c r="C843" t="n">
        <v>2</v>
      </c>
      <c r="D843" t="n">
        <v>3</v>
      </c>
      <c r="E843" t="n">
        <v>5</v>
      </c>
      <c r="F843" t="n">
        <v>5</v>
      </c>
      <c r="G843" t="n">
        <v>1</v>
      </c>
      <c r="H843" t="n">
        <v>4</v>
      </c>
      <c r="I843" t="n">
        <v>2</v>
      </c>
      <c r="J843" t="n">
        <v>5</v>
      </c>
      <c r="K843" t="n">
        <v>4</v>
      </c>
      <c r="L843" t="n">
        <v>2</v>
      </c>
      <c r="M843" t="n">
        <v>5</v>
      </c>
      <c r="N843" t="n">
        <v>2</v>
      </c>
      <c r="O843" t="n">
        <v>5</v>
      </c>
      <c r="P843" t="n">
        <v>5</v>
      </c>
      <c r="Q843" t="n">
        <v>4</v>
      </c>
      <c r="R843" t="n">
        <v>4</v>
      </c>
      <c r="S843" t="n">
        <v>3</v>
      </c>
      <c r="T843" t="n">
        <v>5</v>
      </c>
      <c r="U843" t="n">
        <v>4</v>
      </c>
      <c r="V843" t="n">
        <v>3</v>
      </c>
      <c r="W843">
        <f>(AVERAGE(B843:D843)-1)/4</f>
        <v/>
      </c>
      <c r="X843">
        <f>(AVERAGE(E843:G843)-1)/4</f>
        <v/>
      </c>
      <c r="Y843">
        <f>(AVERAGE(H843:J843)-1)/4</f>
        <v/>
      </c>
      <c r="Z843">
        <f>(AVERAGE(K843:M843)-1)/4</f>
        <v/>
      </c>
      <c r="AA843">
        <f>(AVERAGE(N843:P843)-1)/4</f>
        <v/>
      </c>
      <c r="AB843">
        <f>(AVERAGE(Q843:S843)-1)/4</f>
        <v/>
      </c>
      <c r="AC843">
        <f>(AVERAGE(T843:V843)-1)/4</f>
        <v/>
      </c>
      <c r="AD843">
        <f>AVERAGE(W843:AA843)</f>
        <v/>
      </c>
      <c r="AE843">
        <f>MIN(W843:AA843)</f>
        <v/>
      </c>
      <c r="AF843">
        <f>1-alpha*MAX(0,delta-AE843)</f>
        <v/>
      </c>
      <c r="AG843">
        <f>AD843*AF843</f>
        <v/>
      </c>
      <c r="AH843">
        <f>1+COUNTIF(bounds,"&lt;"&amp;ROUND(AD843,12))</f>
        <v/>
      </c>
      <c r="AI843">
        <f>1+COUNTIF(bounds,"&lt;"&amp;ROUND(AG843,12))</f>
        <v/>
      </c>
      <c r="AJ843">
        <f>IF(AF843&lt;1,1,0)</f>
        <v/>
      </c>
      <c r="AK843">
        <f>IF(AH843&lt;&gt;AI843,1,0)</f>
        <v/>
      </c>
      <c r="AL843">
        <f>IF(AND(AI843&gt;=3,AB843&lt;=0.2),1,0)</f>
        <v/>
      </c>
      <c r="AM843">
        <f>AVERAGE(W843:AB843)</f>
        <v/>
      </c>
      <c r="AN843">
        <f>1+COUNTIF(bounds,"&lt;"&amp;ROUND(AM843,12))</f>
        <v/>
      </c>
      <c r="AO843">
        <f>IF(AK843=1,AD843,NA())</f>
        <v/>
      </c>
      <c r="AP843">
        <f>IF(AK843=0,AD843,NA())</f>
        <v/>
      </c>
    </row>
    <row r="844">
      <c r="A844" t="n">
        <v>836</v>
      </c>
      <c r="B844" t="n">
        <v>3</v>
      </c>
      <c r="C844" t="n">
        <v>4</v>
      </c>
      <c r="D844" t="n">
        <v>2</v>
      </c>
      <c r="E844" t="n">
        <v>2</v>
      </c>
      <c r="F844" t="n">
        <v>1</v>
      </c>
      <c r="G844" t="n">
        <v>5</v>
      </c>
      <c r="H844" t="n">
        <v>3</v>
      </c>
      <c r="I844" t="n">
        <v>3</v>
      </c>
      <c r="J844" t="n">
        <v>3</v>
      </c>
      <c r="K844" t="n">
        <v>4</v>
      </c>
      <c r="L844" t="n">
        <v>3</v>
      </c>
      <c r="M844" t="n">
        <v>5</v>
      </c>
      <c r="N844" t="n">
        <v>4</v>
      </c>
      <c r="O844" t="n">
        <v>1</v>
      </c>
      <c r="P844" t="n">
        <v>2</v>
      </c>
      <c r="Q844" t="n">
        <v>1</v>
      </c>
      <c r="R844" t="n">
        <v>5</v>
      </c>
      <c r="S844" t="n">
        <v>4</v>
      </c>
      <c r="T844" t="n">
        <v>5</v>
      </c>
      <c r="U844" t="n">
        <v>5</v>
      </c>
      <c r="V844" t="n">
        <v>5</v>
      </c>
      <c r="W844">
        <f>(AVERAGE(B844:D844)-1)/4</f>
        <v/>
      </c>
      <c r="X844">
        <f>(AVERAGE(E844:G844)-1)/4</f>
        <v/>
      </c>
      <c r="Y844">
        <f>(AVERAGE(H844:J844)-1)/4</f>
        <v/>
      </c>
      <c r="Z844">
        <f>(AVERAGE(K844:M844)-1)/4</f>
        <v/>
      </c>
      <c r="AA844">
        <f>(AVERAGE(N844:P844)-1)/4</f>
        <v/>
      </c>
      <c r="AB844">
        <f>(AVERAGE(Q844:S844)-1)/4</f>
        <v/>
      </c>
      <c r="AC844">
        <f>(AVERAGE(T844:V844)-1)/4</f>
        <v/>
      </c>
      <c r="AD844">
        <f>AVERAGE(W844:AA844)</f>
        <v/>
      </c>
      <c r="AE844">
        <f>MIN(W844:AA844)</f>
        <v/>
      </c>
      <c r="AF844">
        <f>1-alpha*MAX(0,delta-AE844)</f>
        <v/>
      </c>
      <c r="AG844">
        <f>AD844*AF844</f>
        <v/>
      </c>
      <c r="AH844">
        <f>1+COUNTIF(bounds,"&lt;"&amp;ROUND(AD844,12))</f>
        <v/>
      </c>
      <c r="AI844">
        <f>1+COUNTIF(bounds,"&lt;"&amp;ROUND(AG844,12))</f>
        <v/>
      </c>
      <c r="AJ844">
        <f>IF(AF844&lt;1,1,0)</f>
        <v/>
      </c>
      <c r="AK844">
        <f>IF(AH844&lt;&gt;AI844,1,0)</f>
        <v/>
      </c>
      <c r="AL844">
        <f>IF(AND(AI844&gt;=3,AB844&lt;=0.2),1,0)</f>
        <v/>
      </c>
      <c r="AM844">
        <f>AVERAGE(W844:AB844)</f>
        <v/>
      </c>
      <c r="AN844">
        <f>1+COUNTIF(bounds,"&lt;"&amp;ROUND(AM844,12))</f>
        <v/>
      </c>
      <c r="AO844">
        <f>IF(AK844=1,AD844,NA())</f>
        <v/>
      </c>
      <c r="AP844">
        <f>IF(AK844=0,AD844,NA())</f>
        <v/>
      </c>
    </row>
    <row r="845">
      <c r="A845" t="n">
        <v>837</v>
      </c>
      <c r="B845" t="n">
        <v>1</v>
      </c>
      <c r="C845" t="n">
        <v>4</v>
      </c>
      <c r="D845" t="n">
        <v>1</v>
      </c>
      <c r="E845" t="n">
        <v>4</v>
      </c>
      <c r="F845" t="n">
        <v>5</v>
      </c>
      <c r="G845" t="n">
        <v>5</v>
      </c>
      <c r="H845" t="n">
        <v>1</v>
      </c>
      <c r="I845" t="n">
        <v>4</v>
      </c>
      <c r="J845" t="n">
        <v>1</v>
      </c>
      <c r="K845" t="n">
        <v>5</v>
      </c>
      <c r="L845" t="n">
        <v>4</v>
      </c>
      <c r="M845" t="n">
        <v>5</v>
      </c>
      <c r="N845" t="n">
        <v>3</v>
      </c>
      <c r="O845" t="n">
        <v>3</v>
      </c>
      <c r="P845" t="n">
        <v>3</v>
      </c>
      <c r="Q845" t="n">
        <v>2</v>
      </c>
      <c r="R845" t="n">
        <v>1</v>
      </c>
      <c r="S845" t="n">
        <v>2</v>
      </c>
      <c r="T845" t="n">
        <v>4</v>
      </c>
      <c r="U845" t="n">
        <v>3</v>
      </c>
      <c r="V845" t="n">
        <v>5</v>
      </c>
      <c r="W845">
        <f>(AVERAGE(B845:D845)-1)/4</f>
        <v/>
      </c>
      <c r="X845">
        <f>(AVERAGE(E845:G845)-1)/4</f>
        <v/>
      </c>
      <c r="Y845">
        <f>(AVERAGE(H845:J845)-1)/4</f>
        <v/>
      </c>
      <c r="Z845">
        <f>(AVERAGE(K845:M845)-1)/4</f>
        <v/>
      </c>
      <c r="AA845">
        <f>(AVERAGE(N845:P845)-1)/4</f>
        <v/>
      </c>
      <c r="AB845">
        <f>(AVERAGE(Q845:S845)-1)/4</f>
        <v/>
      </c>
      <c r="AC845">
        <f>(AVERAGE(T845:V845)-1)/4</f>
        <v/>
      </c>
      <c r="AD845">
        <f>AVERAGE(W845:AA845)</f>
        <v/>
      </c>
      <c r="AE845">
        <f>MIN(W845:AA845)</f>
        <v/>
      </c>
      <c r="AF845">
        <f>1-alpha*MAX(0,delta-AE845)</f>
        <v/>
      </c>
      <c r="AG845">
        <f>AD845*AF845</f>
        <v/>
      </c>
      <c r="AH845">
        <f>1+COUNTIF(bounds,"&lt;"&amp;ROUND(AD845,12))</f>
        <v/>
      </c>
      <c r="AI845">
        <f>1+COUNTIF(bounds,"&lt;"&amp;ROUND(AG845,12))</f>
        <v/>
      </c>
      <c r="AJ845">
        <f>IF(AF845&lt;1,1,0)</f>
        <v/>
      </c>
      <c r="AK845">
        <f>IF(AH845&lt;&gt;AI845,1,0)</f>
        <v/>
      </c>
      <c r="AL845">
        <f>IF(AND(AI845&gt;=3,AB845&lt;=0.2),1,0)</f>
        <v/>
      </c>
      <c r="AM845">
        <f>AVERAGE(W845:AB845)</f>
        <v/>
      </c>
      <c r="AN845">
        <f>1+COUNTIF(bounds,"&lt;"&amp;ROUND(AM845,12))</f>
        <v/>
      </c>
      <c r="AO845">
        <f>IF(AK845=1,AD845,NA())</f>
        <v/>
      </c>
      <c r="AP845">
        <f>IF(AK845=0,AD845,NA())</f>
        <v/>
      </c>
    </row>
    <row r="846">
      <c r="A846" t="n">
        <v>838</v>
      </c>
      <c r="B846" t="n">
        <v>5</v>
      </c>
      <c r="C846" t="n">
        <v>4</v>
      </c>
      <c r="D846" t="n">
        <v>3</v>
      </c>
      <c r="E846" t="n">
        <v>3</v>
      </c>
      <c r="F846" t="n">
        <v>3</v>
      </c>
      <c r="G846" t="n">
        <v>3</v>
      </c>
      <c r="H846" t="n">
        <v>5</v>
      </c>
      <c r="I846" t="n">
        <v>4</v>
      </c>
      <c r="J846" t="n">
        <v>1</v>
      </c>
      <c r="K846" t="n">
        <v>4</v>
      </c>
      <c r="L846" t="n">
        <v>5</v>
      </c>
      <c r="M846" t="n">
        <v>1</v>
      </c>
      <c r="N846" t="n">
        <v>5</v>
      </c>
      <c r="O846" t="n">
        <v>1</v>
      </c>
      <c r="P846" t="n">
        <v>2</v>
      </c>
      <c r="Q846" t="n">
        <v>3</v>
      </c>
      <c r="R846" t="n">
        <v>2</v>
      </c>
      <c r="S846" t="n">
        <v>1</v>
      </c>
      <c r="T846" t="n">
        <v>4</v>
      </c>
      <c r="U846" t="n">
        <v>4</v>
      </c>
      <c r="V846" t="n">
        <v>3</v>
      </c>
      <c r="W846">
        <f>(AVERAGE(B846:D846)-1)/4</f>
        <v/>
      </c>
      <c r="X846">
        <f>(AVERAGE(E846:G846)-1)/4</f>
        <v/>
      </c>
      <c r="Y846">
        <f>(AVERAGE(H846:J846)-1)/4</f>
        <v/>
      </c>
      <c r="Z846">
        <f>(AVERAGE(K846:M846)-1)/4</f>
        <v/>
      </c>
      <c r="AA846">
        <f>(AVERAGE(N846:P846)-1)/4</f>
        <v/>
      </c>
      <c r="AB846">
        <f>(AVERAGE(Q846:S846)-1)/4</f>
        <v/>
      </c>
      <c r="AC846">
        <f>(AVERAGE(T846:V846)-1)/4</f>
        <v/>
      </c>
      <c r="AD846">
        <f>AVERAGE(W846:AA846)</f>
        <v/>
      </c>
      <c r="AE846">
        <f>MIN(W846:AA846)</f>
        <v/>
      </c>
      <c r="AF846">
        <f>1-alpha*MAX(0,delta-AE846)</f>
        <v/>
      </c>
      <c r="AG846">
        <f>AD846*AF846</f>
        <v/>
      </c>
      <c r="AH846">
        <f>1+COUNTIF(bounds,"&lt;"&amp;ROUND(AD846,12))</f>
        <v/>
      </c>
      <c r="AI846">
        <f>1+COUNTIF(bounds,"&lt;"&amp;ROUND(AG846,12))</f>
        <v/>
      </c>
      <c r="AJ846">
        <f>IF(AF846&lt;1,1,0)</f>
        <v/>
      </c>
      <c r="AK846">
        <f>IF(AH846&lt;&gt;AI846,1,0)</f>
        <v/>
      </c>
      <c r="AL846">
        <f>IF(AND(AI846&gt;=3,AB846&lt;=0.2),1,0)</f>
        <v/>
      </c>
      <c r="AM846">
        <f>AVERAGE(W846:AB846)</f>
        <v/>
      </c>
      <c r="AN846">
        <f>1+COUNTIF(bounds,"&lt;"&amp;ROUND(AM846,12))</f>
        <v/>
      </c>
      <c r="AO846">
        <f>IF(AK846=1,AD846,NA())</f>
        <v/>
      </c>
      <c r="AP846">
        <f>IF(AK846=0,AD846,NA())</f>
        <v/>
      </c>
    </row>
    <row r="847">
      <c r="A847" t="n">
        <v>839</v>
      </c>
      <c r="B847" t="n">
        <v>1</v>
      </c>
      <c r="C847" t="n">
        <v>3</v>
      </c>
      <c r="D847" t="n">
        <v>1</v>
      </c>
      <c r="E847" t="n">
        <v>5</v>
      </c>
      <c r="F847" t="n">
        <v>3</v>
      </c>
      <c r="G847" t="n">
        <v>5</v>
      </c>
      <c r="H847" t="n">
        <v>1</v>
      </c>
      <c r="I847" t="n">
        <v>4</v>
      </c>
      <c r="J847" t="n">
        <v>5</v>
      </c>
      <c r="K847" t="n">
        <v>5</v>
      </c>
      <c r="L847" t="n">
        <v>2</v>
      </c>
      <c r="M847" t="n">
        <v>2</v>
      </c>
      <c r="N847" t="n">
        <v>3</v>
      </c>
      <c r="O847" t="n">
        <v>5</v>
      </c>
      <c r="P847" t="n">
        <v>3</v>
      </c>
      <c r="Q847" t="n">
        <v>5</v>
      </c>
      <c r="R847" t="n">
        <v>4</v>
      </c>
      <c r="S847" t="n">
        <v>5</v>
      </c>
      <c r="T847" t="n">
        <v>3</v>
      </c>
      <c r="U847" t="n">
        <v>1</v>
      </c>
      <c r="V847" t="n">
        <v>2</v>
      </c>
      <c r="W847">
        <f>(AVERAGE(B847:D847)-1)/4</f>
        <v/>
      </c>
      <c r="X847">
        <f>(AVERAGE(E847:G847)-1)/4</f>
        <v/>
      </c>
      <c r="Y847">
        <f>(AVERAGE(H847:J847)-1)/4</f>
        <v/>
      </c>
      <c r="Z847">
        <f>(AVERAGE(K847:M847)-1)/4</f>
        <v/>
      </c>
      <c r="AA847">
        <f>(AVERAGE(N847:P847)-1)/4</f>
        <v/>
      </c>
      <c r="AB847">
        <f>(AVERAGE(Q847:S847)-1)/4</f>
        <v/>
      </c>
      <c r="AC847">
        <f>(AVERAGE(T847:V847)-1)/4</f>
        <v/>
      </c>
      <c r="AD847">
        <f>AVERAGE(W847:AA847)</f>
        <v/>
      </c>
      <c r="AE847">
        <f>MIN(W847:AA847)</f>
        <v/>
      </c>
      <c r="AF847">
        <f>1-alpha*MAX(0,delta-AE847)</f>
        <v/>
      </c>
      <c r="AG847">
        <f>AD847*AF847</f>
        <v/>
      </c>
      <c r="AH847">
        <f>1+COUNTIF(bounds,"&lt;"&amp;ROUND(AD847,12))</f>
        <v/>
      </c>
      <c r="AI847">
        <f>1+COUNTIF(bounds,"&lt;"&amp;ROUND(AG847,12))</f>
        <v/>
      </c>
      <c r="AJ847">
        <f>IF(AF847&lt;1,1,0)</f>
        <v/>
      </c>
      <c r="AK847">
        <f>IF(AH847&lt;&gt;AI847,1,0)</f>
        <v/>
      </c>
      <c r="AL847">
        <f>IF(AND(AI847&gt;=3,AB847&lt;=0.2),1,0)</f>
        <v/>
      </c>
      <c r="AM847">
        <f>AVERAGE(W847:AB847)</f>
        <v/>
      </c>
      <c r="AN847">
        <f>1+COUNTIF(bounds,"&lt;"&amp;ROUND(AM847,12))</f>
        <v/>
      </c>
      <c r="AO847">
        <f>IF(AK847=1,AD847,NA())</f>
        <v/>
      </c>
      <c r="AP847">
        <f>IF(AK847=0,AD847,NA())</f>
        <v/>
      </c>
    </row>
    <row r="848">
      <c r="A848" t="n">
        <v>840</v>
      </c>
      <c r="B848" t="n">
        <v>5</v>
      </c>
      <c r="C848" t="n">
        <v>3</v>
      </c>
      <c r="D848" t="n">
        <v>4</v>
      </c>
      <c r="E848" t="n">
        <v>3</v>
      </c>
      <c r="F848" t="n">
        <v>1</v>
      </c>
      <c r="G848" t="n">
        <v>5</v>
      </c>
      <c r="H848" t="n">
        <v>3</v>
      </c>
      <c r="I848" t="n">
        <v>1</v>
      </c>
      <c r="J848" t="n">
        <v>2</v>
      </c>
      <c r="K848" t="n">
        <v>1</v>
      </c>
      <c r="L848" t="n">
        <v>2</v>
      </c>
      <c r="M848" t="n">
        <v>5</v>
      </c>
      <c r="N848" t="n">
        <v>5</v>
      </c>
      <c r="O848" t="n">
        <v>5</v>
      </c>
      <c r="P848" t="n">
        <v>4</v>
      </c>
      <c r="Q848" t="n">
        <v>1</v>
      </c>
      <c r="R848" t="n">
        <v>5</v>
      </c>
      <c r="S848" t="n">
        <v>2</v>
      </c>
      <c r="T848" t="n">
        <v>4</v>
      </c>
      <c r="U848" t="n">
        <v>1</v>
      </c>
      <c r="V848" t="n">
        <v>5</v>
      </c>
      <c r="W848">
        <f>(AVERAGE(B848:D848)-1)/4</f>
        <v/>
      </c>
      <c r="X848">
        <f>(AVERAGE(E848:G848)-1)/4</f>
        <v/>
      </c>
      <c r="Y848">
        <f>(AVERAGE(H848:J848)-1)/4</f>
        <v/>
      </c>
      <c r="Z848">
        <f>(AVERAGE(K848:M848)-1)/4</f>
        <v/>
      </c>
      <c r="AA848">
        <f>(AVERAGE(N848:P848)-1)/4</f>
        <v/>
      </c>
      <c r="AB848">
        <f>(AVERAGE(Q848:S848)-1)/4</f>
        <v/>
      </c>
      <c r="AC848">
        <f>(AVERAGE(T848:V848)-1)/4</f>
        <v/>
      </c>
      <c r="AD848">
        <f>AVERAGE(W848:AA848)</f>
        <v/>
      </c>
      <c r="AE848">
        <f>MIN(W848:AA848)</f>
        <v/>
      </c>
      <c r="AF848">
        <f>1-alpha*MAX(0,delta-AE848)</f>
        <v/>
      </c>
      <c r="AG848">
        <f>AD848*AF848</f>
        <v/>
      </c>
      <c r="AH848">
        <f>1+COUNTIF(bounds,"&lt;"&amp;ROUND(AD848,12))</f>
        <v/>
      </c>
      <c r="AI848">
        <f>1+COUNTIF(bounds,"&lt;"&amp;ROUND(AG848,12))</f>
        <v/>
      </c>
      <c r="AJ848">
        <f>IF(AF848&lt;1,1,0)</f>
        <v/>
      </c>
      <c r="AK848">
        <f>IF(AH848&lt;&gt;AI848,1,0)</f>
        <v/>
      </c>
      <c r="AL848">
        <f>IF(AND(AI848&gt;=3,AB848&lt;=0.2),1,0)</f>
        <v/>
      </c>
      <c r="AM848">
        <f>AVERAGE(W848:AB848)</f>
        <v/>
      </c>
      <c r="AN848">
        <f>1+COUNTIF(bounds,"&lt;"&amp;ROUND(AM848,12))</f>
        <v/>
      </c>
      <c r="AO848">
        <f>IF(AK848=1,AD848,NA())</f>
        <v/>
      </c>
      <c r="AP848">
        <f>IF(AK848=0,AD848,NA())</f>
        <v/>
      </c>
    </row>
    <row r="849">
      <c r="A849" t="n">
        <v>841</v>
      </c>
      <c r="B849" t="n">
        <v>1</v>
      </c>
      <c r="C849" t="n">
        <v>3</v>
      </c>
      <c r="D849" t="n">
        <v>1</v>
      </c>
      <c r="E849" t="n">
        <v>1</v>
      </c>
      <c r="F849" t="n">
        <v>2</v>
      </c>
      <c r="G849" t="n">
        <v>3</v>
      </c>
      <c r="H849" t="n">
        <v>4</v>
      </c>
      <c r="I849" t="n">
        <v>3</v>
      </c>
      <c r="J849" t="n">
        <v>4</v>
      </c>
      <c r="K849" t="n">
        <v>4</v>
      </c>
      <c r="L849" t="n">
        <v>5</v>
      </c>
      <c r="M849" t="n">
        <v>4</v>
      </c>
      <c r="N849" t="n">
        <v>4</v>
      </c>
      <c r="O849" t="n">
        <v>1</v>
      </c>
      <c r="P849" t="n">
        <v>1</v>
      </c>
      <c r="Q849" t="n">
        <v>5</v>
      </c>
      <c r="R849" t="n">
        <v>5</v>
      </c>
      <c r="S849" t="n">
        <v>1</v>
      </c>
      <c r="T849" t="n">
        <v>2</v>
      </c>
      <c r="U849" t="n">
        <v>5</v>
      </c>
      <c r="V849" t="n">
        <v>2</v>
      </c>
      <c r="W849">
        <f>(AVERAGE(B849:D849)-1)/4</f>
        <v/>
      </c>
      <c r="X849">
        <f>(AVERAGE(E849:G849)-1)/4</f>
        <v/>
      </c>
      <c r="Y849">
        <f>(AVERAGE(H849:J849)-1)/4</f>
        <v/>
      </c>
      <c r="Z849">
        <f>(AVERAGE(K849:M849)-1)/4</f>
        <v/>
      </c>
      <c r="AA849">
        <f>(AVERAGE(N849:P849)-1)/4</f>
        <v/>
      </c>
      <c r="AB849">
        <f>(AVERAGE(Q849:S849)-1)/4</f>
        <v/>
      </c>
      <c r="AC849">
        <f>(AVERAGE(T849:V849)-1)/4</f>
        <v/>
      </c>
      <c r="AD849">
        <f>AVERAGE(W849:AA849)</f>
        <v/>
      </c>
      <c r="AE849">
        <f>MIN(W849:AA849)</f>
        <v/>
      </c>
      <c r="AF849">
        <f>1-alpha*MAX(0,delta-AE849)</f>
        <v/>
      </c>
      <c r="AG849">
        <f>AD849*AF849</f>
        <v/>
      </c>
      <c r="AH849">
        <f>1+COUNTIF(bounds,"&lt;"&amp;ROUND(AD849,12))</f>
        <v/>
      </c>
      <c r="AI849">
        <f>1+COUNTIF(bounds,"&lt;"&amp;ROUND(AG849,12))</f>
        <v/>
      </c>
      <c r="AJ849">
        <f>IF(AF849&lt;1,1,0)</f>
        <v/>
      </c>
      <c r="AK849">
        <f>IF(AH849&lt;&gt;AI849,1,0)</f>
        <v/>
      </c>
      <c r="AL849">
        <f>IF(AND(AI849&gt;=3,AB849&lt;=0.2),1,0)</f>
        <v/>
      </c>
      <c r="AM849">
        <f>AVERAGE(W849:AB849)</f>
        <v/>
      </c>
      <c r="AN849">
        <f>1+COUNTIF(bounds,"&lt;"&amp;ROUND(AM849,12))</f>
        <v/>
      </c>
      <c r="AO849">
        <f>IF(AK849=1,AD849,NA())</f>
        <v/>
      </c>
      <c r="AP849">
        <f>IF(AK849=0,AD849,NA())</f>
        <v/>
      </c>
    </row>
    <row r="850">
      <c r="A850" t="n">
        <v>842</v>
      </c>
      <c r="B850" t="n">
        <v>3</v>
      </c>
      <c r="C850" t="n">
        <v>5</v>
      </c>
      <c r="D850" t="n">
        <v>3</v>
      </c>
      <c r="E850" t="n">
        <v>1</v>
      </c>
      <c r="F850" t="n">
        <v>2</v>
      </c>
      <c r="G850" t="n">
        <v>4</v>
      </c>
      <c r="H850" t="n">
        <v>4</v>
      </c>
      <c r="I850" t="n">
        <v>4</v>
      </c>
      <c r="J850" t="n">
        <v>1</v>
      </c>
      <c r="K850" t="n">
        <v>3</v>
      </c>
      <c r="L850" t="n">
        <v>5</v>
      </c>
      <c r="M850" t="n">
        <v>3</v>
      </c>
      <c r="N850" t="n">
        <v>4</v>
      </c>
      <c r="O850" t="n">
        <v>1</v>
      </c>
      <c r="P850" t="n">
        <v>2</v>
      </c>
      <c r="Q850" t="n">
        <v>4</v>
      </c>
      <c r="R850" t="n">
        <v>1</v>
      </c>
      <c r="S850" t="n">
        <v>4</v>
      </c>
      <c r="T850" t="n">
        <v>5</v>
      </c>
      <c r="U850" t="n">
        <v>3</v>
      </c>
      <c r="V850" t="n">
        <v>5</v>
      </c>
      <c r="W850">
        <f>(AVERAGE(B850:D850)-1)/4</f>
        <v/>
      </c>
      <c r="X850">
        <f>(AVERAGE(E850:G850)-1)/4</f>
        <v/>
      </c>
      <c r="Y850">
        <f>(AVERAGE(H850:J850)-1)/4</f>
        <v/>
      </c>
      <c r="Z850">
        <f>(AVERAGE(K850:M850)-1)/4</f>
        <v/>
      </c>
      <c r="AA850">
        <f>(AVERAGE(N850:P850)-1)/4</f>
        <v/>
      </c>
      <c r="AB850">
        <f>(AVERAGE(Q850:S850)-1)/4</f>
        <v/>
      </c>
      <c r="AC850">
        <f>(AVERAGE(T850:V850)-1)/4</f>
        <v/>
      </c>
      <c r="AD850">
        <f>AVERAGE(W850:AA850)</f>
        <v/>
      </c>
      <c r="AE850">
        <f>MIN(W850:AA850)</f>
        <v/>
      </c>
      <c r="AF850">
        <f>1-alpha*MAX(0,delta-AE850)</f>
        <v/>
      </c>
      <c r="AG850">
        <f>AD850*AF850</f>
        <v/>
      </c>
      <c r="AH850">
        <f>1+COUNTIF(bounds,"&lt;"&amp;ROUND(AD850,12))</f>
        <v/>
      </c>
      <c r="AI850">
        <f>1+COUNTIF(bounds,"&lt;"&amp;ROUND(AG850,12))</f>
        <v/>
      </c>
      <c r="AJ850">
        <f>IF(AF850&lt;1,1,0)</f>
        <v/>
      </c>
      <c r="AK850">
        <f>IF(AH850&lt;&gt;AI850,1,0)</f>
        <v/>
      </c>
      <c r="AL850">
        <f>IF(AND(AI850&gt;=3,AB850&lt;=0.2),1,0)</f>
        <v/>
      </c>
      <c r="AM850">
        <f>AVERAGE(W850:AB850)</f>
        <v/>
      </c>
      <c r="AN850">
        <f>1+COUNTIF(bounds,"&lt;"&amp;ROUND(AM850,12))</f>
        <v/>
      </c>
      <c r="AO850">
        <f>IF(AK850=1,AD850,NA())</f>
        <v/>
      </c>
      <c r="AP850">
        <f>IF(AK850=0,AD850,NA())</f>
        <v/>
      </c>
    </row>
    <row r="851">
      <c r="A851" t="n">
        <v>843</v>
      </c>
      <c r="B851" t="n">
        <v>4</v>
      </c>
      <c r="C851" t="n">
        <v>1</v>
      </c>
      <c r="D851" t="n">
        <v>2</v>
      </c>
      <c r="E851" t="n">
        <v>1</v>
      </c>
      <c r="F851" t="n">
        <v>3</v>
      </c>
      <c r="G851" t="n">
        <v>5</v>
      </c>
      <c r="H851" t="n">
        <v>5</v>
      </c>
      <c r="I851" t="n">
        <v>5</v>
      </c>
      <c r="J851" t="n">
        <v>3</v>
      </c>
      <c r="K851" t="n">
        <v>5</v>
      </c>
      <c r="L851" t="n">
        <v>1</v>
      </c>
      <c r="M851" t="n">
        <v>4</v>
      </c>
      <c r="N851" t="n">
        <v>2</v>
      </c>
      <c r="O851" t="n">
        <v>5</v>
      </c>
      <c r="P851" t="n">
        <v>5</v>
      </c>
      <c r="Q851" t="n">
        <v>1</v>
      </c>
      <c r="R851" t="n">
        <v>5</v>
      </c>
      <c r="S851" t="n">
        <v>4</v>
      </c>
      <c r="T851" t="n">
        <v>2</v>
      </c>
      <c r="U851" t="n">
        <v>1</v>
      </c>
      <c r="V851" t="n">
        <v>1</v>
      </c>
      <c r="W851">
        <f>(AVERAGE(B851:D851)-1)/4</f>
        <v/>
      </c>
      <c r="X851">
        <f>(AVERAGE(E851:G851)-1)/4</f>
        <v/>
      </c>
      <c r="Y851">
        <f>(AVERAGE(H851:J851)-1)/4</f>
        <v/>
      </c>
      <c r="Z851">
        <f>(AVERAGE(K851:M851)-1)/4</f>
        <v/>
      </c>
      <c r="AA851">
        <f>(AVERAGE(N851:P851)-1)/4</f>
        <v/>
      </c>
      <c r="AB851">
        <f>(AVERAGE(Q851:S851)-1)/4</f>
        <v/>
      </c>
      <c r="AC851">
        <f>(AVERAGE(T851:V851)-1)/4</f>
        <v/>
      </c>
      <c r="AD851">
        <f>AVERAGE(W851:AA851)</f>
        <v/>
      </c>
      <c r="AE851">
        <f>MIN(W851:AA851)</f>
        <v/>
      </c>
      <c r="AF851">
        <f>1-alpha*MAX(0,delta-AE851)</f>
        <v/>
      </c>
      <c r="AG851">
        <f>AD851*AF851</f>
        <v/>
      </c>
      <c r="AH851">
        <f>1+COUNTIF(bounds,"&lt;"&amp;ROUND(AD851,12))</f>
        <v/>
      </c>
      <c r="AI851">
        <f>1+COUNTIF(bounds,"&lt;"&amp;ROUND(AG851,12))</f>
        <v/>
      </c>
      <c r="AJ851">
        <f>IF(AF851&lt;1,1,0)</f>
        <v/>
      </c>
      <c r="AK851">
        <f>IF(AH851&lt;&gt;AI851,1,0)</f>
        <v/>
      </c>
      <c r="AL851">
        <f>IF(AND(AI851&gt;=3,AB851&lt;=0.2),1,0)</f>
        <v/>
      </c>
      <c r="AM851">
        <f>AVERAGE(W851:AB851)</f>
        <v/>
      </c>
      <c r="AN851">
        <f>1+COUNTIF(bounds,"&lt;"&amp;ROUND(AM851,12))</f>
        <v/>
      </c>
      <c r="AO851">
        <f>IF(AK851=1,AD851,NA())</f>
        <v/>
      </c>
      <c r="AP851">
        <f>IF(AK851=0,AD851,NA())</f>
        <v/>
      </c>
    </row>
    <row r="852">
      <c r="A852" t="n">
        <v>844</v>
      </c>
      <c r="B852" t="n">
        <v>1</v>
      </c>
      <c r="C852" t="n">
        <v>1</v>
      </c>
      <c r="D852" t="n">
        <v>1</v>
      </c>
      <c r="E852" t="n">
        <v>4</v>
      </c>
      <c r="F852" t="n">
        <v>1</v>
      </c>
      <c r="G852" t="n">
        <v>1</v>
      </c>
      <c r="H852" t="n">
        <v>3</v>
      </c>
      <c r="I852" t="n">
        <v>3</v>
      </c>
      <c r="J852" t="n">
        <v>1</v>
      </c>
      <c r="K852" t="n">
        <v>1</v>
      </c>
      <c r="L852" t="n">
        <v>2</v>
      </c>
      <c r="M852" t="n">
        <v>1</v>
      </c>
      <c r="N852" t="n">
        <v>3</v>
      </c>
      <c r="O852" t="n">
        <v>5</v>
      </c>
      <c r="P852" t="n">
        <v>2</v>
      </c>
      <c r="Q852" t="n">
        <v>5</v>
      </c>
      <c r="R852" t="n">
        <v>4</v>
      </c>
      <c r="S852" t="n">
        <v>1</v>
      </c>
      <c r="T852" t="n">
        <v>4</v>
      </c>
      <c r="U852" t="n">
        <v>5</v>
      </c>
      <c r="V852" t="n">
        <v>1</v>
      </c>
      <c r="W852">
        <f>(AVERAGE(B852:D852)-1)/4</f>
        <v/>
      </c>
      <c r="X852">
        <f>(AVERAGE(E852:G852)-1)/4</f>
        <v/>
      </c>
      <c r="Y852">
        <f>(AVERAGE(H852:J852)-1)/4</f>
        <v/>
      </c>
      <c r="Z852">
        <f>(AVERAGE(K852:M852)-1)/4</f>
        <v/>
      </c>
      <c r="AA852">
        <f>(AVERAGE(N852:P852)-1)/4</f>
        <v/>
      </c>
      <c r="AB852">
        <f>(AVERAGE(Q852:S852)-1)/4</f>
        <v/>
      </c>
      <c r="AC852">
        <f>(AVERAGE(T852:V852)-1)/4</f>
        <v/>
      </c>
      <c r="AD852">
        <f>AVERAGE(W852:AA852)</f>
        <v/>
      </c>
      <c r="AE852">
        <f>MIN(W852:AA852)</f>
        <v/>
      </c>
      <c r="AF852">
        <f>1-alpha*MAX(0,delta-AE852)</f>
        <v/>
      </c>
      <c r="AG852">
        <f>AD852*AF852</f>
        <v/>
      </c>
      <c r="AH852">
        <f>1+COUNTIF(bounds,"&lt;"&amp;ROUND(AD852,12))</f>
        <v/>
      </c>
      <c r="AI852">
        <f>1+COUNTIF(bounds,"&lt;"&amp;ROUND(AG852,12))</f>
        <v/>
      </c>
      <c r="AJ852">
        <f>IF(AF852&lt;1,1,0)</f>
        <v/>
      </c>
      <c r="AK852">
        <f>IF(AH852&lt;&gt;AI852,1,0)</f>
        <v/>
      </c>
      <c r="AL852">
        <f>IF(AND(AI852&gt;=3,AB852&lt;=0.2),1,0)</f>
        <v/>
      </c>
      <c r="AM852">
        <f>AVERAGE(W852:AB852)</f>
        <v/>
      </c>
      <c r="AN852">
        <f>1+COUNTIF(bounds,"&lt;"&amp;ROUND(AM852,12))</f>
        <v/>
      </c>
      <c r="AO852">
        <f>IF(AK852=1,AD852,NA())</f>
        <v/>
      </c>
      <c r="AP852">
        <f>IF(AK852=0,AD852,NA())</f>
        <v/>
      </c>
    </row>
    <row r="853">
      <c r="A853" t="n">
        <v>845</v>
      </c>
      <c r="B853" t="n">
        <v>4</v>
      </c>
      <c r="C853" t="n">
        <v>3</v>
      </c>
      <c r="D853" t="n">
        <v>3</v>
      </c>
      <c r="E853" t="n">
        <v>2</v>
      </c>
      <c r="F853" t="n">
        <v>5</v>
      </c>
      <c r="G853" t="n">
        <v>4</v>
      </c>
      <c r="H853" t="n">
        <v>4</v>
      </c>
      <c r="I853" t="n">
        <v>4</v>
      </c>
      <c r="J853" t="n">
        <v>3</v>
      </c>
      <c r="K853" t="n">
        <v>2</v>
      </c>
      <c r="L853" t="n">
        <v>5</v>
      </c>
      <c r="M853" t="n">
        <v>5</v>
      </c>
      <c r="N853" t="n">
        <v>3</v>
      </c>
      <c r="O853" t="n">
        <v>2</v>
      </c>
      <c r="P853" t="n">
        <v>3</v>
      </c>
      <c r="Q853" t="n">
        <v>1</v>
      </c>
      <c r="R853" t="n">
        <v>3</v>
      </c>
      <c r="S853" t="n">
        <v>1</v>
      </c>
      <c r="T853" t="n">
        <v>3</v>
      </c>
      <c r="U853" t="n">
        <v>2</v>
      </c>
      <c r="V853" t="n">
        <v>4</v>
      </c>
      <c r="W853">
        <f>(AVERAGE(B853:D853)-1)/4</f>
        <v/>
      </c>
      <c r="X853">
        <f>(AVERAGE(E853:G853)-1)/4</f>
        <v/>
      </c>
      <c r="Y853">
        <f>(AVERAGE(H853:J853)-1)/4</f>
        <v/>
      </c>
      <c r="Z853">
        <f>(AVERAGE(K853:M853)-1)/4</f>
        <v/>
      </c>
      <c r="AA853">
        <f>(AVERAGE(N853:P853)-1)/4</f>
        <v/>
      </c>
      <c r="AB853">
        <f>(AVERAGE(Q853:S853)-1)/4</f>
        <v/>
      </c>
      <c r="AC853">
        <f>(AVERAGE(T853:V853)-1)/4</f>
        <v/>
      </c>
      <c r="AD853">
        <f>AVERAGE(W853:AA853)</f>
        <v/>
      </c>
      <c r="AE853">
        <f>MIN(W853:AA853)</f>
        <v/>
      </c>
      <c r="AF853">
        <f>1-alpha*MAX(0,delta-AE853)</f>
        <v/>
      </c>
      <c r="AG853">
        <f>AD853*AF853</f>
        <v/>
      </c>
      <c r="AH853">
        <f>1+COUNTIF(bounds,"&lt;"&amp;ROUND(AD853,12))</f>
        <v/>
      </c>
      <c r="AI853">
        <f>1+COUNTIF(bounds,"&lt;"&amp;ROUND(AG853,12))</f>
        <v/>
      </c>
      <c r="AJ853">
        <f>IF(AF853&lt;1,1,0)</f>
        <v/>
      </c>
      <c r="AK853">
        <f>IF(AH853&lt;&gt;AI853,1,0)</f>
        <v/>
      </c>
      <c r="AL853">
        <f>IF(AND(AI853&gt;=3,AB853&lt;=0.2),1,0)</f>
        <v/>
      </c>
      <c r="AM853">
        <f>AVERAGE(W853:AB853)</f>
        <v/>
      </c>
      <c r="AN853">
        <f>1+COUNTIF(bounds,"&lt;"&amp;ROUND(AM853,12))</f>
        <v/>
      </c>
      <c r="AO853">
        <f>IF(AK853=1,AD853,NA())</f>
        <v/>
      </c>
      <c r="AP853">
        <f>IF(AK853=0,AD853,NA())</f>
        <v/>
      </c>
    </row>
    <row r="854">
      <c r="A854" t="n">
        <v>846</v>
      </c>
      <c r="B854" t="n">
        <v>4</v>
      </c>
      <c r="C854" t="n">
        <v>2</v>
      </c>
      <c r="D854" t="n">
        <v>5</v>
      </c>
      <c r="E854" t="n">
        <v>3</v>
      </c>
      <c r="F854" t="n">
        <v>3</v>
      </c>
      <c r="G854" t="n">
        <v>3</v>
      </c>
      <c r="H854" t="n">
        <v>3</v>
      </c>
      <c r="I854" t="n">
        <v>1</v>
      </c>
      <c r="J854" t="n">
        <v>1</v>
      </c>
      <c r="K854" t="n">
        <v>1</v>
      </c>
      <c r="L854" t="n">
        <v>5</v>
      </c>
      <c r="M854" t="n">
        <v>1</v>
      </c>
      <c r="N854" t="n">
        <v>5</v>
      </c>
      <c r="O854" t="n">
        <v>3</v>
      </c>
      <c r="P854" t="n">
        <v>2</v>
      </c>
      <c r="Q854" t="n">
        <v>4</v>
      </c>
      <c r="R854" t="n">
        <v>4</v>
      </c>
      <c r="S854" t="n">
        <v>1</v>
      </c>
      <c r="T854" t="n">
        <v>1</v>
      </c>
      <c r="U854" t="n">
        <v>3</v>
      </c>
      <c r="V854" t="n">
        <v>5</v>
      </c>
      <c r="W854">
        <f>(AVERAGE(B854:D854)-1)/4</f>
        <v/>
      </c>
      <c r="X854">
        <f>(AVERAGE(E854:G854)-1)/4</f>
        <v/>
      </c>
      <c r="Y854">
        <f>(AVERAGE(H854:J854)-1)/4</f>
        <v/>
      </c>
      <c r="Z854">
        <f>(AVERAGE(K854:M854)-1)/4</f>
        <v/>
      </c>
      <c r="AA854">
        <f>(AVERAGE(N854:P854)-1)/4</f>
        <v/>
      </c>
      <c r="AB854">
        <f>(AVERAGE(Q854:S854)-1)/4</f>
        <v/>
      </c>
      <c r="AC854">
        <f>(AVERAGE(T854:V854)-1)/4</f>
        <v/>
      </c>
      <c r="AD854">
        <f>AVERAGE(W854:AA854)</f>
        <v/>
      </c>
      <c r="AE854">
        <f>MIN(W854:AA854)</f>
        <v/>
      </c>
      <c r="AF854">
        <f>1-alpha*MAX(0,delta-AE854)</f>
        <v/>
      </c>
      <c r="AG854">
        <f>AD854*AF854</f>
        <v/>
      </c>
      <c r="AH854">
        <f>1+COUNTIF(bounds,"&lt;"&amp;ROUND(AD854,12))</f>
        <v/>
      </c>
      <c r="AI854">
        <f>1+COUNTIF(bounds,"&lt;"&amp;ROUND(AG854,12))</f>
        <v/>
      </c>
      <c r="AJ854">
        <f>IF(AF854&lt;1,1,0)</f>
        <v/>
      </c>
      <c r="AK854">
        <f>IF(AH854&lt;&gt;AI854,1,0)</f>
        <v/>
      </c>
      <c r="AL854">
        <f>IF(AND(AI854&gt;=3,AB854&lt;=0.2),1,0)</f>
        <v/>
      </c>
      <c r="AM854">
        <f>AVERAGE(W854:AB854)</f>
        <v/>
      </c>
      <c r="AN854">
        <f>1+COUNTIF(bounds,"&lt;"&amp;ROUND(AM854,12))</f>
        <v/>
      </c>
      <c r="AO854">
        <f>IF(AK854=1,AD854,NA())</f>
        <v/>
      </c>
      <c r="AP854">
        <f>IF(AK854=0,AD854,NA())</f>
        <v/>
      </c>
    </row>
    <row r="855">
      <c r="A855" t="n">
        <v>847</v>
      </c>
      <c r="B855" t="n">
        <v>3</v>
      </c>
      <c r="C855" t="n">
        <v>5</v>
      </c>
      <c r="D855" t="n">
        <v>4</v>
      </c>
      <c r="E855" t="n">
        <v>5</v>
      </c>
      <c r="F855" t="n">
        <v>1</v>
      </c>
      <c r="G855" t="n">
        <v>1</v>
      </c>
      <c r="H855" t="n">
        <v>2</v>
      </c>
      <c r="I855" t="n">
        <v>1</v>
      </c>
      <c r="J855" t="n">
        <v>1</v>
      </c>
      <c r="K855" t="n">
        <v>3</v>
      </c>
      <c r="L855" t="n">
        <v>3</v>
      </c>
      <c r="M855" t="n">
        <v>2</v>
      </c>
      <c r="N855" t="n">
        <v>3</v>
      </c>
      <c r="O855" t="n">
        <v>3</v>
      </c>
      <c r="P855" t="n">
        <v>2</v>
      </c>
      <c r="Q855" t="n">
        <v>2</v>
      </c>
      <c r="R855" t="n">
        <v>2</v>
      </c>
      <c r="S855" t="n">
        <v>3</v>
      </c>
      <c r="T855" t="n">
        <v>4</v>
      </c>
      <c r="U855" t="n">
        <v>4</v>
      </c>
      <c r="V855" t="n">
        <v>1</v>
      </c>
      <c r="W855">
        <f>(AVERAGE(B855:D855)-1)/4</f>
        <v/>
      </c>
      <c r="X855">
        <f>(AVERAGE(E855:G855)-1)/4</f>
        <v/>
      </c>
      <c r="Y855">
        <f>(AVERAGE(H855:J855)-1)/4</f>
        <v/>
      </c>
      <c r="Z855">
        <f>(AVERAGE(K855:M855)-1)/4</f>
        <v/>
      </c>
      <c r="AA855">
        <f>(AVERAGE(N855:P855)-1)/4</f>
        <v/>
      </c>
      <c r="AB855">
        <f>(AVERAGE(Q855:S855)-1)/4</f>
        <v/>
      </c>
      <c r="AC855">
        <f>(AVERAGE(T855:V855)-1)/4</f>
        <v/>
      </c>
      <c r="AD855">
        <f>AVERAGE(W855:AA855)</f>
        <v/>
      </c>
      <c r="AE855">
        <f>MIN(W855:AA855)</f>
        <v/>
      </c>
      <c r="AF855">
        <f>1-alpha*MAX(0,delta-AE855)</f>
        <v/>
      </c>
      <c r="AG855">
        <f>AD855*AF855</f>
        <v/>
      </c>
      <c r="AH855">
        <f>1+COUNTIF(bounds,"&lt;"&amp;ROUND(AD855,12))</f>
        <v/>
      </c>
      <c r="AI855">
        <f>1+COUNTIF(bounds,"&lt;"&amp;ROUND(AG855,12))</f>
        <v/>
      </c>
      <c r="AJ855">
        <f>IF(AF855&lt;1,1,0)</f>
        <v/>
      </c>
      <c r="AK855">
        <f>IF(AH855&lt;&gt;AI855,1,0)</f>
        <v/>
      </c>
      <c r="AL855">
        <f>IF(AND(AI855&gt;=3,AB855&lt;=0.2),1,0)</f>
        <v/>
      </c>
      <c r="AM855">
        <f>AVERAGE(W855:AB855)</f>
        <v/>
      </c>
      <c r="AN855">
        <f>1+COUNTIF(bounds,"&lt;"&amp;ROUND(AM855,12))</f>
        <v/>
      </c>
      <c r="AO855">
        <f>IF(AK855=1,AD855,NA())</f>
        <v/>
      </c>
      <c r="AP855">
        <f>IF(AK855=0,AD855,NA())</f>
        <v/>
      </c>
    </row>
    <row r="856">
      <c r="A856" t="n">
        <v>848</v>
      </c>
      <c r="B856" t="n">
        <v>4</v>
      </c>
      <c r="C856" t="n">
        <v>3</v>
      </c>
      <c r="D856" t="n">
        <v>5</v>
      </c>
      <c r="E856" t="n">
        <v>5</v>
      </c>
      <c r="F856" t="n">
        <v>3</v>
      </c>
      <c r="G856" t="n">
        <v>5</v>
      </c>
      <c r="H856" t="n">
        <v>3</v>
      </c>
      <c r="I856" t="n">
        <v>3</v>
      </c>
      <c r="J856" t="n">
        <v>4</v>
      </c>
      <c r="K856" t="n">
        <v>1</v>
      </c>
      <c r="L856" t="n">
        <v>4</v>
      </c>
      <c r="M856" t="n">
        <v>5</v>
      </c>
      <c r="N856" t="n">
        <v>5</v>
      </c>
      <c r="O856" t="n">
        <v>3</v>
      </c>
      <c r="P856" t="n">
        <v>4</v>
      </c>
      <c r="Q856" t="n">
        <v>1</v>
      </c>
      <c r="R856" t="n">
        <v>2</v>
      </c>
      <c r="S856" t="n">
        <v>5</v>
      </c>
      <c r="T856" t="n">
        <v>2</v>
      </c>
      <c r="U856" t="n">
        <v>5</v>
      </c>
      <c r="V856" t="n">
        <v>4</v>
      </c>
      <c r="W856">
        <f>(AVERAGE(B856:D856)-1)/4</f>
        <v/>
      </c>
      <c r="X856">
        <f>(AVERAGE(E856:G856)-1)/4</f>
        <v/>
      </c>
      <c r="Y856">
        <f>(AVERAGE(H856:J856)-1)/4</f>
        <v/>
      </c>
      <c r="Z856">
        <f>(AVERAGE(K856:M856)-1)/4</f>
        <v/>
      </c>
      <c r="AA856">
        <f>(AVERAGE(N856:P856)-1)/4</f>
        <v/>
      </c>
      <c r="AB856">
        <f>(AVERAGE(Q856:S856)-1)/4</f>
        <v/>
      </c>
      <c r="AC856">
        <f>(AVERAGE(T856:V856)-1)/4</f>
        <v/>
      </c>
      <c r="AD856">
        <f>AVERAGE(W856:AA856)</f>
        <v/>
      </c>
      <c r="AE856">
        <f>MIN(W856:AA856)</f>
        <v/>
      </c>
      <c r="AF856">
        <f>1-alpha*MAX(0,delta-AE856)</f>
        <v/>
      </c>
      <c r="AG856">
        <f>AD856*AF856</f>
        <v/>
      </c>
      <c r="AH856">
        <f>1+COUNTIF(bounds,"&lt;"&amp;ROUND(AD856,12))</f>
        <v/>
      </c>
      <c r="AI856">
        <f>1+COUNTIF(bounds,"&lt;"&amp;ROUND(AG856,12))</f>
        <v/>
      </c>
      <c r="AJ856">
        <f>IF(AF856&lt;1,1,0)</f>
        <v/>
      </c>
      <c r="AK856">
        <f>IF(AH856&lt;&gt;AI856,1,0)</f>
        <v/>
      </c>
      <c r="AL856">
        <f>IF(AND(AI856&gt;=3,AB856&lt;=0.2),1,0)</f>
        <v/>
      </c>
      <c r="AM856">
        <f>AVERAGE(W856:AB856)</f>
        <v/>
      </c>
      <c r="AN856">
        <f>1+COUNTIF(bounds,"&lt;"&amp;ROUND(AM856,12))</f>
        <v/>
      </c>
      <c r="AO856">
        <f>IF(AK856=1,AD856,NA())</f>
        <v/>
      </c>
      <c r="AP856">
        <f>IF(AK856=0,AD856,NA())</f>
        <v/>
      </c>
    </row>
    <row r="857">
      <c r="A857" t="n">
        <v>849</v>
      </c>
      <c r="B857" t="n">
        <v>4</v>
      </c>
      <c r="C857" t="n">
        <v>4</v>
      </c>
      <c r="D857" t="n">
        <v>1</v>
      </c>
      <c r="E857" t="n">
        <v>2</v>
      </c>
      <c r="F857" t="n">
        <v>2</v>
      </c>
      <c r="G857" t="n">
        <v>1</v>
      </c>
      <c r="H857" t="n">
        <v>2</v>
      </c>
      <c r="I857" t="n">
        <v>2</v>
      </c>
      <c r="J857" t="n">
        <v>5</v>
      </c>
      <c r="K857" t="n">
        <v>4</v>
      </c>
      <c r="L857" t="n">
        <v>2</v>
      </c>
      <c r="M857" t="n">
        <v>4</v>
      </c>
      <c r="N857" t="n">
        <v>3</v>
      </c>
      <c r="O857" t="n">
        <v>5</v>
      </c>
      <c r="P857" t="n">
        <v>4</v>
      </c>
      <c r="Q857" t="n">
        <v>2</v>
      </c>
      <c r="R857" t="n">
        <v>3</v>
      </c>
      <c r="S857" t="n">
        <v>5</v>
      </c>
      <c r="T857" t="n">
        <v>2</v>
      </c>
      <c r="U857" t="n">
        <v>1</v>
      </c>
      <c r="V857" t="n">
        <v>2</v>
      </c>
      <c r="W857">
        <f>(AVERAGE(B857:D857)-1)/4</f>
        <v/>
      </c>
      <c r="X857">
        <f>(AVERAGE(E857:G857)-1)/4</f>
        <v/>
      </c>
      <c r="Y857">
        <f>(AVERAGE(H857:J857)-1)/4</f>
        <v/>
      </c>
      <c r="Z857">
        <f>(AVERAGE(K857:M857)-1)/4</f>
        <v/>
      </c>
      <c r="AA857">
        <f>(AVERAGE(N857:P857)-1)/4</f>
        <v/>
      </c>
      <c r="AB857">
        <f>(AVERAGE(Q857:S857)-1)/4</f>
        <v/>
      </c>
      <c r="AC857">
        <f>(AVERAGE(T857:V857)-1)/4</f>
        <v/>
      </c>
      <c r="AD857">
        <f>AVERAGE(W857:AA857)</f>
        <v/>
      </c>
      <c r="AE857">
        <f>MIN(W857:AA857)</f>
        <v/>
      </c>
      <c r="AF857">
        <f>1-alpha*MAX(0,delta-AE857)</f>
        <v/>
      </c>
      <c r="AG857">
        <f>AD857*AF857</f>
        <v/>
      </c>
      <c r="AH857">
        <f>1+COUNTIF(bounds,"&lt;"&amp;ROUND(AD857,12))</f>
        <v/>
      </c>
      <c r="AI857">
        <f>1+COUNTIF(bounds,"&lt;"&amp;ROUND(AG857,12))</f>
        <v/>
      </c>
      <c r="AJ857">
        <f>IF(AF857&lt;1,1,0)</f>
        <v/>
      </c>
      <c r="AK857">
        <f>IF(AH857&lt;&gt;AI857,1,0)</f>
        <v/>
      </c>
      <c r="AL857">
        <f>IF(AND(AI857&gt;=3,AB857&lt;=0.2),1,0)</f>
        <v/>
      </c>
      <c r="AM857">
        <f>AVERAGE(W857:AB857)</f>
        <v/>
      </c>
      <c r="AN857">
        <f>1+COUNTIF(bounds,"&lt;"&amp;ROUND(AM857,12))</f>
        <v/>
      </c>
      <c r="AO857">
        <f>IF(AK857=1,AD857,NA())</f>
        <v/>
      </c>
      <c r="AP857">
        <f>IF(AK857=0,AD857,NA())</f>
        <v/>
      </c>
    </row>
    <row r="858">
      <c r="A858" t="n">
        <v>850</v>
      </c>
      <c r="B858" t="n">
        <v>2</v>
      </c>
      <c r="C858" t="n">
        <v>4</v>
      </c>
      <c r="D858" t="n">
        <v>1</v>
      </c>
      <c r="E858" t="n">
        <v>4</v>
      </c>
      <c r="F858" t="n">
        <v>3</v>
      </c>
      <c r="G858" t="n">
        <v>1</v>
      </c>
      <c r="H858" t="n">
        <v>2</v>
      </c>
      <c r="I858" t="n">
        <v>3</v>
      </c>
      <c r="J858" t="n">
        <v>3</v>
      </c>
      <c r="K858" t="n">
        <v>1</v>
      </c>
      <c r="L858" t="n">
        <v>5</v>
      </c>
      <c r="M858" t="n">
        <v>4</v>
      </c>
      <c r="N858" t="n">
        <v>4</v>
      </c>
      <c r="O858" t="n">
        <v>2</v>
      </c>
      <c r="P858" t="n">
        <v>1</v>
      </c>
      <c r="Q858" t="n">
        <v>3</v>
      </c>
      <c r="R858" t="n">
        <v>2</v>
      </c>
      <c r="S858" t="n">
        <v>3</v>
      </c>
      <c r="T858" t="n">
        <v>4</v>
      </c>
      <c r="U858" t="n">
        <v>5</v>
      </c>
      <c r="V858" t="n">
        <v>2</v>
      </c>
      <c r="W858">
        <f>(AVERAGE(B858:D858)-1)/4</f>
        <v/>
      </c>
      <c r="X858">
        <f>(AVERAGE(E858:G858)-1)/4</f>
        <v/>
      </c>
      <c r="Y858">
        <f>(AVERAGE(H858:J858)-1)/4</f>
        <v/>
      </c>
      <c r="Z858">
        <f>(AVERAGE(K858:M858)-1)/4</f>
        <v/>
      </c>
      <c r="AA858">
        <f>(AVERAGE(N858:P858)-1)/4</f>
        <v/>
      </c>
      <c r="AB858">
        <f>(AVERAGE(Q858:S858)-1)/4</f>
        <v/>
      </c>
      <c r="AC858">
        <f>(AVERAGE(T858:V858)-1)/4</f>
        <v/>
      </c>
      <c r="AD858">
        <f>AVERAGE(W858:AA858)</f>
        <v/>
      </c>
      <c r="AE858">
        <f>MIN(W858:AA858)</f>
        <v/>
      </c>
      <c r="AF858">
        <f>1-alpha*MAX(0,delta-AE858)</f>
        <v/>
      </c>
      <c r="AG858">
        <f>AD858*AF858</f>
        <v/>
      </c>
      <c r="AH858">
        <f>1+COUNTIF(bounds,"&lt;"&amp;ROUND(AD858,12))</f>
        <v/>
      </c>
      <c r="AI858">
        <f>1+COUNTIF(bounds,"&lt;"&amp;ROUND(AG858,12))</f>
        <v/>
      </c>
      <c r="AJ858">
        <f>IF(AF858&lt;1,1,0)</f>
        <v/>
      </c>
      <c r="AK858">
        <f>IF(AH858&lt;&gt;AI858,1,0)</f>
        <v/>
      </c>
      <c r="AL858">
        <f>IF(AND(AI858&gt;=3,AB858&lt;=0.2),1,0)</f>
        <v/>
      </c>
      <c r="AM858">
        <f>AVERAGE(W858:AB858)</f>
        <v/>
      </c>
      <c r="AN858">
        <f>1+COUNTIF(bounds,"&lt;"&amp;ROUND(AM858,12))</f>
        <v/>
      </c>
      <c r="AO858">
        <f>IF(AK858=1,AD858,NA())</f>
        <v/>
      </c>
      <c r="AP858">
        <f>IF(AK858=0,AD858,NA())</f>
        <v/>
      </c>
    </row>
    <row r="859">
      <c r="A859" t="n">
        <v>851</v>
      </c>
      <c r="B859" t="n">
        <v>3</v>
      </c>
      <c r="C859" t="n">
        <v>3</v>
      </c>
      <c r="D859" t="n">
        <v>2</v>
      </c>
      <c r="E859" t="n">
        <v>5</v>
      </c>
      <c r="F859" t="n">
        <v>5</v>
      </c>
      <c r="G859" t="n">
        <v>1</v>
      </c>
      <c r="H859" t="n">
        <v>2</v>
      </c>
      <c r="I859" t="n">
        <v>4</v>
      </c>
      <c r="J859" t="n">
        <v>1</v>
      </c>
      <c r="K859" t="n">
        <v>4</v>
      </c>
      <c r="L859" t="n">
        <v>2</v>
      </c>
      <c r="M859" t="n">
        <v>2</v>
      </c>
      <c r="N859" t="n">
        <v>3</v>
      </c>
      <c r="O859" t="n">
        <v>5</v>
      </c>
      <c r="P859" t="n">
        <v>2</v>
      </c>
      <c r="Q859" t="n">
        <v>3</v>
      </c>
      <c r="R859" t="n">
        <v>2</v>
      </c>
      <c r="S859" t="n">
        <v>5</v>
      </c>
      <c r="T859" t="n">
        <v>2</v>
      </c>
      <c r="U859" t="n">
        <v>2</v>
      </c>
      <c r="V859" t="n">
        <v>5</v>
      </c>
      <c r="W859">
        <f>(AVERAGE(B859:D859)-1)/4</f>
        <v/>
      </c>
      <c r="X859">
        <f>(AVERAGE(E859:G859)-1)/4</f>
        <v/>
      </c>
      <c r="Y859">
        <f>(AVERAGE(H859:J859)-1)/4</f>
        <v/>
      </c>
      <c r="Z859">
        <f>(AVERAGE(K859:M859)-1)/4</f>
        <v/>
      </c>
      <c r="AA859">
        <f>(AVERAGE(N859:P859)-1)/4</f>
        <v/>
      </c>
      <c r="AB859">
        <f>(AVERAGE(Q859:S859)-1)/4</f>
        <v/>
      </c>
      <c r="AC859">
        <f>(AVERAGE(T859:V859)-1)/4</f>
        <v/>
      </c>
      <c r="AD859">
        <f>AVERAGE(W859:AA859)</f>
        <v/>
      </c>
      <c r="AE859">
        <f>MIN(W859:AA859)</f>
        <v/>
      </c>
      <c r="AF859">
        <f>1-alpha*MAX(0,delta-AE859)</f>
        <v/>
      </c>
      <c r="AG859">
        <f>AD859*AF859</f>
        <v/>
      </c>
      <c r="AH859">
        <f>1+COUNTIF(bounds,"&lt;"&amp;ROUND(AD859,12))</f>
        <v/>
      </c>
      <c r="AI859">
        <f>1+COUNTIF(bounds,"&lt;"&amp;ROUND(AG859,12))</f>
        <v/>
      </c>
      <c r="AJ859">
        <f>IF(AF859&lt;1,1,0)</f>
        <v/>
      </c>
      <c r="AK859">
        <f>IF(AH859&lt;&gt;AI859,1,0)</f>
        <v/>
      </c>
      <c r="AL859">
        <f>IF(AND(AI859&gt;=3,AB859&lt;=0.2),1,0)</f>
        <v/>
      </c>
      <c r="AM859">
        <f>AVERAGE(W859:AB859)</f>
        <v/>
      </c>
      <c r="AN859">
        <f>1+COUNTIF(bounds,"&lt;"&amp;ROUND(AM859,12))</f>
        <v/>
      </c>
      <c r="AO859">
        <f>IF(AK859=1,AD859,NA())</f>
        <v/>
      </c>
      <c r="AP859">
        <f>IF(AK859=0,AD859,NA())</f>
        <v/>
      </c>
    </row>
    <row r="860">
      <c r="A860" t="n">
        <v>852</v>
      </c>
      <c r="B860" t="n">
        <v>2</v>
      </c>
      <c r="C860" t="n">
        <v>4</v>
      </c>
      <c r="D860" t="n">
        <v>1</v>
      </c>
      <c r="E860" t="n">
        <v>3</v>
      </c>
      <c r="F860" t="n">
        <v>4</v>
      </c>
      <c r="G860" t="n">
        <v>3</v>
      </c>
      <c r="H860" t="n">
        <v>2</v>
      </c>
      <c r="I860" t="n">
        <v>3</v>
      </c>
      <c r="J860" t="n">
        <v>1</v>
      </c>
      <c r="K860" t="n">
        <v>3</v>
      </c>
      <c r="L860" t="n">
        <v>3</v>
      </c>
      <c r="M860" t="n">
        <v>5</v>
      </c>
      <c r="N860" t="n">
        <v>3</v>
      </c>
      <c r="O860" t="n">
        <v>3</v>
      </c>
      <c r="P860" t="n">
        <v>1</v>
      </c>
      <c r="Q860" t="n">
        <v>4</v>
      </c>
      <c r="R860" t="n">
        <v>2</v>
      </c>
      <c r="S860" t="n">
        <v>3</v>
      </c>
      <c r="T860" t="n">
        <v>3</v>
      </c>
      <c r="U860" t="n">
        <v>3</v>
      </c>
      <c r="V860" t="n">
        <v>1</v>
      </c>
      <c r="W860">
        <f>(AVERAGE(B860:D860)-1)/4</f>
        <v/>
      </c>
      <c r="X860">
        <f>(AVERAGE(E860:G860)-1)/4</f>
        <v/>
      </c>
      <c r="Y860">
        <f>(AVERAGE(H860:J860)-1)/4</f>
        <v/>
      </c>
      <c r="Z860">
        <f>(AVERAGE(K860:M860)-1)/4</f>
        <v/>
      </c>
      <c r="AA860">
        <f>(AVERAGE(N860:P860)-1)/4</f>
        <v/>
      </c>
      <c r="AB860">
        <f>(AVERAGE(Q860:S860)-1)/4</f>
        <v/>
      </c>
      <c r="AC860">
        <f>(AVERAGE(T860:V860)-1)/4</f>
        <v/>
      </c>
      <c r="AD860">
        <f>AVERAGE(W860:AA860)</f>
        <v/>
      </c>
      <c r="AE860">
        <f>MIN(W860:AA860)</f>
        <v/>
      </c>
      <c r="AF860">
        <f>1-alpha*MAX(0,delta-AE860)</f>
        <v/>
      </c>
      <c r="AG860">
        <f>AD860*AF860</f>
        <v/>
      </c>
      <c r="AH860">
        <f>1+COUNTIF(bounds,"&lt;"&amp;ROUND(AD860,12))</f>
        <v/>
      </c>
      <c r="AI860">
        <f>1+COUNTIF(bounds,"&lt;"&amp;ROUND(AG860,12))</f>
        <v/>
      </c>
      <c r="AJ860">
        <f>IF(AF860&lt;1,1,0)</f>
        <v/>
      </c>
      <c r="AK860">
        <f>IF(AH860&lt;&gt;AI860,1,0)</f>
        <v/>
      </c>
      <c r="AL860">
        <f>IF(AND(AI860&gt;=3,AB860&lt;=0.2),1,0)</f>
        <v/>
      </c>
      <c r="AM860">
        <f>AVERAGE(W860:AB860)</f>
        <v/>
      </c>
      <c r="AN860">
        <f>1+COUNTIF(bounds,"&lt;"&amp;ROUND(AM860,12))</f>
        <v/>
      </c>
      <c r="AO860">
        <f>IF(AK860=1,AD860,NA())</f>
        <v/>
      </c>
      <c r="AP860">
        <f>IF(AK860=0,AD860,NA())</f>
        <v/>
      </c>
    </row>
    <row r="861">
      <c r="A861" t="n">
        <v>853</v>
      </c>
      <c r="B861" t="n">
        <v>1</v>
      </c>
      <c r="C861" t="n">
        <v>5</v>
      </c>
      <c r="D861" t="n">
        <v>4</v>
      </c>
      <c r="E861" t="n">
        <v>1</v>
      </c>
      <c r="F861" t="n">
        <v>5</v>
      </c>
      <c r="G861" t="n">
        <v>4</v>
      </c>
      <c r="H861" t="n">
        <v>3</v>
      </c>
      <c r="I861" t="n">
        <v>4</v>
      </c>
      <c r="J861" t="n">
        <v>5</v>
      </c>
      <c r="K861" t="n">
        <v>5</v>
      </c>
      <c r="L861" t="n">
        <v>1</v>
      </c>
      <c r="M861" t="n">
        <v>3</v>
      </c>
      <c r="N861" t="n">
        <v>1</v>
      </c>
      <c r="O861" t="n">
        <v>1</v>
      </c>
      <c r="P861" t="n">
        <v>2</v>
      </c>
      <c r="Q861" t="n">
        <v>5</v>
      </c>
      <c r="R861" t="n">
        <v>2</v>
      </c>
      <c r="S861" t="n">
        <v>1</v>
      </c>
      <c r="T861" t="n">
        <v>4</v>
      </c>
      <c r="U861" t="n">
        <v>3</v>
      </c>
      <c r="V861" t="n">
        <v>4</v>
      </c>
      <c r="W861">
        <f>(AVERAGE(B861:D861)-1)/4</f>
        <v/>
      </c>
      <c r="X861">
        <f>(AVERAGE(E861:G861)-1)/4</f>
        <v/>
      </c>
      <c r="Y861">
        <f>(AVERAGE(H861:J861)-1)/4</f>
        <v/>
      </c>
      <c r="Z861">
        <f>(AVERAGE(K861:M861)-1)/4</f>
        <v/>
      </c>
      <c r="AA861">
        <f>(AVERAGE(N861:P861)-1)/4</f>
        <v/>
      </c>
      <c r="AB861">
        <f>(AVERAGE(Q861:S861)-1)/4</f>
        <v/>
      </c>
      <c r="AC861">
        <f>(AVERAGE(T861:V861)-1)/4</f>
        <v/>
      </c>
      <c r="AD861">
        <f>AVERAGE(W861:AA861)</f>
        <v/>
      </c>
      <c r="AE861">
        <f>MIN(W861:AA861)</f>
        <v/>
      </c>
      <c r="AF861">
        <f>1-alpha*MAX(0,delta-AE861)</f>
        <v/>
      </c>
      <c r="AG861">
        <f>AD861*AF861</f>
        <v/>
      </c>
      <c r="AH861">
        <f>1+COUNTIF(bounds,"&lt;"&amp;ROUND(AD861,12))</f>
        <v/>
      </c>
      <c r="AI861">
        <f>1+COUNTIF(bounds,"&lt;"&amp;ROUND(AG861,12))</f>
        <v/>
      </c>
      <c r="AJ861">
        <f>IF(AF861&lt;1,1,0)</f>
        <v/>
      </c>
      <c r="AK861">
        <f>IF(AH861&lt;&gt;AI861,1,0)</f>
        <v/>
      </c>
      <c r="AL861">
        <f>IF(AND(AI861&gt;=3,AB861&lt;=0.2),1,0)</f>
        <v/>
      </c>
      <c r="AM861">
        <f>AVERAGE(W861:AB861)</f>
        <v/>
      </c>
      <c r="AN861">
        <f>1+COUNTIF(bounds,"&lt;"&amp;ROUND(AM861,12))</f>
        <v/>
      </c>
      <c r="AO861">
        <f>IF(AK861=1,AD861,NA())</f>
        <v/>
      </c>
      <c r="AP861">
        <f>IF(AK861=0,AD861,NA())</f>
        <v/>
      </c>
    </row>
    <row r="862">
      <c r="A862" t="n">
        <v>854</v>
      </c>
      <c r="B862" t="n">
        <v>3</v>
      </c>
      <c r="C862" t="n">
        <v>4</v>
      </c>
      <c r="D862" t="n">
        <v>2</v>
      </c>
      <c r="E862" t="n">
        <v>4</v>
      </c>
      <c r="F862" t="n">
        <v>3</v>
      </c>
      <c r="G862" t="n">
        <v>1</v>
      </c>
      <c r="H862" t="n">
        <v>3</v>
      </c>
      <c r="I862" t="n">
        <v>3</v>
      </c>
      <c r="J862" t="n">
        <v>4</v>
      </c>
      <c r="K862" t="n">
        <v>5</v>
      </c>
      <c r="L862" t="n">
        <v>5</v>
      </c>
      <c r="M862" t="n">
        <v>3</v>
      </c>
      <c r="N862" t="n">
        <v>5</v>
      </c>
      <c r="O862" t="n">
        <v>5</v>
      </c>
      <c r="P862" t="n">
        <v>5</v>
      </c>
      <c r="Q862" t="n">
        <v>3</v>
      </c>
      <c r="R862" t="n">
        <v>4</v>
      </c>
      <c r="S862" t="n">
        <v>3</v>
      </c>
      <c r="T862" t="n">
        <v>3</v>
      </c>
      <c r="U862" t="n">
        <v>5</v>
      </c>
      <c r="V862" t="n">
        <v>2</v>
      </c>
      <c r="W862">
        <f>(AVERAGE(B862:D862)-1)/4</f>
        <v/>
      </c>
      <c r="X862">
        <f>(AVERAGE(E862:G862)-1)/4</f>
        <v/>
      </c>
      <c r="Y862">
        <f>(AVERAGE(H862:J862)-1)/4</f>
        <v/>
      </c>
      <c r="Z862">
        <f>(AVERAGE(K862:M862)-1)/4</f>
        <v/>
      </c>
      <c r="AA862">
        <f>(AVERAGE(N862:P862)-1)/4</f>
        <v/>
      </c>
      <c r="AB862">
        <f>(AVERAGE(Q862:S862)-1)/4</f>
        <v/>
      </c>
      <c r="AC862">
        <f>(AVERAGE(T862:V862)-1)/4</f>
        <v/>
      </c>
      <c r="AD862">
        <f>AVERAGE(W862:AA862)</f>
        <v/>
      </c>
      <c r="AE862">
        <f>MIN(W862:AA862)</f>
        <v/>
      </c>
      <c r="AF862">
        <f>1-alpha*MAX(0,delta-AE862)</f>
        <v/>
      </c>
      <c r="AG862">
        <f>AD862*AF862</f>
        <v/>
      </c>
      <c r="AH862">
        <f>1+COUNTIF(bounds,"&lt;"&amp;ROUND(AD862,12))</f>
        <v/>
      </c>
      <c r="AI862">
        <f>1+COUNTIF(bounds,"&lt;"&amp;ROUND(AG862,12))</f>
        <v/>
      </c>
      <c r="AJ862">
        <f>IF(AF862&lt;1,1,0)</f>
        <v/>
      </c>
      <c r="AK862">
        <f>IF(AH862&lt;&gt;AI862,1,0)</f>
        <v/>
      </c>
      <c r="AL862">
        <f>IF(AND(AI862&gt;=3,AB862&lt;=0.2),1,0)</f>
        <v/>
      </c>
      <c r="AM862">
        <f>AVERAGE(W862:AB862)</f>
        <v/>
      </c>
      <c r="AN862">
        <f>1+COUNTIF(bounds,"&lt;"&amp;ROUND(AM862,12))</f>
        <v/>
      </c>
      <c r="AO862">
        <f>IF(AK862=1,AD862,NA())</f>
        <v/>
      </c>
      <c r="AP862">
        <f>IF(AK862=0,AD862,NA())</f>
        <v/>
      </c>
    </row>
    <row r="863">
      <c r="A863" t="n">
        <v>855</v>
      </c>
      <c r="B863" t="n">
        <v>4</v>
      </c>
      <c r="C863" t="n">
        <v>3</v>
      </c>
      <c r="D863" t="n">
        <v>2</v>
      </c>
      <c r="E863" t="n">
        <v>4</v>
      </c>
      <c r="F863" t="n">
        <v>5</v>
      </c>
      <c r="G863" t="n">
        <v>3</v>
      </c>
      <c r="H863" t="n">
        <v>5</v>
      </c>
      <c r="I863" t="n">
        <v>4</v>
      </c>
      <c r="J863" t="n">
        <v>2</v>
      </c>
      <c r="K863" t="n">
        <v>2</v>
      </c>
      <c r="L863" t="n">
        <v>1</v>
      </c>
      <c r="M863" t="n">
        <v>4</v>
      </c>
      <c r="N863" t="n">
        <v>2</v>
      </c>
      <c r="O863" t="n">
        <v>2</v>
      </c>
      <c r="P863" t="n">
        <v>5</v>
      </c>
      <c r="Q863" t="n">
        <v>4</v>
      </c>
      <c r="R863" t="n">
        <v>4</v>
      </c>
      <c r="S863" t="n">
        <v>4</v>
      </c>
      <c r="T863" t="n">
        <v>2</v>
      </c>
      <c r="U863" t="n">
        <v>3</v>
      </c>
      <c r="V863" t="n">
        <v>3</v>
      </c>
      <c r="W863">
        <f>(AVERAGE(B863:D863)-1)/4</f>
        <v/>
      </c>
      <c r="X863">
        <f>(AVERAGE(E863:G863)-1)/4</f>
        <v/>
      </c>
      <c r="Y863">
        <f>(AVERAGE(H863:J863)-1)/4</f>
        <v/>
      </c>
      <c r="Z863">
        <f>(AVERAGE(K863:M863)-1)/4</f>
        <v/>
      </c>
      <c r="AA863">
        <f>(AVERAGE(N863:P863)-1)/4</f>
        <v/>
      </c>
      <c r="AB863">
        <f>(AVERAGE(Q863:S863)-1)/4</f>
        <v/>
      </c>
      <c r="AC863">
        <f>(AVERAGE(T863:V863)-1)/4</f>
        <v/>
      </c>
      <c r="AD863">
        <f>AVERAGE(W863:AA863)</f>
        <v/>
      </c>
      <c r="AE863">
        <f>MIN(W863:AA863)</f>
        <v/>
      </c>
      <c r="AF863">
        <f>1-alpha*MAX(0,delta-AE863)</f>
        <v/>
      </c>
      <c r="AG863">
        <f>AD863*AF863</f>
        <v/>
      </c>
      <c r="AH863">
        <f>1+COUNTIF(bounds,"&lt;"&amp;ROUND(AD863,12))</f>
        <v/>
      </c>
      <c r="AI863">
        <f>1+COUNTIF(bounds,"&lt;"&amp;ROUND(AG863,12))</f>
        <v/>
      </c>
      <c r="AJ863">
        <f>IF(AF863&lt;1,1,0)</f>
        <v/>
      </c>
      <c r="AK863">
        <f>IF(AH863&lt;&gt;AI863,1,0)</f>
        <v/>
      </c>
      <c r="AL863">
        <f>IF(AND(AI863&gt;=3,AB863&lt;=0.2),1,0)</f>
        <v/>
      </c>
      <c r="AM863">
        <f>AVERAGE(W863:AB863)</f>
        <v/>
      </c>
      <c r="AN863">
        <f>1+COUNTIF(bounds,"&lt;"&amp;ROUND(AM863,12))</f>
        <v/>
      </c>
      <c r="AO863">
        <f>IF(AK863=1,AD863,NA())</f>
        <v/>
      </c>
      <c r="AP863">
        <f>IF(AK863=0,AD863,NA())</f>
        <v/>
      </c>
    </row>
    <row r="864">
      <c r="A864" t="n">
        <v>856</v>
      </c>
      <c r="B864" t="n">
        <v>2</v>
      </c>
      <c r="C864" t="n">
        <v>3</v>
      </c>
      <c r="D864" t="n">
        <v>1</v>
      </c>
      <c r="E864" t="n">
        <v>2</v>
      </c>
      <c r="F864" t="n">
        <v>1</v>
      </c>
      <c r="G864" t="n">
        <v>5</v>
      </c>
      <c r="H864" t="n">
        <v>5</v>
      </c>
      <c r="I864" t="n">
        <v>3</v>
      </c>
      <c r="J864" t="n">
        <v>3</v>
      </c>
      <c r="K864" t="n">
        <v>1</v>
      </c>
      <c r="L864" t="n">
        <v>4</v>
      </c>
      <c r="M864" t="n">
        <v>4</v>
      </c>
      <c r="N864" t="n">
        <v>3</v>
      </c>
      <c r="O864" t="n">
        <v>5</v>
      </c>
      <c r="P864" t="n">
        <v>3</v>
      </c>
      <c r="Q864" t="n">
        <v>3</v>
      </c>
      <c r="R864" t="n">
        <v>2</v>
      </c>
      <c r="S864" t="n">
        <v>3</v>
      </c>
      <c r="T864" t="n">
        <v>5</v>
      </c>
      <c r="U864" t="n">
        <v>4</v>
      </c>
      <c r="V864" t="n">
        <v>5</v>
      </c>
      <c r="W864">
        <f>(AVERAGE(B864:D864)-1)/4</f>
        <v/>
      </c>
      <c r="X864">
        <f>(AVERAGE(E864:G864)-1)/4</f>
        <v/>
      </c>
      <c r="Y864">
        <f>(AVERAGE(H864:J864)-1)/4</f>
        <v/>
      </c>
      <c r="Z864">
        <f>(AVERAGE(K864:M864)-1)/4</f>
        <v/>
      </c>
      <c r="AA864">
        <f>(AVERAGE(N864:P864)-1)/4</f>
        <v/>
      </c>
      <c r="AB864">
        <f>(AVERAGE(Q864:S864)-1)/4</f>
        <v/>
      </c>
      <c r="AC864">
        <f>(AVERAGE(T864:V864)-1)/4</f>
        <v/>
      </c>
      <c r="AD864">
        <f>AVERAGE(W864:AA864)</f>
        <v/>
      </c>
      <c r="AE864">
        <f>MIN(W864:AA864)</f>
        <v/>
      </c>
      <c r="AF864">
        <f>1-alpha*MAX(0,delta-AE864)</f>
        <v/>
      </c>
      <c r="AG864">
        <f>AD864*AF864</f>
        <v/>
      </c>
      <c r="AH864">
        <f>1+COUNTIF(bounds,"&lt;"&amp;ROUND(AD864,12))</f>
        <v/>
      </c>
      <c r="AI864">
        <f>1+COUNTIF(bounds,"&lt;"&amp;ROUND(AG864,12))</f>
        <v/>
      </c>
      <c r="AJ864">
        <f>IF(AF864&lt;1,1,0)</f>
        <v/>
      </c>
      <c r="AK864">
        <f>IF(AH864&lt;&gt;AI864,1,0)</f>
        <v/>
      </c>
      <c r="AL864">
        <f>IF(AND(AI864&gt;=3,AB864&lt;=0.2),1,0)</f>
        <v/>
      </c>
      <c r="AM864">
        <f>AVERAGE(W864:AB864)</f>
        <v/>
      </c>
      <c r="AN864">
        <f>1+COUNTIF(bounds,"&lt;"&amp;ROUND(AM864,12))</f>
        <v/>
      </c>
      <c r="AO864">
        <f>IF(AK864=1,AD864,NA())</f>
        <v/>
      </c>
      <c r="AP864">
        <f>IF(AK864=0,AD864,NA())</f>
        <v/>
      </c>
    </row>
    <row r="865">
      <c r="A865" t="n">
        <v>857</v>
      </c>
      <c r="B865" t="n">
        <v>4</v>
      </c>
      <c r="C865" t="n">
        <v>5</v>
      </c>
      <c r="D865" t="n">
        <v>5</v>
      </c>
      <c r="E865" t="n">
        <v>1</v>
      </c>
      <c r="F865" t="n">
        <v>2</v>
      </c>
      <c r="G865" t="n">
        <v>5</v>
      </c>
      <c r="H865" t="n">
        <v>3</v>
      </c>
      <c r="I865" t="n">
        <v>5</v>
      </c>
      <c r="J865" t="n">
        <v>1</v>
      </c>
      <c r="K865" t="n">
        <v>1</v>
      </c>
      <c r="L865" t="n">
        <v>1</v>
      </c>
      <c r="M865" t="n">
        <v>2</v>
      </c>
      <c r="N865" t="n">
        <v>5</v>
      </c>
      <c r="O865" t="n">
        <v>2</v>
      </c>
      <c r="P865" t="n">
        <v>2</v>
      </c>
      <c r="Q865" t="n">
        <v>1</v>
      </c>
      <c r="R865" t="n">
        <v>2</v>
      </c>
      <c r="S865" t="n">
        <v>4</v>
      </c>
      <c r="T865" t="n">
        <v>2</v>
      </c>
      <c r="U865" t="n">
        <v>4</v>
      </c>
      <c r="V865" t="n">
        <v>2</v>
      </c>
      <c r="W865">
        <f>(AVERAGE(B865:D865)-1)/4</f>
        <v/>
      </c>
      <c r="X865">
        <f>(AVERAGE(E865:G865)-1)/4</f>
        <v/>
      </c>
      <c r="Y865">
        <f>(AVERAGE(H865:J865)-1)/4</f>
        <v/>
      </c>
      <c r="Z865">
        <f>(AVERAGE(K865:M865)-1)/4</f>
        <v/>
      </c>
      <c r="AA865">
        <f>(AVERAGE(N865:P865)-1)/4</f>
        <v/>
      </c>
      <c r="AB865">
        <f>(AVERAGE(Q865:S865)-1)/4</f>
        <v/>
      </c>
      <c r="AC865">
        <f>(AVERAGE(T865:V865)-1)/4</f>
        <v/>
      </c>
      <c r="AD865">
        <f>AVERAGE(W865:AA865)</f>
        <v/>
      </c>
      <c r="AE865">
        <f>MIN(W865:AA865)</f>
        <v/>
      </c>
      <c r="AF865">
        <f>1-alpha*MAX(0,delta-AE865)</f>
        <v/>
      </c>
      <c r="AG865">
        <f>AD865*AF865</f>
        <v/>
      </c>
      <c r="AH865">
        <f>1+COUNTIF(bounds,"&lt;"&amp;ROUND(AD865,12))</f>
        <v/>
      </c>
      <c r="AI865">
        <f>1+COUNTIF(bounds,"&lt;"&amp;ROUND(AG865,12))</f>
        <v/>
      </c>
      <c r="AJ865">
        <f>IF(AF865&lt;1,1,0)</f>
        <v/>
      </c>
      <c r="AK865">
        <f>IF(AH865&lt;&gt;AI865,1,0)</f>
        <v/>
      </c>
      <c r="AL865">
        <f>IF(AND(AI865&gt;=3,AB865&lt;=0.2),1,0)</f>
        <v/>
      </c>
      <c r="AM865">
        <f>AVERAGE(W865:AB865)</f>
        <v/>
      </c>
      <c r="AN865">
        <f>1+COUNTIF(bounds,"&lt;"&amp;ROUND(AM865,12))</f>
        <v/>
      </c>
      <c r="AO865">
        <f>IF(AK865=1,AD865,NA())</f>
        <v/>
      </c>
      <c r="AP865">
        <f>IF(AK865=0,AD865,NA())</f>
        <v/>
      </c>
    </row>
    <row r="866">
      <c r="A866" t="n">
        <v>858</v>
      </c>
      <c r="B866" t="n">
        <v>3</v>
      </c>
      <c r="C866" t="n">
        <v>2</v>
      </c>
      <c r="D866" t="n">
        <v>1</v>
      </c>
      <c r="E866" t="n">
        <v>3</v>
      </c>
      <c r="F866" t="n">
        <v>2</v>
      </c>
      <c r="G866" t="n">
        <v>1</v>
      </c>
      <c r="H866" t="n">
        <v>5</v>
      </c>
      <c r="I866" t="n">
        <v>1</v>
      </c>
      <c r="J866" t="n">
        <v>5</v>
      </c>
      <c r="K866" t="n">
        <v>5</v>
      </c>
      <c r="L866" t="n">
        <v>1</v>
      </c>
      <c r="M866" t="n">
        <v>2</v>
      </c>
      <c r="N866" t="n">
        <v>3</v>
      </c>
      <c r="O866" t="n">
        <v>5</v>
      </c>
      <c r="P866" t="n">
        <v>1</v>
      </c>
      <c r="Q866" t="n">
        <v>2</v>
      </c>
      <c r="R866" t="n">
        <v>1</v>
      </c>
      <c r="S866" t="n">
        <v>3</v>
      </c>
      <c r="T866" t="n">
        <v>2</v>
      </c>
      <c r="U866" t="n">
        <v>4</v>
      </c>
      <c r="V866" t="n">
        <v>3</v>
      </c>
      <c r="W866">
        <f>(AVERAGE(B866:D866)-1)/4</f>
        <v/>
      </c>
      <c r="X866">
        <f>(AVERAGE(E866:G866)-1)/4</f>
        <v/>
      </c>
      <c r="Y866">
        <f>(AVERAGE(H866:J866)-1)/4</f>
        <v/>
      </c>
      <c r="Z866">
        <f>(AVERAGE(K866:M866)-1)/4</f>
        <v/>
      </c>
      <c r="AA866">
        <f>(AVERAGE(N866:P866)-1)/4</f>
        <v/>
      </c>
      <c r="AB866">
        <f>(AVERAGE(Q866:S866)-1)/4</f>
        <v/>
      </c>
      <c r="AC866">
        <f>(AVERAGE(T866:V866)-1)/4</f>
        <v/>
      </c>
      <c r="AD866">
        <f>AVERAGE(W866:AA866)</f>
        <v/>
      </c>
      <c r="AE866">
        <f>MIN(W866:AA866)</f>
        <v/>
      </c>
      <c r="AF866">
        <f>1-alpha*MAX(0,delta-AE866)</f>
        <v/>
      </c>
      <c r="AG866">
        <f>AD866*AF866</f>
        <v/>
      </c>
      <c r="AH866">
        <f>1+COUNTIF(bounds,"&lt;"&amp;ROUND(AD866,12))</f>
        <v/>
      </c>
      <c r="AI866">
        <f>1+COUNTIF(bounds,"&lt;"&amp;ROUND(AG866,12))</f>
        <v/>
      </c>
      <c r="AJ866">
        <f>IF(AF866&lt;1,1,0)</f>
        <v/>
      </c>
      <c r="AK866">
        <f>IF(AH866&lt;&gt;AI866,1,0)</f>
        <v/>
      </c>
      <c r="AL866">
        <f>IF(AND(AI866&gt;=3,AB866&lt;=0.2),1,0)</f>
        <v/>
      </c>
      <c r="AM866">
        <f>AVERAGE(W866:AB866)</f>
        <v/>
      </c>
      <c r="AN866">
        <f>1+COUNTIF(bounds,"&lt;"&amp;ROUND(AM866,12))</f>
        <v/>
      </c>
      <c r="AO866">
        <f>IF(AK866=1,AD866,NA())</f>
        <v/>
      </c>
      <c r="AP866">
        <f>IF(AK866=0,AD866,NA())</f>
        <v/>
      </c>
    </row>
    <row r="867">
      <c r="A867" t="n">
        <v>859</v>
      </c>
      <c r="B867" t="n">
        <v>3</v>
      </c>
      <c r="C867" t="n">
        <v>2</v>
      </c>
      <c r="D867" t="n">
        <v>2</v>
      </c>
      <c r="E867" t="n">
        <v>2</v>
      </c>
      <c r="F867" t="n">
        <v>1</v>
      </c>
      <c r="G867" t="n">
        <v>5</v>
      </c>
      <c r="H867" t="n">
        <v>3</v>
      </c>
      <c r="I867" t="n">
        <v>5</v>
      </c>
      <c r="J867" t="n">
        <v>1</v>
      </c>
      <c r="K867" t="n">
        <v>5</v>
      </c>
      <c r="L867" t="n">
        <v>5</v>
      </c>
      <c r="M867" t="n">
        <v>1</v>
      </c>
      <c r="N867" t="n">
        <v>1</v>
      </c>
      <c r="O867" t="n">
        <v>1</v>
      </c>
      <c r="P867" t="n">
        <v>5</v>
      </c>
      <c r="Q867" t="n">
        <v>5</v>
      </c>
      <c r="R867" t="n">
        <v>4</v>
      </c>
      <c r="S867" t="n">
        <v>1</v>
      </c>
      <c r="T867" t="n">
        <v>5</v>
      </c>
      <c r="U867" t="n">
        <v>1</v>
      </c>
      <c r="V867" t="n">
        <v>1</v>
      </c>
      <c r="W867">
        <f>(AVERAGE(B867:D867)-1)/4</f>
        <v/>
      </c>
      <c r="X867">
        <f>(AVERAGE(E867:G867)-1)/4</f>
        <v/>
      </c>
      <c r="Y867">
        <f>(AVERAGE(H867:J867)-1)/4</f>
        <v/>
      </c>
      <c r="Z867">
        <f>(AVERAGE(K867:M867)-1)/4</f>
        <v/>
      </c>
      <c r="AA867">
        <f>(AVERAGE(N867:P867)-1)/4</f>
        <v/>
      </c>
      <c r="AB867">
        <f>(AVERAGE(Q867:S867)-1)/4</f>
        <v/>
      </c>
      <c r="AC867">
        <f>(AVERAGE(T867:V867)-1)/4</f>
        <v/>
      </c>
      <c r="AD867">
        <f>AVERAGE(W867:AA867)</f>
        <v/>
      </c>
      <c r="AE867">
        <f>MIN(W867:AA867)</f>
        <v/>
      </c>
      <c r="AF867">
        <f>1-alpha*MAX(0,delta-AE867)</f>
        <v/>
      </c>
      <c r="AG867">
        <f>AD867*AF867</f>
        <v/>
      </c>
      <c r="AH867">
        <f>1+COUNTIF(bounds,"&lt;"&amp;ROUND(AD867,12))</f>
        <v/>
      </c>
      <c r="AI867">
        <f>1+COUNTIF(bounds,"&lt;"&amp;ROUND(AG867,12))</f>
        <v/>
      </c>
      <c r="AJ867">
        <f>IF(AF867&lt;1,1,0)</f>
        <v/>
      </c>
      <c r="AK867">
        <f>IF(AH867&lt;&gt;AI867,1,0)</f>
        <v/>
      </c>
      <c r="AL867">
        <f>IF(AND(AI867&gt;=3,AB867&lt;=0.2),1,0)</f>
        <v/>
      </c>
      <c r="AM867">
        <f>AVERAGE(W867:AB867)</f>
        <v/>
      </c>
      <c r="AN867">
        <f>1+COUNTIF(bounds,"&lt;"&amp;ROUND(AM867,12))</f>
        <v/>
      </c>
      <c r="AO867">
        <f>IF(AK867=1,AD867,NA())</f>
        <v/>
      </c>
      <c r="AP867">
        <f>IF(AK867=0,AD867,NA())</f>
        <v/>
      </c>
    </row>
    <row r="868">
      <c r="A868" t="n">
        <v>860</v>
      </c>
      <c r="B868" t="n">
        <v>4</v>
      </c>
      <c r="C868" t="n">
        <v>1</v>
      </c>
      <c r="D868" t="n">
        <v>4</v>
      </c>
      <c r="E868" t="n">
        <v>3</v>
      </c>
      <c r="F868" t="n">
        <v>2</v>
      </c>
      <c r="G868" t="n">
        <v>4</v>
      </c>
      <c r="H868" t="n">
        <v>5</v>
      </c>
      <c r="I868" t="n">
        <v>2</v>
      </c>
      <c r="J868" t="n">
        <v>1</v>
      </c>
      <c r="K868" t="n">
        <v>5</v>
      </c>
      <c r="L868" t="n">
        <v>5</v>
      </c>
      <c r="M868" t="n">
        <v>3</v>
      </c>
      <c r="N868" t="n">
        <v>1</v>
      </c>
      <c r="O868" t="n">
        <v>2</v>
      </c>
      <c r="P868" t="n">
        <v>4</v>
      </c>
      <c r="Q868" t="n">
        <v>5</v>
      </c>
      <c r="R868" t="n">
        <v>5</v>
      </c>
      <c r="S868" t="n">
        <v>5</v>
      </c>
      <c r="T868" t="n">
        <v>3</v>
      </c>
      <c r="U868" t="n">
        <v>1</v>
      </c>
      <c r="V868" t="n">
        <v>3</v>
      </c>
      <c r="W868">
        <f>(AVERAGE(B868:D868)-1)/4</f>
        <v/>
      </c>
      <c r="X868">
        <f>(AVERAGE(E868:G868)-1)/4</f>
        <v/>
      </c>
      <c r="Y868">
        <f>(AVERAGE(H868:J868)-1)/4</f>
        <v/>
      </c>
      <c r="Z868">
        <f>(AVERAGE(K868:M868)-1)/4</f>
        <v/>
      </c>
      <c r="AA868">
        <f>(AVERAGE(N868:P868)-1)/4</f>
        <v/>
      </c>
      <c r="AB868">
        <f>(AVERAGE(Q868:S868)-1)/4</f>
        <v/>
      </c>
      <c r="AC868">
        <f>(AVERAGE(T868:V868)-1)/4</f>
        <v/>
      </c>
      <c r="AD868">
        <f>AVERAGE(W868:AA868)</f>
        <v/>
      </c>
      <c r="AE868">
        <f>MIN(W868:AA868)</f>
        <v/>
      </c>
      <c r="AF868">
        <f>1-alpha*MAX(0,delta-AE868)</f>
        <v/>
      </c>
      <c r="AG868">
        <f>AD868*AF868</f>
        <v/>
      </c>
      <c r="AH868">
        <f>1+COUNTIF(bounds,"&lt;"&amp;ROUND(AD868,12))</f>
        <v/>
      </c>
      <c r="AI868">
        <f>1+COUNTIF(bounds,"&lt;"&amp;ROUND(AG868,12))</f>
        <v/>
      </c>
      <c r="AJ868">
        <f>IF(AF868&lt;1,1,0)</f>
        <v/>
      </c>
      <c r="AK868">
        <f>IF(AH868&lt;&gt;AI868,1,0)</f>
        <v/>
      </c>
      <c r="AL868">
        <f>IF(AND(AI868&gt;=3,AB868&lt;=0.2),1,0)</f>
        <v/>
      </c>
      <c r="AM868">
        <f>AVERAGE(W868:AB868)</f>
        <v/>
      </c>
      <c r="AN868">
        <f>1+COUNTIF(bounds,"&lt;"&amp;ROUND(AM868,12))</f>
        <v/>
      </c>
      <c r="AO868">
        <f>IF(AK868=1,AD868,NA())</f>
        <v/>
      </c>
      <c r="AP868">
        <f>IF(AK868=0,AD868,NA())</f>
        <v/>
      </c>
    </row>
    <row r="869">
      <c r="A869" t="n">
        <v>861</v>
      </c>
      <c r="B869" t="n">
        <v>4</v>
      </c>
      <c r="C869" t="n">
        <v>1</v>
      </c>
      <c r="D869" t="n">
        <v>3</v>
      </c>
      <c r="E869" t="n">
        <v>5</v>
      </c>
      <c r="F869" t="n">
        <v>1</v>
      </c>
      <c r="G869" t="n">
        <v>3</v>
      </c>
      <c r="H869" t="n">
        <v>5</v>
      </c>
      <c r="I869" t="n">
        <v>1</v>
      </c>
      <c r="J869" t="n">
        <v>1</v>
      </c>
      <c r="K869" t="n">
        <v>4</v>
      </c>
      <c r="L869" t="n">
        <v>3</v>
      </c>
      <c r="M869" t="n">
        <v>1</v>
      </c>
      <c r="N869" t="n">
        <v>2</v>
      </c>
      <c r="O869" t="n">
        <v>4</v>
      </c>
      <c r="P869" t="n">
        <v>4</v>
      </c>
      <c r="Q869" t="n">
        <v>1</v>
      </c>
      <c r="R869" t="n">
        <v>1</v>
      </c>
      <c r="S869" t="n">
        <v>4</v>
      </c>
      <c r="T869" t="n">
        <v>2</v>
      </c>
      <c r="U869" t="n">
        <v>5</v>
      </c>
      <c r="V869" t="n">
        <v>2</v>
      </c>
      <c r="W869">
        <f>(AVERAGE(B869:D869)-1)/4</f>
        <v/>
      </c>
      <c r="X869">
        <f>(AVERAGE(E869:G869)-1)/4</f>
        <v/>
      </c>
      <c r="Y869">
        <f>(AVERAGE(H869:J869)-1)/4</f>
        <v/>
      </c>
      <c r="Z869">
        <f>(AVERAGE(K869:M869)-1)/4</f>
        <v/>
      </c>
      <c r="AA869">
        <f>(AVERAGE(N869:P869)-1)/4</f>
        <v/>
      </c>
      <c r="AB869">
        <f>(AVERAGE(Q869:S869)-1)/4</f>
        <v/>
      </c>
      <c r="AC869">
        <f>(AVERAGE(T869:V869)-1)/4</f>
        <v/>
      </c>
      <c r="AD869">
        <f>AVERAGE(W869:AA869)</f>
        <v/>
      </c>
      <c r="AE869">
        <f>MIN(W869:AA869)</f>
        <v/>
      </c>
      <c r="AF869">
        <f>1-alpha*MAX(0,delta-AE869)</f>
        <v/>
      </c>
      <c r="AG869">
        <f>AD869*AF869</f>
        <v/>
      </c>
      <c r="AH869">
        <f>1+COUNTIF(bounds,"&lt;"&amp;ROUND(AD869,12))</f>
        <v/>
      </c>
      <c r="AI869">
        <f>1+COUNTIF(bounds,"&lt;"&amp;ROUND(AG869,12))</f>
        <v/>
      </c>
      <c r="AJ869">
        <f>IF(AF869&lt;1,1,0)</f>
        <v/>
      </c>
      <c r="AK869">
        <f>IF(AH869&lt;&gt;AI869,1,0)</f>
        <v/>
      </c>
      <c r="AL869">
        <f>IF(AND(AI869&gt;=3,AB869&lt;=0.2),1,0)</f>
        <v/>
      </c>
      <c r="AM869">
        <f>AVERAGE(W869:AB869)</f>
        <v/>
      </c>
      <c r="AN869">
        <f>1+COUNTIF(bounds,"&lt;"&amp;ROUND(AM869,12))</f>
        <v/>
      </c>
      <c r="AO869">
        <f>IF(AK869=1,AD869,NA())</f>
        <v/>
      </c>
      <c r="AP869">
        <f>IF(AK869=0,AD869,NA())</f>
        <v/>
      </c>
    </row>
    <row r="870">
      <c r="A870" t="n">
        <v>862</v>
      </c>
      <c r="B870" t="n">
        <v>4</v>
      </c>
      <c r="C870" t="n">
        <v>3</v>
      </c>
      <c r="D870" t="n">
        <v>2</v>
      </c>
      <c r="E870" t="n">
        <v>3</v>
      </c>
      <c r="F870" t="n">
        <v>4</v>
      </c>
      <c r="G870" t="n">
        <v>1</v>
      </c>
      <c r="H870" t="n">
        <v>2</v>
      </c>
      <c r="I870" t="n">
        <v>4</v>
      </c>
      <c r="J870" t="n">
        <v>1</v>
      </c>
      <c r="K870" t="n">
        <v>4</v>
      </c>
      <c r="L870" t="n">
        <v>1</v>
      </c>
      <c r="M870" t="n">
        <v>3</v>
      </c>
      <c r="N870" t="n">
        <v>1</v>
      </c>
      <c r="O870" t="n">
        <v>5</v>
      </c>
      <c r="P870" t="n">
        <v>4</v>
      </c>
      <c r="Q870" t="n">
        <v>4</v>
      </c>
      <c r="R870" t="n">
        <v>4</v>
      </c>
      <c r="S870" t="n">
        <v>2</v>
      </c>
      <c r="T870" t="n">
        <v>5</v>
      </c>
      <c r="U870" t="n">
        <v>1</v>
      </c>
      <c r="V870" t="n">
        <v>3</v>
      </c>
      <c r="W870">
        <f>(AVERAGE(B870:D870)-1)/4</f>
        <v/>
      </c>
      <c r="X870">
        <f>(AVERAGE(E870:G870)-1)/4</f>
        <v/>
      </c>
      <c r="Y870">
        <f>(AVERAGE(H870:J870)-1)/4</f>
        <v/>
      </c>
      <c r="Z870">
        <f>(AVERAGE(K870:M870)-1)/4</f>
        <v/>
      </c>
      <c r="AA870">
        <f>(AVERAGE(N870:P870)-1)/4</f>
        <v/>
      </c>
      <c r="AB870">
        <f>(AVERAGE(Q870:S870)-1)/4</f>
        <v/>
      </c>
      <c r="AC870">
        <f>(AVERAGE(T870:V870)-1)/4</f>
        <v/>
      </c>
      <c r="AD870">
        <f>AVERAGE(W870:AA870)</f>
        <v/>
      </c>
      <c r="AE870">
        <f>MIN(W870:AA870)</f>
        <v/>
      </c>
      <c r="AF870">
        <f>1-alpha*MAX(0,delta-AE870)</f>
        <v/>
      </c>
      <c r="AG870">
        <f>AD870*AF870</f>
        <v/>
      </c>
      <c r="AH870">
        <f>1+COUNTIF(bounds,"&lt;"&amp;ROUND(AD870,12))</f>
        <v/>
      </c>
      <c r="AI870">
        <f>1+COUNTIF(bounds,"&lt;"&amp;ROUND(AG870,12))</f>
        <v/>
      </c>
      <c r="AJ870">
        <f>IF(AF870&lt;1,1,0)</f>
        <v/>
      </c>
      <c r="AK870">
        <f>IF(AH870&lt;&gt;AI870,1,0)</f>
        <v/>
      </c>
      <c r="AL870">
        <f>IF(AND(AI870&gt;=3,AB870&lt;=0.2),1,0)</f>
        <v/>
      </c>
      <c r="AM870">
        <f>AVERAGE(W870:AB870)</f>
        <v/>
      </c>
      <c r="AN870">
        <f>1+COUNTIF(bounds,"&lt;"&amp;ROUND(AM870,12))</f>
        <v/>
      </c>
      <c r="AO870">
        <f>IF(AK870=1,AD870,NA())</f>
        <v/>
      </c>
      <c r="AP870">
        <f>IF(AK870=0,AD870,NA())</f>
        <v/>
      </c>
    </row>
    <row r="871">
      <c r="A871" t="n">
        <v>863</v>
      </c>
      <c r="B871" t="n">
        <v>1</v>
      </c>
      <c r="C871" t="n">
        <v>5</v>
      </c>
      <c r="D871" t="n">
        <v>3</v>
      </c>
      <c r="E871" t="n">
        <v>5</v>
      </c>
      <c r="F871" t="n">
        <v>1</v>
      </c>
      <c r="G871" t="n">
        <v>1</v>
      </c>
      <c r="H871" t="n">
        <v>3</v>
      </c>
      <c r="I871" t="n">
        <v>3</v>
      </c>
      <c r="J871" t="n">
        <v>1</v>
      </c>
      <c r="K871" t="n">
        <v>4</v>
      </c>
      <c r="L871" t="n">
        <v>5</v>
      </c>
      <c r="M871" t="n">
        <v>2</v>
      </c>
      <c r="N871" t="n">
        <v>5</v>
      </c>
      <c r="O871" t="n">
        <v>1</v>
      </c>
      <c r="P871" t="n">
        <v>3</v>
      </c>
      <c r="Q871" t="n">
        <v>4</v>
      </c>
      <c r="R871" t="n">
        <v>3</v>
      </c>
      <c r="S871" t="n">
        <v>4</v>
      </c>
      <c r="T871" t="n">
        <v>5</v>
      </c>
      <c r="U871" t="n">
        <v>5</v>
      </c>
      <c r="V871" t="n">
        <v>2</v>
      </c>
      <c r="W871">
        <f>(AVERAGE(B871:D871)-1)/4</f>
        <v/>
      </c>
      <c r="X871">
        <f>(AVERAGE(E871:G871)-1)/4</f>
        <v/>
      </c>
      <c r="Y871">
        <f>(AVERAGE(H871:J871)-1)/4</f>
        <v/>
      </c>
      <c r="Z871">
        <f>(AVERAGE(K871:M871)-1)/4</f>
        <v/>
      </c>
      <c r="AA871">
        <f>(AVERAGE(N871:P871)-1)/4</f>
        <v/>
      </c>
      <c r="AB871">
        <f>(AVERAGE(Q871:S871)-1)/4</f>
        <v/>
      </c>
      <c r="AC871">
        <f>(AVERAGE(T871:V871)-1)/4</f>
        <v/>
      </c>
      <c r="AD871">
        <f>AVERAGE(W871:AA871)</f>
        <v/>
      </c>
      <c r="AE871">
        <f>MIN(W871:AA871)</f>
        <v/>
      </c>
      <c r="AF871">
        <f>1-alpha*MAX(0,delta-AE871)</f>
        <v/>
      </c>
      <c r="AG871">
        <f>AD871*AF871</f>
        <v/>
      </c>
      <c r="AH871">
        <f>1+COUNTIF(bounds,"&lt;"&amp;ROUND(AD871,12))</f>
        <v/>
      </c>
      <c r="AI871">
        <f>1+COUNTIF(bounds,"&lt;"&amp;ROUND(AG871,12))</f>
        <v/>
      </c>
      <c r="AJ871">
        <f>IF(AF871&lt;1,1,0)</f>
        <v/>
      </c>
      <c r="AK871">
        <f>IF(AH871&lt;&gt;AI871,1,0)</f>
        <v/>
      </c>
      <c r="AL871">
        <f>IF(AND(AI871&gt;=3,AB871&lt;=0.2),1,0)</f>
        <v/>
      </c>
      <c r="AM871">
        <f>AVERAGE(W871:AB871)</f>
        <v/>
      </c>
      <c r="AN871">
        <f>1+COUNTIF(bounds,"&lt;"&amp;ROUND(AM871,12))</f>
        <v/>
      </c>
      <c r="AO871">
        <f>IF(AK871=1,AD871,NA())</f>
        <v/>
      </c>
      <c r="AP871">
        <f>IF(AK871=0,AD871,NA())</f>
        <v/>
      </c>
    </row>
    <row r="872">
      <c r="A872" t="n">
        <v>864</v>
      </c>
      <c r="B872" t="n">
        <v>1</v>
      </c>
      <c r="C872" t="n">
        <v>1</v>
      </c>
      <c r="D872" t="n">
        <v>2</v>
      </c>
      <c r="E872" t="n">
        <v>5</v>
      </c>
      <c r="F872" t="n">
        <v>2</v>
      </c>
      <c r="G872" t="n">
        <v>3</v>
      </c>
      <c r="H872" t="n">
        <v>2</v>
      </c>
      <c r="I872" t="n">
        <v>2</v>
      </c>
      <c r="J872" t="n">
        <v>5</v>
      </c>
      <c r="K872" t="n">
        <v>1</v>
      </c>
      <c r="L872" t="n">
        <v>4</v>
      </c>
      <c r="M872" t="n">
        <v>4</v>
      </c>
      <c r="N872" t="n">
        <v>5</v>
      </c>
      <c r="O872" t="n">
        <v>5</v>
      </c>
      <c r="P872" t="n">
        <v>2</v>
      </c>
      <c r="Q872" t="n">
        <v>1</v>
      </c>
      <c r="R872" t="n">
        <v>2</v>
      </c>
      <c r="S872" t="n">
        <v>5</v>
      </c>
      <c r="T872" t="n">
        <v>5</v>
      </c>
      <c r="U872" t="n">
        <v>1</v>
      </c>
      <c r="V872" t="n">
        <v>5</v>
      </c>
      <c r="W872">
        <f>(AVERAGE(B872:D872)-1)/4</f>
        <v/>
      </c>
      <c r="X872">
        <f>(AVERAGE(E872:G872)-1)/4</f>
        <v/>
      </c>
      <c r="Y872">
        <f>(AVERAGE(H872:J872)-1)/4</f>
        <v/>
      </c>
      <c r="Z872">
        <f>(AVERAGE(K872:M872)-1)/4</f>
        <v/>
      </c>
      <c r="AA872">
        <f>(AVERAGE(N872:P872)-1)/4</f>
        <v/>
      </c>
      <c r="AB872">
        <f>(AVERAGE(Q872:S872)-1)/4</f>
        <v/>
      </c>
      <c r="AC872">
        <f>(AVERAGE(T872:V872)-1)/4</f>
        <v/>
      </c>
      <c r="AD872">
        <f>AVERAGE(W872:AA872)</f>
        <v/>
      </c>
      <c r="AE872">
        <f>MIN(W872:AA872)</f>
        <v/>
      </c>
      <c r="AF872">
        <f>1-alpha*MAX(0,delta-AE872)</f>
        <v/>
      </c>
      <c r="AG872">
        <f>AD872*AF872</f>
        <v/>
      </c>
      <c r="AH872">
        <f>1+COUNTIF(bounds,"&lt;"&amp;ROUND(AD872,12))</f>
        <v/>
      </c>
      <c r="AI872">
        <f>1+COUNTIF(bounds,"&lt;"&amp;ROUND(AG872,12))</f>
        <v/>
      </c>
      <c r="AJ872">
        <f>IF(AF872&lt;1,1,0)</f>
        <v/>
      </c>
      <c r="AK872">
        <f>IF(AH872&lt;&gt;AI872,1,0)</f>
        <v/>
      </c>
      <c r="AL872">
        <f>IF(AND(AI872&gt;=3,AB872&lt;=0.2),1,0)</f>
        <v/>
      </c>
      <c r="AM872">
        <f>AVERAGE(W872:AB872)</f>
        <v/>
      </c>
      <c r="AN872">
        <f>1+COUNTIF(bounds,"&lt;"&amp;ROUND(AM872,12))</f>
        <v/>
      </c>
      <c r="AO872">
        <f>IF(AK872=1,AD872,NA())</f>
        <v/>
      </c>
      <c r="AP872">
        <f>IF(AK872=0,AD872,NA())</f>
        <v/>
      </c>
    </row>
    <row r="873">
      <c r="A873" t="n">
        <v>865</v>
      </c>
      <c r="B873" t="n">
        <v>5</v>
      </c>
      <c r="C873" t="n">
        <v>1</v>
      </c>
      <c r="D873" t="n">
        <v>4</v>
      </c>
      <c r="E873" t="n">
        <v>3</v>
      </c>
      <c r="F873" t="n">
        <v>1</v>
      </c>
      <c r="G873" t="n">
        <v>4</v>
      </c>
      <c r="H873" t="n">
        <v>2</v>
      </c>
      <c r="I873" t="n">
        <v>3</v>
      </c>
      <c r="J873" t="n">
        <v>4</v>
      </c>
      <c r="K873" t="n">
        <v>5</v>
      </c>
      <c r="L873" t="n">
        <v>4</v>
      </c>
      <c r="M873" t="n">
        <v>5</v>
      </c>
      <c r="N873" t="n">
        <v>1</v>
      </c>
      <c r="O873" t="n">
        <v>1</v>
      </c>
      <c r="P873" t="n">
        <v>4</v>
      </c>
      <c r="Q873" t="n">
        <v>5</v>
      </c>
      <c r="R873" t="n">
        <v>1</v>
      </c>
      <c r="S873" t="n">
        <v>1</v>
      </c>
      <c r="T873" t="n">
        <v>3</v>
      </c>
      <c r="U873" t="n">
        <v>4</v>
      </c>
      <c r="V873" t="n">
        <v>2</v>
      </c>
      <c r="W873">
        <f>(AVERAGE(B873:D873)-1)/4</f>
        <v/>
      </c>
      <c r="X873">
        <f>(AVERAGE(E873:G873)-1)/4</f>
        <v/>
      </c>
      <c r="Y873">
        <f>(AVERAGE(H873:J873)-1)/4</f>
        <v/>
      </c>
      <c r="Z873">
        <f>(AVERAGE(K873:M873)-1)/4</f>
        <v/>
      </c>
      <c r="AA873">
        <f>(AVERAGE(N873:P873)-1)/4</f>
        <v/>
      </c>
      <c r="AB873">
        <f>(AVERAGE(Q873:S873)-1)/4</f>
        <v/>
      </c>
      <c r="AC873">
        <f>(AVERAGE(T873:V873)-1)/4</f>
        <v/>
      </c>
      <c r="AD873">
        <f>AVERAGE(W873:AA873)</f>
        <v/>
      </c>
      <c r="AE873">
        <f>MIN(W873:AA873)</f>
        <v/>
      </c>
      <c r="AF873">
        <f>1-alpha*MAX(0,delta-AE873)</f>
        <v/>
      </c>
      <c r="AG873">
        <f>AD873*AF873</f>
        <v/>
      </c>
      <c r="AH873">
        <f>1+COUNTIF(bounds,"&lt;"&amp;ROUND(AD873,12))</f>
        <v/>
      </c>
      <c r="AI873">
        <f>1+COUNTIF(bounds,"&lt;"&amp;ROUND(AG873,12))</f>
        <v/>
      </c>
      <c r="AJ873">
        <f>IF(AF873&lt;1,1,0)</f>
        <v/>
      </c>
      <c r="AK873">
        <f>IF(AH873&lt;&gt;AI873,1,0)</f>
        <v/>
      </c>
      <c r="AL873">
        <f>IF(AND(AI873&gt;=3,AB873&lt;=0.2),1,0)</f>
        <v/>
      </c>
      <c r="AM873">
        <f>AVERAGE(W873:AB873)</f>
        <v/>
      </c>
      <c r="AN873">
        <f>1+COUNTIF(bounds,"&lt;"&amp;ROUND(AM873,12))</f>
        <v/>
      </c>
      <c r="AO873">
        <f>IF(AK873=1,AD873,NA())</f>
        <v/>
      </c>
      <c r="AP873">
        <f>IF(AK873=0,AD873,NA())</f>
        <v/>
      </c>
    </row>
    <row r="874">
      <c r="A874" t="n">
        <v>866</v>
      </c>
      <c r="B874" t="n">
        <v>5</v>
      </c>
      <c r="C874" t="n">
        <v>2</v>
      </c>
      <c r="D874" t="n">
        <v>3</v>
      </c>
      <c r="E874" t="n">
        <v>3</v>
      </c>
      <c r="F874" t="n">
        <v>1</v>
      </c>
      <c r="G874" t="n">
        <v>3</v>
      </c>
      <c r="H874" t="n">
        <v>2</v>
      </c>
      <c r="I874" t="n">
        <v>4</v>
      </c>
      <c r="J874" t="n">
        <v>2</v>
      </c>
      <c r="K874" t="n">
        <v>4</v>
      </c>
      <c r="L874" t="n">
        <v>1</v>
      </c>
      <c r="M874" t="n">
        <v>2</v>
      </c>
      <c r="N874" t="n">
        <v>1</v>
      </c>
      <c r="O874" t="n">
        <v>1</v>
      </c>
      <c r="P874" t="n">
        <v>3</v>
      </c>
      <c r="Q874" t="n">
        <v>5</v>
      </c>
      <c r="R874" t="n">
        <v>1</v>
      </c>
      <c r="S874" t="n">
        <v>1</v>
      </c>
      <c r="T874" t="n">
        <v>3</v>
      </c>
      <c r="U874" t="n">
        <v>5</v>
      </c>
      <c r="V874" t="n">
        <v>3</v>
      </c>
      <c r="W874">
        <f>(AVERAGE(B874:D874)-1)/4</f>
        <v/>
      </c>
      <c r="X874">
        <f>(AVERAGE(E874:G874)-1)/4</f>
        <v/>
      </c>
      <c r="Y874">
        <f>(AVERAGE(H874:J874)-1)/4</f>
        <v/>
      </c>
      <c r="Z874">
        <f>(AVERAGE(K874:M874)-1)/4</f>
        <v/>
      </c>
      <c r="AA874">
        <f>(AVERAGE(N874:P874)-1)/4</f>
        <v/>
      </c>
      <c r="AB874">
        <f>(AVERAGE(Q874:S874)-1)/4</f>
        <v/>
      </c>
      <c r="AC874">
        <f>(AVERAGE(T874:V874)-1)/4</f>
        <v/>
      </c>
      <c r="AD874">
        <f>AVERAGE(W874:AA874)</f>
        <v/>
      </c>
      <c r="AE874">
        <f>MIN(W874:AA874)</f>
        <v/>
      </c>
      <c r="AF874">
        <f>1-alpha*MAX(0,delta-AE874)</f>
        <v/>
      </c>
      <c r="AG874">
        <f>AD874*AF874</f>
        <v/>
      </c>
      <c r="AH874">
        <f>1+COUNTIF(bounds,"&lt;"&amp;ROUND(AD874,12))</f>
        <v/>
      </c>
      <c r="AI874">
        <f>1+COUNTIF(bounds,"&lt;"&amp;ROUND(AG874,12))</f>
        <v/>
      </c>
      <c r="AJ874">
        <f>IF(AF874&lt;1,1,0)</f>
        <v/>
      </c>
      <c r="AK874">
        <f>IF(AH874&lt;&gt;AI874,1,0)</f>
        <v/>
      </c>
      <c r="AL874">
        <f>IF(AND(AI874&gt;=3,AB874&lt;=0.2),1,0)</f>
        <v/>
      </c>
      <c r="AM874">
        <f>AVERAGE(W874:AB874)</f>
        <v/>
      </c>
      <c r="AN874">
        <f>1+COUNTIF(bounds,"&lt;"&amp;ROUND(AM874,12))</f>
        <v/>
      </c>
      <c r="AO874">
        <f>IF(AK874=1,AD874,NA())</f>
        <v/>
      </c>
      <c r="AP874">
        <f>IF(AK874=0,AD874,NA())</f>
        <v/>
      </c>
    </row>
    <row r="875">
      <c r="A875" t="n">
        <v>867</v>
      </c>
      <c r="B875" t="n">
        <v>1</v>
      </c>
      <c r="C875" t="n">
        <v>2</v>
      </c>
      <c r="D875" t="n">
        <v>2</v>
      </c>
      <c r="E875" t="n">
        <v>5</v>
      </c>
      <c r="F875" t="n">
        <v>5</v>
      </c>
      <c r="G875" t="n">
        <v>3</v>
      </c>
      <c r="H875" t="n">
        <v>2</v>
      </c>
      <c r="I875" t="n">
        <v>4</v>
      </c>
      <c r="J875" t="n">
        <v>5</v>
      </c>
      <c r="K875" t="n">
        <v>4</v>
      </c>
      <c r="L875" t="n">
        <v>1</v>
      </c>
      <c r="M875" t="n">
        <v>3</v>
      </c>
      <c r="N875" t="n">
        <v>3</v>
      </c>
      <c r="O875" t="n">
        <v>3</v>
      </c>
      <c r="P875" t="n">
        <v>4</v>
      </c>
      <c r="Q875" t="n">
        <v>3</v>
      </c>
      <c r="R875" t="n">
        <v>2</v>
      </c>
      <c r="S875" t="n">
        <v>3</v>
      </c>
      <c r="T875" t="n">
        <v>3</v>
      </c>
      <c r="U875" t="n">
        <v>1</v>
      </c>
      <c r="V875" t="n">
        <v>5</v>
      </c>
      <c r="W875">
        <f>(AVERAGE(B875:D875)-1)/4</f>
        <v/>
      </c>
      <c r="X875">
        <f>(AVERAGE(E875:G875)-1)/4</f>
        <v/>
      </c>
      <c r="Y875">
        <f>(AVERAGE(H875:J875)-1)/4</f>
        <v/>
      </c>
      <c r="Z875">
        <f>(AVERAGE(K875:M875)-1)/4</f>
        <v/>
      </c>
      <c r="AA875">
        <f>(AVERAGE(N875:P875)-1)/4</f>
        <v/>
      </c>
      <c r="AB875">
        <f>(AVERAGE(Q875:S875)-1)/4</f>
        <v/>
      </c>
      <c r="AC875">
        <f>(AVERAGE(T875:V875)-1)/4</f>
        <v/>
      </c>
      <c r="AD875">
        <f>AVERAGE(W875:AA875)</f>
        <v/>
      </c>
      <c r="AE875">
        <f>MIN(W875:AA875)</f>
        <v/>
      </c>
      <c r="AF875">
        <f>1-alpha*MAX(0,delta-AE875)</f>
        <v/>
      </c>
      <c r="AG875">
        <f>AD875*AF875</f>
        <v/>
      </c>
      <c r="AH875">
        <f>1+COUNTIF(bounds,"&lt;"&amp;ROUND(AD875,12))</f>
        <v/>
      </c>
      <c r="AI875">
        <f>1+COUNTIF(bounds,"&lt;"&amp;ROUND(AG875,12))</f>
        <v/>
      </c>
      <c r="AJ875">
        <f>IF(AF875&lt;1,1,0)</f>
        <v/>
      </c>
      <c r="AK875">
        <f>IF(AH875&lt;&gt;AI875,1,0)</f>
        <v/>
      </c>
      <c r="AL875">
        <f>IF(AND(AI875&gt;=3,AB875&lt;=0.2),1,0)</f>
        <v/>
      </c>
      <c r="AM875">
        <f>AVERAGE(W875:AB875)</f>
        <v/>
      </c>
      <c r="AN875">
        <f>1+COUNTIF(bounds,"&lt;"&amp;ROUND(AM875,12))</f>
        <v/>
      </c>
      <c r="AO875">
        <f>IF(AK875=1,AD875,NA())</f>
        <v/>
      </c>
      <c r="AP875">
        <f>IF(AK875=0,AD875,NA())</f>
        <v/>
      </c>
    </row>
    <row r="876">
      <c r="A876" t="n">
        <v>868</v>
      </c>
      <c r="B876" t="n">
        <v>4</v>
      </c>
      <c r="C876" t="n">
        <v>3</v>
      </c>
      <c r="D876" t="n">
        <v>5</v>
      </c>
      <c r="E876" t="n">
        <v>2</v>
      </c>
      <c r="F876" t="n">
        <v>1</v>
      </c>
      <c r="G876" t="n">
        <v>3</v>
      </c>
      <c r="H876" t="n">
        <v>1</v>
      </c>
      <c r="I876" t="n">
        <v>5</v>
      </c>
      <c r="J876" t="n">
        <v>4</v>
      </c>
      <c r="K876" t="n">
        <v>1</v>
      </c>
      <c r="L876" t="n">
        <v>2</v>
      </c>
      <c r="M876" t="n">
        <v>2</v>
      </c>
      <c r="N876" t="n">
        <v>3</v>
      </c>
      <c r="O876" t="n">
        <v>4</v>
      </c>
      <c r="P876" t="n">
        <v>4</v>
      </c>
      <c r="Q876" t="n">
        <v>2</v>
      </c>
      <c r="R876" t="n">
        <v>4</v>
      </c>
      <c r="S876" t="n">
        <v>1</v>
      </c>
      <c r="T876" t="n">
        <v>5</v>
      </c>
      <c r="U876" t="n">
        <v>4</v>
      </c>
      <c r="V876" t="n">
        <v>4</v>
      </c>
      <c r="W876">
        <f>(AVERAGE(B876:D876)-1)/4</f>
        <v/>
      </c>
      <c r="X876">
        <f>(AVERAGE(E876:G876)-1)/4</f>
        <v/>
      </c>
      <c r="Y876">
        <f>(AVERAGE(H876:J876)-1)/4</f>
        <v/>
      </c>
      <c r="Z876">
        <f>(AVERAGE(K876:M876)-1)/4</f>
        <v/>
      </c>
      <c r="AA876">
        <f>(AVERAGE(N876:P876)-1)/4</f>
        <v/>
      </c>
      <c r="AB876">
        <f>(AVERAGE(Q876:S876)-1)/4</f>
        <v/>
      </c>
      <c r="AC876">
        <f>(AVERAGE(T876:V876)-1)/4</f>
        <v/>
      </c>
      <c r="AD876">
        <f>AVERAGE(W876:AA876)</f>
        <v/>
      </c>
      <c r="AE876">
        <f>MIN(W876:AA876)</f>
        <v/>
      </c>
      <c r="AF876">
        <f>1-alpha*MAX(0,delta-AE876)</f>
        <v/>
      </c>
      <c r="AG876">
        <f>AD876*AF876</f>
        <v/>
      </c>
      <c r="AH876">
        <f>1+COUNTIF(bounds,"&lt;"&amp;ROUND(AD876,12))</f>
        <v/>
      </c>
      <c r="AI876">
        <f>1+COUNTIF(bounds,"&lt;"&amp;ROUND(AG876,12))</f>
        <v/>
      </c>
      <c r="AJ876">
        <f>IF(AF876&lt;1,1,0)</f>
        <v/>
      </c>
      <c r="AK876">
        <f>IF(AH876&lt;&gt;AI876,1,0)</f>
        <v/>
      </c>
      <c r="AL876">
        <f>IF(AND(AI876&gt;=3,AB876&lt;=0.2),1,0)</f>
        <v/>
      </c>
      <c r="AM876">
        <f>AVERAGE(W876:AB876)</f>
        <v/>
      </c>
      <c r="AN876">
        <f>1+COUNTIF(bounds,"&lt;"&amp;ROUND(AM876,12))</f>
        <v/>
      </c>
      <c r="AO876">
        <f>IF(AK876=1,AD876,NA())</f>
        <v/>
      </c>
      <c r="AP876">
        <f>IF(AK876=0,AD876,NA())</f>
        <v/>
      </c>
    </row>
    <row r="877">
      <c r="A877" t="n">
        <v>869</v>
      </c>
      <c r="B877" t="n">
        <v>4</v>
      </c>
      <c r="C877" t="n">
        <v>3</v>
      </c>
      <c r="D877" t="n">
        <v>3</v>
      </c>
      <c r="E877" t="n">
        <v>3</v>
      </c>
      <c r="F877" t="n">
        <v>2</v>
      </c>
      <c r="G877" t="n">
        <v>3</v>
      </c>
      <c r="H877" t="n">
        <v>3</v>
      </c>
      <c r="I877" t="n">
        <v>1</v>
      </c>
      <c r="J877" t="n">
        <v>1</v>
      </c>
      <c r="K877" t="n">
        <v>1</v>
      </c>
      <c r="L877" t="n">
        <v>2</v>
      </c>
      <c r="M877" t="n">
        <v>5</v>
      </c>
      <c r="N877" t="n">
        <v>3</v>
      </c>
      <c r="O877" t="n">
        <v>1</v>
      </c>
      <c r="P877" t="n">
        <v>5</v>
      </c>
      <c r="Q877" t="n">
        <v>1</v>
      </c>
      <c r="R877" t="n">
        <v>2</v>
      </c>
      <c r="S877" t="n">
        <v>2</v>
      </c>
      <c r="T877" t="n">
        <v>3</v>
      </c>
      <c r="U877" t="n">
        <v>4</v>
      </c>
      <c r="V877" t="n">
        <v>2</v>
      </c>
      <c r="W877">
        <f>(AVERAGE(B877:D877)-1)/4</f>
        <v/>
      </c>
      <c r="X877">
        <f>(AVERAGE(E877:G877)-1)/4</f>
        <v/>
      </c>
      <c r="Y877">
        <f>(AVERAGE(H877:J877)-1)/4</f>
        <v/>
      </c>
      <c r="Z877">
        <f>(AVERAGE(K877:M877)-1)/4</f>
        <v/>
      </c>
      <c r="AA877">
        <f>(AVERAGE(N877:P877)-1)/4</f>
        <v/>
      </c>
      <c r="AB877">
        <f>(AVERAGE(Q877:S877)-1)/4</f>
        <v/>
      </c>
      <c r="AC877">
        <f>(AVERAGE(T877:V877)-1)/4</f>
        <v/>
      </c>
      <c r="AD877">
        <f>AVERAGE(W877:AA877)</f>
        <v/>
      </c>
      <c r="AE877">
        <f>MIN(W877:AA877)</f>
        <v/>
      </c>
      <c r="AF877">
        <f>1-alpha*MAX(0,delta-AE877)</f>
        <v/>
      </c>
      <c r="AG877">
        <f>AD877*AF877</f>
        <v/>
      </c>
      <c r="AH877">
        <f>1+COUNTIF(bounds,"&lt;"&amp;ROUND(AD877,12))</f>
        <v/>
      </c>
      <c r="AI877">
        <f>1+COUNTIF(bounds,"&lt;"&amp;ROUND(AG877,12))</f>
        <v/>
      </c>
      <c r="AJ877">
        <f>IF(AF877&lt;1,1,0)</f>
        <v/>
      </c>
      <c r="AK877">
        <f>IF(AH877&lt;&gt;AI877,1,0)</f>
        <v/>
      </c>
      <c r="AL877">
        <f>IF(AND(AI877&gt;=3,AB877&lt;=0.2),1,0)</f>
        <v/>
      </c>
      <c r="AM877">
        <f>AVERAGE(W877:AB877)</f>
        <v/>
      </c>
      <c r="AN877">
        <f>1+COUNTIF(bounds,"&lt;"&amp;ROUND(AM877,12))</f>
        <v/>
      </c>
      <c r="AO877">
        <f>IF(AK877=1,AD877,NA())</f>
        <v/>
      </c>
      <c r="AP877">
        <f>IF(AK877=0,AD877,NA())</f>
        <v/>
      </c>
    </row>
    <row r="878">
      <c r="A878" t="n">
        <v>870</v>
      </c>
      <c r="B878" t="n">
        <v>3</v>
      </c>
      <c r="C878" t="n">
        <v>3</v>
      </c>
      <c r="D878" t="n">
        <v>3</v>
      </c>
      <c r="E878" t="n">
        <v>1</v>
      </c>
      <c r="F878" t="n">
        <v>3</v>
      </c>
      <c r="G878" t="n">
        <v>1</v>
      </c>
      <c r="H878" t="n">
        <v>3</v>
      </c>
      <c r="I878" t="n">
        <v>2</v>
      </c>
      <c r="J878" t="n">
        <v>5</v>
      </c>
      <c r="K878" t="n">
        <v>2</v>
      </c>
      <c r="L878" t="n">
        <v>1</v>
      </c>
      <c r="M878" t="n">
        <v>2</v>
      </c>
      <c r="N878" t="n">
        <v>1</v>
      </c>
      <c r="O878" t="n">
        <v>2</v>
      </c>
      <c r="P878" t="n">
        <v>5</v>
      </c>
      <c r="Q878" t="n">
        <v>5</v>
      </c>
      <c r="R878" t="n">
        <v>1</v>
      </c>
      <c r="S878" t="n">
        <v>1</v>
      </c>
      <c r="T878" t="n">
        <v>5</v>
      </c>
      <c r="U878" t="n">
        <v>2</v>
      </c>
      <c r="V878" t="n">
        <v>4</v>
      </c>
      <c r="W878">
        <f>(AVERAGE(B878:D878)-1)/4</f>
        <v/>
      </c>
      <c r="X878">
        <f>(AVERAGE(E878:G878)-1)/4</f>
        <v/>
      </c>
      <c r="Y878">
        <f>(AVERAGE(H878:J878)-1)/4</f>
        <v/>
      </c>
      <c r="Z878">
        <f>(AVERAGE(K878:M878)-1)/4</f>
        <v/>
      </c>
      <c r="AA878">
        <f>(AVERAGE(N878:P878)-1)/4</f>
        <v/>
      </c>
      <c r="AB878">
        <f>(AVERAGE(Q878:S878)-1)/4</f>
        <v/>
      </c>
      <c r="AC878">
        <f>(AVERAGE(T878:V878)-1)/4</f>
        <v/>
      </c>
      <c r="AD878">
        <f>AVERAGE(W878:AA878)</f>
        <v/>
      </c>
      <c r="AE878">
        <f>MIN(W878:AA878)</f>
        <v/>
      </c>
      <c r="AF878">
        <f>1-alpha*MAX(0,delta-AE878)</f>
        <v/>
      </c>
      <c r="AG878">
        <f>AD878*AF878</f>
        <v/>
      </c>
      <c r="AH878">
        <f>1+COUNTIF(bounds,"&lt;"&amp;ROUND(AD878,12))</f>
        <v/>
      </c>
      <c r="AI878">
        <f>1+COUNTIF(bounds,"&lt;"&amp;ROUND(AG878,12))</f>
        <v/>
      </c>
      <c r="AJ878">
        <f>IF(AF878&lt;1,1,0)</f>
        <v/>
      </c>
      <c r="AK878">
        <f>IF(AH878&lt;&gt;AI878,1,0)</f>
        <v/>
      </c>
      <c r="AL878">
        <f>IF(AND(AI878&gt;=3,AB878&lt;=0.2),1,0)</f>
        <v/>
      </c>
      <c r="AM878">
        <f>AVERAGE(W878:AB878)</f>
        <v/>
      </c>
      <c r="AN878">
        <f>1+COUNTIF(bounds,"&lt;"&amp;ROUND(AM878,12))</f>
        <v/>
      </c>
      <c r="AO878">
        <f>IF(AK878=1,AD878,NA())</f>
        <v/>
      </c>
      <c r="AP878">
        <f>IF(AK878=0,AD878,NA())</f>
        <v/>
      </c>
    </row>
    <row r="879">
      <c r="A879" t="n">
        <v>871</v>
      </c>
      <c r="B879" t="n">
        <v>2</v>
      </c>
      <c r="C879" t="n">
        <v>1</v>
      </c>
      <c r="D879" t="n">
        <v>5</v>
      </c>
      <c r="E879" t="n">
        <v>5</v>
      </c>
      <c r="F879" t="n">
        <v>4</v>
      </c>
      <c r="G879" t="n">
        <v>1</v>
      </c>
      <c r="H879" t="n">
        <v>5</v>
      </c>
      <c r="I879" t="n">
        <v>2</v>
      </c>
      <c r="J879" t="n">
        <v>1</v>
      </c>
      <c r="K879" t="n">
        <v>4</v>
      </c>
      <c r="L879" t="n">
        <v>1</v>
      </c>
      <c r="M879" t="n">
        <v>1</v>
      </c>
      <c r="N879" t="n">
        <v>4</v>
      </c>
      <c r="O879" t="n">
        <v>3</v>
      </c>
      <c r="P879" t="n">
        <v>5</v>
      </c>
      <c r="Q879" t="n">
        <v>4</v>
      </c>
      <c r="R879" t="n">
        <v>2</v>
      </c>
      <c r="S879" t="n">
        <v>5</v>
      </c>
      <c r="T879" t="n">
        <v>1</v>
      </c>
      <c r="U879" t="n">
        <v>4</v>
      </c>
      <c r="V879" t="n">
        <v>2</v>
      </c>
      <c r="W879">
        <f>(AVERAGE(B879:D879)-1)/4</f>
        <v/>
      </c>
      <c r="X879">
        <f>(AVERAGE(E879:G879)-1)/4</f>
        <v/>
      </c>
      <c r="Y879">
        <f>(AVERAGE(H879:J879)-1)/4</f>
        <v/>
      </c>
      <c r="Z879">
        <f>(AVERAGE(K879:M879)-1)/4</f>
        <v/>
      </c>
      <c r="AA879">
        <f>(AVERAGE(N879:P879)-1)/4</f>
        <v/>
      </c>
      <c r="AB879">
        <f>(AVERAGE(Q879:S879)-1)/4</f>
        <v/>
      </c>
      <c r="AC879">
        <f>(AVERAGE(T879:V879)-1)/4</f>
        <v/>
      </c>
      <c r="AD879">
        <f>AVERAGE(W879:AA879)</f>
        <v/>
      </c>
      <c r="AE879">
        <f>MIN(W879:AA879)</f>
        <v/>
      </c>
      <c r="AF879">
        <f>1-alpha*MAX(0,delta-AE879)</f>
        <v/>
      </c>
      <c r="AG879">
        <f>AD879*AF879</f>
        <v/>
      </c>
      <c r="AH879">
        <f>1+COUNTIF(bounds,"&lt;"&amp;ROUND(AD879,12))</f>
        <v/>
      </c>
      <c r="AI879">
        <f>1+COUNTIF(bounds,"&lt;"&amp;ROUND(AG879,12))</f>
        <v/>
      </c>
      <c r="AJ879">
        <f>IF(AF879&lt;1,1,0)</f>
        <v/>
      </c>
      <c r="AK879">
        <f>IF(AH879&lt;&gt;AI879,1,0)</f>
        <v/>
      </c>
      <c r="AL879">
        <f>IF(AND(AI879&gt;=3,AB879&lt;=0.2),1,0)</f>
        <v/>
      </c>
      <c r="AM879">
        <f>AVERAGE(W879:AB879)</f>
        <v/>
      </c>
      <c r="AN879">
        <f>1+COUNTIF(bounds,"&lt;"&amp;ROUND(AM879,12))</f>
        <v/>
      </c>
      <c r="AO879">
        <f>IF(AK879=1,AD879,NA())</f>
        <v/>
      </c>
      <c r="AP879">
        <f>IF(AK879=0,AD879,NA())</f>
        <v/>
      </c>
    </row>
    <row r="880">
      <c r="A880" t="n">
        <v>872</v>
      </c>
      <c r="B880" t="n">
        <v>1</v>
      </c>
      <c r="C880" t="n">
        <v>1</v>
      </c>
      <c r="D880" t="n">
        <v>1</v>
      </c>
      <c r="E880" t="n">
        <v>3</v>
      </c>
      <c r="F880" t="n">
        <v>1</v>
      </c>
      <c r="G880" t="n">
        <v>5</v>
      </c>
      <c r="H880" t="n">
        <v>4</v>
      </c>
      <c r="I880" t="n">
        <v>5</v>
      </c>
      <c r="J880" t="n">
        <v>1</v>
      </c>
      <c r="K880" t="n">
        <v>4</v>
      </c>
      <c r="L880" t="n">
        <v>3</v>
      </c>
      <c r="M880" t="n">
        <v>2</v>
      </c>
      <c r="N880" t="n">
        <v>2</v>
      </c>
      <c r="O880" t="n">
        <v>3</v>
      </c>
      <c r="P880" t="n">
        <v>1</v>
      </c>
      <c r="Q880" t="n">
        <v>2</v>
      </c>
      <c r="R880" t="n">
        <v>2</v>
      </c>
      <c r="S880" t="n">
        <v>2</v>
      </c>
      <c r="T880" t="n">
        <v>1</v>
      </c>
      <c r="U880" t="n">
        <v>3</v>
      </c>
      <c r="V880" t="n">
        <v>4</v>
      </c>
      <c r="W880">
        <f>(AVERAGE(B880:D880)-1)/4</f>
        <v/>
      </c>
      <c r="X880">
        <f>(AVERAGE(E880:G880)-1)/4</f>
        <v/>
      </c>
      <c r="Y880">
        <f>(AVERAGE(H880:J880)-1)/4</f>
        <v/>
      </c>
      <c r="Z880">
        <f>(AVERAGE(K880:M880)-1)/4</f>
        <v/>
      </c>
      <c r="AA880">
        <f>(AVERAGE(N880:P880)-1)/4</f>
        <v/>
      </c>
      <c r="AB880">
        <f>(AVERAGE(Q880:S880)-1)/4</f>
        <v/>
      </c>
      <c r="AC880">
        <f>(AVERAGE(T880:V880)-1)/4</f>
        <v/>
      </c>
      <c r="AD880">
        <f>AVERAGE(W880:AA880)</f>
        <v/>
      </c>
      <c r="AE880">
        <f>MIN(W880:AA880)</f>
        <v/>
      </c>
      <c r="AF880">
        <f>1-alpha*MAX(0,delta-AE880)</f>
        <v/>
      </c>
      <c r="AG880">
        <f>AD880*AF880</f>
        <v/>
      </c>
      <c r="AH880">
        <f>1+COUNTIF(bounds,"&lt;"&amp;ROUND(AD880,12))</f>
        <v/>
      </c>
      <c r="AI880">
        <f>1+COUNTIF(bounds,"&lt;"&amp;ROUND(AG880,12))</f>
        <v/>
      </c>
      <c r="AJ880">
        <f>IF(AF880&lt;1,1,0)</f>
        <v/>
      </c>
      <c r="AK880">
        <f>IF(AH880&lt;&gt;AI880,1,0)</f>
        <v/>
      </c>
      <c r="AL880">
        <f>IF(AND(AI880&gt;=3,AB880&lt;=0.2),1,0)</f>
        <v/>
      </c>
      <c r="AM880">
        <f>AVERAGE(W880:AB880)</f>
        <v/>
      </c>
      <c r="AN880">
        <f>1+COUNTIF(bounds,"&lt;"&amp;ROUND(AM880,12))</f>
        <v/>
      </c>
      <c r="AO880">
        <f>IF(AK880=1,AD880,NA())</f>
        <v/>
      </c>
      <c r="AP880">
        <f>IF(AK880=0,AD880,NA())</f>
        <v/>
      </c>
    </row>
    <row r="881">
      <c r="A881" t="n">
        <v>873</v>
      </c>
      <c r="B881" t="n">
        <v>2</v>
      </c>
      <c r="C881" t="n">
        <v>3</v>
      </c>
      <c r="D881" t="n">
        <v>2</v>
      </c>
      <c r="E881" t="n">
        <v>1</v>
      </c>
      <c r="F881" t="n">
        <v>4</v>
      </c>
      <c r="G881" t="n">
        <v>2</v>
      </c>
      <c r="H881" t="n">
        <v>4</v>
      </c>
      <c r="I881" t="n">
        <v>4</v>
      </c>
      <c r="J881" t="n">
        <v>3</v>
      </c>
      <c r="K881" t="n">
        <v>3</v>
      </c>
      <c r="L881" t="n">
        <v>5</v>
      </c>
      <c r="M881" t="n">
        <v>3</v>
      </c>
      <c r="N881" t="n">
        <v>5</v>
      </c>
      <c r="O881" t="n">
        <v>4</v>
      </c>
      <c r="P881" t="n">
        <v>1</v>
      </c>
      <c r="Q881" t="n">
        <v>4</v>
      </c>
      <c r="R881" t="n">
        <v>2</v>
      </c>
      <c r="S881" t="n">
        <v>4</v>
      </c>
      <c r="T881" t="n">
        <v>2</v>
      </c>
      <c r="U881" t="n">
        <v>1</v>
      </c>
      <c r="V881" t="n">
        <v>4</v>
      </c>
      <c r="W881">
        <f>(AVERAGE(B881:D881)-1)/4</f>
        <v/>
      </c>
      <c r="X881">
        <f>(AVERAGE(E881:G881)-1)/4</f>
        <v/>
      </c>
      <c r="Y881">
        <f>(AVERAGE(H881:J881)-1)/4</f>
        <v/>
      </c>
      <c r="Z881">
        <f>(AVERAGE(K881:M881)-1)/4</f>
        <v/>
      </c>
      <c r="AA881">
        <f>(AVERAGE(N881:P881)-1)/4</f>
        <v/>
      </c>
      <c r="AB881">
        <f>(AVERAGE(Q881:S881)-1)/4</f>
        <v/>
      </c>
      <c r="AC881">
        <f>(AVERAGE(T881:V881)-1)/4</f>
        <v/>
      </c>
      <c r="AD881">
        <f>AVERAGE(W881:AA881)</f>
        <v/>
      </c>
      <c r="AE881">
        <f>MIN(W881:AA881)</f>
        <v/>
      </c>
      <c r="AF881">
        <f>1-alpha*MAX(0,delta-AE881)</f>
        <v/>
      </c>
      <c r="AG881">
        <f>AD881*AF881</f>
        <v/>
      </c>
      <c r="AH881">
        <f>1+COUNTIF(bounds,"&lt;"&amp;ROUND(AD881,12))</f>
        <v/>
      </c>
      <c r="AI881">
        <f>1+COUNTIF(bounds,"&lt;"&amp;ROUND(AG881,12))</f>
        <v/>
      </c>
      <c r="AJ881">
        <f>IF(AF881&lt;1,1,0)</f>
        <v/>
      </c>
      <c r="AK881">
        <f>IF(AH881&lt;&gt;AI881,1,0)</f>
        <v/>
      </c>
      <c r="AL881">
        <f>IF(AND(AI881&gt;=3,AB881&lt;=0.2),1,0)</f>
        <v/>
      </c>
      <c r="AM881">
        <f>AVERAGE(W881:AB881)</f>
        <v/>
      </c>
      <c r="AN881">
        <f>1+COUNTIF(bounds,"&lt;"&amp;ROUND(AM881,12))</f>
        <v/>
      </c>
      <c r="AO881">
        <f>IF(AK881=1,AD881,NA())</f>
        <v/>
      </c>
      <c r="AP881">
        <f>IF(AK881=0,AD881,NA())</f>
        <v/>
      </c>
    </row>
    <row r="882">
      <c r="A882" t="n">
        <v>874</v>
      </c>
      <c r="B882" t="n">
        <v>4</v>
      </c>
      <c r="C882" t="n">
        <v>2</v>
      </c>
      <c r="D882" t="n">
        <v>1</v>
      </c>
      <c r="E882" t="n">
        <v>1</v>
      </c>
      <c r="F882" t="n">
        <v>3</v>
      </c>
      <c r="G882" t="n">
        <v>4</v>
      </c>
      <c r="H882" t="n">
        <v>4</v>
      </c>
      <c r="I882" t="n">
        <v>4</v>
      </c>
      <c r="J882" t="n">
        <v>3</v>
      </c>
      <c r="K882" t="n">
        <v>3</v>
      </c>
      <c r="L882" t="n">
        <v>3</v>
      </c>
      <c r="M882" t="n">
        <v>2</v>
      </c>
      <c r="N882" t="n">
        <v>2</v>
      </c>
      <c r="O882" t="n">
        <v>5</v>
      </c>
      <c r="P882" t="n">
        <v>3</v>
      </c>
      <c r="Q882" t="n">
        <v>2</v>
      </c>
      <c r="R882" t="n">
        <v>4</v>
      </c>
      <c r="S882" t="n">
        <v>5</v>
      </c>
      <c r="T882" t="n">
        <v>1</v>
      </c>
      <c r="U882" t="n">
        <v>4</v>
      </c>
      <c r="V882" t="n">
        <v>5</v>
      </c>
      <c r="W882">
        <f>(AVERAGE(B882:D882)-1)/4</f>
        <v/>
      </c>
      <c r="X882">
        <f>(AVERAGE(E882:G882)-1)/4</f>
        <v/>
      </c>
      <c r="Y882">
        <f>(AVERAGE(H882:J882)-1)/4</f>
        <v/>
      </c>
      <c r="Z882">
        <f>(AVERAGE(K882:M882)-1)/4</f>
        <v/>
      </c>
      <c r="AA882">
        <f>(AVERAGE(N882:P882)-1)/4</f>
        <v/>
      </c>
      <c r="AB882">
        <f>(AVERAGE(Q882:S882)-1)/4</f>
        <v/>
      </c>
      <c r="AC882">
        <f>(AVERAGE(T882:V882)-1)/4</f>
        <v/>
      </c>
      <c r="AD882">
        <f>AVERAGE(W882:AA882)</f>
        <v/>
      </c>
      <c r="AE882">
        <f>MIN(W882:AA882)</f>
        <v/>
      </c>
      <c r="AF882">
        <f>1-alpha*MAX(0,delta-AE882)</f>
        <v/>
      </c>
      <c r="AG882">
        <f>AD882*AF882</f>
        <v/>
      </c>
      <c r="AH882">
        <f>1+COUNTIF(bounds,"&lt;"&amp;ROUND(AD882,12))</f>
        <v/>
      </c>
      <c r="AI882">
        <f>1+COUNTIF(bounds,"&lt;"&amp;ROUND(AG882,12))</f>
        <v/>
      </c>
      <c r="AJ882">
        <f>IF(AF882&lt;1,1,0)</f>
        <v/>
      </c>
      <c r="AK882">
        <f>IF(AH882&lt;&gt;AI882,1,0)</f>
        <v/>
      </c>
      <c r="AL882">
        <f>IF(AND(AI882&gt;=3,AB882&lt;=0.2),1,0)</f>
        <v/>
      </c>
      <c r="AM882">
        <f>AVERAGE(W882:AB882)</f>
        <v/>
      </c>
      <c r="AN882">
        <f>1+COUNTIF(bounds,"&lt;"&amp;ROUND(AM882,12))</f>
        <v/>
      </c>
      <c r="AO882">
        <f>IF(AK882=1,AD882,NA())</f>
        <v/>
      </c>
      <c r="AP882">
        <f>IF(AK882=0,AD882,NA())</f>
        <v/>
      </c>
    </row>
    <row r="883">
      <c r="A883" t="n">
        <v>875</v>
      </c>
      <c r="B883" t="n">
        <v>3</v>
      </c>
      <c r="C883" t="n">
        <v>3</v>
      </c>
      <c r="D883" t="n">
        <v>3</v>
      </c>
      <c r="E883" t="n">
        <v>4</v>
      </c>
      <c r="F883" t="n">
        <v>1</v>
      </c>
      <c r="G883" t="n">
        <v>5</v>
      </c>
      <c r="H883" t="n">
        <v>2</v>
      </c>
      <c r="I883" t="n">
        <v>1</v>
      </c>
      <c r="J883" t="n">
        <v>1</v>
      </c>
      <c r="K883" t="n">
        <v>1</v>
      </c>
      <c r="L883" t="n">
        <v>4</v>
      </c>
      <c r="M883" t="n">
        <v>5</v>
      </c>
      <c r="N883" t="n">
        <v>5</v>
      </c>
      <c r="O883" t="n">
        <v>5</v>
      </c>
      <c r="P883" t="n">
        <v>2</v>
      </c>
      <c r="Q883" t="n">
        <v>2</v>
      </c>
      <c r="R883" t="n">
        <v>2</v>
      </c>
      <c r="S883" t="n">
        <v>4</v>
      </c>
      <c r="T883" t="n">
        <v>2</v>
      </c>
      <c r="U883" t="n">
        <v>5</v>
      </c>
      <c r="V883" t="n">
        <v>5</v>
      </c>
      <c r="W883">
        <f>(AVERAGE(B883:D883)-1)/4</f>
        <v/>
      </c>
      <c r="X883">
        <f>(AVERAGE(E883:G883)-1)/4</f>
        <v/>
      </c>
      <c r="Y883">
        <f>(AVERAGE(H883:J883)-1)/4</f>
        <v/>
      </c>
      <c r="Z883">
        <f>(AVERAGE(K883:M883)-1)/4</f>
        <v/>
      </c>
      <c r="AA883">
        <f>(AVERAGE(N883:P883)-1)/4</f>
        <v/>
      </c>
      <c r="AB883">
        <f>(AVERAGE(Q883:S883)-1)/4</f>
        <v/>
      </c>
      <c r="AC883">
        <f>(AVERAGE(T883:V883)-1)/4</f>
        <v/>
      </c>
      <c r="AD883">
        <f>AVERAGE(W883:AA883)</f>
        <v/>
      </c>
      <c r="AE883">
        <f>MIN(W883:AA883)</f>
        <v/>
      </c>
      <c r="AF883">
        <f>1-alpha*MAX(0,delta-AE883)</f>
        <v/>
      </c>
      <c r="AG883">
        <f>AD883*AF883</f>
        <v/>
      </c>
      <c r="AH883">
        <f>1+COUNTIF(bounds,"&lt;"&amp;ROUND(AD883,12))</f>
        <v/>
      </c>
      <c r="AI883">
        <f>1+COUNTIF(bounds,"&lt;"&amp;ROUND(AG883,12))</f>
        <v/>
      </c>
      <c r="AJ883">
        <f>IF(AF883&lt;1,1,0)</f>
        <v/>
      </c>
      <c r="AK883">
        <f>IF(AH883&lt;&gt;AI883,1,0)</f>
        <v/>
      </c>
      <c r="AL883">
        <f>IF(AND(AI883&gt;=3,AB883&lt;=0.2),1,0)</f>
        <v/>
      </c>
      <c r="AM883">
        <f>AVERAGE(W883:AB883)</f>
        <v/>
      </c>
      <c r="AN883">
        <f>1+COUNTIF(bounds,"&lt;"&amp;ROUND(AM883,12))</f>
        <v/>
      </c>
      <c r="AO883">
        <f>IF(AK883=1,AD883,NA())</f>
        <v/>
      </c>
      <c r="AP883">
        <f>IF(AK883=0,AD883,NA())</f>
        <v/>
      </c>
    </row>
    <row r="884">
      <c r="A884" t="n">
        <v>876</v>
      </c>
      <c r="B884" t="n">
        <v>2</v>
      </c>
      <c r="C884" t="n">
        <v>3</v>
      </c>
      <c r="D884" t="n">
        <v>2</v>
      </c>
      <c r="E884" t="n">
        <v>3</v>
      </c>
      <c r="F884" t="n">
        <v>2</v>
      </c>
      <c r="G884" t="n">
        <v>2</v>
      </c>
      <c r="H884" t="n">
        <v>5</v>
      </c>
      <c r="I884" t="n">
        <v>5</v>
      </c>
      <c r="J884" t="n">
        <v>1</v>
      </c>
      <c r="K884" t="n">
        <v>2</v>
      </c>
      <c r="L884" t="n">
        <v>5</v>
      </c>
      <c r="M884" t="n">
        <v>1</v>
      </c>
      <c r="N884" t="n">
        <v>1</v>
      </c>
      <c r="O884" t="n">
        <v>5</v>
      </c>
      <c r="P884" t="n">
        <v>4</v>
      </c>
      <c r="Q884" t="n">
        <v>5</v>
      </c>
      <c r="R884" t="n">
        <v>4</v>
      </c>
      <c r="S884" t="n">
        <v>1</v>
      </c>
      <c r="T884" t="n">
        <v>1</v>
      </c>
      <c r="U884" t="n">
        <v>3</v>
      </c>
      <c r="V884" t="n">
        <v>5</v>
      </c>
      <c r="W884">
        <f>(AVERAGE(B884:D884)-1)/4</f>
        <v/>
      </c>
      <c r="X884">
        <f>(AVERAGE(E884:G884)-1)/4</f>
        <v/>
      </c>
      <c r="Y884">
        <f>(AVERAGE(H884:J884)-1)/4</f>
        <v/>
      </c>
      <c r="Z884">
        <f>(AVERAGE(K884:M884)-1)/4</f>
        <v/>
      </c>
      <c r="AA884">
        <f>(AVERAGE(N884:P884)-1)/4</f>
        <v/>
      </c>
      <c r="AB884">
        <f>(AVERAGE(Q884:S884)-1)/4</f>
        <v/>
      </c>
      <c r="AC884">
        <f>(AVERAGE(T884:V884)-1)/4</f>
        <v/>
      </c>
      <c r="AD884">
        <f>AVERAGE(W884:AA884)</f>
        <v/>
      </c>
      <c r="AE884">
        <f>MIN(W884:AA884)</f>
        <v/>
      </c>
      <c r="AF884">
        <f>1-alpha*MAX(0,delta-AE884)</f>
        <v/>
      </c>
      <c r="AG884">
        <f>AD884*AF884</f>
        <v/>
      </c>
      <c r="AH884">
        <f>1+COUNTIF(bounds,"&lt;"&amp;ROUND(AD884,12))</f>
        <v/>
      </c>
      <c r="AI884">
        <f>1+COUNTIF(bounds,"&lt;"&amp;ROUND(AG884,12))</f>
        <v/>
      </c>
      <c r="AJ884">
        <f>IF(AF884&lt;1,1,0)</f>
        <v/>
      </c>
      <c r="AK884">
        <f>IF(AH884&lt;&gt;AI884,1,0)</f>
        <v/>
      </c>
      <c r="AL884">
        <f>IF(AND(AI884&gt;=3,AB884&lt;=0.2),1,0)</f>
        <v/>
      </c>
      <c r="AM884">
        <f>AVERAGE(W884:AB884)</f>
        <v/>
      </c>
      <c r="AN884">
        <f>1+COUNTIF(bounds,"&lt;"&amp;ROUND(AM884,12))</f>
        <v/>
      </c>
      <c r="AO884">
        <f>IF(AK884=1,AD884,NA())</f>
        <v/>
      </c>
      <c r="AP884">
        <f>IF(AK884=0,AD884,NA())</f>
        <v/>
      </c>
    </row>
    <row r="885">
      <c r="A885" t="n">
        <v>877</v>
      </c>
      <c r="B885" t="n">
        <v>1</v>
      </c>
      <c r="C885" t="n">
        <v>2</v>
      </c>
      <c r="D885" t="n">
        <v>4</v>
      </c>
      <c r="E885" t="n">
        <v>4</v>
      </c>
      <c r="F885" t="n">
        <v>2</v>
      </c>
      <c r="G885" t="n">
        <v>1</v>
      </c>
      <c r="H885" t="n">
        <v>5</v>
      </c>
      <c r="I885" t="n">
        <v>5</v>
      </c>
      <c r="J885" t="n">
        <v>1</v>
      </c>
      <c r="K885" t="n">
        <v>4</v>
      </c>
      <c r="L885" t="n">
        <v>5</v>
      </c>
      <c r="M885" t="n">
        <v>5</v>
      </c>
      <c r="N885" t="n">
        <v>2</v>
      </c>
      <c r="O885" t="n">
        <v>3</v>
      </c>
      <c r="P885" t="n">
        <v>5</v>
      </c>
      <c r="Q885" t="n">
        <v>3</v>
      </c>
      <c r="R885" t="n">
        <v>1</v>
      </c>
      <c r="S885" t="n">
        <v>3</v>
      </c>
      <c r="T885" t="n">
        <v>2</v>
      </c>
      <c r="U885" t="n">
        <v>2</v>
      </c>
      <c r="V885" t="n">
        <v>1</v>
      </c>
      <c r="W885">
        <f>(AVERAGE(B885:D885)-1)/4</f>
        <v/>
      </c>
      <c r="X885">
        <f>(AVERAGE(E885:G885)-1)/4</f>
        <v/>
      </c>
      <c r="Y885">
        <f>(AVERAGE(H885:J885)-1)/4</f>
        <v/>
      </c>
      <c r="Z885">
        <f>(AVERAGE(K885:M885)-1)/4</f>
        <v/>
      </c>
      <c r="AA885">
        <f>(AVERAGE(N885:P885)-1)/4</f>
        <v/>
      </c>
      <c r="AB885">
        <f>(AVERAGE(Q885:S885)-1)/4</f>
        <v/>
      </c>
      <c r="AC885">
        <f>(AVERAGE(T885:V885)-1)/4</f>
        <v/>
      </c>
      <c r="AD885">
        <f>AVERAGE(W885:AA885)</f>
        <v/>
      </c>
      <c r="AE885">
        <f>MIN(W885:AA885)</f>
        <v/>
      </c>
      <c r="AF885">
        <f>1-alpha*MAX(0,delta-AE885)</f>
        <v/>
      </c>
      <c r="AG885">
        <f>AD885*AF885</f>
        <v/>
      </c>
      <c r="AH885">
        <f>1+COUNTIF(bounds,"&lt;"&amp;ROUND(AD885,12))</f>
        <v/>
      </c>
      <c r="AI885">
        <f>1+COUNTIF(bounds,"&lt;"&amp;ROUND(AG885,12))</f>
        <v/>
      </c>
      <c r="AJ885">
        <f>IF(AF885&lt;1,1,0)</f>
        <v/>
      </c>
      <c r="AK885">
        <f>IF(AH885&lt;&gt;AI885,1,0)</f>
        <v/>
      </c>
      <c r="AL885">
        <f>IF(AND(AI885&gt;=3,AB885&lt;=0.2),1,0)</f>
        <v/>
      </c>
      <c r="AM885">
        <f>AVERAGE(W885:AB885)</f>
        <v/>
      </c>
      <c r="AN885">
        <f>1+COUNTIF(bounds,"&lt;"&amp;ROUND(AM885,12))</f>
        <v/>
      </c>
      <c r="AO885">
        <f>IF(AK885=1,AD885,NA())</f>
        <v/>
      </c>
      <c r="AP885">
        <f>IF(AK885=0,AD885,NA())</f>
        <v/>
      </c>
    </row>
    <row r="886">
      <c r="A886" t="n">
        <v>878</v>
      </c>
      <c r="B886" t="n">
        <v>5</v>
      </c>
      <c r="C886" t="n">
        <v>3</v>
      </c>
      <c r="D886" t="n">
        <v>3</v>
      </c>
      <c r="E886" t="n">
        <v>4</v>
      </c>
      <c r="F886" t="n">
        <v>2</v>
      </c>
      <c r="G886" t="n">
        <v>4</v>
      </c>
      <c r="H886" t="n">
        <v>4</v>
      </c>
      <c r="I886" t="n">
        <v>1</v>
      </c>
      <c r="J886" t="n">
        <v>4</v>
      </c>
      <c r="K886" t="n">
        <v>1</v>
      </c>
      <c r="L886" t="n">
        <v>1</v>
      </c>
      <c r="M886" t="n">
        <v>5</v>
      </c>
      <c r="N886" t="n">
        <v>2</v>
      </c>
      <c r="O886" t="n">
        <v>3</v>
      </c>
      <c r="P886" t="n">
        <v>1</v>
      </c>
      <c r="Q886" t="n">
        <v>3</v>
      </c>
      <c r="R886" t="n">
        <v>2</v>
      </c>
      <c r="S886" t="n">
        <v>3</v>
      </c>
      <c r="T886" t="n">
        <v>5</v>
      </c>
      <c r="U886" t="n">
        <v>3</v>
      </c>
      <c r="V886" t="n">
        <v>2</v>
      </c>
      <c r="W886">
        <f>(AVERAGE(B886:D886)-1)/4</f>
        <v/>
      </c>
      <c r="X886">
        <f>(AVERAGE(E886:G886)-1)/4</f>
        <v/>
      </c>
      <c r="Y886">
        <f>(AVERAGE(H886:J886)-1)/4</f>
        <v/>
      </c>
      <c r="Z886">
        <f>(AVERAGE(K886:M886)-1)/4</f>
        <v/>
      </c>
      <c r="AA886">
        <f>(AVERAGE(N886:P886)-1)/4</f>
        <v/>
      </c>
      <c r="AB886">
        <f>(AVERAGE(Q886:S886)-1)/4</f>
        <v/>
      </c>
      <c r="AC886">
        <f>(AVERAGE(T886:V886)-1)/4</f>
        <v/>
      </c>
      <c r="AD886">
        <f>AVERAGE(W886:AA886)</f>
        <v/>
      </c>
      <c r="AE886">
        <f>MIN(W886:AA886)</f>
        <v/>
      </c>
      <c r="AF886">
        <f>1-alpha*MAX(0,delta-AE886)</f>
        <v/>
      </c>
      <c r="AG886">
        <f>AD886*AF886</f>
        <v/>
      </c>
      <c r="AH886">
        <f>1+COUNTIF(bounds,"&lt;"&amp;ROUND(AD886,12))</f>
        <v/>
      </c>
      <c r="AI886">
        <f>1+COUNTIF(bounds,"&lt;"&amp;ROUND(AG886,12))</f>
        <v/>
      </c>
      <c r="AJ886">
        <f>IF(AF886&lt;1,1,0)</f>
        <v/>
      </c>
      <c r="AK886">
        <f>IF(AH886&lt;&gt;AI886,1,0)</f>
        <v/>
      </c>
      <c r="AL886">
        <f>IF(AND(AI886&gt;=3,AB886&lt;=0.2),1,0)</f>
        <v/>
      </c>
      <c r="AM886">
        <f>AVERAGE(W886:AB886)</f>
        <v/>
      </c>
      <c r="AN886">
        <f>1+COUNTIF(bounds,"&lt;"&amp;ROUND(AM886,12))</f>
        <v/>
      </c>
      <c r="AO886">
        <f>IF(AK886=1,AD886,NA())</f>
        <v/>
      </c>
      <c r="AP886">
        <f>IF(AK886=0,AD886,NA())</f>
        <v/>
      </c>
    </row>
    <row r="887">
      <c r="A887" t="n">
        <v>879</v>
      </c>
      <c r="B887" t="n">
        <v>2</v>
      </c>
      <c r="C887" t="n">
        <v>3</v>
      </c>
      <c r="D887" t="n">
        <v>5</v>
      </c>
      <c r="E887" t="n">
        <v>5</v>
      </c>
      <c r="F887" t="n">
        <v>1</v>
      </c>
      <c r="G887" t="n">
        <v>1</v>
      </c>
      <c r="H887" t="n">
        <v>4</v>
      </c>
      <c r="I887" t="n">
        <v>1</v>
      </c>
      <c r="J887" t="n">
        <v>5</v>
      </c>
      <c r="K887" t="n">
        <v>5</v>
      </c>
      <c r="L887" t="n">
        <v>1</v>
      </c>
      <c r="M887" t="n">
        <v>4</v>
      </c>
      <c r="N887" t="n">
        <v>2</v>
      </c>
      <c r="O887" t="n">
        <v>3</v>
      </c>
      <c r="P887" t="n">
        <v>5</v>
      </c>
      <c r="Q887" t="n">
        <v>1</v>
      </c>
      <c r="R887" t="n">
        <v>4</v>
      </c>
      <c r="S887" t="n">
        <v>1</v>
      </c>
      <c r="T887" t="n">
        <v>4</v>
      </c>
      <c r="U887" t="n">
        <v>3</v>
      </c>
      <c r="V887" t="n">
        <v>5</v>
      </c>
      <c r="W887">
        <f>(AVERAGE(B887:D887)-1)/4</f>
        <v/>
      </c>
      <c r="X887">
        <f>(AVERAGE(E887:G887)-1)/4</f>
        <v/>
      </c>
      <c r="Y887">
        <f>(AVERAGE(H887:J887)-1)/4</f>
        <v/>
      </c>
      <c r="Z887">
        <f>(AVERAGE(K887:M887)-1)/4</f>
        <v/>
      </c>
      <c r="AA887">
        <f>(AVERAGE(N887:P887)-1)/4</f>
        <v/>
      </c>
      <c r="AB887">
        <f>(AVERAGE(Q887:S887)-1)/4</f>
        <v/>
      </c>
      <c r="AC887">
        <f>(AVERAGE(T887:V887)-1)/4</f>
        <v/>
      </c>
      <c r="AD887">
        <f>AVERAGE(W887:AA887)</f>
        <v/>
      </c>
      <c r="AE887">
        <f>MIN(W887:AA887)</f>
        <v/>
      </c>
      <c r="AF887">
        <f>1-alpha*MAX(0,delta-AE887)</f>
        <v/>
      </c>
      <c r="AG887">
        <f>AD887*AF887</f>
        <v/>
      </c>
      <c r="AH887">
        <f>1+COUNTIF(bounds,"&lt;"&amp;ROUND(AD887,12))</f>
        <v/>
      </c>
      <c r="AI887">
        <f>1+COUNTIF(bounds,"&lt;"&amp;ROUND(AG887,12))</f>
        <v/>
      </c>
      <c r="AJ887">
        <f>IF(AF887&lt;1,1,0)</f>
        <v/>
      </c>
      <c r="AK887">
        <f>IF(AH887&lt;&gt;AI887,1,0)</f>
        <v/>
      </c>
      <c r="AL887">
        <f>IF(AND(AI887&gt;=3,AB887&lt;=0.2),1,0)</f>
        <v/>
      </c>
      <c r="AM887">
        <f>AVERAGE(W887:AB887)</f>
        <v/>
      </c>
      <c r="AN887">
        <f>1+COUNTIF(bounds,"&lt;"&amp;ROUND(AM887,12))</f>
        <v/>
      </c>
      <c r="AO887">
        <f>IF(AK887=1,AD887,NA())</f>
        <v/>
      </c>
      <c r="AP887">
        <f>IF(AK887=0,AD887,NA())</f>
        <v/>
      </c>
    </row>
    <row r="888">
      <c r="A888" t="n">
        <v>880</v>
      </c>
      <c r="B888" t="n">
        <v>1</v>
      </c>
      <c r="C888" t="n">
        <v>3</v>
      </c>
      <c r="D888" t="n">
        <v>5</v>
      </c>
      <c r="E888" t="n">
        <v>4</v>
      </c>
      <c r="F888" t="n">
        <v>3</v>
      </c>
      <c r="G888" t="n">
        <v>1</v>
      </c>
      <c r="H888" t="n">
        <v>5</v>
      </c>
      <c r="I888" t="n">
        <v>4</v>
      </c>
      <c r="J888" t="n">
        <v>5</v>
      </c>
      <c r="K888" t="n">
        <v>1</v>
      </c>
      <c r="L888" t="n">
        <v>5</v>
      </c>
      <c r="M888" t="n">
        <v>4</v>
      </c>
      <c r="N888" t="n">
        <v>3</v>
      </c>
      <c r="O888" t="n">
        <v>4</v>
      </c>
      <c r="P888" t="n">
        <v>2</v>
      </c>
      <c r="Q888" t="n">
        <v>5</v>
      </c>
      <c r="R888" t="n">
        <v>2</v>
      </c>
      <c r="S888" t="n">
        <v>4</v>
      </c>
      <c r="T888" t="n">
        <v>4</v>
      </c>
      <c r="U888" t="n">
        <v>3</v>
      </c>
      <c r="V888" t="n">
        <v>4</v>
      </c>
      <c r="W888">
        <f>(AVERAGE(B888:D888)-1)/4</f>
        <v/>
      </c>
      <c r="X888">
        <f>(AVERAGE(E888:G888)-1)/4</f>
        <v/>
      </c>
      <c r="Y888">
        <f>(AVERAGE(H888:J888)-1)/4</f>
        <v/>
      </c>
      <c r="Z888">
        <f>(AVERAGE(K888:M888)-1)/4</f>
        <v/>
      </c>
      <c r="AA888">
        <f>(AVERAGE(N888:P888)-1)/4</f>
        <v/>
      </c>
      <c r="AB888">
        <f>(AVERAGE(Q888:S888)-1)/4</f>
        <v/>
      </c>
      <c r="AC888">
        <f>(AVERAGE(T888:V888)-1)/4</f>
        <v/>
      </c>
      <c r="AD888">
        <f>AVERAGE(W888:AA888)</f>
        <v/>
      </c>
      <c r="AE888">
        <f>MIN(W888:AA888)</f>
        <v/>
      </c>
      <c r="AF888">
        <f>1-alpha*MAX(0,delta-AE888)</f>
        <v/>
      </c>
      <c r="AG888">
        <f>AD888*AF888</f>
        <v/>
      </c>
      <c r="AH888">
        <f>1+COUNTIF(bounds,"&lt;"&amp;ROUND(AD888,12))</f>
        <v/>
      </c>
      <c r="AI888">
        <f>1+COUNTIF(bounds,"&lt;"&amp;ROUND(AG888,12))</f>
        <v/>
      </c>
      <c r="AJ888">
        <f>IF(AF888&lt;1,1,0)</f>
        <v/>
      </c>
      <c r="AK888">
        <f>IF(AH888&lt;&gt;AI888,1,0)</f>
        <v/>
      </c>
      <c r="AL888">
        <f>IF(AND(AI888&gt;=3,AB888&lt;=0.2),1,0)</f>
        <v/>
      </c>
      <c r="AM888">
        <f>AVERAGE(W888:AB888)</f>
        <v/>
      </c>
      <c r="AN888">
        <f>1+COUNTIF(bounds,"&lt;"&amp;ROUND(AM888,12))</f>
        <v/>
      </c>
      <c r="AO888">
        <f>IF(AK888=1,AD888,NA())</f>
        <v/>
      </c>
      <c r="AP888">
        <f>IF(AK888=0,AD888,NA())</f>
        <v/>
      </c>
    </row>
    <row r="889">
      <c r="A889" t="n">
        <v>881</v>
      </c>
      <c r="B889" t="n">
        <v>4</v>
      </c>
      <c r="C889" t="n">
        <v>4</v>
      </c>
      <c r="D889" t="n">
        <v>3</v>
      </c>
      <c r="E889" t="n">
        <v>4</v>
      </c>
      <c r="F889" t="n">
        <v>3</v>
      </c>
      <c r="G889" t="n">
        <v>2</v>
      </c>
      <c r="H889" t="n">
        <v>1</v>
      </c>
      <c r="I889" t="n">
        <v>2</v>
      </c>
      <c r="J889" t="n">
        <v>1</v>
      </c>
      <c r="K889" t="n">
        <v>5</v>
      </c>
      <c r="L889" t="n">
        <v>4</v>
      </c>
      <c r="M889" t="n">
        <v>2</v>
      </c>
      <c r="N889" t="n">
        <v>1</v>
      </c>
      <c r="O889" t="n">
        <v>3</v>
      </c>
      <c r="P889" t="n">
        <v>5</v>
      </c>
      <c r="Q889" t="n">
        <v>4</v>
      </c>
      <c r="R889" t="n">
        <v>1</v>
      </c>
      <c r="S889" t="n">
        <v>1</v>
      </c>
      <c r="T889" t="n">
        <v>2</v>
      </c>
      <c r="U889" t="n">
        <v>1</v>
      </c>
      <c r="V889" t="n">
        <v>3</v>
      </c>
      <c r="W889">
        <f>(AVERAGE(B889:D889)-1)/4</f>
        <v/>
      </c>
      <c r="X889">
        <f>(AVERAGE(E889:G889)-1)/4</f>
        <v/>
      </c>
      <c r="Y889">
        <f>(AVERAGE(H889:J889)-1)/4</f>
        <v/>
      </c>
      <c r="Z889">
        <f>(AVERAGE(K889:M889)-1)/4</f>
        <v/>
      </c>
      <c r="AA889">
        <f>(AVERAGE(N889:P889)-1)/4</f>
        <v/>
      </c>
      <c r="AB889">
        <f>(AVERAGE(Q889:S889)-1)/4</f>
        <v/>
      </c>
      <c r="AC889">
        <f>(AVERAGE(T889:V889)-1)/4</f>
        <v/>
      </c>
      <c r="AD889">
        <f>AVERAGE(W889:AA889)</f>
        <v/>
      </c>
      <c r="AE889">
        <f>MIN(W889:AA889)</f>
        <v/>
      </c>
      <c r="AF889">
        <f>1-alpha*MAX(0,delta-AE889)</f>
        <v/>
      </c>
      <c r="AG889">
        <f>AD889*AF889</f>
        <v/>
      </c>
      <c r="AH889">
        <f>1+COUNTIF(bounds,"&lt;"&amp;ROUND(AD889,12))</f>
        <v/>
      </c>
      <c r="AI889">
        <f>1+COUNTIF(bounds,"&lt;"&amp;ROUND(AG889,12))</f>
        <v/>
      </c>
      <c r="AJ889">
        <f>IF(AF889&lt;1,1,0)</f>
        <v/>
      </c>
      <c r="AK889">
        <f>IF(AH889&lt;&gt;AI889,1,0)</f>
        <v/>
      </c>
      <c r="AL889">
        <f>IF(AND(AI889&gt;=3,AB889&lt;=0.2),1,0)</f>
        <v/>
      </c>
      <c r="AM889">
        <f>AVERAGE(W889:AB889)</f>
        <v/>
      </c>
      <c r="AN889">
        <f>1+COUNTIF(bounds,"&lt;"&amp;ROUND(AM889,12))</f>
        <v/>
      </c>
      <c r="AO889">
        <f>IF(AK889=1,AD889,NA())</f>
        <v/>
      </c>
      <c r="AP889">
        <f>IF(AK889=0,AD889,NA())</f>
        <v/>
      </c>
    </row>
    <row r="890">
      <c r="A890" t="n">
        <v>882</v>
      </c>
      <c r="B890" t="n">
        <v>1</v>
      </c>
      <c r="C890" t="n">
        <v>3</v>
      </c>
      <c r="D890" t="n">
        <v>2</v>
      </c>
      <c r="E890" t="n">
        <v>4</v>
      </c>
      <c r="F890" t="n">
        <v>4</v>
      </c>
      <c r="G890" t="n">
        <v>2</v>
      </c>
      <c r="H890" t="n">
        <v>4</v>
      </c>
      <c r="I890" t="n">
        <v>3</v>
      </c>
      <c r="J890" t="n">
        <v>2</v>
      </c>
      <c r="K890" t="n">
        <v>4</v>
      </c>
      <c r="L890" t="n">
        <v>2</v>
      </c>
      <c r="M890" t="n">
        <v>3</v>
      </c>
      <c r="N890" t="n">
        <v>2</v>
      </c>
      <c r="O890" t="n">
        <v>3</v>
      </c>
      <c r="P890" t="n">
        <v>5</v>
      </c>
      <c r="Q890" t="n">
        <v>4</v>
      </c>
      <c r="R890" t="n">
        <v>3</v>
      </c>
      <c r="S890" t="n">
        <v>5</v>
      </c>
      <c r="T890" t="n">
        <v>2</v>
      </c>
      <c r="U890" t="n">
        <v>5</v>
      </c>
      <c r="V890" t="n">
        <v>2</v>
      </c>
      <c r="W890">
        <f>(AVERAGE(B890:D890)-1)/4</f>
        <v/>
      </c>
      <c r="X890">
        <f>(AVERAGE(E890:G890)-1)/4</f>
        <v/>
      </c>
      <c r="Y890">
        <f>(AVERAGE(H890:J890)-1)/4</f>
        <v/>
      </c>
      <c r="Z890">
        <f>(AVERAGE(K890:M890)-1)/4</f>
        <v/>
      </c>
      <c r="AA890">
        <f>(AVERAGE(N890:P890)-1)/4</f>
        <v/>
      </c>
      <c r="AB890">
        <f>(AVERAGE(Q890:S890)-1)/4</f>
        <v/>
      </c>
      <c r="AC890">
        <f>(AVERAGE(T890:V890)-1)/4</f>
        <v/>
      </c>
      <c r="AD890">
        <f>AVERAGE(W890:AA890)</f>
        <v/>
      </c>
      <c r="AE890">
        <f>MIN(W890:AA890)</f>
        <v/>
      </c>
      <c r="AF890">
        <f>1-alpha*MAX(0,delta-AE890)</f>
        <v/>
      </c>
      <c r="AG890">
        <f>AD890*AF890</f>
        <v/>
      </c>
      <c r="AH890">
        <f>1+COUNTIF(bounds,"&lt;"&amp;ROUND(AD890,12))</f>
        <v/>
      </c>
      <c r="AI890">
        <f>1+COUNTIF(bounds,"&lt;"&amp;ROUND(AG890,12))</f>
        <v/>
      </c>
      <c r="AJ890">
        <f>IF(AF890&lt;1,1,0)</f>
        <v/>
      </c>
      <c r="AK890">
        <f>IF(AH890&lt;&gt;AI890,1,0)</f>
        <v/>
      </c>
      <c r="AL890">
        <f>IF(AND(AI890&gt;=3,AB890&lt;=0.2),1,0)</f>
        <v/>
      </c>
      <c r="AM890">
        <f>AVERAGE(W890:AB890)</f>
        <v/>
      </c>
      <c r="AN890">
        <f>1+COUNTIF(bounds,"&lt;"&amp;ROUND(AM890,12))</f>
        <v/>
      </c>
      <c r="AO890">
        <f>IF(AK890=1,AD890,NA())</f>
        <v/>
      </c>
      <c r="AP890">
        <f>IF(AK890=0,AD890,NA())</f>
        <v/>
      </c>
    </row>
    <row r="891">
      <c r="A891" t="n">
        <v>883</v>
      </c>
      <c r="B891" t="n">
        <v>1</v>
      </c>
      <c r="C891" t="n">
        <v>3</v>
      </c>
      <c r="D891" t="n">
        <v>3</v>
      </c>
      <c r="E891" t="n">
        <v>4</v>
      </c>
      <c r="F891" t="n">
        <v>5</v>
      </c>
      <c r="G891" t="n">
        <v>5</v>
      </c>
      <c r="H891" t="n">
        <v>2</v>
      </c>
      <c r="I891" t="n">
        <v>4</v>
      </c>
      <c r="J891" t="n">
        <v>4</v>
      </c>
      <c r="K891" t="n">
        <v>2</v>
      </c>
      <c r="L891" t="n">
        <v>4</v>
      </c>
      <c r="M891" t="n">
        <v>5</v>
      </c>
      <c r="N891" t="n">
        <v>3</v>
      </c>
      <c r="O891" t="n">
        <v>3</v>
      </c>
      <c r="P891" t="n">
        <v>4</v>
      </c>
      <c r="Q891" t="n">
        <v>5</v>
      </c>
      <c r="R891" t="n">
        <v>2</v>
      </c>
      <c r="S891" t="n">
        <v>4</v>
      </c>
      <c r="T891" t="n">
        <v>1</v>
      </c>
      <c r="U891" t="n">
        <v>4</v>
      </c>
      <c r="V891" t="n">
        <v>3</v>
      </c>
      <c r="W891">
        <f>(AVERAGE(B891:D891)-1)/4</f>
        <v/>
      </c>
      <c r="X891">
        <f>(AVERAGE(E891:G891)-1)/4</f>
        <v/>
      </c>
      <c r="Y891">
        <f>(AVERAGE(H891:J891)-1)/4</f>
        <v/>
      </c>
      <c r="Z891">
        <f>(AVERAGE(K891:M891)-1)/4</f>
        <v/>
      </c>
      <c r="AA891">
        <f>(AVERAGE(N891:P891)-1)/4</f>
        <v/>
      </c>
      <c r="AB891">
        <f>(AVERAGE(Q891:S891)-1)/4</f>
        <v/>
      </c>
      <c r="AC891">
        <f>(AVERAGE(T891:V891)-1)/4</f>
        <v/>
      </c>
      <c r="AD891">
        <f>AVERAGE(W891:AA891)</f>
        <v/>
      </c>
      <c r="AE891">
        <f>MIN(W891:AA891)</f>
        <v/>
      </c>
      <c r="AF891">
        <f>1-alpha*MAX(0,delta-AE891)</f>
        <v/>
      </c>
      <c r="AG891">
        <f>AD891*AF891</f>
        <v/>
      </c>
      <c r="AH891">
        <f>1+COUNTIF(bounds,"&lt;"&amp;ROUND(AD891,12))</f>
        <v/>
      </c>
      <c r="AI891">
        <f>1+COUNTIF(bounds,"&lt;"&amp;ROUND(AG891,12))</f>
        <v/>
      </c>
      <c r="AJ891">
        <f>IF(AF891&lt;1,1,0)</f>
        <v/>
      </c>
      <c r="AK891">
        <f>IF(AH891&lt;&gt;AI891,1,0)</f>
        <v/>
      </c>
      <c r="AL891">
        <f>IF(AND(AI891&gt;=3,AB891&lt;=0.2),1,0)</f>
        <v/>
      </c>
      <c r="AM891">
        <f>AVERAGE(W891:AB891)</f>
        <v/>
      </c>
      <c r="AN891">
        <f>1+COUNTIF(bounds,"&lt;"&amp;ROUND(AM891,12))</f>
        <v/>
      </c>
      <c r="AO891">
        <f>IF(AK891=1,AD891,NA())</f>
        <v/>
      </c>
      <c r="AP891">
        <f>IF(AK891=0,AD891,NA())</f>
        <v/>
      </c>
    </row>
    <row r="892">
      <c r="A892" t="n">
        <v>884</v>
      </c>
      <c r="B892" t="n">
        <v>4</v>
      </c>
      <c r="C892" t="n">
        <v>4</v>
      </c>
      <c r="D892" t="n">
        <v>2</v>
      </c>
      <c r="E892" t="n">
        <v>4</v>
      </c>
      <c r="F892" t="n">
        <v>5</v>
      </c>
      <c r="G892" t="n">
        <v>2</v>
      </c>
      <c r="H892" t="n">
        <v>4</v>
      </c>
      <c r="I892" t="n">
        <v>2</v>
      </c>
      <c r="J892" t="n">
        <v>3</v>
      </c>
      <c r="K892" t="n">
        <v>5</v>
      </c>
      <c r="L892" t="n">
        <v>1</v>
      </c>
      <c r="M892" t="n">
        <v>1</v>
      </c>
      <c r="N892" t="n">
        <v>2</v>
      </c>
      <c r="O892" t="n">
        <v>1</v>
      </c>
      <c r="P892" t="n">
        <v>5</v>
      </c>
      <c r="Q892" t="n">
        <v>4</v>
      </c>
      <c r="R892" t="n">
        <v>1</v>
      </c>
      <c r="S892" t="n">
        <v>1</v>
      </c>
      <c r="T892" t="n">
        <v>5</v>
      </c>
      <c r="U892" t="n">
        <v>4</v>
      </c>
      <c r="V892" t="n">
        <v>3</v>
      </c>
      <c r="W892">
        <f>(AVERAGE(B892:D892)-1)/4</f>
        <v/>
      </c>
      <c r="X892">
        <f>(AVERAGE(E892:G892)-1)/4</f>
        <v/>
      </c>
      <c r="Y892">
        <f>(AVERAGE(H892:J892)-1)/4</f>
        <v/>
      </c>
      <c r="Z892">
        <f>(AVERAGE(K892:M892)-1)/4</f>
        <v/>
      </c>
      <c r="AA892">
        <f>(AVERAGE(N892:P892)-1)/4</f>
        <v/>
      </c>
      <c r="AB892">
        <f>(AVERAGE(Q892:S892)-1)/4</f>
        <v/>
      </c>
      <c r="AC892">
        <f>(AVERAGE(T892:V892)-1)/4</f>
        <v/>
      </c>
      <c r="AD892">
        <f>AVERAGE(W892:AA892)</f>
        <v/>
      </c>
      <c r="AE892">
        <f>MIN(W892:AA892)</f>
        <v/>
      </c>
      <c r="AF892">
        <f>1-alpha*MAX(0,delta-AE892)</f>
        <v/>
      </c>
      <c r="AG892">
        <f>AD892*AF892</f>
        <v/>
      </c>
      <c r="AH892">
        <f>1+COUNTIF(bounds,"&lt;"&amp;ROUND(AD892,12))</f>
        <v/>
      </c>
      <c r="AI892">
        <f>1+COUNTIF(bounds,"&lt;"&amp;ROUND(AG892,12))</f>
        <v/>
      </c>
      <c r="AJ892">
        <f>IF(AF892&lt;1,1,0)</f>
        <v/>
      </c>
      <c r="AK892">
        <f>IF(AH892&lt;&gt;AI892,1,0)</f>
        <v/>
      </c>
      <c r="AL892">
        <f>IF(AND(AI892&gt;=3,AB892&lt;=0.2),1,0)</f>
        <v/>
      </c>
      <c r="AM892">
        <f>AVERAGE(W892:AB892)</f>
        <v/>
      </c>
      <c r="AN892">
        <f>1+COUNTIF(bounds,"&lt;"&amp;ROUND(AM892,12))</f>
        <v/>
      </c>
      <c r="AO892">
        <f>IF(AK892=1,AD892,NA())</f>
        <v/>
      </c>
      <c r="AP892">
        <f>IF(AK892=0,AD892,NA())</f>
        <v/>
      </c>
    </row>
    <row r="893">
      <c r="A893" t="n">
        <v>885</v>
      </c>
      <c r="B893" t="n">
        <v>4</v>
      </c>
      <c r="C893" t="n">
        <v>3</v>
      </c>
      <c r="D893" t="n">
        <v>3</v>
      </c>
      <c r="E893" t="n">
        <v>2</v>
      </c>
      <c r="F893" t="n">
        <v>5</v>
      </c>
      <c r="G893" t="n">
        <v>1</v>
      </c>
      <c r="H893" t="n">
        <v>2</v>
      </c>
      <c r="I893" t="n">
        <v>2</v>
      </c>
      <c r="J893" t="n">
        <v>5</v>
      </c>
      <c r="K893" t="n">
        <v>1</v>
      </c>
      <c r="L893" t="n">
        <v>2</v>
      </c>
      <c r="M893" t="n">
        <v>1</v>
      </c>
      <c r="N893" t="n">
        <v>1</v>
      </c>
      <c r="O893" t="n">
        <v>5</v>
      </c>
      <c r="P893" t="n">
        <v>2</v>
      </c>
      <c r="Q893" t="n">
        <v>3</v>
      </c>
      <c r="R893" t="n">
        <v>2</v>
      </c>
      <c r="S893" t="n">
        <v>5</v>
      </c>
      <c r="T893" t="n">
        <v>5</v>
      </c>
      <c r="U893" t="n">
        <v>5</v>
      </c>
      <c r="V893" t="n">
        <v>5</v>
      </c>
      <c r="W893">
        <f>(AVERAGE(B893:D893)-1)/4</f>
        <v/>
      </c>
      <c r="X893">
        <f>(AVERAGE(E893:G893)-1)/4</f>
        <v/>
      </c>
      <c r="Y893">
        <f>(AVERAGE(H893:J893)-1)/4</f>
        <v/>
      </c>
      <c r="Z893">
        <f>(AVERAGE(K893:M893)-1)/4</f>
        <v/>
      </c>
      <c r="AA893">
        <f>(AVERAGE(N893:P893)-1)/4</f>
        <v/>
      </c>
      <c r="AB893">
        <f>(AVERAGE(Q893:S893)-1)/4</f>
        <v/>
      </c>
      <c r="AC893">
        <f>(AVERAGE(T893:V893)-1)/4</f>
        <v/>
      </c>
      <c r="AD893">
        <f>AVERAGE(W893:AA893)</f>
        <v/>
      </c>
      <c r="AE893">
        <f>MIN(W893:AA893)</f>
        <v/>
      </c>
      <c r="AF893">
        <f>1-alpha*MAX(0,delta-AE893)</f>
        <v/>
      </c>
      <c r="AG893">
        <f>AD893*AF893</f>
        <v/>
      </c>
      <c r="AH893">
        <f>1+COUNTIF(bounds,"&lt;"&amp;ROUND(AD893,12))</f>
        <v/>
      </c>
      <c r="AI893">
        <f>1+COUNTIF(bounds,"&lt;"&amp;ROUND(AG893,12))</f>
        <v/>
      </c>
      <c r="AJ893">
        <f>IF(AF893&lt;1,1,0)</f>
        <v/>
      </c>
      <c r="AK893">
        <f>IF(AH893&lt;&gt;AI893,1,0)</f>
        <v/>
      </c>
      <c r="AL893">
        <f>IF(AND(AI893&gt;=3,AB893&lt;=0.2),1,0)</f>
        <v/>
      </c>
      <c r="AM893">
        <f>AVERAGE(W893:AB893)</f>
        <v/>
      </c>
      <c r="AN893">
        <f>1+COUNTIF(bounds,"&lt;"&amp;ROUND(AM893,12))</f>
        <v/>
      </c>
      <c r="AO893">
        <f>IF(AK893=1,AD893,NA())</f>
        <v/>
      </c>
      <c r="AP893">
        <f>IF(AK893=0,AD893,NA())</f>
        <v/>
      </c>
    </row>
    <row r="894">
      <c r="A894" t="n">
        <v>886</v>
      </c>
      <c r="B894" t="n">
        <v>4</v>
      </c>
      <c r="C894" t="n">
        <v>3</v>
      </c>
      <c r="D894" t="n">
        <v>4</v>
      </c>
      <c r="E894" t="n">
        <v>1</v>
      </c>
      <c r="F894" t="n">
        <v>5</v>
      </c>
      <c r="G894" t="n">
        <v>2</v>
      </c>
      <c r="H894" t="n">
        <v>4</v>
      </c>
      <c r="I894" t="n">
        <v>5</v>
      </c>
      <c r="J894" t="n">
        <v>2</v>
      </c>
      <c r="K894" t="n">
        <v>4</v>
      </c>
      <c r="L894" t="n">
        <v>5</v>
      </c>
      <c r="M894" t="n">
        <v>3</v>
      </c>
      <c r="N894" t="n">
        <v>1</v>
      </c>
      <c r="O894" t="n">
        <v>3</v>
      </c>
      <c r="P894" t="n">
        <v>2</v>
      </c>
      <c r="Q894" t="n">
        <v>3</v>
      </c>
      <c r="R894" t="n">
        <v>3</v>
      </c>
      <c r="S894" t="n">
        <v>5</v>
      </c>
      <c r="T894" t="n">
        <v>3</v>
      </c>
      <c r="U894" t="n">
        <v>1</v>
      </c>
      <c r="V894" t="n">
        <v>3</v>
      </c>
      <c r="W894">
        <f>(AVERAGE(B894:D894)-1)/4</f>
        <v/>
      </c>
      <c r="X894">
        <f>(AVERAGE(E894:G894)-1)/4</f>
        <v/>
      </c>
      <c r="Y894">
        <f>(AVERAGE(H894:J894)-1)/4</f>
        <v/>
      </c>
      <c r="Z894">
        <f>(AVERAGE(K894:M894)-1)/4</f>
        <v/>
      </c>
      <c r="AA894">
        <f>(AVERAGE(N894:P894)-1)/4</f>
        <v/>
      </c>
      <c r="AB894">
        <f>(AVERAGE(Q894:S894)-1)/4</f>
        <v/>
      </c>
      <c r="AC894">
        <f>(AVERAGE(T894:V894)-1)/4</f>
        <v/>
      </c>
      <c r="AD894">
        <f>AVERAGE(W894:AA894)</f>
        <v/>
      </c>
      <c r="AE894">
        <f>MIN(W894:AA894)</f>
        <v/>
      </c>
      <c r="AF894">
        <f>1-alpha*MAX(0,delta-AE894)</f>
        <v/>
      </c>
      <c r="AG894">
        <f>AD894*AF894</f>
        <v/>
      </c>
      <c r="AH894">
        <f>1+COUNTIF(bounds,"&lt;"&amp;ROUND(AD894,12))</f>
        <v/>
      </c>
      <c r="AI894">
        <f>1+COUNTIF(bounds,"&lt;"&amp;ROUND(AG894,12))</f>
        <v/>
      </c>
      <c r="AJ894">
        <f>IF(AF894&lt;1,1,0)</f>
        <v/>
      </c>
      <c r="AK894">
        <f>IF(AH894&lt;&gt;AI894,1,0)</f>
        <v/>
      </c>
      <c r="AL894">
        <f>IF(AND(AI894&gt;=3,AB894&lt;=0.2),1,0)</f>
        <v/>
      </c>
      <c r="AM894">
        <f>AVERAGE(W894:AB894)</f>
        <v/>
      </c>
      <c r="AN894">
        <f>1+COUNTIF(bounds,"&lt;"&amp;ROUND(AM894,12))</f>
        <v/>
      </c>
      <c r="AO894">
        <f>IF(AK894=1,AD894,NA())</f>
        <v/>
      </c>
      <c r="AP894">
        <f>IF(AK894=0,AD894,NA())</f>
        <v/>
      </c>
    </row>
    <row r="895">
      <c r="A895" t="n">
        <v>887</v>
      </c>
      <c r="B895" t="n">
        <v>5</v>
      </c>
      <c r="C895" t="n">
        <v>3</v>
      </c>
      <c r="D895" t="n">
        <v>4</v>
      </c>
      <c r="E895" t="n">
        <v>1</v>
      </c>
      <c r="F895" t="n">
        <v>1</v>
      </c>
      <c r="G895" t="n">
        <v>3</v>
      </c>
      <c r="H895" t="n">
        <v>4</v>
      </c>
      <c r="I895" t="n">
        <v>5</v>
      </c>
      <c r="J895" t="n">
        <v>1</v>
      </c>
      <c r="K895" t="n">
        <v>5</v>
      </c>
      <c r="L895" t="n">
        <v>4</v>
      </c>
      <c r="M895" t="n">
        <v>3</v>
      </c>
      <c r="N895" t="n">
        <v>3</v>
      </c>
      <c r="O895" t="n">
        <v>1</v>
      </c>
      <c r="P895" t="n">
        <v>3</v>
      </c>
      <c r="Q895" t="n">
        <v>4</v>
      </c>
      <c r="R895" t="n">
        <v>2</v>
      </c>
      <c r="S895" t="n">
        <v>1</v>
      </c>
      <c r="T895" t="n">
        <v>5</v>
      </c>
      <c r="U895" t="n">
        <v>3</v>
      </c>
      <c r="V895" t="n">
        <v>5</v>
      </c>
      <c r="W895">
        <f>(AVERAGE(B895:D895)-1)/4</f>
        <v/>
      </c>
      <c r="X895">
        <f>(AVERAGE(E895:G895)-1)/4</f>
        <v/>
      </c>
      <c r="Y895">
        <f>(AVERAGE(H895:J895)-1)/4</f>
        <v/>
      </c>
      <c r="Z895">
        <f>(AVERAGE(K895:M895)-1)/4</f>
        <v/>
      </c>
      <c r="AA895">
        <f>(AVERAGE(N895:P895)-1)/4</f>
        <v/>
      </c>
      <c r="AB895">
        <f>(AVERAGE(Q895:S895)-1)/4</f>
        <v/>
      </c>
      <c r="AC895">
        <f>(AVERAGE(T895:V895)-1)/4</f>
        <v/>
      </c>
      <c r="AD895">
        <f>AVERAGE(W895:AA895)</f>
        <v/>
      </c>
      <c r="AE895">
        <f>MIN(W895:AA895)</f>
        <v/>
      </c>
      <c r="AF895">
        <f>1-alpha*MAX(0,delta-AE895)</f>
        <v/>
      </c>
      <c r="AG895">
        <f>AD895*AF895</f>
        <v/>
      </c>
      <c r="AH895">
        <f>1+COUNTIF(bounds,"&lt;"&amp;ROUND(AD895,12))</f>
        <v/>
      </c>
      <c r="AI895">
        <f>1+COUNTIF(bounds,"&lt;"&amp;ROUND(AG895,12))</f>
        <v/>
      </c>
      <c r="AJ895">
        <f>IF(AF895&lt;1,1,0)</f>
        <v/>
      </c>
      <c r="AK895">
        <f>IF(AH895&lt;&gt;AI895,1,0)</f>
        <v/>
      </c>
      <c r="AL895">
        <f>IF(AND(AI895&gt;=3,AB895&lt;=0.2),1,0)</f>
        <v/>
      </c>
      <c r="AM895">
        <f>AVERAGE(W895:AB895)</f>
        <v/>
      </c>
      <c r="AN895">
        <f>1+COUNTIF(bounds,"&lt;"&amp;ROUND(AM895,12))</f>
        <v/>
      </c>
      <c r="AO895">
        <f>IF(AK895=1,AD895,NA())</f>
        <v/>
      </c>
      <c r="AP895">
        <f>IF(AK895=0,AD895,NA())</f>
        <v/>
      </c>
    </row>
    <row r="896">
      <c r="A896" t="n">
        <v>888</v>
      </c>
      <c r="B896" t="n">
        <v>2</v>
      </c>
      <c r="C896" t="n">
        <v>2</v>
      </c>
      <c r="D896" t="n">
        <v>1</v>
      </c>
      <c r="E896" t="n">
        <v>2</v>
      </c>
      <c r="F896" t="n">
        <v>2</v>
      </c>
      <c r="G896" t="n">
        <v>3</v>
      </c>
      <c r="H896" t="n">
        <v>5</v>
      </c>
      <c r="I896" t="n">
        <v>1</v>
      </c>
      <c r="J896" t="n">
        <v>2</v>
      </c>
      <c r="K896" t="n">
        <v>3</v>
      </c>
      <c r="L896" t="n">
        <v>3</v>
      </c>
      <c r="M896" t="n">
        <v>5</v>
      </c>
      <c r="N896" t="n">
        <v>4</v>
      </c>
      <c r="O896" t="n">
        <v>4</v>
      </c>
      <c r="P896" t="n">
        <v>1</v>
      </c>
      <c r="Q896" t="n">
        <v>3</v>
      </c>
      <c r="R896" t="n">
        <v>5</v>
      </c>
      <c r="S896" t="n">
        <v>4</v>
      </c>
      <c r="T896" t="n">
        <v>3</v>
      </c>
      <c r="U896" t="n">
        <v>1</v>
      </c>
      <c r="V896" t="n">
        <v>2</v>
      </c>
      <c r="W896">
        <f>(AVERAGE(B896:D896)-1)/4</f>
        <v/>
      </c>
      <c r="X896">
        <f>(AVERAGE(E896:G896)-1)/4</f>
        <v/>
      </c>
      <c r="Y896">
        <f>(AVERAGE(H896:J896)-1)/4</f>
        <v/>
      </c>
      <c r="Z896">
        <f>(AVERAGE(K896:M896)-1)/4</f>
        <v/>
      </c>
      <c r="AA896">
        <f>(AVERAGE(N896:P896)-1)/4</f>
        <v/>
      </c>
      <c r="AB896">
        <f>(AVERAGE(Q896:S896)-1)/4</f>
        <v/>
      </c>
      <c r="AC896">
        <f>(AVERAGE(T896:V896)-1)/4</f>
        <v/>
      </c>
      <c r="AD896">
        <f>AVERAGE(W896:AA896)</f>
        <v/>
      </c>
      <c r="AE896">
        <f>MIN(W896:AA896)</f>
        <v/>
      </c>
      <c r="AF896">
        <f>1-alpha*MAX(0,delta-AE896)</f>
        <v/>
      </c>
      <c r="AG896">
        <f>AD896*AF896</f>
        <v/>
      </c>
      <c r="AH896">
        <f>1+COUNTIF(bounds,"&lt;"&amp;ROUND(AD896,12))</f>
        <v/>
      </c>
      <c r="AI896">
        <f>1+COUNTIF(bounds,"&lt;"&amp;ROUND(AG896,12))</f>
        <v/>
      </c>
      <c r="AJ896">
        <f>IF(AF896&lt;1,1,0)</f>
        <v/>
      </c>
      <c r="AK896">
        <f>IF(AH896&lt;&gt;AI896,1,0)</f>
        <v/>
      </c>
      <c r="AL896">
        <f>IF(AND(AI896&gt;=3,AB896&lt;=0.2),1,0)</f>
        <v/>
      </c>
      <c r="AM896">
        <f>AVERAGE(W896:AB896)</f>
        <v/>
      </c>
      <c r="AN896">
        <f>1+COUNTIF(bounds,"&lt;"&amp;ROUND(AM896,12))</f>
        <v/>
      </c>
      <c r="AO896">
        <f>IF(AK896=1,AD896,NA())</f>
        <v/>
      </c>
      <c r="AP896">
        <f>IF(AK896=0,AD896,NA())</f>
        <v/>
      </c>
    </row>
    <row r="897">
      <c r="A897" t="n">
        <v>889</v>
      </c>
      <c r="B897" t="n">
        <v>4</v>
      </c>
      <c r="C897" t="n">
        <v>2</v>
      </c>
      <c r="D897" t="n">
        <v>2</v>
      </c>
      <c r="E897" t="n">
        <v>1</v>
      </c>
      <c r="F897" t="n">
        <v>4</v>
      </c>
      <c r="G897" t="n">
        <v>5</v>
      </c>
      <c r="H897" t="n">
        <v>4</v>
      </c>
      <c r="I897" t="n">
        <v>5</v>
      </c>
      <c r="J897" t="n">
        <v>3</v>
      </c>
      <c r="K897" t="n">
        <v>5</v>
      </c>
      <c r="L897" t="n">
        <v>2</v>
      </c>
      <c r="M897" t="n">
        <v>5</v>
      </c>
      <c r="N897" t="n">
        <v>2</v>
      </c>
      <c r="O897" t="n">
        <v>3</v>
      </c>
      <c r="P897" t="n">
        <v>2</v>
      </c>
      <c r="Q897" t="n">
        <v>4</v>
      </c>
      <c r="R897" t="n">
        <v>3</v>
      </c>
      <c r="S897" t="n">
        <v>5</v>
      </c>
      <c r="T897" t="n">
        <v>5</v>
      </c>
      <c r="U897" t="n">
        <v>4</v>
      </c>
      <c r="V897" t="n">
        <v>1</v>
      </c>
      <c r="W897">
        <f>(AVERAGE(B897:D897)-1)/4</f>
        <v/>
      </c>
      <c r="X897">
        <f>(AVERAGE(E897:G897)-1)/4</f>
        <v/>
      </c>
      <c r="Y897">
        <f>(AVERAGE(H897:J897)-1)/4</f>
        <v/>
      </c>
      <c r="Z897">
        <f>(AVERAGE(K897:M897)-1)/4</f>
        <v/>
      </c>
      <c r="AA897">
        <f>(AVERAGE(N897:P897)-1)/4</f>
        <v/>
      </c>
      <c r="AB897">
        <f>(AVERAGE(Q897:S897)-1)/4</f>
        <v/>
      </c>
      <c r="AC897">
        <f>(AVERAGE(T897:V897)-1)/4</f>
        <v/>
      </c>
      <c r="AD897">
        <f>AVERAGE(W897:AA897)</f>
        <v/>
      </c>
      <c r="AE897">
        <f>MIN(W897:AA897)</f>
        <v/>
      </c>
      <c r="AF897">
        <f>1-alpha*MAX(0,delta-AE897)</f>
        <v/>
      </c>
      <c r="AG897">
        <f>AD897*AF897</f>
        <v/>
      </c>
      <c r="AH897">
        <f>1+COUNTIF(bounds,"&lt;"&amp;ROUND(AD897,12))</f>
        <v/>
      </c>
      <c r="AI897">
        <f>1+COUNTIF(bounds,"&lt;"&amp;ROUND(AG897,12))</f>
        <v/>
      </c>
      <c r="AJ897">
        <f>IF(AF897&lt;1,1,0)</f>
        <v/>
      </c>
      <c r="AK897">
        <f>IF(AH897&lt;&gt;AI897,1,0)</f>
        <v/>
      </c>
      <c r="AL897">
        <f>IF(AND(AI897&gt;=3,AB897&lt;=0.2),1,0)</f>
        <v/>
      </c>
      <c r="AM897">
        <f>AVERAGE(W897:AB897)</f>
        <v/>
      </c>
      <c r="AN897">
        <f>1+COUNTIF(bounds,"&lt;"&amp;ROUND(AM897,12))</f>
        <v/>
      </c>
      <c r="AO897">
        <f>IF(AK897=1,AD897,NA())</f>
        <v/>
      </c>
      <c r="AP897">
        <f>IF(AK897=0,AD897,NA())</f>
        <v/>
      </c>
    </row>
    <row r="898">
      <c r="A898" t="n">
        <v>890</v>
      </c>
      <c r="B898" t="n">
        <v>5</v>
      </c>
      <c r="C898" t="n">
        <v>2</v>
      </c>
      <c r="D898" t="n">
        <v>2</v>
      </c>
      <c r="E898" t="n">
        <v>1</v>
      </c>
      <c r="F898" t="n">
        <v>4</v>
      </c>
      <c r="G898" t="n">
        <v>4</v>
      </c>
      <c r="H898" t="n">
        <v>5</v>
      </c>
      <c r="I898" t="n">
        <v>5</v>
      </c>
      <c r="J898" t="n">
        <v>3</v>
      </c>
      <c r="K898" t="n">
        <v>5</v>
      </c>
      <c r="L898" t="n">
        <v>5</v>
      </c>
      <c r="M898" t="n">
        <v>3</v>
      </c>
      <c r="N898" t="n">
        <v>1</v>
      </c>
      <c r="O898" t="n">
        <v>2</v>
      </c>
      <c r="P898" t="n">
        <v>2</v>
      </c>
      <c r="Q898" t="n">
        <v>4</v>
      </c>
      <c r="R898" t="n">
        <v>1</v>
      </c>
      <c r="S898" t="n">
        <v>4</v>
      </c>
      <c r="T898" t="n">
        <v>4</v>
      </c>
      <c r="U898" t="n">
        <v>2</v>
      </c>
      <c r="V898" t="n">
        <v>2</v>
      </c>
      <c r="W898">
        <f>(AVERAGE(B898:D898)-1)/4</f>
        <v/>
      </c>
      <c r="X898">
        <f>(AVERAGE(E898:G898)-1)/4</f>
        <v/>
      </c>
      <c r="Y898">
        <f>(AVERAGE(H898:J898)-1)/4</f>
        <v/>
      </c>
      <c r="Z898">
        <f>(AVERAGE(K898:M898)-1)/4</f>
        <v/>
      </c>
      <c r="AA898">
        <f>(AVERAGE(N898:P898)-1)/4</f>
        <v/>
      </c>
      <c r="AB898">
        <f>(AVERAGE(Q898:S898)-1)/4</f>
        <v/>
      </c>
      <c r="AC898">
        <f>(AVERAGE(T898:V898)-1)/4</f>
        <v/>
      </c>
      <c r="AD898">
        <f>AVERAGE(W898:AA898)</f>
        <v/>
      </c>
      <c r="AE898">
        <f>MIN(W898:AA898)</f>
        <v/>
      </c>
      <c r="AF898">
        <f>1-alpha*MAX(0,delta-AE898)</f>
        <v/>
      </c>
      <c r="AG898">
        <f>AD898*AF898</f>
        <v/>
      </c>
      <c r="AH898">
        <f>1+COUNTIF(bounds,"&lt;"&amp;ROUND(AD898,12))</f>
        <v/>
      </c>
      <c r="AI898">
        <f>1+COUNTIF(bounds,"&lt;"&amp;ROUND(AG898,12))</f>
        <v/>
      </c>
      <c r="AJ898">
        <f>IF(AF898&lt;1,1,0)</f>
        <v/>
      </c>
      <c r="AK898">
        <f>IF(AH898&lt;&gt;AI898,1,0)</f>
        <v/>
      </c>
      <c r="AL898">
        <f>IF(AND(AI898&gt;=3,AB898&lt;=0.2),1,0)</f>
        <v/>
      </c>
      <c r="AM898">
        <f>AVERAGE(W898:AB898)</f>
        <v/>
      </c>
      <c r="AN898">
        <f>1+COUNTIF(bounds,"&lt;"&amp;ROUND(AM898,12))</f>
        <v/>
      </c>
      <c r="AO898">
        <f>IF(AK898=1,AD898,NA())</f>
        <v/>
      </c>
      <c r="AP898">
        <f>IF(AK898=0,AD898,NA())</f>
        <v/>
      </c>
    </row>
    <row r="899">
      <c r="A899" t="n">
        <v>891</v>
      </c>
      <c r="B899" t="n">
        <v>2</v>
      </c>
      <c r="C899" t="n">
        <v>4</v>
      </c>
      <c r="D899" t="n">
        <v>3</v>
      </c>
      <c r="E899" t="n">
        <v>2</v>
      </c>
      <c r="F899" t="n">
        <v>4</v>
      </c>
      <c r="G899" t="n">
        <v>5</v>
      </c>
      <c r="H899" t="n">
        <v>4</v>
      </c>
      <c r="I899" t="n">
        <v>3</v>
      </c>
      <c r="J899" t="n">
        <v>3</v>
      </c>
      <c r="K899" t="n">
        <v>2</v>
      </c>
      <c r="L899" t="n">
        <v>4</v>
      </c>
      <c r="M899" t="n">
        <v>5</v>
      </c>
      <c r="N899" t="n">
        <v>3</v>
      </c>
      <c r="O899" t="n">
        <v>2</v>
      </c>
      <c r="P899" t="n">
        <v>3</v>
      </c>
      <c r="Q899" t="n">
        <v>3</v>
      </c>
      <c r="R899" t="n">
        <v>1</v>
      </c>
      <c r="S899" t="n">
        <v>2</v>
      </c>
      <c r="T899" t="n">
        <v>1</v>
      </c>
      <c r="U899" t="n">
        <v>5</v>
      </c>
      <c r="V899" t="n">
        <v>1</v>
      </c>
      <c r="W899">
        <f>(AVERAGE(B899:D899)-1)/4</f>
        <v/>
      </c>
      <c r="X899">
        <f>(AVERAGE(E899:G899)-1)/4</f>
        <v/>
      </c>
      <c r="Y899">
        <f>(AVERAGE(H899:J899)-1)/4</f>
        <v/>
      </c>
      <c r="Z899">
        <f>(AVERAGE(K899:M899)-1)/4</f>
        <v/>
      </c>
      <c r="AA899">
        <f>(AVERAGE(N899:P899)-1)/4</f>
        <v/>
      </c>
      <c r="AB899">
        <f>(AVERAGE(Q899:S899)-1)/4</f>
        <v/>
      </c>
      <c r="AC899">
        <f>(AVERAGE(T899:V899)-1)/4</f>
        <v/>
      </c>
      <c r="AD899">
        <f>AVERAGE(W899:AA899)</f>
        <v/>
      </c>
      <c r="AE899">
        <f>MIN(W899:AA899)</f>
        <v/>
      </c>
      <c r="AF899">
        <f>1-alpha*MAX(0,delta-AE899)</f>
        <v/>
      </c>
      <c r="AG899">
        <f>AD899*AF899</f>
        <v/>
      </c>
      <c r="AH899">
        <f>1+COUNTIF(bounds,"&lt;"&amp;ROUND(AD899,12))</f>
        <v/>
      </c>
      <c r="AI899">
        <f>1+COUNTIF(bounds,"&lt;"&amp;ROUND(AG899,12))</f>
        <v/>
      </c>
      <c r="AJ899">
        <f>IF(AF899&lt;1,1,0)</f>
        <v/>
      </c>
      <c r="AK899">
        <f>IF(AH899&lt;&gt;AI899,1,0)</f>
        <v/>
      </c>
      <c r="AL899">
        <f>IF(AND(AI899&gt;=3,AB899&lt;=0.2),1,0)</f>
        <v/>
      </c>
      <c r="AM899">
        <f>AVERAGE(W899:AB899)</f>
        <v/>
      </c>
      <c r="AN899">
        <f>1+COUNTIF(bounds,"&lt;"&amp;ROUND(AM899,12))</f>
        <v/>
      </c>
      <c r="AO899">
        <f>IF(AK899=1,AD899,NA())</f>
        <v/>
      </c>
      <c r="AP899">
        <f>IF(AK899=0,AD899,NA())</f>
        <v/>
      </c>
    </row>
    <row r="900">
      <c r="A900" t="n">
        <v>892</v>
      </c>
      <c r="B900" t="n">
        <v>3</v>
      </c>
      <c r="C900" t="n">
        <v>2</v>
      </c>
      <c r="D900" t="n">
        <v>5</v>
      </c>
      <c r="E900" t="n">
        <v>3</v>
      </c>
      <c r="F900" t="n">
        <v>5</v>
      </c>
      <c r="G900" t="n">
        <v>2</v>
      </c>
      <c r="H900" t="n">
        <v>5</v>
      </c>
      <c r="I900" t="n">
        <v>2</v>
      </c>
      <c r="J900" t="n">
        <v>4</v>
      </c>
      <c r="K900" t="n">
        <v>3</v>
      </c>
      <c r="L900" t="n">
        <v>4</v>
      </c>
      <c r="M900" t="n">
        <v>2</v>
      </c>
      <c r="N900" t="n">
        <v>2</v>
      </c>
      <c r="O900" t="n">
        <v>3</v>
      </c>
      <c r="P900" t="n">
        <v>5</v>
      </c>
      <c r="Q900" t="n">
        <v>1</v>
      </c>
      <c r="R900" t="n">
        <v>5</v>
      </c>
      <c r="S900" t="n">
        <v>1</v>
      </c>
      <c r="T900" t="n">
        <v>1</v>
      </c>
      <c r="U900" t="n">
        <v>4</v>
      </c>
      <c r="V900" t="n">
        <v>2</v>
      </c>
      <c r="W900">
        <f>(AVERAGE(B900:D900)-1)/4</f>
        <v/>
      </c>
      <c r="X900">
        <f>(AVERAGE(E900:G900)-1)/4</f>
        <v/>
      </c>
      <c r="Y900">
        <f>(AVERAGE(H900:J900)-1)/4</f>
        <v/>
      </c>
      <c r="Z900">
        <f>(AVERAGE(K900:M900)-1)/4</f>
        <v/>
      </c>
      <c r="AA900">
        <f>(AVERAGE(N900:P900)-1)/4</f>
        <v/>
      </c>
      <c r="AB900">
        <f>(AVERAGE(Q900:S900)-1)/4</f>
        <v/>
      </c>
      <c r="AC900">
        <f>(AVERAGE(T900:V900)-1)/4</f>
        <v/>
      </c>
      <c r="AD900">
        <f>AVERAGE(W900:AA900)</f>
        <v/>
      </c>
      <c r="AE900">
        <f>MIN(W900:AA900)</f>
        <v/>
      </c>
      <c r="AF900">
        <f>1-alpha*MAX(0,delta-AE900)</f>
        <v/>
      </c>
      <c r="AG900">
        <f>AD900*AF900</f>
        <v/>
      </c>
      <c r="AH900">
        <f>1+COUNTIF(bounds,"&lt;"&amp;ROUND(AD900,12))</f>
        <v/>
      </c>
      <c r="AI900">
        <f>1+COUNTIF(bounds,"&lt;"&amp;ROUND(AG900,12))</f>
        <v/>
      </c>
      <c r="AJ900">
        <f>IF(AF900&lt;1,1,0)</f>
        <v/>
      </c>
      <c r="AK900">
        <f>IF(AH900&lt;&gt;AI900,1,0)</f>
        <v/>
      </c>
      <c r="AL900">
        <f>IF(AND(AI900&gt;=3,AB900&lt;=0.2),1,0)</f>
        <v/>
      </c>
      <c r="AM900">
        <f>AVERAGE(W900:AB900)</f>
        <v/>
      </c>
      <c r="AN900">
        <f>1+COUNTIF(bounds,"&lt;"&amp;ROUND(AM900,12))</f>
        <v/>
      </c>
      <c r="AO900">
        <f>IF(AK900=1,AD900,NA())</f>
        <v/>
      </c>
      <c r="AP900">
        <f>IF(AK900=0,AD900,NA())</f>
        <v/>
      </c>
    </row>
    <row r="901">
      <c r="A901" t="n">
        <v>893</v>
      </c>
      <c r="B901" t="n">
        <v>2</v>
      </c>
      <c r="C901" t="n">
        <v>1</v>
      </c>
      <c r="D901" t="n">
        <v>3</v>
      </c>
      <c r="E901" t="n">
        <v>4</v>
      </c>
      <c r="F901" t="n">
        <v>3</v>
      </c>
      <c r="G901" t="n">
        <v>4</v>
      </c>
      <c r="H901" t="n">
        <v>2</v>
      </c>
      <c r="I901" t="n">
        <v>2</v>
      </c>
      <c r="J901" t="n">
        <v>1</v>
      </c>
      <c r="K901" t="n">
        <v>2</v>
      </c>
      <c r="L901" t="n">
        <v>5</v>
      </c>
      <c r="M901" t="n">
        <v>4</v>
      </c>
      <c r="N901" t="n">
        <v>2</v>
      </c>
      <c r="O901" t="n">
        <v>2</v>
      </c>
      <c r="P901" t="n">
        <v>2</v>
      </c>
      <c r="Q901" t="n">
        <v>1</v>
      </c>
      <c r="R901" t="n">
        <v>1</v>
      </c>
      <c r="S901" t="n">
        <v>5</v>
      </c>
      <c r="T901" t="n">
        <v>3</v>
      </c>
      <c r="U901" t="n">
        <v>1</v>
      </c>
      <c r="V901" t="n">
        <v>2</v>
      </c>
      <c r="W901">
        <f>(AVERAGE(B901:D901)-1)/4</f>
        <v/>
      </c>
      <c r="X901">
        <f>(AVERAGE(E901:G901)-1)/4</f>
        <v/>
      </c>
      <c r="Y901">
        <f>(AVERAGE(H901:J901)-1)/4</f>
        <v/>
      </c>
      <c r="Z901">
        <f>(AVERAGE(K901:M901)-1)/4</f>
        <v/>
      </c>
      <c r="AA901">
        <f>(AVERAGE(N901:P901)-1)/4</f>
        <v/>
      </c>
      <c r="AB901">
        <f>(AVERAGE(Q901:S901)-1)/4</f>
        <v/>
      </c>
      <c r="AC901">
        <f>(AVERAGE(T901:V901)-1)/4</f>
        <v/>
      </c>
      <c r="AD901">
        <f>AVERAGE(W901:AA901)</f>
        <v/>
      </c>
      <c r="AE901">
        <f>MIN(W901:AA901)</f>
        <v/>
      </c>
      <c r="AF901">
        <f>1-alpha*MAX(0,delta-AE901)</f>
        <v/>
      </c>
      <c r="AG901">
        <f>AD901*AF901</f>
        <v/>
      </c>
      <c r="AH901">
        <f>1+COUNTIF(bounds,"&lt;"&amp;ROUND(AD901,12))</f>
        <v/>
      </c>
      <c r="AI901">
        <f>1+COUNTIF(bounds,"&lt;"&amp;ROUND(AG901,12))</f>
        <v/>
      </c>
      <c r="AJ901">
        <f>IF(AF901&lt;1,1,0)</f>
        <v/>
      </c>
      <c r="AK901">
        <f>IF(AH901&lt;&gt;AI901,1,0)</f>
        <v/>
      </c>
      <c r="AL901">
        <f>IF(AND(AI901&gt;=3,AB901&lt;=0.2),1,0)</f>
        <v/>
      </c>
      <c r="AM901">
        <f>AVERAGE(W901:AB901)</f>
        <v/>
      </c>
      <c r="AN901">
        <f>1+COUNTIF(bounds,"&lt;"&amp;ROUND(AM901,12))</f>
        <v/>
      </c>
      <c r="AO901">
        <f>IF(AK901=1,AD901,NA())</f>
        <v/>
      </c>
      <c r="AP901">
        <f>IF(AK901=0,AD901,NA())</f>
        <v/>
      </c>
    </row>
    <row r="902">
      <c r="A902" t="n">
        <v>894</v>
      </c>
      <c r="B902" t="n">
        <v>5</v>
      </c>
      <c r="C902" t="n">
        <v>1</v>
      </c>
      <c r="D902" t="n">
        <v>1</v>
      </c>
      <c r="E902" t="n">
        <v>1</v>
      </c>
      <c r="F902" t="n">
        <v>2</v>
      </c>
      <c r="G902" t="n">
        <v>1</v>
      </c>
      <c r="H902" t="n">
        <v>1</v>
      </c>
      <c r="I902" t="n">
        <v>4</v>
      </c>
      <c r="J902" t="n">
        <v>3</v>
      </c>
      <c r="K902" t="n">
        <v>2</v>
      </c>
      <c r="L902" t="n">
        <v>2</v>
      </c>
      <c r="M902" t="n">
        <v>2</v>
      </c>
      <c r="N902" t="n">
        <v>5</v>
      </c>
      <c r="O902" t="n">
        <v>5</v>
      </c>
      <c r="P902" t="n">
        <v>3</v>
      </c>
      <c r="Q902" t="n">
        <v>4</v>
      </c>
      <c r="R902" t="n">
        <v>4</v>
      </c>
      <c r="S902" t="n">
        <v>4</v>
      </c>
      <c r="T902" t="n">
        <v>2</v>
      </c>
      <c r="U902" t="n">
        <v>3</v>
      </c>
      <c r="V902" t="n">
        <v>4</v>
      </c>
      <c r="W902">
        <f>(AVERAGE(B902:D902)-1)/4</f>
        <v/>
      </c>
      <c r="X902">
        <f>(AVERAGE(E902:G902)-1)/4</f>
        <v/>
      </c>
      <c r="Y902">
        <f>(AVERAGE(H902:J902)-1)/4</f>
        <v/>
      </c>
      <c r="Z902">
        <f>(AVERAGE(K902:M902)-1)/4</f>
        <v/>
      </c>
      <c r="AA902">
        <f>(AVERAGE(N902:P902)-1)/4</f>
        <v/>
      </c>
      <c r="AB902">
        <f>(AVERAGE(Q902:S902)-1)/4</f>
        <v/>
      </c>
      <c r="AC902">
        <f>(AVERAGE(T902:V902)-1)/4</f>
        <v/>
      </c>
      <c r="AD902">
        <f>AVERAGE(W902:AA902)</f>
        <v/>
      </c>
      <c r="AE902">
        <f>MIN(W902:AA902)</f>
        <v/>
      </c>
      <c r="AF902">
        <f>1-alpha*MAX(0,delta-AE902)</f>
        <v/>
      </c>
      <c r="AG902">
        <f>AD902*AF902</f>
        <v/>
      </c>
      <c r="AH902">
        <f>1+COUNTIF(bounds,"&lt;"&amp;ROUND(AD902,12))</f>
        <v/>
      </c>
      <c r="AI902">
        <f>1+COUNTIF(bounds,"&lt;"&amp;ROUND(AG902,12))</f>
        <v/>
      </c>
      <c r="AJ902">
        <f>IF(AF902&lt;1,1,0)</f>
        <v/>
      </c>
      <c r="AK902">
        <f>IF(AH902&lt;&gt;AI902,1,0)</f>
        <v/>
      </c>
      <c r="AL902">
        <f>IF(AND(AI902&gt;=3,AB902&lt;=0.2),1,0)</f>
        <v/>
      </c>
      <c r="AM902">
        <f>AVERAGE(W902:AB902)</f>
        <v/>
      </c>
      <c r="AN902">
        <f>1+COUNTIF(bounds,"&lt;"&amp;ROUND(AM902,12))</f>
        <v/>
      </c>
      <c r="AO902">
        <f>IF(AK902=1,AD902,NA())</f>
        <v/>
      </c>
      <c r="AP902">
        <f>IF(AK902=0,AD902,NA())</f>
        <v/>
      </c>
    </row>
    <row r="903">
      <c r="A903" t="n">
        <v>895</v>
      </c>
      <c r="B903" t="n">
        <v>1</v>
      </c>
      <c r="C903" t="n">
        <v>5</v>
      </c>
      <c r="D903" t="n">
        <v>3</v>
      </c>
      <c r="E903" t="n">
        <v>2</v>
      </c>
      <c r="F903" t="n">
        <v>2</v>
      </c>
      <c r="G903" t="n">
        <v>4</v>
      </c>
      <c r="H903" t="n">
        <v>2</v>
      </c>
      <c r="I903" t="n">
        <v>2</v>
      </c>
      <c r="J903" t="n">
        <v>1</v>
      </c>
      <c r="K903" t="n">
        <v>4</v>
      </c>
      <c r="L903" t="n">
        <v>2</v>
      </c>
      <c r="M903" t="n">
        <v>4</v>
      </c>
      <c r="N903" t="n">
        <v>4</v>
      </c>
      <c r="O903" t="n">
        <v>3</v>
      </c>
      <c r="P903" t="n">
        <v>3</v>
      </c>
      <c r="Q903" t="n">
        <v>5</v>
      </c>
      <c r="R903" t="n">
        <v>4</v>
      </c>
      <c r="S903" t="n">
        <v>1</v>
      </c>
      <c r="T903" t="n">
        <v>4</v>
      </c>
      <c r="U903" t="n">
        <v>1</v>
      </c>
      <c r="V903" t="n">
        <v>2</v>
      </c>
      <c r="W903">
        <f>(AVERAGE(B903:D903)-1)/4</f>
        <v/>
      </c>
      <c r="X903">
        <f>(AVERAGE(E903:G903)-1)/4</f>
        <v/>
      </c>
      <c r="Y903">
        <f>(AVERAGE(H903:J903)-1)/4</f>
        <v/>
      </c>
      <c r="Z903">
        <f>(AVERAGE(K903:M903)-1)/4</f>
        <v/>
      </c>
      <c r="AA903">
        <f>(AVERAGE(N903:P903)-1)/4</f>
        <v/>
      </c>
      <c r="AB903">
        <f>(AVERAGE(Q903:S903)-1)/4</f>
        <v/>
      </c>
      <c r="AC903">
        <f>(AVERAGE(T903:V903)-1)/4</f>
        <v/>
      </c>
      <c r="AD903">
        <f>AVERAGE(W903:AA903)</f>
        <v/>
      </c>
      <c r="AE903">
        <f>MIN(W903:AA903)</f>
        <v/>
      </c>
      <c r="AF903">
        <f>1-alpha*MAX(0,delta-AE903)</f>
        <v/>
      </c>
      <c r="AG903">
        <f>AD903*AF903</f>
        <v/>
      </c>
      <c r="AH903">
        <f>1+COUNTIF(bounds,"&lt;"&amp;ROUND(AD903,12))</f>
        <v/>
      </c>
      <c r="AI903">
        <f>1+COUNTIF(bounds,"&lt;"&amp;ROUND(AG903,12))</f>
        <v/>
      </c>
      <c r="AJ903">
        <f>IF(AF903&lt;1,1,0)</f>
        <v/>
      </c>
      <c r="AK903">
        <f>IF(AH903&lt;&gt;AI903,1,0)</f>
        <v/>
      </c>
      <c r="AL903">
        <f>IF(AND(AI903&gt;=3,AB903&lt;=0.2),1,0)</f>
        <v/>
      </c>
      <c r="AM903">
        <f>AVERAGE(W903:AB903)</f>
        <v/>
      </c>
      <c r="AN903">
        <f>1+COUNTIF(bounds,"&lt;"&amp;ROUND(AM903,12))</f>
        <v/>
      </c>
      <c r="AO903">
        <f>IF(AK903=1,AD903,NA())</f>
        <v/>
      </c>
      <c r="AP903">
        <f>IF(AK903=0,AD903,NA())</f>
        <v/>
      </c>
    </row>
    <row r="904">
      <c r="A904" t="n">
        <v>896</v>
      </c>
      <c r="B904" t="n">
        <v>4</v>
      </c>
      <c r="C904" t="n">
        <v>5</v>
      </c>
      <c r="D904" t="n">
        <v>4</v>
      </c>
      <c r="E904" t="n">
        <v>1</v>
      </c>
      <c r="F904" t="n">
        <v>3</v>
      </c>
      <c r="G904" t="n">
        <v>3</v>
      </c>
      <c r="H904" t="n">
        <v>2</v>
      </c>
      <c r="I904" t="n">
        <v>5</v>
      </c>
      <c r="J904" t="n">
        <v>4</v>
      </c>
      <c r="K904" t="n">
        <v>4</v>
      </c>
      <c r="L904" t="n">
        <v>1</v>
      </c>
      <c r="M904" t="n">
        <v>2</v>
      </c>
      <c r="N904" t="n">
        <v>4</v>
      </c>
      <c r="O904" t="n">
        <v>1</v>
      </c>
      <c r="P904" t="n">
        <v>1</v>
      </c>
      <c r="Q904" t="n">
        <v>4</v>
      </c>
      <c r="R904" t="n">
        <v>1</v>
      </c>
      <c r="S904" t="n">
        <v>1</v>
      </c>
      <c r="T904" t="n">
        <v>4</v>
      </c>
      <c r="U904" t="n">
        <v>1</v>
      </c>
      <c r="V904" t="n">
        <v>3</v>
      </c>
      <c r="W904">
        <f>(AVERAGE(B904:D904)-1)/4</f>
        <v/>
      </c>
      <c r="X904">
        <f>(AVERAGE(E904:G904)-1)/4</f>
        <v/>
      </c>
      <c r="Y904">
        <f>(AVERAGE(H904:J904)-1)/4</f>
        <v/>
      </c>
      <c r="Z904">
        <f>(AVERAGE(K904:M904)-1)/4</f>
        <v/>
      </c>
      <c r="AA904">
        <f>(AVERAGE(N904:P904)-1)/4</f>
        <v/>
      </c>
      <c r="AB904">
        <f>(AVERAGE(Q904:S904)-1)/4</f>
        <v/>
      </c>
      <c r="AC904">
        <f>(AVERAGE(T904:V904)-1)/4</f>
        <v/>
      </c>
      <c r="AD904">
        <f>AVERAGE(W904:AA904)</f>
        <v/>
      </c>
      <c r="AE904">
        <f>MIN(W904:AA904)</f>
        <v/>
      </c>
      <c r="AF904">
        <f>1-alpha*MAX(0,delta-AE904)</f>
        <v/>
      </c>
      <c r="AG904">
        <f>AD904*AF904</f>
        <v/>
      </c>
      <c r="AH904">
        <f>1+COUNTIF(bounds,"&lt;"&amp;ROUND(AD904,12))</f>
        <v/>
      </c>
      <c r="AI904">
        <f>1+COUNTIF(bounds,"&lt;"&amp;ROUND(AG904,12))</f>
        <v/>
      </c>
      <c r="AJ904">
        <f>IF(AF904&lt;1,1,0)</f>
        <v/>
      </c>
      <c r="AK904">
        <f>IF(AH904&lt;&gt;AI904,1,0)</f>
        <v/>
      </c>
      <c r="AL904">
        <f>IF(AND(AI904&gt;=3,AB904&lt;=0.2),1,0)</f>
        <v/>
      </c>
      <c r="AM904">
        <f>AVERAGE(W904:AB904)</f>
        <v/>
      </c>
      <c r="AN904">
        <f>1+COUNTIF(bounds,"&lt;"&amp;ROUND(AM904,12))</f>
        <v/>
      </c>
      <c r="AO904">
        <f>IF(AK904=1,AD904,NA())</f>
        <v/>
      </c>
      <c r="AP904">
        <f>IF(AK904=0,AD904,NA())</f>
        <v/>
      </c>
    </row>
    <row r="905">
      <c r="A905" t="n">
        <v>897</v>
      </c>
      <c r="B905" t="n">
        <v>4</v>
      </c>
      <c r="C905" t="n">
        <v>2</v>
      </c>
      <c r="D905" t="n">
        <v>1</v>
      </c>
      <c r="E905" t="n">
        <v>3</v>
      </c>
      <c r="F905" t="n">
        <v>2</v>
      </c>
      <c r="G905" t="n">
        <v>1</v>
      </c>
      <c r="H905" t="n">
        <v>2</v>
      </c>
      <c r="I905" t="n">
        <v>5</v>
      </c>
      <c r="J905" t="n">
        <v>5</v>
      </c>
      <c r="K905" t="n">
        <v>2</v>
      </c>
      <c r="L905" t="n">
        <v>5</v>
      </c>
      <c r="M905" t="n">
        <v>2</v>
      </c>
      <c r="N905" t="n">
        <v>4</v>
      </c>
      <c r="O905" t="n">
        <v>1</v>
      </c>
      <c r="P905" t="n">
        <v>2</v>
      </c>
      <c r="Q905" t="n">
        <v>4</v>
      </c>
      <c r="R905" t="n">
        <v>5</v>
      </c>
      <c r="S905" t="n">
        <v>5</v>
      </c>
      <c r="T905" t="n">
        <v>1</v>
      </c>
      <c r="U905" t="n">
        <v>5</v>
      </c>
      <c r="V905" t="n">
        <v>2</v>
      </c>
      <c r="W905">
        <f>(AVERAGE(B905:D905)-1)/4</f>
        <v/>
      </c>
      <c r="X905">
        <f>(AVERAGE(E905:G905)-1)/4</f>
        <v/>
      </c>
      <c r="Y905">
        <f>(AVERAGE(H905:J905)-1)/4</f>
        <v/>
      </c>
      <c r="Z905">
        <f>(AVERAGE(K905:M905)-1)/4</f>
        <v/>
      </c>
      <c r="AA905">
        <f>(AVERAGE(N905:P905)-1)/4</f>
        <v/>
      </c>
      <c r="AB905">
        <f>(AVERAGE(Q905:S905)-1)/4</f>
        <v/>
      </c>
      <c r="AC905">
        <f>(AVERAGE(T905:V905)-1)/4</f>
        <v/>
      </c>
      <c r="AD905">
        <f>AVERAGE(W905:AA905)</f>
        <v/>
      </c>
      <c r="AE905">
        <f>MIN(W905:AA905)</f>
        <v/>
      </c>
      <c r="AF905">
        <f>1-alpha*MAX(0,delta-AE905)</f>
        <v/>
      </c>
      <c r="AG905">
        <f>AD905*AF905</f>
        <v/>
      </c>
      <c r="AH905">
        <f>1+COUNTIF(bounds,"&lt;"&amp;ROUND(AD905,12))</f>
        <v/>
      </c>
      <c r="AI905">
        <f>1+COUNTIF(bounds,"&lt;"&amp;ROUND(AG905,12))</f>
        <v/>
      </c>
      <c r="AJ905">
        <f>IF(AF905&lt;1,1,0)</f>
        <v/>
      </c>
      <c r="AK905">
        <f>IF(AH905&lt;&gt;AI905,1,0)</f>
        <v/>
      </c>
      <c r="AL905">
        <f>IF(AND(AI905&gt;=3,AB905&lt;=0.2),1,0)</f>
        <v/>
      </c>
      <c r="AM905">
        <f>AVERAGE(W905:AB905)</f>
        <v/>
      </c>
      <c r="AN905">
        <f>1+COUNTIF(bounds,"&lt;"&amp;ROUND(AM905,12))</f>
        <v/>
      </c>
      <c r="AO905">
        <f>IF(AK905=1,AD905,NA())</f>
        <v/>
      </c>
      <c r="AP905">
        <f>IF(AK905=0,AD905,NA())</f>
        <v/>
      </c>
    </row>
    <row r="906">
      <c r="A906" t="n">
        <v>898</v>
      </c>
      <c r="B906" t="n">
        <v>2</v>
      </c>
      <c r="C906" t="n">
        <v>1</v>
      </c>
      <c r="D906" t="n">
        <v>5</v>
      </c>
      <c r="E906" t="n">
        <v>4</v>
      </c>
      <c r="F906" t="n">
        <v>5</v>
      </c>
      <c r="G906" t="n">
        <v>1</v>
      </c>
      <c r="H906" t="n">
        <v>4</v>
      </c>
      <c r="I906" t="n">
        <v>1</v>
      </c>
      <c r="J906" t="n">
        <v>4</v>
      </c>
      <c r="K906" t="n">
        <v>2</v>
      </c>
      <c r="L906" t="n">
        <v>5</v>
      </c>
      <c r="M906" t="n">
        <v>1</v>
      </c>
      <c r="N906" t="n">
        <v>1</v>
      </c>
      <c r="O906" t="n">
        <v>4</v>
      </c>
      <c r="P906" t="n">
        <v>5</v>
      </c>
      <c r="Q906" t="n">
        <v>2</v>
      </c>
      <c r="R906" t="n">
        <v>2</v>
      </c>
      <c r="S906" t="n">
        <v>2</v>
      </c>
      <c r="T906" t="n">
        <v>3</v>
      </c>
      <c r="U906" t="n">
        <v>1</v>
      </c>
      <c r="V906" t="n">
        <v>4</v>
      </c>
      <c r="W906">
        <f>(AVERAGE(B906:D906)-1)/4</f>
        <v/>
      </c>
      <c r="X906">
        <f>(AVERAGE(E906:G906)-1)/4</f>
        <v/>
      </c>
      <c r="Y906">
        <f>(AVERAGE(H906:J906)-1)/4</f>
        <v/>
      </c>
      <c r="Z906">
        <f>(AVERAGE(K906:M906)-1)/4</f>
        <v/>
      </c>
      <c r="AA906">
        <f>(AVERAGE(N906:P906)-1)/4</f>
        <v/>
      </c>
      <c r="AB906">
        <f>(AVERAGE(Q906:S906)-1)/4</f>
        <v/>
      </c>
      <c r="AC906">
        <f>(AVERAGE(T906:V906)-1)/4</f>
        <v/>
      </c>
      <c r="AD906">
        <f>AVERAGE(W906:AA906)</f>
        <v/>
      </c>
      <c r="AE906">
        <f>MIN(W906:AA906)</f>
        <v/>
      </c>
      <c r="AF906">
        <f>1-alpha*MAX(0,delta-AE906)</f>
        <v/>
      </c>
      <c r="AG906">
        <f>AD906*AF906</f>
        <v/>
      </c>
      <c r="AH906">
        <f>1+COUNTIF(bounds,"&lt;"&amp;ROUND(AD906,12))</f>
        <v/>
      </c>
      <c r="AI906">
        <f>1+COUNTIF(bounds,"&lt;"&amp;ROUND(AG906,12))</f>
        <v/>
      </c>
      <c r="AJ906">
        <f>IF(AF906&lt;1,1,0)</f>
        <v/>
      </c>
      <c r="AK906">
        <f>IF(AH906&lt;&gt;AI906,1,0)</f>
        <v/>
      </c>
      <c r="AL906">
        <f>IF(AND(AI906&gt;=3,AB906&lt;=0.2),1,0)</f>
        <v/>
      </c>
      <c r="AM906">
        <f>AVERAGE(W906:AB906)</f>
        <v/>
      </c>
      <c r="AN906">
        <f>1+COUNTIF(bounds,"&lt;"&amp;ROUND(AM906,12))</f>
        <v/>
      </c>
      <c r="AO906">
        <f>IF(AK906=1,AD906,NA())</f>
        <v/>
      </c>
      <c r="AP906">
        <f>IF(AK906=0,AD906,NA())</f>
        <v/>
      </c>
    </row>
    <row r="907">
      <c r="A907" t="n">
        <v>899</v>
      </c>
      <c r="B907" t="n">
        <v>4</v>
      </c>
      <c r="C907" t="n">
        <v>4</v>
      </c>
      <c r="D907" t="n">
        <v>3</v>
      </c>
      <c r="E907" t="n">
        <v>1</v>
      </c>
      <c r="F907" t="n">
        <v>1</v>
      </c>
      <c r="G907" t="n">
        <v>2</v>
      </c>
      <c r="H907" t="n">
        <v>2</v>
      </c>
      <c r="I907" t="n">
        <v>5</v>
      </c>
      <c r="J907" t="n">
        <v>3</v>
      </c>
      <c r="K907" t="n">
        <v>2</v>
      </c>
      <c r="L907" t="n">
        <v>2</v>
      </c>
      <c r="M907" t="n">
        <v>3</v>
      </c>
      <c r="N907" t="n">
        <v>1</v>
      </c>
      <c r="O907" t="n">
        <v>1</v>
      </c>
      <c r="P907" t="n">
        <v>3</v>
      </c>
      <c r="Q907" t="n">
        <v>3</v>
      </c>
      <c r="R907" t="n">
        <v>2</v>
      </c>
      <c r="S907" t="n">
        <v>2</v>
      </c>
      <c r="T907" t="n">
        <v>5</v>
      </c>
      <c r="U907" t="n">
        <v>5</v>
      </c>
      <c r="V907" t="n">
        <v>5</v>
      </c>
      <c r="W907">
        <f>(AVERAGE(B907:D907)-1)/4</f>
        <v/>
      </c>
      <c r="X907">
        <f>(AVERAGE(E907:G907)-1)/4</f>
        <v/>
      </c>
      <c r="Y907">
        <f>(AVERAGE(H907:J907)-1)/4</f>
        <v/>
      </c>
      <c r="Z907">
        <f>(AVERAGE(K907:M907)-1)/4</f>
        <v/>
      </c>
      <c r="AA907">
        <f>(AVERAGE(N907:P907)-1)/4</f>
        <v/>
      </c>
      <c r="AB907">
        <f>(AVERAGE(Q907:S907)-1)/4</f>
        <v/>
      </c>
      <c r="AC907">
        <f>(AVERAGE(T907:V907)-1)/4</f>
        <v/>
      </c>
      <c r="AD907">
        <f>AVERAGE(W907:AA907)</f>
        <v/>
      </c>
      <c r="AE907">
        <f>MIN(W907:AA907)</f>
        <v/>
      </c>
      <c r="AF907">
        <f>1-alpha*MAX(0,delta-AE907)</f>
        <v/>
      </c>
      <c r="AG907">
        <f>AD907*AF907</f>
        <v/>
      </c>
      <c r="AH907">
        <f>1+COUNTIF(bounds,"&lt;"&amp;ROUND(AD907,12))</f>
        <v/>
      </c>
      <c r="AI907">
        <f>1+COUNTIF(bounds,"&lt;"&amp;ROUND(AG907,12))</f>
        <v/>
      </c>
      <c r="AJ907">
        <f>IF(AF907&lt;1,1,0)</f>
        <v/>
      </c>
      <c r="AK907">
        <f>IF(AH907&lt;&gt;AI907,1,0)</f>
        <v/>
      </c>
      <c r="AL907">
        <f>IF(AND(AI907&gt;=3,AB907&lt;=0.2),1,0)</f>
        <v/>
      </c>
      <c r="AM907">
        <f>AVERAGE(W907:AB907)</f>
        <v/>
      </c>
      <c r="AN907">
        <f>1+COUNTIF(bounds,"&lt;"&amp;ROUND(AM907,12))</f>
        <v/>
      </c>
      <c r="AO907">
        <f>IF(AK907=1,AD907,NA())</f>
        <v/>
      </c>
      <c r="AP907">
        <f>IF(AK907=0,AD907,NA())</f>
        <v/>
      </c>
    </row>
    <row r="908">
      <c r="A908" t="n">
        <v>900</v>
      </c>
      <c r="B908" t="n">
        <v>4</v>
      </c>
      <c r="C908" t="n">
        <v>3</v>
      </c>
      <c r="D908" t="n">
        <v>1</v>
      </c>
      <c r="E908" t="n">
        <v>2</v>
      </c>
      <c r="F908" t="n">
        <v>4</v>
      </c>
      <c r="G908" t="n">
        <v>5</v>
      </c>
      <c r="H908" t="n">
        <v>3</v>
      </c>
      <c r="I908" t="n">
        <v>3</v>
      </c>
      <c r="J908" t="n">
        <v>2</v>
      </c>
      <c r="K908" t="n">
        <v>3</v>
      </c>
      <c r="L908" t="n">
        <v>1</v>
      </c>
      <c r="M908" t="n">
        <v>3</v>
      </c>
      <c r="N908" t="n">
        <v>3</v>
      </c>
      <c r="O908" t="n">
        <v>5</v>
      </c>
      <c r="P908" t="n">
        <v>2</v>
      </c>
      <c r="Q908" t="n">
        <v>1</v>
      </c>
      <c r="R908" t="n">
        <v>4</v>
      </c>
      <c r="S908" t="n">
        <v>4</v>
      </c>
      <c r="T908" t="n">
        <v>5</v>
      </c>
      <c r="U908" t="n">
        <v>3</v>
      </c>
      <c r="V908" t="n">
        <v>4</v>
      </c>
      <c r="W908">
        <f>(AVERAGE(B908:D908)-1)/4</f>
        <v/>
      </c>
      <c r="X908">
        <f>(AVERAGE(E908:G908)-1)/4</f>
        <v/>
      </c>
      <c r="Y908">
        <f>(AVERAGE(H908:J908)-1)/4</f>
        <v/>
      </c>
      <c r="Z908">
        <f>(AVERAGE(K908:M908)-1)/4</f>
        <v/>
      </c>
      <c r="AA908">
        <f>(AVERAGE(N908:P908)-1)/4</f>
        <v/>
      </c>
      <c r="AB908">
        <f>(AVERAGE(Q908:S908)-1)/4</f>
        <v/>
      </c>
      <c r="AC908">
        <f>(AVERAGE(T908:V908)-1)/4</f>
        <v/>
      </c>
      <c r="AD908">
        <f>AVERAGE(W908:AA908)</f>
        <v/>
      </c>
      <c r="AE908">
        <f>MIN(W908:AA908)</f>
        <v/>
      </c>
      <c r="AF908">
        <f>1-alpha*MAX(0,delta-AE908)</f>
        <v/>
      </c>
      <c r="AG908">
        <f>AD908*AF908</f>
        <v/>
      </c>
      <c r="AH908">
        <f>1+COUNTIF(bounds,"&lt;"&amp;ROUND(AD908,12))</f>
        <v/>
      </c>
      <c r="AI908">
        <f>1+COUNTIF(bounds,"&lt;"&amp;ROUND(AG908,12))</f>
        <v/>
      </c>
      <c r="AJ908">
        <f>IF(AF908&lt;1,1,0)</f>
        <v/>
      </c>
      <c r="AK908">
        <f>IF(AH908&lt;&gt;AI908,1,0)</f>
        <v/>
      </c>
      <c r="AL908">
        <f>IF(AND(AI908&gt;=3,AB908&lt;=0.2),1,0)</f>
        <v/>
      </c>
      <c r="AM908">
        <f>AVERAGE(W908:AB908)</f>
        <v/>
      </c>
      <c r="AN908">
        <f>1+COUNTIF(bounds,"&lt;"&amp;ROUND(AM908,12))</f>
        <v/>
      </c>
      <c r="AO908">
        <f>IF(AK908=1,AD908,NA())</f>
        <v/>
      </c>
      <c r="AP908">
        <f>IF(AK908=0,AD908,NA())</f>
        <v/>
      </c>
    </row>
    <row r="909">
      <c r="A909" t="n">
        <v>901</v>
      </c>
      <c r="B909" t="n">
        <v>5</v>
      </c>
      <c r="C909" t="n">
        <v>1</v>
      </c>
      <c r="D909" t="n">
        <v>1</v>
      </c>
      <c r="E909" t="n">
        <v>1</v>
      </c>
      <c r="F909" t="n">
        <v>5</v>
      </c>
      <c r="G909" t="n">
        <v>4</v>
      </c>
      <c r="H909" t="n">
        <v>1</v>
      </c>
      <c r="I909" t="n">
        <v>3</v>
      </c>
      <c r="J909" t="n">
        <v>5</v>
      </c>
      <c r="K909" t="n">
        <v>1</v>
      </c>
      <c r="L909" t="n">
        <v>3</v>
      </c>
      <c r="M909" t="n">
        <v>3</v>
      </c>
      <c r="N909" t="n">
        <v>4</v>
      </c>
      <c r="O909" t="n">
        <v>1</v>
      </c>
      <c r="P909" t="n">
        <v>4</v>
      </c>
      <c r="Q909" t="n">
        <v>5</v>
      </c>
      <c r="R909" t="n">
        <v>5</v>
      </c>
      <c r="S909" t="n">
        <v>3</v>
      </c>
      <c r="T909" t="n">
        <v>3</v>
      </c>
      <c r="U909" t="n">
        <v>2</v>
      </c>
      <c r="V909" t="n">
        <v>1</v>
      </c>
      <c r="W909">
        <f>(AVERAGE(B909:D909)-1)/4</f>
        <v/>
      </c>
      <c r="X909">
        <f>(AVERAGE(E909:G909)-1)/4</f>
        <v/>
      </c>
      <c r="Y909">
        <f>(AVERAGE(H909:J909)-1)/4</f>
        <v/>
      </c>
      <c r="Z909">
        <f>(AVERAGE(K909:M909)-1)/4</f>
        <v/>
      </c>
      <c r="AA909">
        <f>(AVERAGE(N909:P909)-1)/4</f>
        <v/>
      </c>
      <c r="AB909">
        <f>(AVERAGE(Q909:S909)-1)/4</f>
        <v/>
      </c>
      <c r="AC909">
        <f>(AVERAGE(T909:V909)-1)/4</f>
        <v/>
      </c>
      <c r="AD909">
        <f>AVERAGE(W909:AA909)</f>
        <v/>
      </c>
      <c r="AE909">
        <f>MIN(W909:AA909)</f>
        <v/>
      </c>
      <c r="AF909">
        <f>1-alpha*MAX(0,delta-AE909)</f>
        <v/>
      </c>
      <c r="AG909">
        <f>AD909*AF909</f>
        <v/>
      </c>
      <c r="AH909">
        <f>1+COUNTIF(bounds,"&lt;"&amp;ROUND(AD909,12))</f>
        <v/>
      </c>
      <c r="AI909">
        <f>1+COUNTIF(bounds,"&lt;"&amp;ROUND(AG909,12))</f>
        <v/>
      </c>
      <c r="AJ909">
        <f>IF(AF909&lt;1,1,0)</f>
        <v/>
      </c>
      <c r="AK909">
        <f>IF(AH909&lt;&gt;AI909,1,0)</f>
        <v/>
      </c>
      <c r="AL909">
        <f>IF(AND(AI909&gt;=3,AB909&lt;=0.2),1,0)</f>
        <v/>
      </c>
      <c r="AM909">
        <f>AVERAGE(W909:AB909)</f>
        <v/>
      </c>
      <c r="AN909">
        <f>1+COUNTIF(bounds,"&lt;"&amp;ROUND(AM909,12))</f>
        <v/>
      </c>
      <c r="AO909">
        <f>IF(AK909=1,AD909,NA())</f>
        <v/>
      </c>
      <c r="AP909">
        <f>IF(AK909=0,AD909,NA())</f>
        <v/>
      </c>
    </row>
    <row r="910">
      <c r="A910" t="n">
        <v>902</v>
      </c>
      <c r="B910" t="n">
        <v>3</v>
      </c>
      <c r="C910" t="n">
        <v>1</v>
      </c>
      <c r="D910" t="n">
        <v>2</v>
      </c>
      <c r="E910" t="n">
        <v>4</v>
      </c>
      <c r="F910" t="n">
        <v>3</v>
      </c>
      <c r="G910" t="n">
        <v>2</v>
      </c>
      <c r="H910" t="n">
        <v>1</v>
      </c>
      <c r="I910" t="n">
        <v>3</v>
      </c>
      <c r="J910" t="n">
        <v>5</v>
      </c>
      <c r="K910" t="n">
        <v>5</v>
      </c>
      <c r="L910" t="n">
        <v>5</v>
      </c>
      <c r="M910" t="n">
        <v>2</v>
      </c>
      <c r="N910" t="n">
        <v>2</v>
      </c>
      <c r="O910" t="n">
        <v>1</v>
      </c>
      <c r="P910" t="n">
        <v>2</v>
      </c>
      <c r="Q910" t="n">
        <v>5</v>
      </c>
      <c r="R910" t="n">
        <v>3</v>
      </c>
      <c r="S910" t="n">
        <v>2</v>
      </c>
      <c r="T910" t="n">
        <v>3</v>
      </c>
      <c r="U910" t="n">
        <v>4</v>
      </c>
      <c r="V910" t="n">
        <v>2</v>
      </c>
      <c r="W910">
        <f>(AVERAGE(B910:D910)-1)/4</f>
        <v/>
      </c>
      <c r="X910">
        <f>(AVERAGE(E910:G910)-1)/4</f>
        <v/>
      </c>
      <c r="Y910">
        <f>(AVERAGE(H910:J910)-1)/4</f>
        <v/>
      </c>
      <c r="Z910">
        <f>(AVERAGE(K910:M910)-1)/4</f>
        <v/>
      </c>
      <c r="AA910">
        <f>(AVERAGE(N910:P910)-1)/4</f>
        <v/>
      </c>
      <c r="AB910">
        <f>(AVERAGE(Q910:S910)-1)/4</f>
        <v/>
      </c>
      <c r="AC910">
        <f>(AVERAGE(T910:V910)-1)/4</f>
        <v/>
      </c>
      <c r="AD910">
        <f>AVERAGE(W910:AA910)</f>
        <v/>
      </c>
      <c r="AE910">
        <f>MIN(W910:AA910)</f>
        <v/>
      </c>
      <c r="AF910">
        <f>1-alpha*MAX(0,delta-AE910)</f>
        <v/>
      </c>
      <c r="AG910">
        <f>AD910*AF910</f>
        <v/>
      </c>
      <c r="AH910">
        <f>1+COUNTIF(bounds,"&lt;"&amp;ROUND(AD910,12))</f>
        <v/>
      </c>
      <c r="AI910">
        <f>1+COUNTIF(bounds,"&lt;"&amp;ROUND(AG910,12))</f>
        <v/>
      </c>
      <c r="AJ910">
        <f>IF(AF910&lt;1,1,0)</f>
        <v/>
      </c>
      <c r="AK910">
        <f>IF(AH910&lt;&gt;AI910,1,0)</f>
        <v/>
      </c>
      <c r="AL910">
        <f>IF(AND(AI910&gt;=3,AB910&lt;=0.2),1,0)</f>
        <v/>
      </c>
      <c r="AM910">
        <f>AVERAGE(W910:AB910)</f>
        <v/>
      </c>
      <c r="AN910">
        <f>1+COUNTIF(bounds,"&lt;"&amp;ROUND(AM910,12))</f>
        <v/>
      </c>
      <c r="AO910">
        <f>IF(AK910=1,AD910,NA())</f>
        <v/>
      </c>
      <c r="AP910">
        <f>IF(AK910=0,AD910,NA())</f>
        <v/>
      </c>
    </row>
    <row r="911">
      <c r="A911" t="n">
        <v>903</v>
      </c>
      <c r="B911" t="n">
        <v>5</v>
      </c>
      <c r="C911" t="n">
        <v>3</v>
      </c>
      <c r="D911" t="n">
        <v>2</v>
      </c>
      <c r="E911" t="n">
        <v>1</v>
      </c>
      <c r="F911" t="n">
        <v>4</v>
      </c>
      <c r="G911" t="n">
        <v>4</v>
      </c>
      <c r="H911" t="n">
        <v>1</v>
      </c>
      <c r="I911" t="n">
        <v>5</v>
      </c>
      <c r="J911" t="n">
        <v>2</v>
      </c>
      <c r="K911" t="n">
        <v>4</v>
      </c>
      <c r="L911" t="n">
        <v>1</v>
      </c>
      <c r="M911" t="n">
        <v>5</v>
      </c>
      <c r="N911" t="n">
        <v>5</v>
      </c>
      <c r="O911" t="n">
        <v>1</v>
      </c>
      <c r="P911" t="n">
        <v>1</v>
      </c>
      <c r="Q911" t="n">
        <v>4</v>
      </c>
      <c r="R911" t="n">
        <v>5</v>
      </c>
      <c r="S911" t="n">
        <v>4</v>
      </c>
      <c r="T911" t="n">
        <v>2</v>
      </c>
      <c r="U911" t="n">
        <v>3</v>
      </c>
      <c r="V911" t="n">
        <v>2</v>
      </c>
      <c r="W911">
        <f>(AVERAGE(B911:D911)-1)/4</f>
        <v/>
      </c>
      <c r="X911">
        <f>(AVERAGE(E911:G911)-1)/4</f>
        <v/>
      </c>
      <c r="Y911">
        <f>(AVERAGE(H911:J911)-1)/4</f>
        <v/>
      </c>
      <c r="Z911">
        <f>(AVERAGE(K911:M911)-1)/4</f>
        <v/>
      </c>
      <c r="AA911">
        <f>(AVERAGE(N911:P911)-1)/4</f>
        <v/>
      </c>
      <c r="AB911">
        <f>(AVERAGE(Q911:S911)-1)/4</f>
        <v/>
      </c>
      <c r="AC911">
        <f>(AVERAGE(T911:V911)-1)/4</f>
        <v/>
      </c>
      <c r="AD911">
        <f>AVERAGE(W911:AA911)</f>
        <v/>
      </c>
      <c r="AE911">
        <f>MIN(W911:AA911)</f>
        <v/>
      </c>
      <c r="AF911">
        <f>1-alpha*MAX(0,delta-AE911)</f>
        <v/>
      </c>
      <c r="AG911">
        <f>AD911*AF911</f>
        <v/>
      </c>
      <c r="AH911">
        <f>1+COUNTIF(bounds,"&lt;"&amp;ROUND(AD911,12))</f>
        <v/>
      </c>
      <c r="AI911">
        <f>1+COUNTIF(bounds,"&lt;"&amp;ROUND(AG911,12))</f>
        <v/>
      </c>
      <c r="AJ911">
        <f>IF(AF911&lt;1,1,0)</f>
        <v/>
      </c>
      <c r="AK911">
        <f>IF(AH911&lt;&gt;AI911,1,0)</f>
        <v/>
      </c>
      <c r="AL911">
        <f>IF(AND(AI911&gt;=3,AB911&lt;=0.2),1,0)</f>
        <v/>
      </c>
      <c r="AM911">
        <f>AVERAGE(W911:AB911)</f>
        <v/>
      </c>
      <c r="AN911">
        <f>1+COUNTIF(bounds,"&lt;"&amp;ROUND(AM911,12))</f>
        <v/>
      </c>
      <c r="AO911">
        <f>IF(AK911=1,AD911,NA())</f>
        <v/>
      </c>
      <c r="AP911">
        <f>IF(AK911=0,AD911,NA())</f>
        <v/>
      </c>
    </row>
    <row r="912">
      <c r="A912" t="n">
        <v>904</v>
      </c>
      <c r="B912" t="n">
        <v>3</v>
      </c>
      <c r="C912" t="n">
        <v>1</v>
      </c>
      <c r="D912" t="n">
        <v>2</v>
      </c>
      <c r="E912" t="n">
        <v>4</v>
      </c>
      <c r="F912" t="n">
        <v>2</v>
      </c>
      <c r="G912" t="n">
        <v>3</v>
      </c>
      <c r="H912" t="n">
        <v>4</v>
      </c>
      <c r="I912" t="n">
        <v>3</v>
      </c>
      <c r="J912" t="n">
        <v>4</v>
      </c>
      <c r="K912" t="n">
        <v>2</v>
      </c>
      <c r="L912" t="n">
        <v>4</v>
      </c>
      <c r="M912" t="n">
        <v>3</v>
      </c>
      <c r="N912" t="n">
        <v>2</v>
      </c>
      <c r="O912" t="n">
        <v>1</v>
      </c>
      <c r="P912" t="n">
        <v>1</v>
      </c>
      <c r="Q912" t="n">
        <v>2</v>
      </c>
      <c r="R912" t="n">
        <v>3</v>
      </c>
      <c r="S912" t="n">
        <v>1</v>
      </c>
      <c r="T912" t="n">
        <v>5</v>
      </c>
      <c r="U912" t="n">
        <v>5</v>
      </c>
      <c r="V912" t="n">
        <v>5</v>
      </c>
      <c r="W912">
        <f>(AVERAGE(B912:D912)-1)/4</f>
        <v/>
      </c>
      <c r="X912">
        <f>(AVERAGE(E912:G912)-1)/4</f>
        <v/>
      </c>
      <c r="Y912">
        <f>(AVERAGE(H912:J912)-1)/4</f>
        <v/>
      </c>
      <c r="Z912">
        <f>(AVERAGE(K912:M912)-1)/4</f>
        <v/>
      </c>
      <c r="AA912">
        <f>(AVERAGE(N912:P912)-1)/4</f>
        <v/>
      </c>
      <c r="AB912">
        <f>(AVERAGE(Q912:S912)-1)/4</f>
        <v/>
      </c>
      <c r="AC912">
        <f>(AVERAGE(T912:V912)-1)/4</f>
        <v/>
      </c>
      <c r="AD912">
        <f>AVERAGE(W912:AA912)</f>
        <v/>
      </c>
      <c r="AE912">
        <f>MIN(W912:AA912)</f>
        <v/>
      </c>
      <c r="AF912">
        <f>1-alpha*MAX(0,delta-AE912)</f>
        <v/>
      </c>
      <c r="AG912">
        <f>AD912*AF912</f>
        <v/>
      </c>
      <c r="AH912">
        <f>1+COUNTIF(bounds,"&lt;"&amp;ROUND(AD912,12))</f>
        <v/>
      </c>
      <c r="AI912">
        <f>1+COUNTIF(bounds,"&lt;"&amp;ROUND(AG912,12))</f>
        <v/>
      </c>
      <c r="AJ912">
        <f>IF(AF912&lt;1,1,0)</f>
        <v/>
      </c>
      <c r="AK912">
        <f>IF(AH912&lt;&gt;AI912,1,0)</f>
        <v/>
      </c>
      <c r="AL912">
        <f>IF(AND(AI912&gt;=3,AB912&lt;=0.2),1,0)</f>
        <v/>
      </c>
      <c r="AM912">
        <f>AVERAGE(W912:AB912)</f>
        <v/>
      </c>
      <c r="AN912">
        <f>1+COUNTIF(bounds,"&lt;"&amp;ROUND(AM912,12))</f>
        <v/>
      </c>
      <c r="AO912">
        <f>IF(AK912=1,AD912,NA())</f>
        <v/>
      </c>
      <c r="AP912">
        <f>IF(AK912=0,AD912,NA())</f>
        <v/>
      </c>
    </row>
    <row r="913">
      <c r="A913" t="n">
        <v>905</v>
      </c>
      <c r="B913" t="n">
        <v>5</v>
      </c>
      <c r="C913" t="n">
        <v>2</v>
      </c>
      <c r="D913" t="n">
        <v>5</v>
      </c>
      <c r="E913" t="n">
        <v>1</v>
      </c>
      <c r="F913" t="n">
        <v>2</v>
      </c>
      <c r="G913" t="n">
        <v>3</v>
      </c>
      <c r="H913" t="n">
        <v>3</v>
      </c>
      <c r="I913" t="n">
        <v>4</v>
      </c>
      <c r="J913" t="n">
        <v>4</v>
      </c>
      <c r="K913" t="n">
        <v>5</v>
      </c>
      <c r="L913" t="n">
        <v>3</v>
      </c>
      <c r="M913" t="n">
        <v>4</v>
      </c>
      <c r="N913" t="n">
        <v>4</v>
      </c>
      <c r="O913" t="n">
        <v>1</v>
      </c>
      <c r="P913" t="n">
        <v>3</v>
      </c>
      <c r="Q913" t="n">
        <v>3</v>
      </c>
      <c r="R913" t="n">
        <v>3</v>
      </c>
      <c r="S913" t="n">
        <v>5</v>
      </c>
      <c r="T913" t="n">
        <v>3</v>
      </c>
      <c r="U913" t="n">
        <v>5</v>
      </c>
      <c r="V913" t="n">
        <v>2</v>
      </c>
      <c r="W913">
        <f>(AVERAGE(B913:D913)-1)/4</f>
        <v/>
      </c>
      <c r="X913">
        <f>(AVERAGE(E913:G913)-1)/4</f>
        <v/>
      </c>
      <c r="Y913">
        <f>(AVERAGE(H913:J913)-1)/4</f>
        <v/>
      </c>
      <c r="Z913">
        <f>(AVERAGE(K913:M913)-1)/4</f>
        <v/>
      </c>
      <c r="AA913">
        <f>(AVERAGE(N913:P913)-1)/4</f>
        <v/>
      </c>
      <c r="AB913">
        <f>(AVERAGE(Q913:S913)-1)/4</f>
        <v/>
      </c>
      <c r="AC913">
        <f>(AVERAGE(T913:V913)-1)/4</f>
        <v/>
      </c>
      <c r="AD913">
        <f>AVERAGE(W913:AA913)</f>
        <v/>
      </c>
      <c r="AE913">
        <f>MIN(W913:AA913)</f>
        <v/>
      </c>
      <c r="AF913">
        <f>1-alpha*MAX(0,delta-AE913)</f>
        <v/>
      </c>
      <c r="AG913">
        <f>AD913*AF913</f>
        <v/>
      </c>
      <c r="AH913">
        <f>1+COUNTIF(bounds,"&lt;"&amp;ROUND(AD913,12))</f>
        <v/>
      </c>
      <c r="AI913">
        <f>1+COUNTIF(bounds,"&lt;"&amp;ROUND(AG913,12))</f>
        <v/>
      </c>
      <c r="AJ913">
        <f>IF(AF913&lt;1,1,0)</f>
        <v/>
      </c>
      <c r="AK913">
        <f>IF(AH913&lt;&gt;AI913,1,0)</f>
        <v/>
      </c>
      <c r="AL913">
        <f>IF(AND(AI913&gt;=3,AB913&lt;=0.2),1,0)</f>
        <v/>
      </c>
      <c r="AM913">
        <f>AVERAGE(W913:AB913)</f>
        <v/>
      </c>
      <c r="AN913">
        <f>1+COUNTIF(bounds,"&lt;"&amp;ROUND(AM913,12))</f>
        <v/>
      </c>
      <c r="AO913">
        <f>IF(AK913=1,AD913,NA())</f>
        <v/>
      </c>
      <c r="AP913">
        <f>IF(AK913=0,AD913,NA())</f>
        <v/>
      </c>
    </row>
    <row r="914">
      <c r="A914" t="n">
        <v>906</v>
      </c>
      <c r="B914" t="n">
        <v>5</v>
      </c>
      <c r="C914" t="n">
        <v>5</v>
      </c>
      <c r="D914" t="n">
        <v>1</v>
      </c>
      <c r="E914" t="n">
        <v>3</v>
      </c>
      <c r="F914" t="n">
        <v>4</v>
      </c>
      <c r="G914" t="n">
        <v>1</v>
      </c>
      <c r="H914" t="n">
        <v>2</v>
      </c>
      <c r="I914" t="n">
        <v>1</v>
      </c>
      <c r="J914" t="n">
        <v>4</v>
      </c>
      <c r="K914" t="n">
        <v>1</v>
      </c>
      <c r="L914" t="n">
        <v>3</v>
      </c>
      <c r="M914" t="n">
        <v>3</v>
      </c>
      <c r="N914" t="n">
        <v>1</v>
      </c>
      <c r="O914" t="n">
        <v>3</v>
      </c>
      <c r="P914" t="n">
        <v>2</v>
      </c>
      <c r="Q914" t="n">
        <v>2</v>
      </c>
      <c r="R914" t="n">
        <v>5</v>
      </c>
      <c r="S914" t="n">
        <v>2</v>
      </c>
      <c r="T914" t="n">
        <v>5</v>
      </c>
      <c r="U914" t="n">
        <v>5</v>
      </c>
      <c r="V914" t="n">
        <v>4</v>
      </c>
      <c r="W914">
        <f>(AVERAGE(B914:D914)-1)/4</f>
        <v/>
      </c>
      <c r="X914">
        <f>(AVERAGE(E914:G914)-1)/4</f>
        <v/>
      </c>
      <c r="Y914">
        <f>(AVERAGE(H914:J914)-1)/4</f>
        <v/>
      </c>
      <c r="Z914">
        <f>(AVERAGE(K914:M914)-1)/4</f>
        <v/>
      </c>
      <c r="AA914">
        <f>(AVERAGE(N914:P914)-1)/4</f>
        <v/>
      </c>
      <c r="AB914">
        <f>(AVERAGE(Q914:S914)-1)/4</f>
        <v/>
      </c>
      <c r="AC914">
        <f>(AVERAGE(T914:V914)-1)/4</f>
        <v/>
      </c>
      <c r="AD914">
        <f>AVERAGE(W914:AA914)</f>
        <v/>
      </c>
      <c r="AE914">
        <f>MIN(W914:AA914)</f>
        <v/>
      </c>
      <c r="AF914">
        <f>1-alpha*MAX(0,delta-AE914)</f>
        <v/>
      </c>
      <c r="AG914">
        <f>AD914*AF914</f>
        <v/>
      </c>
      <c r="AH914">
        <f>1+COUNTIF(bounds,"&lt;"&amp;ROUND(AD914,12))</f>
        <v/>
      </c>
      <c r="AI914">
        <f>1+COUNTIF(bounds,"&lt;"&amp;ROUND(AG914,12))</f>
        <v/>
      </c>
      <c r="AJ914">
        <f>IF(AF914&lt;1,1,0)</f>
        <v/>
      </c>
      <c r="AK914">
        <f>IF(AH914&lt;&gt;AI914,1,0)</f>
        <v/>
      </c>
      <c r="AL914">
        <f>IF(AND(AI914&gt;=3,AB914&lt;=0.2),1,0)</f>
        <v/>
      </c>
      <c r="AM914">
        <f>AVERAGE(W914:AB914)</f>
        <v/>
      </c>
      <c r="AN914">
        <f>1+COUNTIF(bounds,"&lt;"&amp;ROUND(AM914,12))</f>
        <v/>
      </c>
      <c r="AO914">
        <f>IF(AK914=1,AD914,NA())</f>
        <v/>
      </c>
      <c r="AP914">
        <f>IF(AK914=0,AD914,NA())</f>
        <v/>
      </c>
    </row>
    <row r="915">
      <c r="A915" t="n">
        <v>907</v>
      </c>
      <c r="B915" t="n">
        <v>1</v>
      </c>
      <c r="C915" t="n">
        <v>1</v>
      </c>
      <c r="D915" t="n">
        <v>3</v>
      </c>
      <c r="E915" t="n">
        <v>5</v>
      </c>
      <c r="F915" t="n">
        <v>5</v>
      </c>
      <c r="G915" t="n">
        <v>2</v>
      </c>
      <c r="H915" t="n">
        <v>3</v>
      </c>
      <c r="I915" t="n">
        <v>3</v>
      </c>
      <c r="J915" t="n">
        <v>1</v>
      </c>
      <c r="K915" t="n">
        <v>3</v>
      </c>
      <c r="L915" t="n">
        <v>5</v>
      </c>
      <c r="M915" t="n">
        <v>2</v>
      </c>
      <c r="N915" t="n">
        <v>2</v>
      </c>
      <c r="O915" t="n">
        <v>1</v>
      </c>
      <c r="P915" t="n">
        <v>2</v>
      </c>
      <c r="Q915" t="n">
        <v>5</v>
      </c>
      <c r="R915" t="n">
        <v>1</v>
      </c>
      <c r="S915" t="n">
        <v>2</v>
      </c>
      <c r="T915" t="n">
        <v>4</v>
      </c>
      <c r="U915" t="n">
        <v>1</v>
      </c>
      <c r="V915" t="n">
        <v>4</v>
      </c>
      <c r="W915">
        <f>(AVERAGE(B915:D915)-1)/4</f>
        <v/>
      </c>
      <c r="X915">
        <f>(AVERAGE(E915:G915)-1)/4</f>
        <v/>
      </c>
      <c r="Y915">
        <f>(AVERAGE(H915:J915)-1)/4</f>
        <v/>
      </c>
      <c r="Z915">
        <f>(AVERAGE(K915:M915)-1)/4</f>
        <v/>
      </c>
      <c r="AA915">
        <f>(AVERAGE(N915:P915)-1)/4</f>
        <v/>
      </c>
      <c r="AB915">
        <f>(AVERAGE(Q915:S915)-1)/4</f>
        <v/>
      </c>
      <c r="AC915">
        <f>(AVERAGE(T915:V915)-1)/4</f>
        <v/>
      </c>
      <c r="AD915">
        <f>AVERAGE(W915:AA915)</f>
        <v/>
      </c>
      <c r="AE915">
        <f>MIN(W915:AA915)</f>
        <v/>
      </c>
      <c r="AF915">
        <f>1-alpha*MAX(0,delta-AE915)</f>
        <v/>
      </c>
      <c r="AG915">
        <f>AD915*AF915</f>
        <v/>
      </c>
      <c r="AH915">
        <f>1+COUNTIF(bounds,"&lt;"&amp;ROUND(AD915,12))</f>
        <v/>
      </c>
      <c r="AI915">
        <f>1+COUNTIF(bounds,"&lt;"&amp;ROUND(AG915,12))</f>
        <v/>
      </c>
      <c r="AJ915">
        <f>IF(AF915&lt;1,1,0)</f>
        <v/>
      </c>
      <c r="AK915">
        <f>IF(AH915&lt;&gt;AI915,1,0)</f>
        <v/>
      </c>
      <c r="AL915">
        <f>IF(AND(AI915&gt;=3,AB915&lt;=0.2),1,0)</f>
        <v/>
      </c>
      <c r="AM915">
        <f>AVERAGE(W915:AB915)</f>
        <v/>
      </c>
      <c r="AN915">
        <f>1+COUNTIF(bounds,"&lt;"&amp;ROUND(AM915,12))</f>
        <v/>
      </c>
      <c r="AO915">
        <f>IF(AK915=1,AD915,NA())</f>
        <v/>
      </c>
      <c r="AP915">
        <f>IF(AK915=0,AD915,NA())</f>
        <v/>
      </c>
    </row>
    <row r="916">
      <c r="A916" t="n">
        <v>908</v>
      </c>
      <c r="B916" t="n">
        <v>3</v>
      </c>
      <c r="C916" t="n">
        <v>5</v>
      </c>
      <c r="D916" t="n">
        <v>1</v>
      </c>
      <c r="E916" t="n">
        <v>1</v>
      </c>
      <c r="F916" t="n">
        <v>4</v>
      </c>
      <c r="G916" t="n">
        <v>3</v>
      </c>
      <c r="H916" t="n">
        <v>3</v>
      </c>
      <c r="I916" t="n">
        <v>1</v>
      </c>
      <c r="J916" t="n">
        <v>2</v>
      </c>
      <c r="K916" t="n">
        <v>1</v>
      </c>
      <c r="L916" t="n">
        <v>5</v>
      </c>
      <c r="M916" t="n">
        <v>1</v>
      </c>
      <c r="N916" t="n">
        <v>2</v>
      </c>
      <c r="O916" t="n">
        <v>1</v>
      </c>
      <c r="P916" t="n">
        <v>1</v>
      </c>
      <c r="Q916" t="n">
        <v>4</v>
      </c>
      <c r="R916" t="n">
        <v>1</v>
      </c>
      <c r="S916" t="n">
        <v>2</v>
      </c>
      <c r="T916" t="n">
        <v>1</v>
      </c>
      <c r="U916" t="n">
        <v>5</v>
      </c>
      <c r="V916" t="n">
        <v>1</v>
      </c>
      <c r="W916">
        <f>(AVERAGE(B916:D916)-1)/4</f>
        <v/>
      </c>
      <c r="X916">
        <f>(AVERAGE(E916:G916)-1)/4</f>
        <v/>
      </c>
      <c r="Y916">
        <f>(AVERAGE(H916:J916)-1)/4</f>
        <v/>
      </c>
      <c r="Z916">
        <f>(AVERAGE(K916:M916)-1)/4</f>
        <v/>
      </c>
      <c r="AA916">
        <f>(AVERAGE(N916:P916)-1)/4</f>
        <v/>
      </c>
      <c r="AB916">
        <f>(AVERAGE(Q916:S916)-1)/4</f>
        <v/>
      </c>
      <c r="AC916">
        <f>(AVERAGE(T916:V916)-1)/4</f>
        <v/>
      </c>
      <c r="AD916">
        <f>AVERAGE(W916:AA916)</f>
        <v/>
      </c>
      <c r="AE916">
        <f>MIN(W916:AA916)</f>
        <v/>
      </c>
      <c r="AF916">
        <f>1-alpha*MAX(0,delta-AE916)</f>
        <v/>
      </c>
      <c r="AG916">
        <f>AD916*AF916</f>
        <v/>
      </c>
      <c r="AH916">
        <f>1+COUNTIF(bounds,"&lt;"&amp;ROUND(AD916,12))</f>
        <v/>
      </c>
      <c r="AI916">
        <f>1+COUNTIF(bounds,"&lt;"&amp;ROUND(AG916,12))</f>
        <v/>
      </c>
      <c r="AJ916">
        <f>IF(AF916&lt;1,1,0)</f>
        <v/>
      </c>
      <c r="AK916">
        <f>IF(AH916&lt;&gt;AI916,1,0)</f>
        <v/>
      </c>
      <c r="AL916">
        <f>IF(AND(AI916&gt;=3,AB916&lt;=0.2),1,0)</f>
        <v/>
      </c>
      <c r="AM916">
        <f>AVERAGE(W916:AB916)</f>
        <v/>
      </c>
      <c r="AN916">
        <f>1+COUNTIF(bounds,"&lt;"&amp;ROUND(AM916,12))</f>
        <v/>
      </c>
      <c r="AO916">
        <f>IF(AK916=1,AD916,NA())</f>
        <v/>
      </c>
      <c r="AP916">
        <f>IF(AK916=0,AD916,NA())</f>
        <v/>
      </c>
    </row>
    <row r="917">
      <c r="A917" t="n">
        <v>909</v>
      </c>
      <c r="B917" t="n">
        <v>3</v>
      </c>
      <c r="C917" t="n">
        <v>4</v>
      </c>
      <c r="D917" t="n">
        <v>4</v>
      </c>
      <c r="E917" t="n">
        <v>5</v>
      </c>
      <c r="F917" t="n">
        <v>1</v>
      </c>
      <c r="G917" t="n">
        <v>4</v>
      </c>
      <c r="H917" t="n">
        <v>2</v>
      </c>
      <c r="I917" t="n">
        <v>3</v>
      </c>
      <c r="J917" t="n">
        <v>4</v>
      </c>
      <c r="K917" t="n">
        <v>2</v>
      </c>
      <c r="L917" t="n">
        <v>2</v>
      </c>
      <c r="M917" t="n">
        <v>4</v>
      </c>
      <c r="N917" t="n">
        <v>1</v>
      </c>
      <c r="O917" t="n">
        <v>1</v>
      </c>
      <c r="P917" t="n">
        <v>3</v>
      </c>
      <c r="Q917" t="n">
        <v>1</v>
      </c>
      <c r="R917" t="n">
        <v>1</v>
      </c>
      <c r="S917" t="n">
        <v>2</v>
      </c>
      <c r="T917" t="n">
        <v>5</v>
      </c>
      <c r="U917" t="n">
        <v>1</v>
      </c>
      <c r="V917" t="n">
        <v>4</v>
      </c>
      <c r="W917">
        <f>(AVERAGE(B917:D917)-1)/4</f>
        <v/>
      </c>
      <c r="X917">
        <f>(AVERAGE(E917:G917)-1)/4</f>
        <v/>
      </c>
      <c r="Y917">
        <f>(AVERAGE(H917:J917)-1)/4</f>
        <v/>
      </c>
      <c r="Z917">
        <f>(AVERAGE(K917:M917)-1)/4</f>
        <v/>
      </c>
      <c r="AA917">
        <f>(AVERAGE(N917:P917)-1)/4</f>
        <v/>
      </c>
      <c r="AB917">
        <f>(AVERAGE(Q917:S917)-1)/4</f>
        <v/>
      </c>
      <c r="AC917">
        <f>(AVERAGE(T917:V917)-1)/4</f>
        <v/>
      </c>
      <c r="AD917">
        <f>AVERAGE(W917:AA917)</f>
        <v/>
      </c>
      <c r="AE917">
        <f>MIN(W917:AA917)</f>
        <v/>
      </c>
      <c r="AF917">
        <f>1-alpha*MAX(0,delta-AE917)</f>
        <v/>
      </c>
      <c r="AG917">
        <f>AD917*AF917</f>
        <v/>
      </c>
      <c r="AH917">
        <f>1+COUNTIF(bounds,"&lt;"&amp;ROUND(AD917,12))</f>
        <v/>
      </c>
      <c r="AI917">
        <f>1+COUNTIF(bounds,"&lt;"&amp;ROUND(AG917,12))</f>
        <v/>
      </c>
      <c r="AJ917">
        <f>IF(AF917&lt;1,1,0)</f>
        <v/>
      </c>
      <c r="AK917">
        <f>IF(AH917&lt;&gt;AI917,1,0)</f>
        <v/>
      </c>
      <c r="AL917">
        <f>IF(AND(AI917&gt;=3,AB917&lt;=0.2),1,0)</f>
        <v/>
      </c>
      <c r="AM917">
        <f>AVERAGE(W917:AB917)</f>
        <v/>
      </c>
      <c r="AN917">
        <f>1+COUNTIF(bounds,"&lt;"&amp;ROUND(AM917,12))</f>
        <v/>
      </c>
      <c r="AO917">
        <f>IF(AK917=1,AD917,NA())</f>
        <v/>
      </c>
      <c r="AP917">
        <f>IF(AK917=0,AD917,NA())</f>
        <v/>
      </c>
    </row>
    <row r="918">
      <c r="A918" t="n">
        <v>910</v>
      </c>
      <c r="B918" t="n">
        <v>2</v>
      </c>
      <c r="C918" t="n">
        <v>2</v>
      </c>
      <c r="D918" t="n">
        <v>3</v>
      </c>
      <c r="E918" t="n">
        <v>2</v>
      </c>
      <c r="F918" t="n">
        <v>1</v>
      </c>
      <c r="G918" t="n">
        <v>4</v>
      </c>
      <c r="H918" t="n">
        <v>2</v>
      </c>
      <c r="I918" t="n">
        <v>5</v>
      </c>
      <c r="J918" t="n">
        <v>1</v>
      </c>
      <c r="K918" t="n">
        <v>2</v>
      </c>
      <c r="L918" t="n">
        <v>3</v>
      </c>
      <c r="M918" t="n">
        <v>3</v>
      </c>
      <c r="N918" t="n">
        <v>1</v>
      </c>
      <c r="O918" t="n">
        <v>2</v>
      </c>
      <c r="P918" t="n">
        <v>4</v>
      </c>
      <c r="Q918" t="n">
        <v>1</v>
      </c>
      <c r="R918" t="n">
        <v>3</v>
      </c>
      <c r="S918" t="n">
        <v>5</v>
      </c>
      <c r="T918" t="n">
        <v>2</v>
      </c>
      <c r="U918" t="n">
        <v>4</v>
      </c>
      <c r="V918" t="n">
        <v>5</v>
      </c>
      <c r="W918">
        <f>(AVERAGE(B918:D918)-1)/4</f>
        <v/>
      </c>
      <c r="X918">
        <f>(AVERAGE(E918:G918)-1)/4</f>
        <v/>
      </c>
      <c r="Y918">
        <f>(AVERAGE(H918:J918)-1)/4</f>
        <v/>
      </c>
      <c r="Z918">
        <f>(AVERAGE(K918:M918)-1)/4</f>
        <v/>
      </c>
      <c r="AA918">
        <f>(AVERAGE(N918:P918)-1)/4</f>
        <v/>
      </c>
      <c r="AB918">
        <f>(AVERAGE(Q918:S918)-1)/4</f>
        <v/>
      </c>
      <c r="AC918">
        <f>(AVERAGE(T918:V918)-1)/4</f>
        <v/>
      </c>
      <c r="AD918">
        <f>AVERAGE(W918:AA918)</f>
        <v/>
      </c>
      <c r="AE918">
        <f>MIN(W918:AA918)</f>
        <v/>
      </c>
      <c r="AF918">
        <f>1-alpha*MAX(0,delta-AE918)</f>
        <v/>
      </c>
      <c r="AG918">
        <f>AD918*AF918</f>
        <v/>
      </c>
      <c r="AH918">
        <f>1+COUNTIF(bounds,"&lt;"&amp;ROUND(AD918,12))</f>
        <v/>
      </c>
      <c r="AI918">
        <f>1+COUNTIF(bounds,"&lt;"&amp;ROUND(AG918,12))</f>
        <v/>
      </c>
      <c r="AJ918">
        <f>IF(AF918&lt;1,1,0)</f>
        <v/>
      </c>
      <c r="AK918">
        <f>IF(AH918&lt;&gt;AI918,1,0)</f>
        <v/>
      </c>
      <c r="AL918">
        <f>IF(AND(AI918&gt;=3,AB918&lt;=0.2),1,0)</f>
        <v/>
      </c>
      <c r="AM918">
        <f>AVERAGE(W918:AB918)</f>
        <v/>
      </c>
      <c r="AN918">
        <f>1+COUNTIF(bounds,"&lt;"&amp;ROUND(AM918,12))</f>
        <v/>
      </c>
      <c r="AO918">
        <f>IF(AK918=1,AD918,NA())</f>
        <v/>
      </c>
      <c r="AP918">
        <f>IF(AK918=0,AD918,NA())</f>
        <v/>
      </c>
    </row>
    <row r="919">
      <c r="A919" t="n">
        <v>911</v>
      </c>
      <c r="B919" t="n">
        <v>1</v>
      </c>
      <c r="C919" t="n">
        <v>1</v>
      </c>
      <c r="D919" t="n">
        <v>5</v>
      </c>
      <c r="E919" t="n">
        <v>1</v>
      </c>
      <c r="F919" t="n">
        <v>4</v>
      </c>
      <c r="G919" t="n">
        <v>3</v>
      </c>
      <c r="H919" t="n">
        <v>1</v>
      </c>
      <c r="I919" t="n">
        <v>1</v>
      </c>
      <c r="J919" t="n">
        <v>3</v>
      </c>
      <c r="K919" t="n">
        <v>4</v>
      </c>
      <c r="L919" t="n">
        <v>2</v>
      </c>
      <c r="M919" t="n">
        <v>5</v>
      </c>
      <c r="N919" t="n">
        <v>5</v>
      </c>
      <c r="O919" t="n">
        <v>5</v>
      </c>
      <c r="P919" t="n">
        <v>4</v>
      </c>
      <c r="Q919" t="n">
        <v>3</v>
      </c>
      <c r="R919" t="n">
        <v>5</v>
      </c>
      <c r="S919" t="n">
        <v>5</v>
      </c>
      <c r="T919" t="n">
        <v>4</v>
      </c>
      <c r="U919" t="n">
        <v>4</v>
      </c>
      <c r="V919" t="n">
        <v>1</v>
      </c>
      <c r="W919">
        <f>(AVERAGE(B919:D919)-1)/4</f>
        <v/>
      </c>
      <c r="X919">
        <f>(AVERAGE(E919:G919)-1)/4</f>
        <v/>
      </c>
      <c r="Y919">
        <f>(AVERAGE(H919:J919)-1)/4</f>
        <v/>
      </c>
      <c r="Z919">
        <f>(AVERAGE(K919:M919)-1)/4</f>
        <v/>
      </c>
      <c r="AA919">
        <f>(AVERAGE(N919:P919)-1)/4</f>
        <v/>
      </c>
      <c r="AB919">
        <f>(AVERAGE(Q919:S919)-1)/4</f>
        <v/>
      </c>
      <c r="AC919">
        <f>(AVERAGE(T919:V919)-1)/4</f>
        <v/>
      </c>
      <c r="AD919">
        <f>AVERAGE(W919:AA919)</f>
        <v/>
      </c>
      <c r="AE919">
        <f>MIN(W919:AA919)</f>
        <v/>
      </c>
      <c r="AF919">
        <f>1-alpha*MAX(0,delta-AE919)</f>
        <v/>
      </c>
      <c r="AG919">
        <f>AD919*AF919</f>
        <v/>
      </c>
      <c r="AH919">
        <f>1+COUNTIF(bounds,"&lt;"&amp;ROUND(AD919,12))</f>
        <v/>
      </c>
      <c r="AI919">
        <f>1+COUNTIF(bounds,"&lt;"&amp;ROUND(AG919,12))</f>
        <v/>
      </c>
      <c r="AJ919">
        <f>IF(AF919&lt;1,1,0)</f>
        <v/>
      </c>
      <c r="AK919">
        <f>IF(AH919&lt;&gt;AI919,1,0)</f>
        <v/>
      </c>
      <c r="AL919">
        <f>IF(AND(AI919&gt;=3,AB919&lt;=0.2),1,0)</f>
        <v/>
      </c>
      <c r="AM919">
        <f>AVERAGE(W919:AB919)</f>
        <v/>
      </c>
      <c r="AN919">
        <f>1+COUNTIF(bounds,"&lt;"&amp;ROUND(AM919,12))</f>
        <v/>
      </c>
      <c r="AO919">
        <f>IF(AK919=1,AD919,NA())</f>
        <v/>
      </c>
      <c r="AP919">
        <f>IF(AK919=0,AD919,NA())</f>
        <v/>
      </c>
    </row>
    <row r="920">
      <c r="A920" t="n">
        <v>912</v>
      </c>
      <c r="B920" t="n">
        <v>1</v>
      </c>
      <c r="C920" t="n">
        <v>5</v>
      </c>
      <c r="D920" t="n">
        <v>1</v>
      </c>
      <c r="E920" t="n">
        <v>5</v>
      </c>
      <c r="F920" t="n">
        <v>5</v>
      </c>
      <c r="G920" t="n">
        <v>1</v>
      </c>
      <c r="H920" t="n">
        <v>2</v>
      </c>
      <c r="I920" t="n">
        <v>3</v>
      </c>
      <c r="J920" t="n">
        <v>1</v>
      </c>
      <c r="K920" t="n">
        <v>3</v>
      </c>
      <c r="L920" t="n">
        <v>1</v>
      </c>
      <c r="M920" t="n">
        <v>2</v>
      </c>
      <c r="N920" t="n">
        <v>2</v>
      </c>
      <c r="O920" t="n">
        <v>2</v>
      </c>
      <c r="P920" t="n">
        <v>1</v>
      </c>
      <c r="Q920" t="n">
        <v>3</v>
      </c>
      <c r="R920" t="n">
        <v>2</v>
      </c>
      <c r="S920" t="n">
        <v>3</v>
      </c>
      <c r="T920" t="n">
        <v>2</v>
      </c>
      <c r="U920" t="n">
        <v>5</v>
      </c>
      <c r="V920" t="n">
        <v>4</v>
      </c>
      <c r="W920">
        <f>(AVERAGE(B920:D920)-1)/4</f>
        <v/>
      </c>
      <c r="X920">
        <f>(AVERAGE(E920:G920)-1)/4</f>
        <v/>
      </c>
      <c r="Y920">
        <f>(AVERAGE(H920:J920)-1)/4</f>
        <v/>
      </c>
      <c r="Z920">
        <f>(AVERAGE(K920:M920)-1)/4</f>
        <v/>
      </c>
      <c r="AA920">
        <f>(AVERAGE(N920:P920)-1)/4</f>
        <v/>
      </c>
      <c r="AB920">
        <f>(AVERAGE(Q920:S920)-1)/4</f>
        <v/>
      </c>
      <c r="AC920">
        <f>(AVERAGE(T920:V920)-1)/4</f>
        <v/>
      </c>
      <c r="AD920">
        <f>AVERAGE(W920:AA920)</f>
        <v/>
      </c>
      <c r="AE920">
        <f>MIN(W920:AA920)</f>
        <v/>
      </c>
      <c r="AF920">
        <f>1-alpha*MAX(0,delta-AE920)</f>
        <v/>
      </c>
      <c r="AG920">
        <f>AD920*AF920</f>
        <v/>
      </c>
      <c r="AH920">
        <f>1+COUNTIF(bounds,"&lt;"&amp;ROUND(AD920,12))</f>
        <v/>
      </c>
      <c r="AI920">
        <f>1+COUNTIF(bounds,"&lt;"&amp;ROUND(AG920,12))</f>
        <v/>
      </c>
      <c r="AJ920">
        <f>IF(AF920&lt;1,1,0)</f>
        <v/>
      </c>
      <c r="AK920">
        <f>IF(AH920&lt;&gt;AI920,1,0)</f>
        <v/>
      </c>
      <c r="AL920">
        <f>IF(AND(AI920&gt;=3,AB920&lt;=0.2),1,0)</f>
        <v/>
      </c>
      <c r="AM920">
        <f>AVERAGE(W920:AB920)</f>
        <v/>
      </c>
      <c r="AN920">
        <f>1+COUNTIF(bounds,"&lt;"&amp;ROUND(AM920,12))</f>
        <v/>
      </c>
      <c r="AO920">
        <f>IF(AK920=1,AD920,NA())</f>
        <v/>
      </c>
      <c r="AP920">
        <f>IF(AK920=0,AD920,NA())</f>
        <v/>
      </c>
    </row>
    <row r="921">
      <c r="A921" t="n">
        <v>913</v>
      </c>
      <c r="B921" t="n">
        <v>1</v>
      </c>
      <c r="C921" t="n">
        <v>1</v>
      </c>
      <c r="D921" t="n">
        <v>2</v>
      </c>
      <c r="E921" t="n">
        <v>5</v>
      </c>
      <c r="F921" t="n">
        <v>1</v>
      </c>
      <c r="G921" t="n">
        <v>2</v>
      </c>
      <c r="H921" t="n">
        <v>5</v>
      </c>
      <c r="I921" t="n">
        <v>3</v>
      </c>
      <c r="J921" t="n">
        <v>5</v>
      </c>
      <c r="K921" t="n">
        <v>3</v>
      </c>
      <c r="L921" t="n">
        <v>1</v>
      </c>
      <c r="M921" t="n">
        <v>5</v>
      </c>
      <c r="N921" t="n">
        <v>1</v>
      </c>
      <c r="O921" t="n">
        <v>5</v>
      </c>
      <c r="P921" t="n">
        <v>1</v>
      </c>
      <c r="Q921" t="n">
        <v>5</v>
      </c>
      <c r="R921" t="n">
        <v>4</v>
      </c>
      <c r="S921" t="n">
        <v>4</v>
      </c>
      <c r="T921" t="n">
        <v>1</v>
      </c>
      <c r="U921" t="n">
        <v>4</v>
      </c>
      <c r="V921" t="n">
        <v>1</v>
      </c>
      <c r="W921">
        <f>(AVERAGE(B921:D921)-1)/4</f>
        <v/>
      </c>
      <c r="X921">
        <f>(AVERAGE(E921:G921)-1)/4</f>
        <v/>
      </c>
      <c r="Y921">
        <f>(AVERAGE(H921:J921)-1)/4</f>
        <v/>
      </c>
      <c r="Z921">
        <f>(AVERAGE(K921:M921)-1)/4</f>
        <v/>
      </c>
      <c r="AA921">
        <f>(AVERAGE(N921:P921)-1)/4</f>
        <v/>
      </c>
      <c r="AB921">
        <f>(AVERAGE(Q921:S921)-1)/4</f>
        <v/>
      </c>
      <c r="AC921">
        <f>(AVERAGE(T921:V921)-1)/4</f>
        <v/>
      </c>
      <c r="AD921">
        <f>AVERAGE(W921:AA921)</f>
        <v/>
      </c>
      <c r="AE921">
        <f>MIN(W921:AA921)</f>
        <v/>
      </c>
      <c r="AF921">
        <f>1-alpha*MAX(0,delta-AE921)</f>
        <v/>
      </c>
      <c r="AG921">
        <f>AD921*AF921</f>
        <v/>
      </c>
      <c r="AH921">
        <f>1+COUNTIF(bounds,"&lt;"&amp;ROUND(AD921,12))</f>
        <v/>
      </c>
      <c r="AI921">
        <f>1+COUNTIF(bounds,"&lt;"&amp;ROUND(AG921,12))</f>
        <v/>
      </c>
      <c r="AJ921">
        <f>IF(AF921&lt;1,1,0)</f>
        <v/>
      </c>
      <c r="AK921">
        <f>IF(AH921&lt;&gt;AI921,1,0)</f>
        <v/>
      </c>
      <c r="AL921">
        <f>IF(AND(AI921&gt;=3,AB921&lt;=0.2),1,0)</f>
        <v/>
      </c>
      <c r="AM921">
        <f>AVERAGE(W921:AB921)</f>
        <v/>
      </c>
      <c r="AN921">
        <f>1+COUNTIF(bounds,"&lt;"&amp;ROUND(AM921,12))</f>
        <v/>
      </c>
      <c r="AO921">
        <f>IF(AK921=1,AD921,NA())</f>
        <v/>
      </c>
      <c r="AP921">
        <f>IF(AK921=0,AD921,NA())</f>
        <v/>
      </c>
    </row>
    <row r="922">
      <c r="A922" t="n">
        <v>914</v>
      </c>
      <c r="B922" t="n">
        <v>3</v>
      </c>
      <c r="C922" t="n">
        <v>3</v>
      </c>
      <c r="D922" t="n">
        <v>5</v>
      </c>
      <c r="E922" t="n">
        <v>5</v>
      </c>
      <c r="F922" t="n">
        <v>2</v>
      </c>
      <c r="G922" t="n">
        <v>3</v>
      </c>
      <c r="H922" t="n">
        <v>3</v>
      </c>
      <c r="I922" t="n">
        <v>5</v>
      </c>
      <c r="J922" t="n">
        <v>5</v>
      </c>
      <c r="K922" t="n">
        <v>4</v>
      </c>
      <c r="L922" t="n">
        <v>2</v>
      </c>
      <c r="M922" t="n">
        <v>2</v>
      </c>
      <c r="N922" t="n">
        <v>1</v>
      </c>
      <c r="O922" t="n">
        <v>1</v>
      </c>
      <c r="P922" t="n">
        <v>4</v>
      </c>
      <c r="Q922" t="n">
        <v>4</v>
      </c>
      <c r="R922" t="n">
        <v>1</v>
      </c>
      <c r="S922" t="n">
        <v>5</v>
      </c>
      <c r="T922" t="n">
        <v>3</v>
      </c>
      <c r="U922" t="n">
        <v>4</v>
      </c>
      <c r="V922" t="n">
        <v>2</v>
      </c>
      <c r="W922">
        <f>(AVERAGE(B922:D922)-1)/4</f>
        <v/>
      </c>
      <c r="X922">
        <f>(AVERAGE(E922:G922)-1)/4</f>
        <v/>
      </c>
      <c r="Y922">
        <f>(AVERAGE(H922:J922)-1)/4</f>
        <v/>
      </c>
      <c r="Z922">
        <f>(AVERAGE(K922:M922)-1)/4</f>
        <v/>
      </c>
      <c r="AA922">
        <f>(AVERAGE(N922:P922)-1)/4</f>
        <v/>
      </c>
      <c r="AB922">
        <f>(AVERAGE(Q922:S922)-1)/4</f>
        <v/>
      </c>
      <c r="AC922">
        <f>(AVERAGE(T922:V922)-1)/4</f>
        <v/>
      </c>
      <c r="AD922">
        <f>AVERAGE(W922:AA922)</f>
        <v/>
      </c>
      <c r="AE922">
        <f>MIN(W922:AA922)</f>
        <v/>
      </c>
      <c r="AF922">
        <f>1-alpha*MAX(0,delta-AE922)</f>
        <v/>
      </c>
      <c r="AG922">
        <f>AD922*AF922</f>
        <v/>
      </c>
      <c r="AH922">
        <f>1+COUNTIF(bounds,"&lt;"&amp;ROUND(AD922,12))</f>
        <v/>
      </c>
      <c r="AI922">
        <f>1+COUNTIF(bounds,"&lt;"&amp;ROUND(AG922,12))</f>
        <v/>
      </c>
      <c r="AJ922">
        <f>IF(AF922&lt;1,1,0)</f>
        <v/>
      </c>
      <c r="AK922">
        <f>IF(AH922&lt;&gt;AI922,1,0)</f>
        <v/>
      </c>
      <c r="AL922">
        <f>IF(AND(AI922&gt;=3,AB922&lt;=0.2),1,0)</f>
        <v/>
      </c>
      <c r="AM922">
        <f>AVERAGE(W922:AB922)</f>
        <v/>
      </c>
      <c r="AN922">
        <f>1+COUNTIF(bounds,"&lt;"&amp;ROUND(AM922,12))</f>
        <v/>
      </c>
      <c r="AO922">
        <f>IF(AK922=1,AD922,NA())</f>
        <v/>
      </c>
      <c r="AP922">
        <f>IF(AK922=0,AD922,NA())</f>
        <v/>
      </c>
    </row>
    <row r="923">
      <c r="A923" t="n">
        <v>915</v>
      </c>
      <c r="B923" t="n">
        <v>4</v>
      </c>
      <c r="C923" t="n">
        <v>2</v>
      </c>
      <c r="D923" t="n">
        <v>3</v>
      </c>
      <c r="E923" t="n">
        <v>4</v>
      </c>
      <c r="F923" t="n">
        <v>2</v>
      </c>
      <c r="G923" t="n">
        <v>3</v>
      </c>
      <c r="H923" t="n">
        <v>3</v>
      </c>
      <c r="I923" t="n">
        <v>5</v>
      </c>
      <c r="J923" t="n">
        <v>4</v>
      </c>
      <c r="K923" t="n">
        <v>2</v>
      </c>
      <c r="L923" t="n">
        <v>5</v>
      </c>
      <c r="M923" t="n">
        <v>3</v>
      </c>
      <c r="N923" t="n">
        <v>3</v>
      </c>
      <c r="O923" t="n">
        <v>2</v>
      </c>
      <c r="P923" t="n">
        <v>2</v>
      </c>
      <c r="Q923" t="n">
        <v>1</v>
      </c>
      <c r="R923" t="n">
        <v>4</v>
      </c>
      <c r="S923" t="n">
        <v>1</v>
      </c>
      <c r="T923" t="n">
        <v>3</v>
      </c>
      <c r="U923" t="n">
        <v>2</v>
      </c>
      <c r="V923" t="n">
        <v>3</v>
      </c>
      <c r="W923">
        <f>(AVERAGE(B923:D923)-1)/4</f>
        <v/>
      </c>
      <c r="X923">
        <f>(AVERAGE(E923:G923)-1)/4</f>
        <v/>
      </c>
      <c r="Y923">
        <f>(AVERAGE(H923:J923)-1)/4</f>
        <v/>
      </c>
      <c r="Z923">
        <f>(AVERAGE(K923:M923)-1)/4</f>
        <v/>
      </c>
      <c r="AA923">
        <f>(AVERAGE(N923:P923)-1)/4</f>
        <v/>
      </c>
      <c r="AB923">
        <f>(AVERAGE(Q923:S923)-1)/4</f>
        <v/>
      </c>
      <c r="AC923">
        <f>(AVERAGE(T923:V923)-1)/4</f>
        <v/>
      </c>
      <c r="AD923">
        <f>AVERAGE(W923:AA923)</f>
        <v/>
      </c>
      <c r="AE923">
        <f>MIN(W923:AA923)</f>
        <v/>
      </c>
      <c r="AF923">
        <f>1-alpha*MAX(0,delta-AE923)</f>
        <v/>
      </c>
      <c r="AG923">
        <f>AD923*AF923</f>
        <v/>
      </c>
      <c r="AH923">
        <f>1+COUNTIF(bounds,"&lt;"&amp;ROUND(AD923,12))</f>
        <v/>
      </c>
      <c r="AI923">
        <f>1+COUNTIF(bounds,"&lt;"&amp;ROUND(AG923,12))</f>
        <v/>
      </c>
      <c r="AJ923">
        <f>IF(AF923&lt;1,1,0)</f>
        <v/>
      </c>
      <c r="AK923">
        <f>IF(AH923&lt;&gt;AI923,1,0)</f>
        <v/>
      </c>
      <c r="AL923">
        <f>IF(AND(AI923&gt;=3,AB923&lt;=0.2),1,0)</f>
        <v/>
      </c>
      <c r="AM923">
        <f>AVERAGE(W923:AB923)</f>
        <v/>
      </c>
      <c r="AN923">
        <f>1+COUNTIF(bounds,"&lt;"&amp;ROUND(AM923,12))</f>
        <v/>
      </c>
      <c r="AO923">
        <f>IF(AK923=1,AD923,NA())</f>
        <v/>
      </c>
      <c r="AP923">
        <f>IF(AK923=0,AD923,NA())</f>
        <v/>
      </c>
    </row>
    <row r="924">
      <c r="A924" t="n">
        <v>916</v>
      </c>
      <c r="B924" t="n">
        <v>2</v>
      </c>
      <c r="C924" t="n">
        <v>4</v>
      </c>
      <c r="D924" t="n">
        <v>3</v>
      </c>
      <c r="E924" t="n">
        <v>1</v>
      </c>
      <c r="F924" t="n">
        <v>1</v>
      </c>
      <c r="G924" t="n">
        <v>3</v>
      </c>
      <c r="H924" t="n">
        <v>1</v>
      </c>
      <c r="I924" t="n">
        <v>3</v>
      </c>
      <c r="J924" t="n">
        <v>3</v>
      </c>
      <c r="K924" t="n">
        <v>1</v>
      </c>
      <c r="L924" t="n">
        <v>5</v>
      </c>
      <c r="M924" t="n">
        <v>4</v>
      </c>
      <c r="N924" t="n">
        <v>4</v>
      </c>
      <c r="O924" t="n">
        <v>2</v>
      </c>
      <c r="P924" t="n">
        <v>3</v>
      </c>
      <c r="Q924" t="n">
        <v>4</v>
      </c>
      <c r="R924" t="n">
        <v>3</v>
      </c>
      <c r="S924" t="n">
        <v>3</v>
      </c>
      <c r="T924" t="n">
        <v>5</v>
      </c>
      <c r="U924" t="n">
        <v>5</v>
      </c>
      <c r="V924" t="n">
        <v>2</v>
      </c>
      <c r="W924">
        <f>(AVERAGE(B924:D924)-1)/4</f>
        <v/>
      </c>
      <c r="X924">
        <f>(AVERAGE(E924:G924)-1)/4</f>
        <v/>
      </c>
      <c r="Y924">
        <f>(AVERAGE(H924:J924)-1)/4</f>
        <v/>
      </c>
      <c r="Z924">
        <f>(AVERAGE(K924:M924)-1)/4</f>
        <v/>
      </c>
      <c r="AA924">
        <f>(AVERAGE(N924:P924)-1)/4</f>
        <v/>
      </c>
      <c r="AB924">
        <f>(AVERAGE(Q924:S924)-1)/4</f>
        <v/>
      </c>
      <c r="AC924">
        <f>(AVERAGE(T924:V924)-1)/4</f>
        <v/>
      </c>
      <c r="AD924">
        <f>AVERAGE(W924:AA924)</f>
        <v/>
      </c>
      <c r="AE924">
        <f>MIN(W924:AA924)</f>
        <v/>
      </c>
      <c r="AF924">
        <f>1-alpha*MAX(0,delta-AE924)</f>
        <v/>
      </c>
      <c r="AG924">
        <f>AD924*AF924</f>
        <v/>
      </c>
      <c r="AH924">
        <f>1+COUNTIF(bounds,"&lt;"&amp;ROUND(AD924,12))</f>
        <v/>
      </c>
      <c r="AI924">
        <f>1+COUNTIF(bounds,"&lt;"&amp;ROUND(AG924,12))</f>
        <v/>
      </c>
      <c r="AJ924">
        <f>IF(AF924&lt;1,1,0)</f>
        <v/>
      </c>
      <c r="AK924">
        <f>IF(AH924&lt;&gt;AI924,1,0)</f>
        <v/>
      </c>
      <c r="AL924">
        <f>IF(AND(AI924&gt;=3,AB924&lt;=0.2),1,0)</f>
        <v/>
      </c>
      <c r="AM924">
        <f>AVERAGE(W924:AB924)</f>
        <v/>
      </c>
      <c r="AN924">
        <f>1+COUNTIF(bounds,"&lt;"&amp;ROUND(AM924,12))</f>
        <v/>
      </c>
      <c r="AO924">
        <f>IF(AK924=1,AD924,NA())</f>
        <v/>
      </c>
      <c r="AP924">
        <f>IF(AK924=0,AD924,NA())</f>
        <v/>
      </c>
    </row>
    <row r="925">
      <c r="A925" t="n">
        <v>917</v>
      </c>
      <c r="B925" t="n">
        <v>4</v>
      </c>
      <c r="C925" t="n">
        <v>1</v>
      </c>
      <c r="D925" t="n">
        <v>5</v>
      </c>
      <c r="E925" t="n">
        <v>4</v>
      </c>
      <c r="F925" t="n">
        <v>2</v>
      </c>
      <c r="G925" t="n">
        <v>3</v>
      </c>
      <c r="H925" t="n">
        <v>3</v>
      </c>
      <c r="I925" t="n">
        <v>1</v>
      </c>
      <c r="J925" t="n">
        <v>5</v>
      </c>
      <c r="K925" t="n">
        <v>1</v>
      </c>
      <c r="L925" t="n">
        <v>4</v>
      </c>
      <c r="M925" t="n">
        <v>5</v>
      </c>
      <c r="N925" t="n">
        <v>1</v>
      </c>
      <c r="O925" t="n">
        <v>2</v>
      </c>
      <c r="P925" t="n">
        <v>5</v>
      </c>
      <c r="Q925" t="n">
        <v>5</v>
      </c>
      <c r="R925" t="n">
        <v>5</v>
      </c>
      <c r="S925" t="n">
        <v>4</v>
      </c>
      <c r="T925" t="n">
        <v>5</v>
      </c>
      <c r="U925" t="n">
        <v>5</v>
      </c>
      <c r="V925" t="n">
        <v>5</v>
      </c>
      <c r="W925">
        <f>(AVERAGE(B925:D925)-1)/4</f>
        <v/>
      </c>
      <c r="X925">
        <f>(AVERAGE(E925:G925)-1)/4</f>
        <v/>
      </c>
      <c r="Y925">
        <f>(AVERAGE(H925:J925)-1)/4</f>
        <v/>
      </c>
      <c r="Z925">
        <f>(AVERAGE(K925:M925)-1)/4</f>
        <v/>
      </c>
      <c r="AA925">
        <f>(AVERAGE(N925:P925)-1)/4</f>
        <v/>
      </c>
      <c r="AB925">
        <f>(AVERAGE(Q925:S925)-1)/4</f>
        <v/>
      </c>
      <c r="AC925">
        <f>(AVERAGE(T925:V925)-1)/4</f>
        <v/>
      </c>
      <c r="AD925">
        <f>AVERAGE(W925:AA925)</f>
        <v/>
      </c>
      <c r="AE925">
        <f>MIN(W925:AA925)</f>
        <v/>
      </c>
      <c r="AF925">
        <f>1-alpha*MAX(0,delta-AE925)</f>
        <v/>
      </c>
      <c r="AG925">
        <f>AD925*AF925</f>
        <v/>
      </c>
      <c r="AH925">
        <f>1+COUNTIF(bounds,"&lt;"&amp;ROUND(AD925,12))</f>
        <v/>
      </c>
      <c r="AI925">
        <f>1+COUNTIF(bounds,"&lt;"&amp;ROUND(AG925,12))</f>
        <v/>
      </c>
      <c r="AJ925">
        <f>IF(AF925&lt;1,1,0)</f>
        <v/>
      </c>
      <c r="AK925">
        <f>IF(AH925&lt;&gt;AI925,1,0)</f>
        <v/>
      </c>
      <c r="AL925">
        <f>IF(AND(AI925&gt;=3,AB925&lt;=0.2),1,0)</f>
        <v/>
      </c>
      <c r="AM925">
        <f>AVERAGE(W925:AB925)</f>
        <v/>
      </c>
      <c r="AN925">
        <f>1+COUNTIF(bounds,"&lt;"&amp;ROUND(AM925,12))</f>
        <v/>
      </c>
      <c r="AO925">
        <f>IF(AK925=1,AD925,NA())</f>
        <v/>
      </c>
      <c r="AP925">
        <f>IF(AK925=0,AD925,NA())</f>
        <v/>
      </c>
    </row>
    <row r="926">
      <c r="A926" t="n">
        <v>918</v>
      </c>
      <c r="B926" t="n">
        <v>5</v>
      </c>
      <c r="C926" t="n">
        <v>4</v>
      </c>
      <c r="D926" t="n">
        <v>1</v>
      </c>
      <c r="E926" t="n">
        <v>2</v>
      </c>
      <c r="F926" t="n">
        <v>3</v>
      </c>
      <c r="G926" t="n">
        <v>5</v>
      </c>
      <c r="H926" t="n">
        <v>3</v>
      </c>
      <c r="I926" t="n">
        <v>5</v>
      </c>
      <c r="J926" t="n">
        <v>2</v>
      </c>
      <c r="K926" t="n">
        <v>1</v>
      </c>
      <c r="L926" t="n">
        <v>2</v>
      </c>
      <c r="M926" t="n">
        <v>1</v>
      </c>
      <c r="N926" t="n">
        <v>2</v>
      </c>
      <c r="O926" t="n">
        <v>5</v>
      </c>
      <c r="P926" t="n">
        <v>3</v>
      </c>
      <c r="Q926" t="n">
        <v>3</v>
      </c>
      <c r="R926" t="n">
        <v>5</v>
      </c>
      <c r="S926" t="n">
        <v>2</v>
      </c>
      <c r="T926" t="n">
        <v>3</v>
      </c>
      <c r="U926" t="n">
        <v>2</v>
      </c>
      <c r="V926" t="n">
        <v>5</v>
      </c>
      <c r="W926">
        <f>(AVERAGE(B926:D926)-1)/4</f>
        <v/>
      </c>
      <c r="X926">
        <f>(AVERAGE(E926:G926)-1)/4</f>
        <v/>
      </c>
      <c r="Y926">
        <f>(AVERAGE(H926:J926)-1)/4</f>
        <v/>
      </c>
      <c r="Z926">
        <f>(AVERAGE(K926:M926)-1)/4</f>
        <v/>
      </c>
      <c r="AA926">
        <f>(AVERAGE(N926:P926)-1)/4</f>
        <v/>
      </c>
      <c r="AB926">
        <f>(AVERAGE(Q926:S926)-1)/4</f>
        <v/>
      </c>
      <c r="AC926">
        <f>(AVERAGE(T926:V926)-1)/4</f>
        <v/>
      </c>
      <c r="AD926">
        <f>AVERAGE(W926:AA926)</f>
        <v/>
      </c>
      <c r="AE926">
        <f>MIN(W926:AA926)</f>
        <v/>
      </c>
      <c r="AF926">
        <f>1-alpha*MAX(0,delta-AE926)</f>
        <v/>
      </c>
      <c r="AG926">
        <f>AD926*AF926</f>
        <v/>
      </c>
      <c r="AH926">
        <f>1+COUNTIF(bounds,"&lt;"&amp;ROUND(AD926,12))</f>
        <v/>
      </c>
      <c r="AI926">
        <f>1+COUNTIF(bounds,"&lt;"&amp;ROUND(AG926,12))</f>
        <v/>
      </c>
      <c r="AJ926">
        <f>IF(AF926&lt;1,1,0)</f>
        <v/>
      </c>
      <c r="AK926">
        <f>IF(AH926&lt;&gt;AI926,1,0)</f>
        <v/>
      </c>
      <c r="AL926">
        <f>IF(AND(AI926&gt;=3,AB926&lt;=0.2),1,0)</f>
        <v/>
      </c>
      <c r="AM926">
        <f>AVERAGE(W926:AB926)</f>
        <v/>
      </c>
      <c r="AN926">
        <f>1+COUNTIF(bounds,"&lt;"&amp;ROUND(AM926,12))</f>
        <v/>
      </c>
      <c r="AO926">
        <f>IF(AK926=1,AD926,NA())</f>
        <v/>
      </c>
      <c r="AP926">
        <f>IF(AK926=0,AD926,NA())</f>
        <v/>
      </c>
    </row>
    <row r="927">
      <c r="A927" t="n">
        <v>919</v>
      </c>
      <c r="B927" t="n">
        <v>2</v>
      </c>
      <c r="C927" t="n">
        <v>2</v>
      </c>
      <c r="D927" t="n">
        <v>3</v>
      </c>
      <c r="E927" t="n">
        <v>1</v>
      </c>
      <c r="F927" t="n">
        <v>4</v>
      </c>
      <c r="G927" t="n">
        <v>2</v>
      </c>
      <c r="H927" t="n">
        <v>2</v>
      </c>
      <c r="I927" t="n">
        <v>4</v>
      </c>
      <c r="J927" t="n">
        <v>4</v>
      </c>
      <c r="K927" t="n">
        <v>4</v>
      </c>
      <c r="L927" t="n">
        <v>5</v>
      </c>
      <c r="M927" t="n">
        <v>4</v>
      </c>
      <c r="N927" t="n">
        <v>2</v>
      </c>
      <c r="O927" t="n">
        <v>1</v>
      </c>
      <c r="P927" t="n">
        <v>5</v>
      </c>
      <c r="Q927" t="n">
        <v>3</v>
      </c>
      <c r="R927" t="n">
        <v>1</v>
      </c>
      <c r="S927" t="n">
        <v>5</v>
      </c>
      <c r="T927" t="n">
        <v>3</v>
      </c>
      <c r="U927" t="n">
        <v>5</v>
      </c>
      <c r="V927" t="n">
        <v>5</v>
      </c>
      <c r="W927">
        <f>(AVERAGE(B927:D927)-1)/4</f>
        <v/>
      </c>
      <c r="X927">
        <f>(AVERAGE(E927:G927)-1)/4</f>
        <v/>
      </c>
      <c r="Y927">
        <f>(AVERAGE(H927:J927)-1)/4</f>
        <v/>
      </c>
      <c r="Z927">
        <f>(AVERAGE(K927:M927)-1)/4</f>
        <v/>
      </c>
      <c r="AA927">
        <f>(AVERAGE(N927:P927)-1)/4</f>
        <v/>
      </c>
      <c r="AB927">
        <f>(AVERAGE(Q927:S927)-1)/4</f>
        <v/>
      </c>
      <c r="AC927">
        <f>(AVERAGE(T927:V927)-1)/4</f>
        <v/>
      </c>
      <c r="AD927">
        <f>AVERAGE(W927:AA927)</f>
        <v/>
      </c>
      <c r="AE927">
        <f>MIN(W927:AA927)</f>
        <v/>
      </c>
      <c r="AF927">
        <f>1-alpha*MAX(0,delta-AE927)</f>
        <v/>
      </c>
      <c r="AG927">
        <f>AD927*AF927</f>
        <v/>
      </c>
      <c r="AH927">
        <f>1+COUNTIF(bounds,"&lt;"&amp;ROUND(AD927,12))</f>
        <v/>
      </c>
      <c r="AI927">
        <f>1+COUNTIF(bounds,"&lt;"&amp;ROUND(AG927,12))</f>
        <v/>
      </c>
      <c r="AJ927">
        <f>IF(AF927&lt;1,1,0)</f>
        <v/>
      </c>
      <c r="AK927">
        <f>IF(AH927&lt;&gt;AI927,1,0)</f>
        <v/>
      </c>
      <c r="AL927">
        <f>IF(AND(AI927&gt;=3,AB927&lt;=0.2),1,0)</f>
        <v/>
      </c>
      <c r="AM927">
        <f>AVERAGE(W927:AB927)</f>
        <v/>
      </c>
      <c r="AN927">
        <f>1+COUNTIF(bounds,"&lt;"&amp;ROUND(AM927,12))</f>
        <v/>
      </c>
      <c r="AO927">
        <f>IF(AK927=1,AD927,NA())</f>
        <v/>
      </c>
      <c r="AP927">
        <f>IF(AK927=0,AD927,NA())</f>
        <v/>
      </c>
    </row>
    <row r="928">
      <c r="A928" t="n">
        <v>920</v>
      </c>
      <c r="B928" t="n">
        <v>1</v>
      </c>
      <c r="C928" t="n">
        <v>2</v>
      </c>
      <c r="D928" t="n">
        <v>3</v>
      </c>
      <c r="E928" t="n">
        <v>3</v>
      </c>
      <c r="F928" t="n">
        <v>2</v>
      </c>
      <c r="G928" t="n">
        <v>3</v>
      </c>
      <c r="H928" t="n">
        <v>5</v>
      </c>
      <c r="I928" t="n">
        <v>1</v>
      </c>
      <c r="J928" t="n">
        <v>4</v>
      </c>
      <c r="K928" t="n">
        <v>5</v>
      </c>
      <c r="L928" t="n">
        <v>2</v>
      </c>
      <c r="M928" t="n">
        <v>1</v>
      </c>
      <c r="N928" t="n">
        <v>1</v>
      </c>
      <c r="O928" t="n">
        <v>3</v>
      </c>
      <c r="P928" t="n">
        <v>3</v>
      </c>
      <c r="Q928" t="n">
        <v>2</v>
      </c>
      <c r="R928" t="n">
        <v>2</v>
      </c>
      <c r="S928" t="n">
        <v>1</v>
      </c>
      <c r="T928" t="n">
        <v>5</v>
      </c>
      <c r="U928" t="n">
        <v>2</v>
      </c>
      <c r="V928" t="n">
        <v>4</v>
      </c>
      <c r="W928">
        <f>(AVERAGE(B928:D928)-1)/4</f>
        <v/>
      </c>
      <c r="X928">
        <f>(AVERAGE(E928:G928)-1)/4</f>
        <v/>
      </c>
      <c r="Y928">
        <f>(AVERAGE(H928:J928)-1)/4</f>
        <v/>
      </c>
      <c r="Z928">
        <f>(AVERAGE(K928:M928)-1)/4</f>
        <v/>
      </c>
      <c r="AA928">
        <f>(AVERAGE(N928:P928)-1)/4</f>
        <v/>
      </c>
      <c r="AB928">
        <f>(AVERAGE(Q928:S928)-1)/4</f>
        <v/>
      </c>
      <c r="AC928">
        <f>(AVERAGE(T928:V928)-1)/4</f>
        <v/>
      </c>
      <c r="AD928">
        <f>AVERAGE(W928:AA928)</f>
        <v/>
      </c>
      <c r="AE928">
        <f>MIN(W928:AA928)</f>
        <v/>
      </c>
      <c r="AF928">
        <f>1-alpha*MAX(0,delta-AE928)</f>
        <v/>
      </c>
      <c r="AG928">
        <f>AD928*AF928</f>
        <v/>
      </c>
      <c r="AH928">
        <f>1+COUNTIF(bounds,"&lt;"&amp;ROUND(AD928,12))</f>
        <v/>
      </c>
      <c r="AI928">
        <f>1+COUNTIF(bounds,"&lt;"&amp;ROUND(AG928,12))</f>
        <v/>
      </c>
      <c r="AJ928">
        <f>IF(AF928&lt;1,1,0)</f>
        <v/>
      </c>
      <c r="AK928">
        <f>IF(AH928&lt;&gt;AI928,1,0)</f>
        <v/>
      </c>
      <c r="AL928">
        <f>IF(AND(AI928&gt;=3,AB928&lt;=0.2),1,0)</f>
        <v/>
      </c>
      <c r="AM928">
        <f>AVERAGE(W928:AB928)</f>
        <v/>
      </c>
      <c r="AN928">
        <f>1+COUNTIF(bounds,"&lt;"&amp;ROUND(AM928,12))</f>
        <v/>
      </c>
      <c r="AO928">
        <f>IF(AK928=1,AD928,NA())</f>
        <v/>
      </c>
      <c r="AP928">
        <f>IF(AK928=0,AD928,NA())</f>
        <v/>
      </c>
    </row>
    <row r="929">
      <c r="A929" t="n">
        <v>921</v>
      </c>
      <c r="B929" t="n">
        <v>5</v>
      </c>
      <c r="C929" t="n">
        <v>5</v>
      </c>
      <c r="D929" t="n">
        <v>4</v>
      </c>
      <c r="E929" t="n">
        <v>4</v>
      </c>
      <c r="F929" t="n">
        <v>1</v>
      </c>
      <c r="G929" t="n">
        <v>1</v>
      </c>
      <c r="H929" t="n">
        <v>3</v>
      </c>
      <c r="I929" t="n">
        <v>4</v>
      </c>
      <c r="J929" t="n">
        <v>2</v>
      </c>
      <c r="K929" t="n">
        <v>4</v>
      </c>
      <c r="L929" t="n">
        <v>5</v>
      </c>
      <c r="M929" t="n">
        <v>5</v>
      </c>
      <c r="N929" t="n">
        <v>4</v>
      </c>
      <c r="O929" t="n">
        <v>1</v>
      </c>
      <c r="P929" t="n">
        <v>3</v>
      </c>
      <c r="Q929" t="n">
        <v>4</v>
      </c>
      <c r="R929" t="n">
        <v>1</v>
      </c>
      <c r="S929" t="n">
        <v>5</v>
      </c>
      <c r="T929" t="n">
        <v>2</v>
      </c>
      <c r="U929" t="n">
        <v>4</v>
      </c>
      <c r="V929" t="n">
        <v>3</v>
      </c>
      <c r="W929">
        <f>(AVERAGE(B929:D929)-1)/4</f>
        <v/>
      </c>
      <c r="X929">
        <f>(AVERAGE(E929:G929)-1)/4</f>
        <v/>
      </c>
      <c r="Y929">
        <f>(AVERAGE(H929:J929)-1)/4</f>
        <v/>
      </c>
      <c r="Z929">
        <f>(AVERAGE(K929:M929)-1)/4</f>
        <v/>
      </c>
      <c r="AA929">
        <f>(AVERAGE(N929:P929)-1)/4</f>
        <v/>
      </c>
      <c r="AB929">
        <f>(AVERAGE(Q929:S929)-1)/4</f>
        <v/>
      </c>
      <c r="AC929">
        <f>(AVERAGE(T929:V929)-1)/4</f>
        <v/>
      </c>
      <c r="AD929">
        <f>AVERAGE(W929:AA929)</f>
        <v/>
      </c>
      <c r="AE929">
        <f>MIN(W929:AA929)</f>
        <v/>
      </c>
      <c r="AF929">
        <f>1-alpha*MAX(0,delta-AE929)</f>
        <v/>
      </c>
      <c r="AG929">
        <f>AD929*AF929</f>
        <v/>
      </c>
      <c r="AH929">
        <f>1+COUNTIF(bounds,"&lt;"&amp;ROUND(AD929,12))</f>
        <v/>
      </c>
      <c r="AI929">
        <f>1+COUNTIF(bounds,"&lt;"&amp;ROUND(AG929,12))</f>
        <v/>
      </c>
      <c r="AJ929">
        <f>IF(AF929&lt;1,1,0)</f>
        <v/>
      </c>
      <c r="AK929">
        <f>IF(AH929&lt;&gt;AI929,1,0)</f>
        <v/>
      </c>
      <c r="AL929">
        <f>IF(AND(AI929&gt;=3,AB929&lt;=0.2),1,0)</f>
        <v/>
      </c>
      <c r="AM929">
        <f>AVERAGE(W929:AB929)</f>
        <v/>
      </c>
      <c r="AN929">
        <f>1+COUNTIF(bounds,"&lt;"&amp;ROUND(AM929,12))</f>
        <v/>
      </c>
      <c r="AO929">
        <f>IF(AK929=1,AD929,NA())</f>
        <v/>
      </c>
      <c r="AP929">
        <f>IF(AK929=0,AD929,NA())</f>
        <v/>
      </c>
    </row>
    <row r="930">
      <c r="A930" t="n">
        <v>922</v>
      </c>
      <c r="B930" t="n">
        <v>1</v>
      </c>
      <c r="C930" t="n">
        <v>3</v>
      </c>
      <c r="D930" t="n">
        <v>5</v>
      </c>
      <c r="E930" t="n">
        <v>5</v>
      </c>
      <c r="F930" t="n">
        <v>3</v>
      </c>
      <c r="G930" t="n">
        <v>3</v>
      </c>
      <c r="H930" t="n">
        <v>1</v>
      </c>
      <c r="I930" t="n">
        <v>4</v>
      </c>
      <c r="J930" t="n">
        <v>2</v>
      </c>
      <c r="K930" t="n">
        <v>1</v>
      </c>
      <c r="L930" t="n">
        <v>3</v>
      </c>
      <c r="M930" t="n">
        <v>5</v>
      </c>
      <c r="N930" t="n">
        <v>1</v>
      </c>
      <c r="O930" t="n">
        <v>1</v>
      </c>
      <c r="P930" t="n">
        <v>5</v>
      </c>
      <c r="Q930" t="n">
        <v>5</v>
      </c>
      <c r="R930" t="n">
        <v>3</v>
      </c>
      <c r="S930" t="n">
        <v>5</v>
      </c>
      <c r="T930" t="n">
        <v>5</v>
      </c>
      <c r="U930" t="n">
        <v>4</v>
      </c>
      <c r="V930" t="n">
        <v>5</v>
      </c>
      <c r="W930">
        <f>(AVERAGE(B930:D930)-1)/4</f>
        <v/>
      </c>
      <c r="X930">
        <f>(AVERAGE(E930:G930)-1)/4</f>
        <v/>
      </c>
      <c r="Y930">
        <f>(AVERAGE(H930:J930)-1)/4</f>
        <v/>
      </c>
      <c r="Z930">
        <f>(AVERAGE(K930:M930)-1)/4</f>
        <v/>
      </c>
      <c r="AA930">
        <f>(AVERAGE(N930:P930)-1)/4</f>
        <v/>
      </c>
      <c r="AB930">
        <f>(AVERAGE(Q930:S930)-1)/4</f>
        <v/>
      </c>
      <c r="AC930">
        <f>(AVERAGE(T930:V930)-1)/4</f>
        <v/>
      </c>
      <c r="AD930">
        <f>AVERAGE(W930:AA930)</f>
        <v/>
      </c>
      <c r="AE930">
        <f>MIN(W930:AA930)</f>
        <v/>
      </c>
      <c r="AF930">
        <f>1-alpha*MAX(0,delta-AE930)</f>
        <v/>
      </c>
      <c r="AG930">
        <f>AD930*AF930</f>
        <v/>
      </c>
      <c r="AH930">
        <f>1+COUNTIF(bounds,"&lt;"&amp;ROUND(AD930,12))</f>
        <v/>
      </c>
      <c r="AI930">
        <f>1+COUNTIF(bounds,"&lt;"&amp;ROUND(AG930,12))</f>
        <v/>
      </c>
      <c r="AJ930">
        <f>IF(AF930&lt;1,1,0)</f>
        <v/>
      </c>
      <c r="AK930">
        <f>IF(AH930&lt;&gt;AI930,1,0)</f>
        <v/>
      </c>
      <c r="AL930">
        <f>IF(AND(AI930&gt;=3,AB930&lt;=0.2),1,0)</f>
        <v/>
      </c>
      <c r="AM930">
        <f>AVERAGE(W930:AB930)</f>
        <v/>
      </c>
      <c r="AN930">
        <f>1+COUNTIF(bounds,"&lt;"&amp;ROUND(AM930,12))</f>
        <v/>
      </c>
      <c r="AO930">
        <f>IF(AK930=1,AD930,NA())</f>
        <v/>
      </c>
      <c r="AP930">
        <f>IF(AK930=0,AD930,NA())</f>
        <v/>
      </c>
    </row>
    <row r="931">
      <c r="A931" t="n">
        <v>923</v>
      </c>
      <c r="B931" t="n">
        <v>2</v>
      </c>
      <c r="C931" t="n">
        <v>1</v>
      </c>
      <c r="D931" t="n">
        <v>2</v>
      </c>
      <c r="E931" t="n">
        <v>1</v>
      </c>
      <c r="F931" t="n">
        <v>4</v>
      </c>
      <c r="G931" t="n">
        <v>2</v>
      </c>
      <c r="H931" t="n">
        <v>1</v>
      </c>
      <c r="I931" t="n">
        <v>5</v>
      </c>
      <c r="J931" t="n">
        <v>4</v>
      </c>
      <c r="K931" t="n">
        <v>2</v>
      </c>
      <c r="L931" t="n">
        <v>3</v>
      </c>
      <c r="M931" t="n">
        <v>4</v>
      </c>
      <c r="N931" t="n">
        <v>5</v>
      </c>
      <c r="O931" t="n">
        <v>5</v>
      </c>
      <c r="P931" t="n">
        <v>5</v>
      </c>
      <c r="Q931" t="n">
        <v>4</v>
      </c>
      <c r="R931" t="n">
        <v>1</v>
      </c>
      <c r="S931" t="n">
        <v>3</v>
      </c>
      <c r="T931" t="n">
        <v>4</v>
      </c>
      <c r="U931" t="n">
        <v>3</v>
      </c>
      <c r="V931" t="n">
        <v>2</v>
      </c>
      <c r="W931">
        <f>(AVERAGE(B931:D931)-1)/4</f>
        <v/>
      </c>
      <c r="X931">
        <f>(AVERAGE(E931:G931)-1)/4</f>
        <v/>
      </c>
      <c r="Y931">
        <f>(AVERAGE(H931:J931)-1)/4</f>
        <v/>
      </c>
      <c r="Z931">
        <f>(AVERAGE(K931:M931)-1)/4</f>
        <v/>
      </c>
      <c r="AA931">
        <f>(AVERAGE(N931:P931)-1)/4</f>
        <v/>
      </c>
      <c r="AB931">
        <f>(AVERAGE(Q931:S931)-1)/4</f>
        <v/>
      </c>
      <c r="AC931">
        <f>(AVERAGE(T931:V931)-1)/4</f>
        <v/>
      </c>
      <c r="AD931">
        <f>AVERAGE(W931:AA931)</f>
        <v/>
      </c>
      <c r="AE931">
        <f>MIN(W931:AA931)</f>
        <v/>
      </c>
      <c r="AF931">
        <f>1-alpha*MAX(0,delta-AE931)</f>
        <v/>
      </c>
      <c r="AG931">
        <f>AD931*AF931</f>
        <v/>
      </c>
      <c r="AH931">
        <f>1+COUNTIF(bounds,"&lt;"&amp;ROUND(AD931,12))</f>
        <v/>
      </c>
      <c r="AI931">
        <f>1+COUNTIF(bounds,"&lt;"&amp;ROUND(AG931,12))</f>
        <v/>
      </c>
      <c r="AJ931">
        <f>IF(AF931&lt;1,1,0)</f>
        <v/>
      </c>
      <c r="AK931">
        <f>IF(AH931&lt;&gt;AI931,1,0)</f>
        <v/>
      </c>
      <c r="AL931">
        <f>IF(AND(AI931&gt;=3,AB931&lt;=0.2),1,0)</f>
        <v/>
      </c>
      <c r="AM931">
        <f>AVERAGE(W931:AB931)</f>
        <v/>
      </c>
      <c r="AN931">
        <f>1+COUNTIF(bounds,"&lt;"&amp;ROUND(AM931,12))</f>
        <v/>
      </c>
      <c r="AO931">
        <f>IF(AK931=1,AD931,NA())</f>
        <v/>
      </c>
      <c r="AP931">
        <f>IF(AK931=0,AD931,NA())</f>
        <v/>
      </c>
    </row>
    <row r="932">
      <c r="A932" t="n">
        <v>924</v>
      </c>
      <c r="B932" t="n">
        <v>3</v>
      </c>
      <c r="C932" t="n">
        <v>5</v>
      </c>
      <c r="D932" t="n">
        <v>5</v>
      </c>
      <c r="E932" t="n">
        <v>1</v>
      </c>
      <c r="F932" t="n">
        <v>3</v>
      </c>
      <c r="G932" t="n">
        <v>3</v>
      </c>
      <c r="H932" t="n">
        <v>4</v>
      </c>
      <c r="I932" t="n">
        <v>3</v>
      </c>
      <c r="J932" t="n">
        <v>5</v>
      </c>
      <c r="K932" t="n">
        <v>1</v>
      </c>
      <c r="L932" t="n">
        <v>4</v>
      </c>
      <c r="M932" t="n">
        <v>2</v>
      </c>
      <c r="N932" t="n">
        <v>1</v>
      </c>
      <c r="O932" t="n">
        <v>1</v>
      </c>
      <c r="P932" t="n">
        <v>3</v>
      </c>
      <c r="Q932" t="n">
        <v>3</v>
      </c>
      <c r="R932" t="n">
        <v>2</v>
      </c>
      <c r="S932" t="n">
        <v>1</v>
      </c>
      <c r="T932" t="n">
        <v>1</v>
      </c>
      <c r="U932" t="n">
        <v>1</v>
      </c>
      <c r="V932" t="n">
        <v>2</v>
      </c>
      <c r="W932">
        <f>(AVERAGE(B932:D932)-1)/4</f>
        <v/>
      </c>
      <c r="X932">
        <f>(AVERAGE(E932:G932)-1)/4</f>
        <v/>
      </c>
      <c r="Y932">
        <f>(AVERAGE(H932:J932)-1)/4</f>
        <v/>
      </c>
      <c r="Z932">
        <f>(AVERAGE(K932:M932)-1)/4</f>
        <v/>
      </c>
      <c r="AA932">
        <f>(AVERAGE(N932:P932)-1)/4</f>
        <v/>
      </c>
      <c r="AB932">
        <f>(AVERAGE(Q932:S932)-1)/4</f>
        <v/>
      </c>
      <c r="AC932">
        <f>(AVERAGE(T932:V932)-1)/4</f>
        <v/>
      </c>
      <c r="AD932">
        <f>AVERAGE(W932:AA932)</f>
        <v/>
      </c>
      <c r="AE932">
        <f>MIN(W932:AA932)</f>
        <v/>
      </c>
      <c r="AF932">
        <f>1-alpha*MAX(0,delta-AE932)</f>
        <v/>
      </c>
      <c r="AG932">
        <f>AD932*AF932</f>
        <v/>
      </c>
      <c r="AH932">
        <f>1+COUNTIF(bounds,"&lt;"&amp;ROUND(AD932,12))</f>
        <v/>
      </c>
      <c r="AI932">
        <f>1+COUNTIF(bounds,"&lt;"&amp;ROUND(AG932,12))</f>
        <v/>
      </c>
      <c r="AJ932">
        <f>IF(AF932&lt;1,1,0)</f>
        <v/>
      </c>
      <c r="AK932">
        <f>IF(AH932&lt;&gt;AI932,1,0)</f>
        <v/>
      </c>
      <c r="AL932">
        <f>IF(AND(AI932&gt;=3,AB932&lt;=0.2),1,0)</f>
        <v/>
      </c>
      <c r="AM932">
        <f>AVERAGE(W932:AB932)</f>
        <v/>
      </c>
      <c r="AN932">
        <f>1+COUNTIF(bounds,"&lt;"&amp;ROUND(AM932,12))</f>
        <v/>
      </c>
      <c r="AO932">
        <f>IF(AK932=1,AD932,NA())</f>
        <v/>
      </c>
      <c r="AP932">
        <f>IF(AK932=0,AD932,NA())</f>
        <v/>
      </c>
    </row>
    <row r="933">
      <c r="A933" t="n">
        <v>925</v>
      </c>
      <c r="B933" t="n">
        <v>1</v>
      </c>
      <c r="C933" t="n">
        <v>4</v>
      </c>
      <c r="D933" t="n">
        <v>2</v>
      </c>
      <c r="E933" t="n">
        <v>3</v>
      </c>
      <c r="F933" t="n">
        <v>3</v>
      </c>
      <c r="G933" t="n">
        <v>2</v>
      </c>
      <c r="H933" t="n">
        <v>2</v>
      </c>
      <c r="I933" t="n">
        <v>3</v>
      </c>
      <c r="J933" t="n">
        <v>5</v>
      </c>
      <c r="K933" t="n">
        <v>2</v>
      </c>
      <c r="L933" t="n">
        <v>5</v>
      </c>
      <c r="M933" t="n">
        <v>5</v>
      </c>
      <c r="N933" t="n">
        <v>2</v>
      </c>
      <c r="O933" t="n">
        <v>3</v>
      </c>
      <c r="P933" t="n">
        <v>5</v>
      </c>
      <c r="Q933" t="n">
        <v>4</v>
      </c>
      <c r="R933" t="n">
        <v>2</v>
      </c>
      <c r="S933" t="n">
        <v>5</v>
      </c>
      <c r="T933" t="n">
        <v>1</v>
      </c>
      <c r="U933" t="n">
        <v>5</v>
      </c>
      <c r="V933" t="n">
        <v>4</v>
      </c>
      <c r="W933">
        <f>(AVERAGE(B933:D933)-1)/4</f>
        <v/>
      </c>
      <c r="X933">
        <f>(AVERAGE(E933:G933)-1)/4</f>
        <v/>
      </c>
      <c r="Y933">
        <f>(AVERAGE(H933:J933)-1)/4</f>
        <v/>
      </c>
      <c r="Z933">
        <f>(AVERAGE(K933:M933)-1)/4</f>
        <v/>
      </c>
      <c r="AA933">
        <f>(AVERAGE(N933:P933)-1)/4</f>
        <v/>
      </c>
      <c r="AB933">
        <f>(AVERAGE(Q933:S933)-1)/4</f>
        <v/>
      </c>
      <c r="AC933">
        <f>(AVERAGE(T933:V933)-1)/4</f>
        <v/>
      </c>
      <c r="AD933">
        <f>AVERAGE(W933:AA933)</f>
        <v/>
      </c>
      <c r="AE933">
        <f>MIN(W933:AA933)</f>
        <v/>
      </c>
      <c r="AF933">
        <f>1-alpha*MAX(0,delta-AE933)</f>
        <v/>
      </c>
      <c r="AG933">
        <f>AD933*AF933</f>
        <v/>
      </c>
      <c r="AH933">
        <f>1+COUNTIF(bounds,"&lt;"&amp;ROUND(AD933,12))</f>
        <v/>
      </c>
      <c r="AI933">
        <f>1+COUNTIF(bounds,"&lt;"&amp;ROUND(AG933,12))</f>
        <v/>
      </c>
      <c r="AJ933">
        <f>IF(AF933&lt;1,1,0)</f>
        <v/>
      </c>
      <c r="AK933">
        <f>IF(AH933&lt;&gt;AI933,1,0)</f>
        <v/>
      </c>
      <c r="AL933">
        <f>IF(AND(AI933&gt;=3,AB933&lt;=0.2),1,0)</f>
        <v/>
      </c>
      <c r="AM933">
        <f>AVERAGE(W933:AB933)</f>
        <v/>
      </c>
      <c r="AN933">
        <f>1+COUNTIF(bounds,"&lt;"&amp;ROUND(AM933,12))</f>
        <v/>
      </c>
      <c r="AO933">
        <f>IF(AK933=1,AD933,NA())</f>
        <v/>
      </c>
      <c r="AP933">
        <f>IF(AK933=0,AD933,NA())</f>
        <v/>
      </c>
    </row>
    <row r="934">
      <c r="A934" t="n">
        <v>926</v>
      </c>
      <c r="B934" t="n">
        <v>4</v>
      </c>
      <c r="C934" t="n">
        <v>5</v>
      </c>
      <c r="D934" t="n">
        <v>4</v>
      </c>
      <c r="E934" t="n">
        <v>5</v>
      </c>
      <c r="F934" t="n">
        <v>1</v>
      </c>
      <c r="G934" t="n">
        <v>5</v>
      </c>
      <c r="H934" t="n">
        <v>3</v>
      </c>
      <c r="I934" t="n">
        <v>3</v>
      </c>
      <c r="J934" t="n">
        <v>2</v>
      </c>
      <c r="K934" t="n">
        <v>2</v>
      </c>
      <c r="L934" t="n">
        <v>5</v>
      </c>
      <c r="M934" t="n">
        <v>2</v>
      </c>
      <c r="N934" t="n">
        <v>1</v>
      </c>
      <c r="O934" t="n">
        <v>3</v>
      </c>
      <c r="P934" t="n">
        <v>4</v>
      </c>
      <c r="Q934" t="n">
        <v>1</v>
      </c>
      <c r="R934" t="n">
        <v>4</v>
      </c>
      <c r="S934" t="n">
        <v>4</v>
      </c>
      <c r="T934" t="n">
        <v>5</v>
      </c>
      <c r="U934" t="n">
        <v>5</v>
      </c>
      <c r="V934" t="n">
        <v>1</v>
      </c>
      <c r="W934">
        <f>(AVERAGE(B934:D934)-1)/4</f>
        <v/>
      </c>
      <c r="X934">
        <f>(AVERAGE(E934:G934)-1)/4</f>
        <v/>
      </c>
      <c r="Y934">
        <f>(AVERAGE(H934:J934)-1)/4</f>
        <v/>
      </c>
      <c r="Z934">
        <f>(AVERAGE(K934:M934)-1)/4</f>
        <v/>
      </c>
      <c r="AA934">
        <f>(AVERAGE(N934:P934)-1)/4</f>
        <v/>
      </c>
      <c r="AB934">
        <f>(AVERAGE(Q934:S934)-1)/4</f>
        <v/>
      </c>
      <c r="AC934">
        <f>(AVERAGE(T934:V934)-1)/4</f>
        <v/>
      </c>
      <c r="AD934">
        <f>AVERAGE(W934:AA934)</f>
        <v/>
      </c>
      <c r="AE934">
        <f>MIN(W934:AA934)</f>
        <v/>
      </c>
      <c r="AF934">
        <f>1-alpha*MAX(0,delta-AE934)</f>
        <v/>
      </c>
      <c r="AG934">
        <f>AD934*AF934</f>
        <v/>
      </c>
      <c r="AH934">
        <f>1+COUNTIF(bounds,"&lt;"&amp;ROUND(AD934,12))</f>
        <v/>
      </c>
      <c r="AI934">
        <f>1+COUNTIF(bounds,"&lt;"&amp;ROUND(AG934,12))</f>
        <v/>
      </c>
      <c r="AJ934">
        <f>IF(AF934&lt;1,1,0)</f>
        <v/>
      </c>
      <c r="AK934">
        <f>IF(AH934&lt;&gt;AI934,1,0)</f>
        <v/>
      </c>
      <c r="AL934">
        <f>IF(AND(AI934&gt;=3,AB934&lt;=0.2),1,0)</f>
        <v/>
      </c>
      <c r="AM934">
        <f>AVERAGE(W934:AB934)</f>
        <v/>
      </c>
      <c r="AN934">
        <f>1+COUNTIF(bounds,"&lt;"&amp;ROUND(AM934,12))</f>
        <v/>
      </c>
      <c r="AO934">
        <f>IF(AK934=1,AD934,NA())</f>
        <v/>
      </c>
      <c r="AP934">
        <f>IF(AK934=0,AD934,NA())</f>
        <v/>
      </c>
    </row>
    <row r="935">
      <c r="A935" t="n">
        <v>927</v>
      </c>
      <c r="B935" t="n">
        <v>3</v>
      </c>
      <c r="C935" t="n">
        <v>1</v>
      </c>
      <c r="D935" t="n">
        <v>5</v>
      </c>
      <c r="E935" t="n">
        <v>4</v>
      </c>
      <c r="F935" t="n">
        <v>2</v>
      </c>
      <c r="G935" t="n">
        <v>3</v>
      </c>
      <c r="H935" t="n">
        <v>2</v>
      </c>
      <c r="I935" t="n">
        <v>5</v>
      </c>
      <c r="J935" t="n">
        <v>3</v>
      </c>
      <c r="K935" t="n">
        <v>5</v>
      </c>
      <c r="L935" t="n">
        <v>1</v>
      </c>
      <c r="M935" t="n">
        <v>4</v>
      </c>
      <c r="N935" t="n">
        <v>1</v>
      </c>
      <c r="O935" t="n">
        <v>3</v>
      </c>
      <c r="P935" t="n">
        <v>2</v>
      </c>
      <c r="Q935" t="n">
        <v>1</v>
      </c>
      <c r="R935" t="n">
        <v>4</v>
      </c>
      <c r="S935" t="n">
        <v>1</v>
      </c>
      <c r="T935" t="n">
        <v>5</v>
      </c>
      <c r="U935" t="n">
        <v>5</v>
      </c>
      <c r="V935" t="n">
        <v>4</v>
      </c>
      <c r="W935">
        <f>(AVERAGE(B935:D935)-1)/4</f>
        <v/>
      </c>
      <c r="X935">
        <f>(AVERAGE(E935:G935)-1)/4</f>
        <v/>
      </c>
      <c r="Y935">
        <f>(AVERAGE(H935:J935)-1)/4</f>
        <v/>
      </c>
      <c r="Z935">
        <f>(AVERAGE(K935:M935)-1)/4</f>
        <v/>
      </c>
      <c r="AA935">
        <f>(AVERAGE(N935:P935)-1)/4</f>
        <v/>
      </c>
      <c r="AB935">
        <f>(AVERAGE(Q935:S935)-1)/4</f>
        <v/>
      </c>
      <c r="AC935">
        <f>(AVERAGE(T935:V935)-1)/4</f>
        <v/>
      </c>
      <c r="AD935">
        <f>AVERAGE(W935:AA935)</f>
        <v/>
      </c>
      <c r="AE935">
        <f>MIN(W935:AA935)</f>
        <v/>
      </c>
      <c r="AF935">
        <f>1-alpha*MAX(0,delta-AE935)</f>
        <v/>
      </c>
      <c r="AG935">
        <f>AD935*AF935</f>
        <v/>
      </c>
      <c r="AH935">
        <f>1+COUNTIF(bounds,"&lt;"&amp;ROUND(AD935,12))</f>
        <v/>
      </c>
      <c r="AI935">
        <f>1+COUNTIF(bounds,"&lt;"&amp;ROUND(AG935,12))</f>
        <v/>
      </c>
      <c r="AJ935">
        <f>IF(AF935&lt;1,1,0)</f>
        <v/>
      </c>
      <c r="AK935">
        <f>IF(AH935&lt;&gt;AI935,1,0)</f>
        <v/>
      </c>
      <c r="AL935">
        <f>IF(AND(AI935&gt;=3,AB935&lt;=0.2),1,0)</f>
        <v/>
      </c>
      <c r="AM935">
        <f>AVERAGE(W935:AB935)</f>
        <v/>
      </c>
      <c r="AN935">
        <f>1+COUNTIF(bounds,"&lt;"&amp;ROUND(AM935,12))</f>
        <v/>
      </c>
      <c r="AO935">
        <f>IF(AK935=1,AD935,NA())</f>
        <v/>
      </c>
      <c r="AP935">
        <f>IF(AK935=0,AD935,NA())</f>
        <v/>
      </c>
    </row>
    <row r="936">
      <c r="A936" t="n">
        <v>928</v>
      </c>
      <c r="B936" t="n">
        <v>5</v>
      </c>
      <c r="C936" t="n">
        <v>4</v>
      </c>
      <c r="D936" t="n">
        <v>5</v>
      </c>
      <c r="E936" t="n">
        <v>4</v>
      </c>
      <c r="F936" t="n">
        <v>2</v>
      </c>
      <c r="G936" t="n">
        <v>2</v>
      </c>
      <c r="H936" t="n">
        <v>1</v>
      </c>
      <c r="I936" t="n">
        <v>5</v>
      </c>
      <c r="J936" t="n">
        <v>3</v>
      </c>
      <c r="K936" t="n">
        <v>4</v>
      </c>
      <c r="L936" t="n">
        <v>3</v>
      </c>
      <c r="M936" t="n">
        <v>2</v>
      </c>
      <c r="N936" t="n">
        <v>2</v>
      </c>
      <c r="O936" t="n">
        <v>4</v>
      </c>
      <c r="P936" t="n">
        <v>3</v>
      </c>
      <c r="Q936" t="n">
        <v>5</v>
      </c>
      <c r="R936" t="n">
        <v>4</v>
      </c>
      <c r="S936" t="n">
        <v>3</v>
      </c>
      <c r="T936" t="n">
        <v>1</v>
      </c>
      <c r="U936" t="n">
        <v>1</v>
      </c>
      <c r="V936" t="n">
        <v>5</v>
      </c>
      <c r="W936">
        <f>(AVERAGE(B936:D936)-1)/4</f>
        <v/>
      </c>
      <c r="X936">
        <f>(AVERAGE(E936:G936)-1)/4</f>
        <v/>
      </c>
      <c r="Y936">
        <f>(AVERAGE(H936:J936)-1)/4</f>
        <v/>
      </c>
      <c r="Z936">
        <f>(AVERAGE(K936:M936)-1)/4</f>
        <v/>
      </c>
      <c r="AA936">
        <f>(AVERAGE(N936:P936)-1)/4</f>
        <v/>
      </c>
      <c r="AB936">
        <f>(AVERAGE(Q936:S936)-1)/4</f>
        <v/>
      </c>
      <c r="AC936">
        <f>(AVERAGE(T936:V936)-1)/4</f>
        <v/>
      </c>
      <c r="AD936">
        <f>AVERAGE(W936:AA936)</f>
        <v/>
      </c>
      <c r="AE936">
        <f>MIN(W936:AA936)</f>
        <v/>
      </c>
      <c r="AF936">
        <f>1-alpha*MAX(0,delta-AE936)</f>
        <v/>
      </c>
      <c r="AG936">
        <f>AD936*AF936</f>
        <v/>
      </c>
      <c r="AH936">
        <f>1+COUNTIF(bounds,"&lt;"&amp;ROUND(AD936,12))</f>
        <v/>
      </c>
      <c r="AI936">
        <f>1+COUNTIF(bounds,"&lt;"&amp;ROUND(AG936,12))</f>
        <v/>
      </c>
      <c r="AJ936">
        <f>IF(AF936&lt;1,1,0)</f>
        <v/>
      </c>
      <c r="AK936">
        <f>IF(AH936&lt;&gt;AI936,1,0)</f>
        <v/>
      </c>
      <c r="AL936">
        <f>IF(AND(AI936&gt;=3,AB936&lt;=0.2),1,0)</f>
        <v/>
      </c>
      <c r="AM936">
        <f>AVERAGE(W936:AB936)</f>
        <v/>
      </c>
      <c r="AN936">
        <f>1+COUNTIF(bounds,"&lt;"&amp;ROUND(AM936,12))</f>
        <v/>
      </c>
      <c r="AO936">
        <f>IF(AK936=1,AD936,NA())</f>
        <v/>
      </c>
      <c r="AP936">
        <f>IF(AK936=0,AD936,NA())</f>
        <v/>
      </c>
    </row>
    <row r="937">
      <c r="A937" t="n">
        <v>929</v>
      </c>
      <c r="B937" t="n">
        <v>2</v>
      </c>
      <c r="C937" t="n">
        <v>2</v>
      </c>
      <c r="D937" t="n">
        <v>5</v>
      </c>
      <c r="E937" t="n">
        <v>3</v>
      </c>
      <c r="F937" t="n">
        <v>3</v>
      </c>
      <c r="G937" t="n">
        <v>2</v>
      </c>
      <c r="H937" t="n">
        <v>2</v>
      </c>
      <c r="I937" t="n">
        <v>5</v>
      </c>
      <c r="J937" t="n">
        <v>5</v>
      </c>
      <c r="K937" t="n">
        <v>1</v>
      </c>
      <c r="L937" t="n">
        <v>1</v>
      </c>
      <c r="M937" t="n">
        <v>4</v>
      </c>
      <c r="N937" t="n">
        <v>3</v>
      </c>
      <c r="O937" t="n">
        <v>3</v>
      </c>
      <c r="P937" t="n">
        <v>5</v>
      </c>
      <c r="Q937" t="n">
        <v>2</v>
      </c>
      <c r="R937" t="n">
        <v>5</v>
      </c>
      <c r="S937" t="n">
        <v>2</v>
      </c>
      <c r="T937" t="n">
        <v>1</v>
      </c>
      <c r="U937" t="n">
        <v>4</v>
      </c>
      <c r="V937" t="n">
        <v>4</v>
      </c>
      <c r="W937">
        <f>(AVERAGE(B937:D937)-1)/4</f>
        <v/>
      </c>
      <c r="X937">
        <f>(AVERAGE(E937:G937)-1)/4</f>
        <v/>
      </c>
      <c r="Y937">
        <f>(AVERAGE(H937:J937)-1)/4</f>
        <v/>
      </c>
      <c r="Z937">
        <f>(AVERAGE(K937:M937)-1)/4</f>
        <v/>
      </c>
      <c r="AA937">
        <f>(AVERAGE(N937:P937)-1)/4</f>
        <v/>
      </c>
      <c r="AB937">
        <f>(AVERAGE(Q937:S937)-1)/4</f>
        <v/>
      </c>
      <c r="AC937">
        <f>(AVERAGE(T937:V937)-1)/4</f>
        <v/>
      </c>
      <c r="AD937">
        <f>AVERAGE(W937:AA937)</f>
        <v/>
      </c>
      <c r="AE937">
        <f>MIN(W937:AA937)</f>
        <v/>
      </c>
      <c r="AF937">
        <f>1-alpha*MAX(0,delta-AE937)</f>
        <v/>
      </c>
      <c r="AG937">
        <f>AD937*AF937</f>
        <v/>
      </c>
      <c r="AH937">
        <f>1+COUNTIF(bounds,"&lt;"&amp;ROUND(AD937,12))</f>
        <v/>
      </c>
      <c r="AI937">
        <f>1+COUNTIF(bounds,"&lt;"&amp;ROUND(AG937,12))</f>
        <v/>
      </c>
      <c r="AJ937">
        <f>IF(AF937&lt;1,1,0)</f>
        <v/>
      </c>
      <c r="AK937">
        <f>IF(AH937&lt;&gt;AI937,1,0)</f>
        <v/>
      </c>
      <c r="AL937">
        <f>IF(AND(AI937&gt;=3,AB937&lt;=0.2),1,0)</f>
        <v/>
      </c>
      <c r="AM937">
        <f>AVERAGE(W937:AB937)</f>
        <v/>
      </c>
      <c r="AN937">
        <f>1+COUNTIF(bounds,"&lt;"&amp;ROUND(AM937,12))</f>
        <v/>
      </c>
      <c r="AO937">
        <f>IF(AK937=1,AD937,NA())</f>
        <v/>
      </c>
      <c r="AP937">
        <f>IF(AK937=0,AD937,NA())</f>
        <v/>
      </c>
    </row>
    <row r="938">
      <c r="A938" t="n">
        <v>930</v>
      </c>
      <c r="B938" t="n">
        <v>2</v>
      </c>
      <c r="C938" t="n">
        <v>3</v>
      </c>
      <c r="D938" t="n">
        <v>2</v>
      </c>
      <c r="E938" t="n">
        <v>2</v>
      </c>
      <c r="F938" t="n">
        <v>1</v>
      </c>
      <c r="G938" t="n">
        <v>4</v>
      </c>
      <c r="H938" t="n">
        <v>3</v>
      </c>
      <c r="I938" t="n">
        <v>2</v>
      </c>
      <c r="J938" t="n">
        <v>1</v>
      </c>
      <c r="K938" t="n">
        <v>3</v>
      </c>
      <c r="L938" t="n">
        <v>3</v>
      </c>
      <c r="M938" t="n">
        <v>2</v>
      </c>
      <c r="N938" t="n">
        <v>1</v>
      </c>
      <c r="O938" t="n">
        <v>2</v>
      </c>
      <c r="P938" t="n">
        <v>2</v>
      </c>
      <c r="Q938" t="n">
        <v>3</v>
      </c>
      <c r="R938" t="n">
        <v>3</v>
      </c>
      <c r="S938" t="n">
        <v>1</v>
      </c>
      <c r="T938" t="n">
        <v>1</v>
      </c>
      <c r="U938" t="n">
        <v>4</v>
      </c>
      <c r="V938" t="n">
        <v>3</v>
      </c>
      <c r="W938">
        <f>(AVERAGE(B938:D938)-1)/4</f>
        <v/>
      </c>
      <c r="X938">
        <f>(AVERAGE(E938:G938)-1)/4</f>
        <v/>
      </c>
      <c r="Y938">
        <f>(AVERAGE(H938:J938)-1)/4</f>
        <v/>
      </c>
      <c r="Z938">
        <f>(AVERAGE(K938:M938)-1)/4</f>
        <v/>
      </c>
      <c r="AA938">
        <f>(AVERAGE(N938:P938)-1)/4</f>
        <v/>
      </c>
      <c r="AB938">
        <f>(AVERAGE(Q938:S938)-1)/4</f>
        <v/>
      </c>
      <c r="AC938">
        <f>(AVERAGE(T938:V938)-1)/4</f>
        <v/>
      </c>
      <c r="AD938">
        <f>AVERAGE(W938:AA938)</f>
        <v/>
      </c>
      <c r="AE938">
        <f>MIN(W938:AA938)</f>
        <v/>
      </c>
      <c r="AF938">
        <f>1-alpha*MAX(0,delta-AE938)</f>
        <v/>
      </c>
      <c r="AG938">
        <f>AD938*AF938</f>
        <v/>
      </c>
      <c r="AH938">
        <f>1+COUNTIF(bounds,"&lt;"&amp;ROUND(AD938,12))</f>
        <v/>
      </c>
      <c r="AI938">
        <f>1+COUNTIF(bounds,"&lt;"&amp;ROUND(AG938,12))</f>
        <v/>
      </c>
      <c r="AJ938">
        <f>IF(AF938&lt;1,1,0)</f>
        <v/>
      </c>
      <c r="AK938">
        <f>IF(AH938&lt;&gt;AI938,1,0)</f>
        <v/>
      </c>
      <c r="AL938">
        <f>IF(AND(AI938&gt;=3,AB938&lt;=0.2),1,0)</f>
        <v/>
      </c>
      <c r="AM938">
        <f>AVERAGE(W938:AB938)</f>
        <v/>
      </c>
      <c r="AN938">
        <f>1+COUNTIF(bounds,"&lt;"&amp;ROUND(AM938,12))</f>
        <v/>
      </c>
      <c r="AO938">
        <f>IF(AK938=1,AD938,NA())</f>
        <v/>
      </c>
      <c r="AP938">
        <f>IF(AK938=0,AD938,NA())</f>
        <v/>
      </c>
    </row>
    <row r="939">
      <c r="A939" t="n">
        <v>931</v>
      </c>
      <c r="B939" t="n">
        <v>2</v>
      </c>
      <c r="C939" t="n">
        <v>3</v>
      </c>
      <c r="D939" t="n">
        <v>4</v>
      </c>
      <c r="E939" t="n">
        <v>5</v>
      </c>
      <c r="F939" t="n">
        <v>3</v>
      </c>
      <c r="G939" t="n">
        <v>1</v>
      </c>
      <c r="H939" t="n">
        <v>5</v>
      </c>
      <c r="I939" t="n">
        <v>4</v>
      </c>
      <c r="J939" t="n">
        <v>4</v>
      </c>
      <c r="K939" t="n">
        <v>5</v>
      </c>
      <c r="L939" t="n">
        <v>4</v>
      </c>
      <c r="M939" t="n">
        <v>3</v>
      </c>
      <c r="N939" t="n">
        <v>4</v>
      </c>
      <c r="O939" t="n">
        <v>1</v>
      </c>
      <c r="P939" t="n">
        <v>1</v>
      </c>
      <c r="Q939" t="n">
        <v>3</v>
      </c>
      <c r="R939" t="n">
        <v>3</v>
      </c>
      <c r="S939" t="n">
        <v>2</v>
      </c>
      <c r="T939" t="n">
        <v>2</v>
      </c>
      <c r="U939" t="n">
        <v>2</v>
      </c>
      <c r="V939" t="n">
        <v>1</v>
      </c>
      <c r="W939">
        <f>(AVERAGE(B939:D939)-1)/4</f>
        <v/>
      </c>
      <c r="X939">
        <f>(AVERAGE(E939:G939)-1)/4</f>
        <v/>
      </c>
      <c r="Y939">
        <f>(AVERAGE(H939:J939)-1)/4</f>
        <v/>
      </c>
      <c r="Z939">
        <f>(AVERAGE(K939:M939)-1)/4</f>
        <v/>
      </c>
      <c r="AA939">
        <f>(AVERAGE(N939:P939)-1)/4</f>
        <v/>
      </c>
      <c r="AB939">
        <f>(AVERAGE(Q939:S939)-1)/4</f>
        <v/>
      </c>
      <c r="AC939">
        <f>(AVERAGE(T939:V939)-1)/4</f>
        <v/>
      </c>
      <c r="AD939">
        <f>AVERAGE(W939:AA939)</f>
        <v/>
      </c>
      <c r="AE939">
        <f>MIN(W939:AA939)</f>
        <v/>
      </c>
      <c r="AF939">
        <f>1-alpha*MAX(0,delta-AE939)</f>
        <v/>
      </c>
      <c r="AG939">
        <f>AD939*AF939</f>
        <v/>
      </c>
      <c r="AH939">
        <f>1+COUNTIF(bounds,"&lt;"&amp;ROUND(AD939,12))</f>
        <v/>
      </c>
      <c r="AI939">
        <f>1+COUNTIF(bounds,"&lt;"&amp;ROUND(AG939,12))</f>
        <v/>
      </c>
      <c r="AJ939">
        <f>IF(AF939&lt;1,1,0)</f>
        <v/>
      </c>
      <c r="AK939">
        <f>IF(AH939&lt;&gt;AI939,1,0)</f>
        <v/>
      </c>
      <c r="AL939">
        <f>IF(AND(AI939&gt;=3,AB939&lt;=0.2),1,0)</f>
        <v/>
      </c>
      <c r="AM939">
        <f>AVERAGE(W939:AB939)</f>
        <v/>
      </c>
      <c r="AN939">
        <f>1+COUNTIF(bounds,"&lt;"&amp;ROUND(AM939,12))</f>
        <v/>
      </c>
      <c r="AO939">
        <f>IF(AK939=1,AD939,NA())</f>
        <v/>
      </c>
      <c r="AP939">
        <f>IF(AK939=0,AD939,NA())</f>
        <v/>
      </c>
    </row>
    <row r="940">
      <c r="A940" t="n">
        <v>932</v>
      </c>
      <c r="B940" t="n">
        <v>4</v>
      </c>
      <c r="C940" t="n">
        <v>1</v>
      </c>
      <c r="D940" t="n">
        <v>2</v>
      </c>
      <c r="E940" t="n">
        <v>1</v>
      </c>
      <c r="F940" t="n">
        <v>4</v>
      </c>
      <c r="G940" t="n">
        <v>5</v>
      </c>
      <c r="H940" t="n">
        <v>5</v>
      </c>
      <c r="I940" t="n">
        <v>2</v>
      </c>
      <c r="J940" t="n">
        <v>4</v>
      </c>
      <c r="K940" t="n">
        <v>2</v>
      </c>
      <c r="L940" t="n">
        <v>1</v>
      </c>
      <c r="M940" t="n">
        <v>4</v>
      </c>
      <c r="N940" t="n">
        <v>2</v>
      </c>
      <c r="O940" t="n">
        <v>5</v>
      </c>
      <c r="P940" t="n">
        <v>2</v>
      </c>
      <c r="Q940" t="n">
        <v>5</v>
      </c>
      <c r="R940" t="n">
        <v>3</v>
      </c>
      <c r="S940" t="n">
        <v>5</v>
      </c>
      <c r="T940" t="n">
        <v>1</v>
      </c>
      <c r="U940" t="n">
        <v>5</v>
      </c>
      <c r="V940" t="n">
        <v>5</v>
      </c>
      <c r="W940">
        <f>(AVERAGE(B940:D940)-1)/4</f>
        <v/>
      </c>
      <c r="X940">
        <f>(AVERAGE(E940:G940)-1)/4</f>
        <v/>
      </c>
      <c r="Y940">
        <f>(AVERAGE(H940:J940)-1)/4</f>
        <v/>
      </c>
      <c r="Z940">
        <f>(AVERAGE(K940:M940)-1)/4</f>
        <v/>
      </c>
      <c r="AA940">
        <f>(AVERAGE(N940:P940)-1)/4</f>
        <v/>
      </c>
      <c r="AB940">
        <f>(AVERAGE(Q940:S940)-1)/4</f>
        <v/>
      </c>
      <c r="AC940">
        <f>(AVERAGE(T940:V940)-1)/4</f>
        <v/>
      </c>
      <c r="AD940">
        <f>AVERAGE(W940:AA940)</f>
        <v/>
      </c>
      <c r="AE940">
        <f>MIN(W940:AA940)</f>
        <v/>
      </c>
      <c r="AF940">
        <f>1-alpha*MAX(0,delta-AE940)</f>
        <v/>
      </c>
      <c r="AG940">
        <f>AD940*AF940</f>
        <v/>
      </c>
      <c r="AH940">
        <f>1+COUNTIF(bounds,"&lt;"&amp;ROUND(AD940,12))</f>
        <v/>
      </c>
      <c r="AI940">
        <f>1+COUNTIF(bounds,"&lt;"&amp;ROUND(AG940,12))</f>
        <v/>
      </c>
      <c r="AJ940">
        <f>IF(AF940&lt;1,1,0)</f>
        <v/>
      </c>
      <c r="AK940">
        <f>IF(AH940&lt;&gt;AI940,1,0)</f>
        <v/>
      </c>
      <c r="AL940">
        <f>IF(AND(AI940&gt;=3,AB940&lt;=0.2),1,0)</f>
        <v/>
      </c>
      <c r="AM940">
        <f>AVERAGE(W940:AB940)</f>
        <v/>
      </c>
      <c r="AN940">
        <f>1+COUNTIF(bounds,"&lt;"&amp;ROUND(AM940,12))</f>
        <v/>
      </c>
      <c r="AO940">
        <f>IF(AK940=1,AD940,NA())</f>
        <v/>
      </c>
      <c r="AP940">
        <f>IF(AK940=0,AD940,NA())</f>
        <v/>
      </c>
    </row>
    <row r="941">
      <c r="A941" t="n">
        <v>933</v>
      </c>
      <c r="B941" t="n">
        <v>5</v>
      </c>
      <c r="C941" t="n">
        <v>5</v>
      </c>
      <c r="D941" t="n">
        <v>2</v>
      </c>
      <c r="E941" t="n">
        <v>1</v>
      </c>
      <c r="F941" t="n">
        <v>5</v>
      </c>
      <c r="G941" t="n">
        <v>5</v>
      </c>
      <c r="H941" t="n">
        <v>3</v>
      </c>
      <c r="I941" t="n">
        <v>5</v>
      </c>
      <c r="J941" t="n">
        <v>3</v>
      </c>
      <c r="K941" t="n">
        <v>4</v>
      </c>
      <c r="L941" t="n">
        <v>5</v>
      </c>
      <c r="M941" t="n">
        <v>1</v>
      </c>
      <c r="N941" t="n">
        <v>2</v>
      </c>
      <c r="O941" t="n">
        <v>4</v>
      </c>
      <c r="P941" t="n">
        <v>1</v>
      </c>
      <c r="Q941" t="n">
        <v>4</v>
      </c>
      <c r="R941" t="n">
        <v>4</v>
      </c>
      <c r="S941" t="n">
        <v>5</v>
      </c>
      <c r="T941" t="n">
        <v>2</v>
      </c>
      <c r="U941" t="n">
        <v>2</v>
      </c>
      <c r="V941" t="n">
        <v>5</v>
      </c>
      <c r="W941">
        <f>(AVERAGE(B941:D941)-1)/4</f>
        <v/>
      </c>
      <c r="X941">
        <f>(AVERAGE(E941:G941)-1)/4</f>
        <v/>
      </c>
      <c r="Y941">
        <f>(AVERAGE(H941:J941)-1)/4</f>
        <v/>
      </c>
      <c r="Z941">
        <f>(AVERAGE(K941:M941)-1)/4</f>
        <v/>
      </c>
      <c r="AA941">
        <f>(AVERAGE(N941:P941)-1)/4</f>
        <v/>
      </c>
      <c r="AB941">
        <f>(AVERAGE(Q941:S941)-1)/4</f>
        <v/>
      </c>
      <c r="AC941">
        <f>(AVERAGE(T941:V941)-1)/4</f>
        <v/>
      </c>
      <c r="AD941">
        <f>AVERAGE(W941:AA941)</f>
        <v/>
      </c>
      <c r="AE941">
        <f>MIN(W941:AA941)</f>
        <v/>
      </c>
      <c r="AF941">
        <f>1-alpha*MAX(0,delta-AE941)</f>
        <v/>
      </c>
      <c r="AG941">
        <f>AD941*AF941</f>
        <v/>
      </c>
      <c r="AH941">
        <f>1+COUNTIF(bounds,"&lt;"&amp;ROUND(AD941,12))</f>
        <v/>
      </c>
      <c r="AI941">
        <f>1+COUNTIF(bounds,"&lt;"&amp;ROUND(AG941,12))</f>
        <v/>
      </c>
      <c r="AJ941">
        <f>IF(AF941&lt;1,1,0)</f>
        <v/>
      </c>
      <c r="AK941">
        <f>IF(AH941&lt;&gt;AI941,1,0)</f>
        <v/>
      </c>
      <c r="AL941">
        <f>IF(AND(AI941&gt;=3,AB941&lt;=0.2),1,0)</f>
        <v/>
      </c>
      <c r="AM941">
        <f>AVERAGE(W941:AB941)</f>
        <v/>
      </c>
      <c r="AN941">
        <f>1+COUNTIF(bounds,"&lt;"&amp;ROUND(AM941,12))</f>
        <v/>
      </c>
      <c r="AO941">
        <f>IF(AK941=1,AD941,NA())</f>
        <v/>
      </c>
      <c r="AP941">
        <f>IF(AK941=0,AD941,NA())</f>
        <v/>
      </c>
    </row>
    <row r="942">
      <c r="A942" t="n">
        <v>934</v>
      </c>
      <c r="B942" t="n">
        <v>5</v>
      </c>
      <c r="C942" t="n">
        <v>4</v>
      </c>
      <c r="D942" t="n">
        <v>2</v>
      </c>
      <c r="E942" t="n">
        <v>1</v>
      </c>
      <c r="F942" t="n">
        <v>4</v>
      </c>
      <c r="G942" t="n">
        <v>2</v>
      </c>
      <c r="H942" t="n">
        <v>4</v>
      </c>
      <c r="I942" t="n">
        <v>5</v>
      </c>
      <c r="J942" t="n">
        <v>5</v>
      </c>
      <c r="K942" t="n">
        <v>4</v>
      </c>
      <c r="L942" t="n">
        <v>2</v>
      </c>
      <c r="M942" t="n">
        <v>4</v>
      </c>
      <c r="N942" t="n">
        <v>3</v>
      </c>
      <c r="O942" t="n">
        <v>4</v>
      </c>
      <c r="P942" t="n">
        <v>4</v>
      </c>
      <c r="Q942" t="n">
        <v>2</v>
      </c>
      <c r="R942" t="n">
        <v>5</v>
      </c>
      <c r="S942" t="n">
        <v>2</v>
      </c>
      <c r="T942" t="n">
        <v>5</v>
      </c>
      <c r="U942" t="n">
        <v>3</v>
      </c>
      <c r="V942" t="n">
        <v>3</v>
      </c>
      <c r="W942">
        <f>(AVERAGE(B942:D942)-1)/4</f>
        <v/>
      </c>
      <c r="X942">
        <f>(AVERAGE(E942:G942)-1)/4</f>
        <v/>
      </c>
      <c r="Y942">
        <f>(AVERAGE(H942:J942)-1)/4</f>
        <v/>
      </c>
      <c r="Z942">
        <f>(AVERAGE(K942:M942)-1)/4</f>
        <v/>
      </c>
      <c r="AA942">
        <f>(AVERAGE(N942:P942)-1)/4</f>
        <v/>
      </c>
      <c r="AB942">
        <f>(AVERAGE(Q942:S942)-1)/4</f>
        <v/>
      </c>
      <c r="AC942">
        <f>(AVERAGE(T942:V942)-1)/4</f>
        <v/>
      </c>
      <c r="AD942">
        <f>AVERAGE(W942:AA942)</f>
        <v/>
      </c>
      <c r="AE942">
        <f>MIN(W942:AA942)</f>
        <v/>
      </c>
      <c r="AF942">
        <f>1-alpha*MAX(0,delta-AE942)</f>
        <v/>
      </c>
      <c r="AG942">
        <f>AD942*AF942</f>
        <v/>
      </c>
      <c r="AH942">
        <f>1+COUNTIF(bounds,"&lt;"&amp;ROUND(AD942,12))</f>
        <v/>
      </c>
      <c r="AI942">
        <f>1+COUNTIF(bounds,"&lt;"&amp;ROUND(AG942,12))</f>
        <v/>
      </c>
      <c r="AJ942">
        <f>IF(AF942&lt;1,1,0)</f>
        <v/>
      </c>
      <c r="AK942">
        <f>IF(AH942&lt;&gt;AI942,1,0)</f>
        <v/>
      </c>
      <c r="AL942">
        <f>IF(AND(AI942&gt;=3,AB942&lt;=0.2),1,0)</f>
        <v/>
      </c>
      <c r="AM942">
        <f>AVERAGE(W942:AB942)</f>
        <v/>
      </c>
      <c r="AN942">
        <f>1+COUNTIF(bounds,"&lt;"&amp;ROUND(AM942,12))</f>
        <v/>
      </c>
      <c r="AO942">
        <f>IF(AK942=1,AD942,NA())</f>
        <v/>
      </c>
      <c r="AP942">
        <f>IF(AK942=0,AD942,NA())</f>
        <v/>
      </c>
    </row>
    <row r="943">
      <c r="A943" t="n">
        <v>935</v>
      </c>
      <c r="B943" t="n">
        <v>3</v>
      </c>
      <c r="C943" t="n">
        <v>1</v>
      </c>
      <c r="D943" t="n">
        <v>1</v>
      </c>
      <c r="E943" t="n">
        <v>1</v>
      </c>
      <c r="F943" t="n">
        <v>4</v>
      </c>
      <c r="G943" t="n">
        <v>4</v>
      </c>
      <c r="H943" t="n">
        <v>5</v>
      </c>
      <c r="I943" t="n">
        <v>3</v>
      </c>
      <c r="J943" t="n">
        <v>3</v>
      </c>
      <c r="K943" t="n">
        <v>5</v>
      </c>
      <c r="L943" t="n">
        <v>1</v>
      </c>
      <c r="M943" t="n">
        <v>2</v>
      </c>
      <c r="N943" t="n">
        <v>5</v>
      </c>
      <c r="O943" t="n">
        <v>3</v>
      </c>
      <c r="P943" t="n">
        <v>3</v>
      </c>
      <c r="Q943" t="n">
        <v>2</v>
      </c>
      <c r="R943" t="n">
        <v>1</v>
      </c>
      <c r="S943" t="n">
        <v>4</v>
      </c>
      <c r="T943" t="n">
        <v>3</v>
      </c>
      <c r="U943" t="n">
        <v>1</v>
      </c>
      <c r="V943" t="n">
        <v>5</v>
      </c>
      <c r="W943">
        <f>(AVERAGE(B943:D943)-1)/4</f>
        <v/>
      </c>
      <c r="X943">
        <f>(AVERAGE(E943:G943)-1)/4</f>
        <v/>
      </c>
      <c r="Y943">
        <f>(AVERAGE(H943:J943)-1)/4</f>
        <v/>
      </c>
      <c r="Z943">
        <f>(AVERAGE(K943:M943)-1)/4</f>
        <v/>
      </c>
      <c r="AA943">
        <f>(AVERAGE(N943:P943)-1)/4</f>
        <v/>
      </c>
      <c r="AB943">
        <f>(AVERAGE(Q943:S943)-1)/4</f>
        <v/>
      </c>
      <c r="AC943">
        <f>(AVERAGE(T943:V943)-1)/4</f>
        <v/>
      </c>
      <c r="AD943">
        <f>AVERAGE(W943:AA943)</f>
        <v/>
      </c>
      <c r="AE943">
        <f>MIN(W943:AA943)</f>
        <v/>
      </c>
      <c r="AF943">
        <f>1-alpha*MAX(0,delta-AE943)</f>
        <v/>
      </c>
      <c r="AG943">
        <f>AD943*AF943</f>
        <v/>
      </c>
      <c r="AH943">
        <f>1+COUNTIF(bounds,"&lt;"&amp;ROUND(AD943,12))</f>
        <v/>
      </c>
      <c r="AI943">
        <f>1+COUNTIF(bounds,"&lt;"&amp;ROUND(AG943,12))</f>
        <v/>
      </c>
      <c r="AJ943">
        <f>IF(AF943&lt;1,1,0)</f>
        <v/>
      </c>
      <c r="AK943">
        <f>IF(AH943&lt;&gt;AI943,1,0)</f>
        <v/>
      </c>
      <c r="AL943">
        <f>IF(AND(AI943&gt;=3,AB943&lt;=0.2),1,0)</f>
        <v/>
      </c>
      <c r="AM943">
        <f>AVERAGE(W943:AB943)</f>
        <v/>
      </c>
      <c r="AN943">
        <f>1+COUNTIF(bounds,"&lt;"&amp;ROUND(AM943,12))</f>
        <v/>
      </c>
      <c r="AO943">
        <f>IF(AK943=1,AD943,NA())</f>
        <v/>
      </c>
      <c r="AP943">
        <f>IF(AK943=0,AD943,NA())</f>
        <v/>
      </c>
    </row>
    <row r="944">
      <c r="A944" t="n">
        <v>936</v>
      </c>
      <c r="B944" t="n">
        <v>2</v>
      </c>
      <c r="C944" t="n">
        <v>3</v>
      </c>
      <c r="D944" t="n">
        <v>4</v>
      </c>
      <c r="E944" t="n">
        <v>2</v>
      </c>
      <c r="F944" t="n">
        <v>4</v>
      </c>
      <c r="G944" t="n">
        <v>2</v>
      </c>
      <c r="H944" t="n">
        <v>1</v>
      </c>
      <c r="I944" t="n">
        <v>2</v>
      </c>
      <c r="J944" t="n">
        <v>2</v>
      </c>
      <c r="K944" t="n">
        <v>3</v>
      </c>
      <c r="L944" t="n">
        <v>2</v>
      </c>
      <c r="M944" t="n">
        <v>2</v>
      </c>
      <c r="N944" t="n">
        <v>2</v>
      </c>
      <c r="O944" t="n">
        <v>5</v>
      </c>
      <c r="P944" t="n">
        <v>3</v>
      </c>
      <c r="Q944" t="n">
        <v>1</v>
      </c>
      <c r="R944" t="n">
        <v>3</v>
      </c>
      <c r="S944" t="n">
        <v>3</v>
      </c>
      <c r="T944" t="n">
        <v>2</v>
      </c>
      <c r="U944" t="n">
        <v>3</v>
      </c>
      <c r="V944" t="n">
        <v>3</v>
      </c>
      <c r="W944">
        <f>(AVERAGE(B944:D944)-1)/4</f>
        <v/>
      </c>
      <c r="X944">
        <f>(AVERAGE(E944:G944)-1)/4</f>
        <v/>
      </c>
      <c r="Y944">
        <f>(AVERAGE(H944:J944)-1)/4</f>
        <v/>
      </c>
      <c r="Z944">
        <f>(AVERAGE(K944:M944)-1)/4</f>
        <v/>
      </c>
      <c r="AA944">
        <f>(AVERAGE(N944:P944)-1)/4</f>
        <v/>
      </c>
      <c r="AB944">
        <f>(AVERAGE(Q944:S944)-1)/4</f>
        <v/>
      </c>
      <c r="AC944">
        <f>(AVERAGE(T944:V944)-1)/4</f>
        <v/>
      </c>
      <c r="AD944">
        <f>AVERAGE(W944:AA944)</f>
        <v/>
      </c>
      <c r="AE944">
        <f>MIN(W944:AA944)</f>
        <v/>
      </c>
      <c r="AF944">
        <f>1-alpha*MAX(0,delta-AE944)</f>
        <v/>
      </c>
      <c r="AG944">
        <f>AD944*AF944</f>
        <v/>
      </c>
      <c r="AH944">
        <f>1+COUNTIF(bounds,"&lt;"&amp;ROUND(AD944,12))</f>
        <v/>
      </c>
      <c r="AI944">
        <f>1+COUNTIF(bounds,"&lt;"&amp;ROUND(AG944,12))</f>
        <v/>
      </c>
      <c r="AJ944">
        <f>IF(AF944&lt;1,1,0)</f>
        <v/>
      </c>
      <c r="AK944">
        <f>IF(AH944&lt;&gt;AI944,1,0)</f>
        <v/>
      </c>
      <c r="AL944">
        <f>IF(AND(AI944&gt;=3,AB944&lt;=0.2),1,0)</f>
        <v/>
      </c>
      <c r="AM944">
        <f>AVERAGE(W944:AB944)</f>
        <v/>
      </c>
      <c r="AN944">
        <f>1+COUNTIF(bounds,"&lt;"&amp;ROUND(AM944,12))</f>
        <v/>
      </c>
      <c r="AO944">
        <f>IF(AK944=1,AD944,NA())</f>
        <v/>
      </c>
      <c r="AP944">
        <f>IF(AK944=0,AD944,NA())</f>
        <v/>
      </c>
    </row>
    <row r="945">
      <c r="A945" t="n">
        <v>937</v>
      </c>
      <c r="B945" t="n">
        <v>5</v>
      </c>
      <c r="C945" t="n">
        <v>5</v>
      </c>
      <c r="D945" t="n">
        <v>1</v>
      </c>
      <c r="E945" t="n">
        <v>1</v>
      </c>
      <c r="F945" t="n">
        <v>2</v>
      </c>
      <c r="G945" t="n">
        <v>2</v>
      </c>
      <c r="H945" t="n">
        <v>4</v>
      </c>
      <c r="I945" t="n">
        <v>1</v>
      </c>
      <c r="J945" t="n">
        <v>4</v>
      </c>
      <c r="K945" t="n">
        <v>3</v>
      </c>
      <c r="L945" t="n">
        <v>2</v>
      </c>
      <c r="M945" t="n">
        <v>3</v>
      </c>
      <c r="N945" t="n">
        <v>4</v>
      </c>
      <c r="O945" t="n">
        <v>4</v>
      </c>
      <c r="P945" t="n">
        <v>5</v>
      </c>
      <c r="Q945" t="n">
        <v>1</v>
      </c>
      <c r="R945" t="n">
        <v>5</v>
      </c>
      <c r="S945" t="n">
        <v>2</v>
      </c>
      <c r="T945" t="n">
        <v>4</v>
      </c>
      <c r="U945" t="n">
        <v>1</v>
      </c>
      <c r="V945" t="n">
        <v>4</v>
      </c>
      <c r="W945">
        <f>(AVERAGE(B945:D945)-1)/4</f>
        <v/>
      </c>
      <c r="X945">
        <f>(AVERAGE(E945:G945)-1)/4</f>
        <v/>
      </c>
      <c r="Y945">
        <f>(AVERAGE(H945:J945)-1)/4</f>
        <v/>
      </c>
      <c r="Z945">
        <f>(AVERAGE(K945:M945)-1)/4</f>
        <v/>
      </c>
      <c r="AA945">
        <f>(AVERAGE(N945:P945)-1)/4</f>
        <v/>
      </c>
      <c r="AB945">
        <f>(AVERAGE(Q945:S945)-1)/4</f>
        <v/>
      </c>
      <c r="AC945">
        <f>(AVERAGE(T945:V945)-1)/4</f>
        <v/>
      </c>
      <c r="AD945">
        <f>AVERAGE(W945:AA945)</f>
        <v/>
      </c>
      <c r="AE945">
        <f>MIN(W945:AA945)</f>
        <v/>
      </c>
      <c r="AF945">
        <f>1-alpha*MAX(0,delta-AE945)</f>
        <v/>
      </c>
      <c r="AG945">
        <f>AD945*AF945</f>
        <v/>
      </c>
      <c r="AH945">
        <f>1+COUNTIF(bounds,"&lt;"&amp;ROUND(AD945,12))</f>
        <v/>
      </c>
      <c r="AI945">
        <f>1+COUNTIF(bounds,"&lt;"&amp;ROUND(AG945,12))</f>
        <v/>
      </c>
      <c r="AJ945">
        <f>IF(AF945&lt;1,1,0)</f>
        <v/>
      </c>
      <c r="AK945">
        <f>IF(AH945&lt;&gt;AI945,1,0)</f>
        <v/>
      </c>
      <c r="AL945">
        <f>IF(AND(AI945&gt;=3,AB945&lt;=0.2),1,0)</f>
        <v/>
      </c>
      <c r="AM945">
        <f>AVERAGE(W945:AB945)</f>
        <v/>
      </c>
      <c r="AN945">
        <f>1+COUNTIF(bounds,"&lt;"&amp;ROUND(AM945,12))</f>
        <v/>
      </c>
      <c r="AO945">
        <f>IF(AK945=1,AD945,NA())</f>
        <v/>
      </c>
      <c r="AP945">
        <f>IF(AK945=0,AD945,NA())</f>
        <v/>
      </c>
    </row>
    <row r="946">
      <c r="A946" t="n">
        <v>938</v>
      </c>
      <c r="B946" t="n">
        <v>5</v>
      </c>
      <c r="C946" t="n">
        <v>1</v>
      </c>
      <c r="D946" t="n">
        <v>1</v>
      </c>
      <c r="E946" t="n">
        <v>3</v>
      </c>
      <c r="F946" t="n">
        <v>4</v>
      </c>
      <c r="G946" t="n">
        <v>3</v>
      </c>
      <c r="H946" t="n">
        <v>2</v>
      </c>
      <c r="I946" t="n">
        <v>2</v>
      </c>
      <c r="J946" t="n">
        <v>4</v>
      </c>
      <c r="K946" t="n">
        <v>5</v>
      </c>
      <c r="L946" t="n">
        <v>3</v>
      </c>
      <c r="M946" t="n">
        <v>3</v>
      </c>
      <c r="N946" t="n">
        <v>4</v>
      </c>
      <c r="O946" t="n">
        <v>4</v>
      </c>
      <c r="P946" t="n">
        <v>3</v>
      </c>
      <c r="Q946" t="n">
        <v>3</v>
      </c>
      <c r="R946" t="n">
        <v>4</v>
      </c>
      <c r="S946" t="n">
        <v>2</v>
      </c>
      <c r="T946" t="n">
        <v>2</v>
      </c>
      <c r="U946" t="n">
        <v>1</v>
      </c>
      <c r="V946" t="n">
        <v>4</v>
      </c>
      <c r="W946">
        <f>(AVERAGE(B946:D946)-1)/4</f>
        <v/>
      </c>
      <c r="X946">
        <f>(AVERAGE(E946:G946)-1)/4</f>
        <v/>
      </c>
      <c r="Y946">
        <f>(AVERAGE(H946:J946)-1)/4</f>
        <v/>
      </c>
      <c r="Z946">
        <f>(AVERAGE(K946:M946)-1)/4</f>
        <v/>
      </c>
      <c r="AA946">
        <f>(AVERAGE(N946:P946)-1)/4</f>
        <v/>
      </c>
      <c r="AB946">
        <f>(AVERAGE(Q946:S946)-1)/4</f>
        <v/>
      </c>
      <c r="AC946">
        <f>(AVERAGE(T946:V946)-1)/4</f>
        <v/>
      </c>
      <c r="AD946">
        <f>AVERAGE(W946:AA946)</f>
        <v/>
      </c>
      <c r="AE946">
        <f>MIN(W946:AA946)</f>
        <v/>
      </c>
      <c r="AF946">
        <f>1-alpha*MAX(0,delta-AE946)</f>
        <v/>
      </c>
      <c r="AG946">
        <f>AD946*AF946</f>
        <v/>
      </c>
      <c r="AH946">
        <f>1+COUNTIF(bounds,"&lt;"&amp;ROUND(AD946,12))</f>
        <v/>
      </c>
      <c r="AI946">
        <f>1+COUNTIF(bounds,"&lt;"&amp;ROUND(AG946,12))</f>
        <v/>
      </c>
      <c r="AJ946">
        <f>IF(AF946&lt;1,1,0)</f>
        <v/>
      </c>
      <c r="AK946">
        <f>IF(AH946&lt;&gt;AI946,1,0)</f>
        <v/>
      </c>
      <c r="AL946">
        <f>IF(AND(AI946&gt;=3,AB946&lt;=0.2),1,0)</f>
        <v/>
      </c>
      <c r="AM946">
        <f>AVERAGE(W946:AB946)</f>
        <v/>
      </c>
      <c r="AN946">
        <f>1+COUNTIF(bounds,"&lt;"&amp;ROUND(AM946,12))</f>
        <v/>
      </c>
      <c r="AO946">
        <f>IF(AK946=1,AD946,NA())</f>
        <v/>
      </c>
      <c r="AP946">
        <f>IF(AK946=0,AD946,NA())</f>
        <v/>
      </c>
    </row>
    <row r="947">
      <c r="A947" t="n">
        <v>939</v>
      </c>
      <c r="B947" t="n">
        <v>2</v>
      </c>
      <c r="C947" t="n">
        <v>2</v>
      </c>
      <c r="D947" t="n">
        <v>5</v>
      </c>
      <c r="E947" t="n">
        <v>1</v>
      </c>
      <c r="F947" t="n">
        <v>3</v>
      </c>
      <c r="G947" t="n">
        <v>2</v>
      </c>
      <c r="H947" t="n">
        <v>2</v>
      </c>
      <c r="I947" t="n">
        <v>4</v>
      </c>
      <c r="J947" t="n">
        <v>5</v>
      </c>
      <c r="K947" t="n">
        <v>1</v>
      </c>
      <c r="L947" t="n">
        <v>2</v>
      </c>
      <c r="M947" t="n">
        <v>4</v>
      </c>
      <c r="N947" t="n">
        <v>1</v>
      </c>
      <c r="O947" t="n">
        <v>3</v>
      </c>
      <c r="P947" t="n">
        <v>3</v>
      </c>
      <c r="Q947" t="n">
        <v>5</v>
      </c>
      <c r="R947" t="n">
        <v>1</v>
      </c>
      <c r="S947" t="n">
        <v>5</v>
      </c>
      <c r="T947" t="n">
        <v>5</v>
      </c>
      <c r="U947" t="n">
        <v>2</v>
      </c>
      <c r="V947" t="n">
        <v>2</v>
      </c>
      <c r="W947">
        <f>(AVERAGE(B947:D947)-1)/4</f>
        <v/>
      </c>
      <c r="X947">
        <f>(AVERAGE(E947:G947)-1)/4</f>
        <v/>
      </c>
      <c r="Y947">
        <f>(AVERAGE(H947:J947)-1)/4</f>
        <v/>
      </c>
      <c r="Z947">
        <f>(AVERAGE(K947:M947)-1)/4</f>
        <v/>
      </c>
      <c r="AA947">
        <f>(AVERAGE(N947:P947)-1)/4</f>
        <v/>
      </c>
      <c r="AB947">
        <f>(AVERAGE(Q947:S947)-1)/4</f>
        <v/>
      </c>
      <c r="AC947">
        <f>(AVERAGE(T947:V947)-1)/4</f>
        <v/>
      </c>
      <c r="AD947">
        <f>AVERAGE(W947:AA947)</f>
        <v/>
      </c>
      <c r="AE947">
        <f>MIN(W947:AA947)</f>
        <v/>
      </c>
      <c r="AF947">
        <f>1-alpha*MAX(0,delta-AE947)</f>
        <v/>
      </c>
      <c r="AG947">
        <f>AD947*AF947</f>
        <v/>
      </c>
      <c r="AH947">
        <f>1+COUNTIF(bounds,"&lt;"&amp;ROUND(AD947,12))</f>
        <v/>
      </c>
      <c r="AI947">
        <f>1+COUNTIF(bounds,"&lt;"&amp;ROUND(AG947,12))</f>
        <v/>
      </c>
      <c r="AJ947">
        <f>IF(AF947&lt;1,1,0)</f>
        <v/>
      </c>
      <c r="AK947">
        <f>IF(AH947&lt;&gt;AI947,1,0)</f>
        <v/>
      </c>
      <c r="AL947">
        <f>IF(AND(AI947&gt;=3,AB947&lt;=0.2),1,0)</f>
        <v/>
      </c>
      <c r="AM947">
        <f>AVERAGE(W947:AB947)</f>
        <v/>
      </c>
      <c r="AN947">
        <f>1+COUNTIF(bounds,"&lt;"&amp;ROUND(AM947,12))</f>
        <v/>
      </c>
      <c r="AO947">
        <f>IF(AK947=1,AD947,NA())</f>
        <v/>
      </c>
      <c r="AP947">
        <f>IF(AK947=0,AD947,NA())</f>
        <v/>
      </c>
    </row>
    <row r="948">
      <c r="A948" t="n">
        <v>940</v>
      </c>
      <c r="B948" t="n">
        <v>2</v>
      </c>
      <c r="C948" t="n">
        <v>2</v>
      </c>
      <c r="D948" t="n">
        <v>3</v>
      </c>
      <c r="E948" t="n">
        <v>5</v>
      </c>
      <c r="F948" t="n">
        <v>2</v>
      </c>
      <c r="G948" t="n">
        <v>3</v>
      </c>
      <c r="H948" t="n">
        <v>4</v>
      </c>
      <c r="I948" t="n">
        <v>2</v>
      </c>
      <c r="J948" t="n">
        <v>1</v>
      </c>
      <c r="K948" t="n">
        <v>2</v>
      </c>
      <c r="L948" t="n">
        <v>1</v>
      </c>
      <c r="M948" t="n">
        <v>2</v>
      </c>
      <c r="N948" t="n">
        <v>5</v>
      </c>
      <c r="O948" t="n">
        <v>1</v>
      </c>
      <c r="P948" t="n">
        <v>1</v>
      </c>
      <c r="Q948" t="n">
        <v>4</v>
      </c>
      <c r="R948" t="n">
        <v>4</v>
      </c>
      <c r="S948" t="n">
        <v>2</v>
      </c>
      <c r="T948" t="n">
        <v>1</v>
      </c>
      <c r="U948" t="n">
        <v>4</v>
      </c>
      <c r="V948" t="n">
        <v>4</v>
      </c>
      <c r="W948">
        <f>(AVERAGE(B948:D948)-1)/4</f>
        <v/>
      </c>
      <c r="X948">
        <f>(AVERAGE(E948:G948)-1)/4</f>
        <v/>
      </c>
      <c r="Y948">
        <f>(AVERAGE(H948:J948)-1)/4</f>
        <v/>
      </c>
      <c r="Z948">
        <f>(AVERAGE(K948:M948)-1)/4</f>
        <v/>
      </c>
      <c r="AA948">
        <f>(AVERAGE(N948:P948)-1)/4</f>
        <v/>
      </c>
      <c r="AB948">
        <f>(AVERAGE(Q948:S948)-1)/4</f>
        <v/>
      </c>
      <c r="AC948">
        <f>(AVERAGE(T948:V948)-1)/4</f>
        <v/>
      </c>
      <c r="AD948">
        <f>AVERAGE(W948:AA948)</f>
        <v/>
      </c>
      <c r="AE948">
        <f>MIN(W948:AA948)</f>
        <v/>
      </c>
      <c r="AF948">
        <f>1-alpha*MAX(0,delta-AE948)</f>
        <v/>
      </c>
      <c r="AG948">
        <f>AD948*AF948</f>
        <v/>
      </c>
      <c r="AH948">
        <f>1+COUNTIF(bounds,"&lt;"&amp;ROUND(AD948,12))</f>
        <v/>
      </c>
      <c r="AI948">
        <f>1+COUNTIF(bounds,"&lt;"&amp;ROUND(AG948,12))</f>
        <v/>
      </c>
      <c r="AJ948">
        <f>IF(AF948&lt;1,1,0)</f>
        <v/>
      </c>
      <c r="AK948">
        <f>IF(AH948&lt;&gt;AI948,1,0)</f>
        <v/>
      </c>
      <c r="AL948">
        <f>IF(AND(AI948&gt;=3,AB948&lt;=0.2),1,0)</f>
        <v/>
      </c>
      <c r="AM948">
        <f>AVERAGE(W948:AB948)</f>
        <v/>
      </c>
      <c r="AN948">
        <f>1+COUNTIF(bounds,"&lt;"&amp;ROUND(AM948,12))</f>
        <v/>
      </c>
      <c r="AO948">
        <f>IF(AK948=1,AD948,NA())</f>
        <v/>
      </c>
      <c r="AP948">
        <f>IF(AK948=0,AD948,NA())</f>
        <v/>
      </c>
    </row>
    <row r="949">
      <c r="A949" t="n">
        <v>941</v>
      </c>
      <c r="B949" t="n">
        <v>5</v>
      </c>
      <c r="C949" t="n">
        <v>2</v>
      </c>
      <c r="D949" t="n">
        <v>5</v>
      </c>
      <c r="E949" t="n">
        <v>4</v>
      </c>
      <c r="F949" t="n">
        <v>3</v>
      </c>
      <c r="G949" t="n">
        <v>3</v>
      </c>
      <c r="H949" t="n">
        <v>3</v>
      </c>
      <c r="I949" t="n">
        <v>1</v>
      </c>
      <c r="J949" t="n">
        <v>5</v>
      </c>
      <c r="K949" t="n">
        <v>5</v>
      </c>
      <c r="L949" t="n">
        <v>1</v>
      </c>
      <c r="M949" t="n">
        <v>4</v>
      </c>
      <c r="N949" t="n">
        <v>1</v>
      </c>
      <c r="O949" t="n">
        <v>1</v>
      </c>
      <c r="P949" t="n">
        <v>4</v>
      </c>
      <c r="Q949" t="n">
        <v>4</v>
      </c>
      <c r="R949" t="n">
        <v>4</v>
      </c>
      <c r="S949" t="n">
        <v>5</v>
      </c>
      <c r="T949" t="n">
        <v>3</v>
      </c>
      <c r="U949" t="n">
        <v>5</v>
      </c>
      <c r="V949" t="n">
        <v>3</v>
      </c>
      <c r="W949">
        <f>(AVERAGE(B949:D949)-1)/4</f>
        <v/>
      </c>
      <c r="X949">
        <f>(AVERAGE(E949:G949)-1)/4</f>
        <v/>
      </c>
      <c r="Y949">
        <f>(AVERAGE(H949:J949)-1)/4</f>
        <v/>
      </c>
      <c r="Z949">
        <f>(AVERAGE(K949:M949)-1)/4</f>
        <v/>
      </c>
      <c r="AA949">
        <f>(AVERAGE(N949:P949)-1)/4</f>
        <v/>
      </c>
      <c r="AB949">
        <f>(AVERAGE(Q949:S949)-1)/4</f>
        <v/>
      </c>
      <c r="AC949">
        <f>(AVERAGE(T949:V949)-1)/4</f>
        <v/>
      </c>
      <c r="AD949">
        <f>AVERAGE(W949:AA949)</f>
        <v/>
      </c>
      <c r="AE949">
        <f>MIN(W949:AA949)</f>
        <v/>
      </c>
      <c r="AF949">
        <f>1-alpha*MAX(0,delta-AE949)</f>
        <v/>
      </c>
      <c r="AG949">
        <f>AD949*AF949</f>
        <v/>
      </c>
      <c r="AH949">
        <f>1+COUNTIF(bounds,"&lt;"&amp;ROUND(AD949,12))</f>
        <v/>
      </c>
      <c r="AI949">
        <f>1+COUNTIF(bounds,"&lt;"&amp;ROUND(AG949,12))</f>
        <v/>
      </c>
      <c r="AJ949">
        <f>IF(AF949&lt;1,1,0)</f>
        <v/>
      </c>
      <c r="AK949">
        <f>IF(AH949&lt;&gt;AI949,1,0)</f>
        <v/>
      </c>
      <c r="AL949">
        <f>IF(AND(AI949&gt;=3,AB949&lt;=0.2),1,0)</f>
        <v/>
      </c>
      <c r="AM949">
        <f>AVERAGE(W949:AB949)</f>
        <v/>
      </c>
      <c r="AN949">
        <f>1+COUNTIF(bounds,"&lt;"&amp;ROUND(AM949,12))</f>
        <v/>
      </c>
      <c r="AO949">
        <f>IF(AK949=1,AD949,NA())</f>
        <v/>
      </c>
      <c r="AP949">
        <f>IF(AK949=0,AD949,NA())</f>
        <v/>
      </c>
    </row>
    <row r="950">
      <c r="A950" t="n">
        <v>942</v>
      </c>
      <c r="B950" t="n">
        <v>4</v>
      </c>
      <c r="C950" t="n">
        <v>3</v>
      </c>
      <c r="D950" t="n">
        <v>4</v>
      </c>
      <c r="E950" t="n">
        <v>5</v>
      </c>
      <c r="F950" t="n">
        <v>5</v>
      </c>
      <c r="G950" t="n">
        <v>5</v>
      </c>
      <c r="H950" t="n">
        <v>4</v>
      </c>
      <c r="I950" t="n">
        <v>4</v>
      </c>
      <c r="J950" t="n">
        <v>2</v>
      </c>
      <c r="K950" t="n">
        <v>5</v>
      </c>
      <c r="L950" t="n">
        <v>4</v>
      </c>
      <c r="M950" t="n">
        <v>4</v>
      </c>
      <c r="N950" t="n">
        <v>5</v>
      </c>
      <c r="O950" t="n">
        <v>4</v>
      </c>
      <c r="P950" t="n">
        <v>5</v>
      </c>
      <c r="Q950" t="n">
        <v>3</v>
      </c>
      <c r="R950" t="n">
        <v>2</v>
      </c>
      <c r="S950" t="n">
        <v>1</v>
      </c>
      <c r="T950" t="n">
        <v>1</v>
      </c>
      <c r="U950" t="n">
        <v>4</v>
      </c>
      <c r="V950" t="n">
        <v>2</v>
      </c>
      <c r="W950">
        <f>(AVERAGE(B950:D950)-1)/4</f>
        <v/>
      </c>
      <c r="X950">
        <f>(AVERAGE(E950:G950)-1)/4</f>
        <v/>
      </c>
      <c r="Y950">
        <f>(AVERAGE(H950:J950)-1)/4</f>
        <v/>
      </c>
      <c r="Z950">
        <f>(AVERAGE(K950:M950)-1)/4</f>
        <v/>
      </c>
      <c r="AA950">
        <f>(AVERAGE(N950:P950)-1)/4</f>
        <v/>
      </c>
      <c r="AB950">
        <f>(AVERAGE(Q950:S950)-1)/4</f>
        <v/>
      </c>
      <c r="AC950">
        <f>(AVERAGE(T950:V950)-1)/4</f>
        <v/>
      </c>
      <c r="AD950">
        <f>AVERAGE(W950:AA950)</f>
        <v/>
      </c>
      <c r="AE950">
        <f>MIN(W950:AA950)</f>
        <v/>
      </c>
      <c r="AF950">
        <f>1-alpha*MAX(0,delta-AE950)</f>
        <v/>
      </c>
      <c r="AG950">
        <f>AD950*AF950</f>
        <v/>
      </c>
      <c r="AH950">
        <f>1+COUNTIF(bounds,"&lt;"&amp;ROUND(AD950,12))</f>
        <v/>
      </c>
      <c r="AI950">
        <f>1+COUNTIF(bounds,"&lt;"&amp;ROUND(AG950,12))</f>
        <v/>
      </c>
      <c r="AJ950">
        <f>IF(AF950&lt;1,1,0)</f>
        <v/>
      </c>
      <c r="AK950">
        <f>IF(AH950&lt;&gt;AI950,1,0)</f>
        <v/>
      </c>
      <c r="AL950">
        <f>IF(AND(AI950&gt;=3,AB950&lt;=0.2),1,0)</f>
        <v/>
      </c>
      <c r="AM950">
        <f>AVERAGE(W950:AB950)</f>
        <v/>
      </c>
      <c r="AN950">
        <f>1+COUNTIF(bounds,"&lt;"&amp;ROUND(AM950,12))</f>
        <v/>
      </c>
      <c r="AO950">
        <f>IF(AK950=1,AD950,NA())</f>
        <v/>
      </c>
      <c r="AP950">
        <f>IF(AK950=0,AD950,NA())</f>
        <v/>
      </c>
    </row>
    <row r="951">
      <c r="A951" t="n">
        <v>943</v>
      </c>
      <c r="B951" t="n">
        <v>3</v>
      </c>
      <c r="C951" t="n">
        <v>4</v>
      </c>
      <c r="D951" t="n">
        <v>2</v>
      </c>
      <c r="E951" t="n">
        <v>3</v>
      </c>
      <c r="F951" t="n">
        <v>2</v>
      </c>
      <c r="G951" t="n">
        <v>4</v>
      </c>
      <c r="H951" t="n">
        <v>4</v>
      </c>
      <c r="I951" t="n">
        <v>1</v>
      </c>
      <c r="J951" t="n">
        <v>3</v>
      </c>
      <c r="K951" t="n">
        <v>2</v>
      </c>
      <c r="L951" t="n">
        <v>5</v>
      </c>
      <c r="M951" t="n">
        <v>1</v>
      </c>
      <c r="N951" t="n">
        <v>4</v>
      </c>
      <c r="O951" t="n">
        <v>1</v>
      </c>
      <c r="P951" t="n">
        <v>4</v>
      </c>
      <c r="Q951" t="n">
        <v>4</v>
      </c>
      <c r="R951" t="n">
        <v>4</v>
      </c>
      <c r="S951" t="n">
        <v>3</v>
      </c>
      <c r="T951" t="n">
        <v>3</v>
      </c>
      <c r="U951" t="n">
        <v>3</v>
      </c>
      <c r="V951" t="n">
        <v>4</v>
      </c>
      <c r="W951">
        <f>(AVERAGE(B951:D951)-1)/4</f>
        <v/>
      </c>
      <c r="X951">
        <f>(AVERAGE(E951:G951)-1)/4</f>
        <v/>
      </c>
      <c r="Y951">
        <f>(AVERAGE(H951:J951)-1)/4</f>
        <v/>
      </c>
      <c r="Z951">
        <f>(AVERAGE(K951:M951)-1)/4</f>
        <v/>
      </c>
      <c r="AA951">
        <f>(AVERAGE(N951:P951)-1)/4</f>
        <v/>
      </c>
      <c r="AB951">
        <f>(AVERAGE(Q951:S951)-1)/4</f>
        <v/>
      </c>
      <c r="AC951">
        <f>(AVERAGE(T951:V951)-1)/4</f>
        <v/>
      </c>
      <c r="AD951">
        <f>AVERAGE(W951:AA951)</f>
        <v/>
      </c>
      <c r="AE951">
        <f>MIN(W951:AA951)</f>
        <v/>
      </c>
      <c r="AF951">
        <f>1-alpha*MAX(0,delta-AE951)</f>
        <v/>
      </c>
      <c r="AG951">
        <f>AD951*AF951</f>
        <v/>
      </c>
      <c r="AH951">
        <f>1+COUNTIF(bounds,"&lt;"&amp;ROUND(AD951,12))</f>
        <v/>
      </c>
      <c r="AI951">
        <f>1+COUNTIF(bounds,"&lt;"&amp;ROUND(AG951,12))</f>
        <v/>
      </c>
      <c r="AJ951">
        <f>IF(AF951&lt;1,1,0)</f>
        <v/>
      </c>
      <c r="AK951">
        <f>IF(AH951&lt;&gt;AI951,1,0)</f>
        <v/>
      </c>
      <c r="AL951">
        <f>IF(AND(AI951&gt;=3,AB951&lt;=0.2),1,0)</f>
        <v/>
      </c>
      <c r="AM951">
        <f>AVERAGE(W951:AB951)</f>
        <v/>
      </c>
      <c r="AN951">
        <f>1+COUNTIF(bounds,"&lt;"&amp;ROUND(AM951,12))</f>
        <v/>
      </c>
      <c r="AO951">
        <f>IF(AK951=1,AD951,NA())</f>
        <v/>
      </c>
      <c r="AP951">
        <f>IF(AK951=0,AD951,NA())</f>
        <v/>
      </c>
    </row>
    <row r="952">
      <c r="A952" t="n">
        <v>944</v>
      </c>
      <c r="B952" t="n">
        <v>3</v>
      </c>
      <c r="C952" t="n">
        <v>2</v>
      </c>
      <c r="D952" t="n">
        <v>2</v>
      </c>
      <c r="E952" t="n">
        <v>5</v>
      </c>
      <c r="F952" t="n">
        <v>4</v>
      </c>
      <c r="G952" t="n">
        <v>1</v>
      </c>
      <c r="H952" t="n">
        <v>3</v>
      </c>
      <c r="I952" t="n">
        <v>5</v>
      </c>
      <c r="J952" t="n">
        <v>2</v>
      </c>
      <c r="K952" t="n">
        <v>4</v>
      </c>
      <c r="L952" t="n">
        <v>2</v>
      </c>
      <c r="M952" t="n">
        <v>1</v>
      </c>
      <c r="N952" t="n">
        <v>5</v>
      </c>
      <c r="O952" t="n">
        <v>4</v>
      </c>
      <c r="P952" t="n">
        <v>2</v>
      </c>
      <c r="Q952" t="n">
        <v>3</v>
      </c>
      <c r="R952" t="n">
        <v>5</v>
      </c>
      <c r="S952" t="n">
        <v>5</v>
      </c>
      <c r="T952" t="n">
        <v>4</v>
      </c>
      <c r="U952" t="n">
        <v>4</v>
      </c>
      <c r="V952" t="n">
        <v>4</v>
      </c>
      <c r="W952">
        <f>(AVERAGE(B952:D952)-1)/4</f>
        <v/>
      </c>
      <c r="X952">
        <f>(AVERAGE(E952:G952)-1)/4</f>
        <v/>
      </c>
      <c r="Y952">
        <f>(AVERAGE(H952:J952)-1)/4</f>
        <v/>
      </c>
      <c r="Z952">
        <f>(AVERAGE(K952:M952)-1)/4</f>
        <v/>
      </c>
      <c r="AA952">
        <f>(AVERAGE(N952:P952)-1)/4</f>
        <v/>
      </c>
      <c r="AB952">
        <f>(AVERAGE(Q952:S952)-1)/4</f>
        <v/>
      </c>
      <c r="AC952">
        <f>(AVERAGE(T952:V952)-1)/4</f>
        <v/>
      </c>
      <c r="AD952">
        <f>AVERAGE(W952:AA952)</f>
        <v/>
      </c>
      <c r="AE952">
        <f>MIN(W952:AA952)</f>
        <v/>
      </c>
      <c r="AF952">
        <f>1-alpha*MAX(0,delta-AE952)</f>
        <v/>
      </c>
      <c r="AG952">
        <f>AD952*AF952</f>
        <v/>
      </c>
      <c r="AH952">
        <f>1+COUNTIF(bounds,"&lt;"&amp;ROUND(AD952,12))</f>
        <v/>
      </c>
      <c r="AI952">
        <f>1+COUNTIF(bounds,"&lt;"&amp;ROUND(AG952,12))</f>
        <v/>
      </c>
      <c r="AJ952">
        <f>IF(AF952&lt;1,1,0)</f>
        <v/>
      </c>
      <c r="AK952">
        <f>IF(AH952&lt;&gt;AI952,1,0)</f>
        <v/>
      </c>
      <c r="AL952">
        <f>IF(AND(AI952&gt;=3,AB952&lt;=0.2),1,0)</f>
        <v/>
      </c>
      <c r="AM952">
        <f>AVERAGE(W952:AB952)</f>
        <v/>
      </c>
      <c r="AN952">
        <f>1+COUNTIF(bounds,"&lt;"&amp;ROUND(AM952,12))</f>
        <v/>
      </c>
      <c r="AO952">
        <f>IF(AK952=1,AD952,NA())</f>
        <v/>
      </c>
      <c r="AP952">
        <f>IF(AK952=0,AD952,NA())</f>
        <v/>
      </c>
    </row>
    <row r="953">
      <c r="A953" t="n">
        <v>945</v>
      </c>
      <c r="B953" t="n">
        <v>5</v>
      </c>
      <c r="C953" t="n">
        <v>3</v>
      </c>
      <c r="D953" t="n">
        <v>4</v>
      </c>
      <c r="E953" t="n">
        <v>3</v>
      </c>
      <c r="F953" t="n">
        <v>4</v>
      </c>
      <c r="G953" t="n">
        <v>4</v>
      </c>
      <c r="H953" t="n">
        <v>2</v>
      </c>
      <c r="I953" t="n">
        <v>2</v>
      </c>
      <c r="J953" t="n">
        <v>1</v>
      </c>
      <c r="K953" t="n">
        <v>4</v>
      </c>
      <c r="L953" t="n">
        <v>4</v>
      </c>
      <c r="M953" t="n">
        <v>4</v>
      </c>
      <c r="N953" t="n">
        <v>5</v>
      </c>
      <c r="O953" t="n">
        <v>3</v>
      </c>
      <c r="P953" t="n">
        <v>3</v>
      </c>
      <c r="Q953" t="n">
        <v>2</v>
      </c>
      <c r="R953" t="n">
        <v>4</v>
      </c>
      <c r="S953" t="n">
        <v>3</v>
      </c>
      <c r="T953" t="n">
        <v>4</v>
      </c>
      <c r="U953" t="n">
        <v>1</v>
      </c>
      <c r="V953" t="n">
        <v>4</v>
      </c>
      <c r="W953">
        <f>(AVERAGE(B953:D953)-1)/4</f>
        <v/>
      </c>
      <c r="X953">
        <f>(AVERAGE(E953:G953)-1)/4</f>
        <v/>
      </c>
      <c r="Y953">
        <f>(AVERAGE(H953:J953)-1)/4</f>
        <v/>
      </c>
      <c r="Z953">
        <f>(AVERAGE(K953:M953)-1)/4</f>
        <v/>
      </c>
      <c r="AA953">
        <f>(AVERAGE(N953:P953)-1)/4</f>
        <v/>
      </c>
      <c r="AB953">
        <f>(AVERAGE(Q953:S953)-1)/4</f>
        <v/>
      </c>
      <c r="AC953">
        <f>(AVERAGE(T953:V953)-1)/4</f>
        <v/>
      </c>
      <c r="AD953">
        <f>AVERAGE(W953:AA953)</f>
        <v/>
      </c>
      <c r="AE953">
        <f>MIN(W953:AA953)</f>
        <v/>
      </c>
      <c r="AF953">
        <f>1-alpha*MAX(0,delta-AE953)</f>
        <v/>
      </c>
      <c r="AG953">
        <f>AD953*AF953</f>
        <v/>
      </c>
      <c r="AH953">
        <f>1+COUNTIF(bounds,"&lt;"&amp;ROUND(AD953,12))</f>
        <v/>
      </c>
      <c r="AI953">
        <f>1+COUNTIF(bounds,"&lt;"&amp;ROUND(AG953,12))</f>
        <v/>
      </c>
      <c r="AJ953">
        <f>IF(AF953&lt;1,1,0)</f>
        <v/>
      </c>
      <c r="AK953">
        <f>IF(AH953&lt;&gt;AI953,1,0)</f>
        <v/>
      </c>
      <c r="AL953">
        <f>IF(AND(AI953&gt;=3,AB953&lt;=0.2),1,0)</f>
        <v/>
      </c>
      <c r="AM953">
        <f>AVERAGE(W953:AB953)</f>
        <v/>
      </c>
      <c r="AN953">
        <f>1+COUNTIF(bounds,"&lt;"&amp;ROUND(AM953,12))</f>
        <v/>
      </c>
      <c r="AO953">
        <f>IF(AK953=1,AD953,NA())</f>
        <v/>
      </c>
      <c r="AP953">
        <f>IF(AK953=0,AD953,NA())</f>
        <v/>
      </c>
    </row>
    <row r="954">
      <c r="A954" t="n">
        <v>946</v>
      </c>
      <c r="B954" t="n">
        <v>2</v>
      </c>
      <c r="C954" t="n">
        <v>4</v>
      </c>
      <c r="D954" t="n">
        <v>2</v>
      </c>
      <c r="E954" t="n">
        <v>4</v>
      </c>
      <c r="F954" t="n">
        <v>1</v>
      </c>
      <c r="G954" t="n">
        <v>4</v>
      </c>
      <c r="H954" t="n">
        <v>2</v>
      </c>
      <c r="I954" t="n">
        <v>2</v>
      </c>
      <c r="J954" t="n">
        <v>3</v>
      </c>
      <c r="K954" t="n">
        <v>1</v>
      </c>
      <c r="L954" t="n">
        <v>3</v>
      </c>
      <c r="M954" t="n">
        <v>5</v>
      </c>
      <c r="N954" t="n">
        <v>2</v>
      </c>
      <c r="O954" t="n">
        <v>1</v>
      </c>
      <c r="P954" t="n">
        <v>3</v>
      </c>
      <c r="Q954" t="n">
        <v>2</v>
      </c>
      <c r="R954" t="n">
        <v>3</v>
      </c>
      <c r="S954" t="n">
        <v>1</v>
      </c>
      <c r="T954" t="n">
        <v>1</v>
      </c>
      <c r="U954" t="n">
        <v>5</v>
      </c>
      <c r="V954" t="n">
        <v>2</v>
      </c>
      <c r="W954">
        <f>(AVERAGE(B954:D954)-1)/4</f>
        <v/>
      </c>
      <c r="X954">
        <f>(AVERAGE(E954:G954)-1)/4</f>
        <v/>
      </c>
      <c r="Y954">
        <f>(AVERAGE(H954:J954)-1)/4</f>
        <v/>
      </c>
      <c r="Z954">
        <f>(AVERAGE(K954:M954)-1)/4</f>
        <v/>
      </c>
      <c r="AA954">
        <f>(AVERAGE(N954:P954)-1)/4</f>
        <v/>
      </c>
      <c r="AB954">
        <f>(AVERAGE(Q954:S954)-1)/4</f>
        <v/>
      </c>
      <c r="AC954">
        <f>(AVERAGE(T954:V954)-1)/4</f>
        <v/>
      </c>
      <c r="AD954">
        <f>AVERAGE(W954:AA954)</f>
        <v/>
      </c>
      <c r="AE954">
        <f>MIN(W954:AA954)</f>
        <v/>
      </c>
      <c r="AF954">
        <f>1-alpha*MAX(0,delta-AE954)</f>
        <v/>
      </c>
      <c r="AG954">
        <f>AD954*AF954</f>
        <v/>
      </c>
      <c r="AH954">
        <f>1+COUNTIF(bounds,"&lt;"&amp;ROUND(AD954,12))</f>
        <v/>
      </c>
      <c r="AI954">
        <f>1+COUNTIF(bounds,"&lt;"&amp;ROUND(AG954,12))</f>
        <v/>
      </c>
      <c r="AJ954">
        <f>IF(AF954&lt;1,1,0)</f>
        <v/>
      </c>
      <c r="AK954">
        <f>IF(AH954&lt;&gt;AI954,1,0)</f>
        <v/>
      </c>
      <c r="AL954">
        <f>IF(AND(AI954&gt;=3,AB954&lt;=0.2),1,0)</f>
        <v/>
      </c>
      <c r="AM954">
        <f>AVERAGE(W954:AB954)</f>
        <v/>
      </c>
      <c r="AN954">
        <f>1+COUNTIF(bounds,"&lt;"&amp;ROUND(AM954,12))</f>
        <v/>
      </c>
      <c r="AO954">
        <f>IF(AK954=1,AD954,NA())</f>
        <v/>
      </c>
      <c r="AP954">
        <f>IF(AK954=0,AD954,NA())</f>
        <v/>
      </c>
    </row>
    <row r="955">
      <c r="A955" t="n">
        <v>947</v>
      </c>
      <c r="B955" t="n">
        <v>2</v>
      </c>
      <c r="C955" t="n">
        <v>5</v>
      </c>
      <c r="D955" t="n">
        <v>4</v>
      </c>
      <c r="E955" t="n">
        <v>2</v>
      </c>
      <c r="F955" t="n">
        <v>1</v>
      </c>
      <c r="G955" t="n">
        <v>1</v>
      </c>
      <c r="H955" t="n">
        <v>3</v>
      </c>
      <c r="I955" t="n">
        <v>5</v>
      </c>
      <c r="J955" t="n">
        <v>1</v>
      </c>
      <c r="K955" t="n">
        <v>1</v>
      </c>
      <c r="L955" t="n">
        <v>1</v>
      </c>
      <c r="M955" t="n">
        <v>5</v>
      </c>
      <c r="N955" t="n">
        <v>2</v>
      </c>
      <c r="O955" t="n">
        <v>4</v>
      </c>
      <c r="P955" t="n">
        <v>1</v>
      </c>
      <c r="Q955" t="n">
        <v>1</v>
      </c>
      <c r="R955" t="n">
        <v>1</v>
      </c>
      <c r="S955" t="n">
        <v>1</v>
      </c>
      <c r="T955" t="n">
        <v>5</v>
      </c>
      <c r="U955" t="n">
        <v>3</v>
      </c>
      <c r="V955" t="n">
        <v>2</v>
      </c>
      <c r="W955">
        <f>(AVERAGE(B955:D955)-1)/4</f>
        <v/>
      </c>
      <c r="X955">
        <f>(AVERAGE(E955:G955)-1)/4</f>
        <v/>
      </c>
      <c r="Y955">
        <f>(AVERAGE(H955:J955)-1)/4</f>
        <v/>
      </c>
      <c r="Z955">
        <f>(AVERAGE(K955:M955)-1)/4</f>
        <v/>
      </c>
      <c r="AA955">
        <f>(AVERAGE(N955:P955)-1)/4</f>
        <v/>
      </c>
      <c r="AB955">
        <f>(AVERAGE(Q955:S955)-1)/4</f>
        <v/>
      </c>
      <c r="AC955">
        <f>(AVERAGE(T955:V955)-1)/4</f>
        <v/>
      </c>
      <c r="AD955">
        <f>AVERAGE(W955:AA955)</f>
        <v/>
      </c>
      <c r="AE955">
        <f>MIN(W955:AA955)</f>
        <v/>
      </c>
      <c r="AF955">
        <f>1-alpha*MAX(0,delta-AE955)</f>
        <v/>
      </c>
      <c r="AG955">
        <f>AD955*AF955</f>
        <v/>
      </c>
      <c r="AH955">
        <f>1+COUNTIF(bounds,"&lt;"&amp;ROUND(AD955,12))</f>
        <v/>
      </c>
      <c r="AI955">
        <f>1+COUNTIF(bounds,"&lt;"&amp;ROUND(AG955,12))</f>
        <v/>
      </c>
      <c r="AJ955">
        <f>IF(AF955&lt;1,1,0)</f>
        <v/>
      </c>
      <c r="AK955">
        <f>IF(AH955&lt;&gt;AI955,1,0)</f>
        <v/>
      </c>
      <c r="AL955">
        <f>IF(AND(AI955&gt;=3,AB955&lt;=0.2),1,0)</f>
        <v/>
      </c>
      <c r="AM955">
        <f>AVERAGE(W955:AB955)</f>
        <v/>
      </c>
      <c r="AN955">
        <f>1+COUNTIF(bounds,"&lt;"&amp;ROUND(AM955,12))</f>
        <v/>
      </c>
      <c r="AO955">
        <f>IF(AK955=1,AD955,NA())</f>
        <v/>
      </c>
      <c r="AP955">
        <f>IF(AK955=0,AD955,NA())</f>
        <v/>
      </c>
    </row>
    <row r="956">
      <c r="A956" t="n">
        <v>948</v>
      </c>
      <c r="B956" t="n">
        <v>3</v>
      </c>
      <c r="C956" t="n">
        <v>3</v>
      </c>
      <c r="D956" t="n">
        <v>2</v>
      </c>
      <c r="E956" t="n">
        <v>5</v>
      </c>
      <c r="F956" t="n">
        <v>3</v>
      </c>
      <c r="G956" t="n">
        <v>4</v>
      </c>
      <c r="H956" t="n">
        <v>2</v>
      </c>
      <c r="I956" t="n">
        <v>1</v>
      </c>
      <c r="J956" t="n">
        <v>4</v>
      </c>
      <c r="K956" t="n">
        <v>3</v>
      </c>
      <c r="L956" t="n">
        <v>4</v>
      </c>
      <c r="M956" t="n">
        <v>1</v>
      </c>
      <c r="N956" t="n">
        <v>2</v>
      </c>
      <c r="O956" t="n">
        <v>3</v>
      </c>
      <c r="P956" t="n">
        <v>1</v>
      </c>
      <c r="Q956" t="n">
        <v>5</v>
      </c>
      <c r="R956" t="n">
        <v>2</v>
      </c>
      <c r="S956" t="n">
        <v>4</v>
      </c>
      <c r="T956" t="n">
        <v>5</v>
      </c>
      <c r="U956" t="n">
        <v>2</v>
      </c>
      <c r="V956" t="n">
        <v>4</v>
      </c>
      <c r="W956">
        <f>(AVERAGE(B956:D956)-1)/4</f>
        <v/>
      </c>
      <c r="X956">
        <f>(AVERAGE(E956:G956)-1)/4</f>
        <v/>
      </c>
      <c r="Y956">
        <f>(AVERAGE(H956:J956)-1)/4</f>
        <v/>
      </c>
      <c r="Z956">
        <f>(AVERAGE(K956:M956)-1)/4</f>
        <v/>
      </c>
      <c r="AA956">
        <f>(AVERAGE(N956:P956)-1)/4</f>
        <v/>
      </c>
      <c r="AB956">
        <f>(AVERAGE(Q956:S956)-1)/4</f>
        <v/>
      </c>
      <c r="AC956">
        <f>(AVERAGE(T956:V956)-1)/4</f>
        <v/>
      </c>
      <c r="AD956">
        <f>AVERAGE(W956:AA956)</f>
        <v/>
      </c>
      <c r="AE956">
        <f>MIN(W956:AA956)</f>
        <v/>
      </c>
      <c r="AF956">
        <f>1-alpha*MAX(0,delta-AE956)</f>
        <v/>
      </c>
      <c r="AG956">
        <f>AD956*AF956</f>
        <v/>
      </c>
      <c r="AH956">
        <f>1+COUNTIF(bounds,"&lt;"&amp;ROUND(AD956,12))</f>
        <v/>
      </c>
      <c r="AI956">
        <f>1+COUNTIF(bounds,"&lt;"&amp;ROUND(AG956,12))</f>
        <v/>
      </c>
      <c r="AJ956">
        <f>IF(AF956&lt;1,1,0)</f>
        <v/>
      </c>
      <c r="AK956">
        <f>IF(AH956&lt;&gt;AI956,1,0)</f>
        <v/>
      </c>
      <c r="AL956">
        <f>IF(AND(AI956&gt;=3,AB956&lt;=0.2),1,0)</f>
        <v/>
      </c>
      <c r="AM956">
        <f>AVERAGE(W956:AB956)</f>
        <v/>
      </c>
      <c r="AN956">
        <f>1+COUNTIF(bounds,"&lt;"&amp;ROUND(AM956,12))</f>
        <v/>
      </c>
      <c r="AO956">
        <f>IF(AK956=1,AD956,NA())</f>
        <v/>
      </c>
      <c r="AP956">
        <f>IF(AK956=0,AD956,NA())</f>
        <v/>
      </c>
    </row>
    <row r="957">
      <c r="A957" t="n">
        <v>949</v>
      </c>
      <c r="B957" t="n">
        <v>4</v>
      </c>
      <c r="C957" t="n">
        <v>2</v>
      </c>
      <c r="D957" t="n">
        <v>5</v>
      </c>
      <c r="E957" t="n">
        <v>2</v>
      </c>
      <c r="F957" t="n">
        <v>3</v>
      </c>
      <c r="G957" t="n">
        <v>4</v>
      </c>
      <c r="H957" t="n">
        <v>2</v>
      </c>
      <c r="I957" t="n">
        <v>4</v>
      </c>
      <c r="J957" t="n">
        <v>3</v>
      </c>
      <c r="K957" t="n">
        <v>2</v>
      </c>
      <c r="L957" t="n">
        <v>2</v>
      </c>
      <c r="M957" t="n">
        <v>4</v>
      </c>
      <c r="N957" t="n">
        <v>4</v>
      </c>
      <c r="O957" t="n">
        <v>2</v>
      </c>
      <c r="P957" t="n">
        <v>3</v>
      </c>
      <c r="Q957" t="n">
        <v>2</v>
      </c>
      <c r="R957" t="n">
        <v>5</v>
      </c>
      <c r="S957" t="n">
        <v>1</v>
      </c>
      <c r="T957" t="n">
        <v>4</v>
      </c>
      <c r="U957" t="n">
        <v>5</v>
      </c>
      <c r="V957" t="n">
        <v>5</v>
      </c>
      <c r="W957">
        <f>(AVERAGE(B957:D957)-1)/4</f>
        <v/>
      </c>
      <c r="X957">
        <f>(AVERAGE(E957:G957)-1)/4</f>
        <v/>
      </c>
      <c r="Y957">
        <f>(AVERAGE(H957:J957)-1)/4</f>
        <v/>
      </c>
      <c r="Z957">
        <f>(AVERAGE(K957:M957)-1)/4</f>
        <v/>
      </c>
      <c r="AA957">
        <f>(AVERAGE(N957:P957)-1)/4</f>
        <v/>
      </c>
      <c r="AB957">
        <f>(AVERAGE(Q957:S957)-1)/4</f>
        <v/>
      </c>
      <c r="AC957">
        <f>(AVERAGE(T957:V957)-1)/4</f>
        <v/>
      </c>
      <c r="AD957">
        <f>AVERAGE(W957:AA957)</f>
        <v/>
      </c>
      <c r="AE957">
        <f>MIN(W957:AA957)</f>
        <v/>
      </c>
      <c r="AF957">
        <f>1-alpha*MAX(0,delta-AE957)</f>
        <v/>
      </c>
      <c r="AG957">
        <f>AD957*AF957</f>
        <v/>
      </c>
      <c r="AH957">
        <f>1+COUNTIF(bounds,"&lt;"&amp;ROUND(AD957,12))</f>
        <v/>
      </c>
      <c r="AI957">
        <f>1+COUNTIF(bounds,"&lt;"&amp;ROUND(AG957,12))</f>
        <v/>
      </c>
      <c r="AJ957">
        <f>IF(AF957&lt;1,1,0)</f>
        <v/>
      </c>
      <c r="AK957">
        <f>IF(AH957&lt;&gt;AI957,1,0)</f>
        <v/>
      </c>
      <c r="AL957">
        <f>IF(AND(AI957&gt;=3,AB957&lt;=0.2),1,0)</f>
        <v/>
      </c>
      <c r="AM957">
        <f>AVERAGE(W957:AB957)</f>
        <v/>
      </c>
      <c r="AN957">
        <f>1+COUNTIF(bounds,"&lt;"&amp;ROUND(AM957,12))</f>
        <v/>
      </c>
      <c r="AO957">
        <f>IF(AK957=1,AD957,NA())</f>
        <v/>
      </c>
      <c r="AP957">
        <f>IF(AK957=0,AD957,NA())</f>
        <v/>
      </c>
    </row>
    <row r="958">
      <c r="A958" t="n">
        <v>950</v>
      </c>
      <c r="B958" t="n">
        <v>5</v>
      </c>
      <c r="C958" t="n">
        <v>4</v>
      </c>
      <c r="D958" t="n">
        <v>2</v>
      </c>
      <c r="E958" t="n">
        <v>4</v>
      </c>
      <c r="F958" t="n">
        <v>2</v>
      </c>
      <c r="G958" t="n">
        <v>1</v>
      </c>
      <c r="H958" t="n">
        <v>2</v>
      </c>
      <c r="I958" t="n">
        <v>4</v>
      </c>
      <c r="J958" t="n">
        <v>4</v>
      </c>
      <c r="K958" t="n">
        <v>3</v>
      </c>
      <c r="L958" t="n">
        <v>5</v>
      </c>
      <c r="M958" t="n">
        <v>3</v>
      </c>
      <c r="N958" t="n">
        <v>3</v>
      </c>
      <c r="O958" t="n">
        <v>1</v>
      </c>
      <c r="P958" t="n">
        <v>5</v>
      </c>
      <c r="Q958" t="n">
        <v>5</v>
      </c>
      <c r="R958" t="n">
        <v>4</v>
      </c>
      <c r="S958" t="n">
        <v>3</v>
      </c>
      <c r="T958" t="n">
        <v>4</v>
      </c>
      <c r="U958" t="n">
        <v>1</v>
      </c>
      <c r="V958" t="n">
        <v>2</v>
      </c>
      <c r="W958">
        <f>(AVERAGE(B958:D958)-1)/4</f>
        <v/>
      </c>
      <c r="X958">
        <f>(AVERAGE(E958:G958)-1)/4</f>
        <v/>
      </c>
      <c r="Y958">
        <f>(AVERAGE(H958:J958)-1)/4</f>
        <v/>
      </c>
      <c r="Z958">
        <f>(AVERAGE(K958:M958)-1)/4</f>
        <v/>
      </c>
      <c r="AA958">
        <f>(AVERAGE(N958:P958)-1)/4</f>
        <v/>
      </c>
      <c r="AB958">
        <f>(AVERAGE(Q958:S958)-1)/4</f>
        <v/>
      </c>
      <c r="AC958">
        <f>(AVERAGE(T958:V958)-1)/4</f>
        <v/>
      </c>
      <c r="AD958">
        <f>AVERAGE(W958:AA958)</f>
        <v/>
      </c>
      <c r="AE958">
        <f>MIN(W958:AA958)</f>
        <v/>
      </c>
      <c r="AF958">
        <f>1-alpha*MAX(0,delta-AE958)</f>
        <v/>
      </c>
      <c r="AG958">
        <f>AD958*AF958</f>
        <v/>
      </c>
      <c r="AH958">
        <f>1+COUNTIF(bounds,"&lt;"&amp;ROUND(AD958,12))</f>
        <v/>
      </c>
      <c r="AI958">
        <f>1+COUNTIF(bounds,"&lt;"&amp;ROUND(AG958,12))</f>
        <v/>
      </c>
      <c r="AJ958">
        <f>IF(AF958&lt;1,1,0)</f>
        <v/>
      </c>
      <c r="AK958">
        <f>IF(AH958&lt;&gt;AI958,1,0)</f>
        <v/>
      </c>
      <c r="AL958">
        <f>IF(AND(AI958&gt;=3,AB958&lt;=0.2),1,0)</f>
        <v/>
      </c>
      <c r="AM958">
        <f>AVERAGE(W958:AB958)</f>
        <v/>
      </c>
      <c r="AN958">
        <f>1+COUNTIF(bounds,"&lt;"&amp;ROUND(AM958,12))</f>
        <v/>
      </c>
      <c r="AO958">
        <f>IF(AK958=1,AD958,NA())</f>
        <v/>
      </c>
      <c r="AP958">
        <f>IF(AK958=0,AD958,NA())</f>
        <v/>
      </c>
    </row>
    <row r="959">
      <c r="A959" t="n">
        <v>951</v>
      </c>
      <c r="B959" t="n">
        <v>3</v>
      </c>
      <c r="C959" t="n">
        <v>2</v>
      </c>
      <c r="D959" t="n">
        <v>2</v>
      </c>
      <c r="E959" t="n">
        <v>2</v>
      </c>
      <c r="F959" t="n">
        <v>3</v>
      </c>
      <c r="G959" t="n">
        <v>2</v>
      </c>
      <c r="H959" t="n">
        <v>1</v>
      </c>
      <c r="I959" t="n">
        <v>4</v>
      </c>
      <c r="J959" t="n">
        <v>5</v>
      </c>
      <c r="K959" t="n">
        <v>2</v>
      </c>
      <c r="L959" t="n">
        <v>1</v>
      </c>
      <c r="M959" t="n">
        <v>3</v>
      </c>
      <c r="N959" t="n">
        <v>3</v>
      </c>
      <c r="O959" t="n">
        <v>4</v>
      </c>
      <c r="P959" t="n">
        <v>4</v>
      </c>
      <c r="Q959" t="n">
        <v>4</v>
      </c>
      <c r="R959" t="n">
        <v>3</v>
      </c>
      <c r="S959" t="n">
        <v>2</v>
      </c>
      <c r="T959" t="n">
        <v>5</v>
      </c>
      <c r="U959" t="n">
        <v>1</v>
      </c>
      <c r="V959" t="n">
        <v>2</v>
      </c>
      <c r="W959">
        <f>(AVERAGE(B959:D959)-1)/4</f>
        <v/>
      </c>
      <c r="X959">
        <f>(AVERAGE(E959:G959)-1)/4</f>
        <v/>
      </c>
      <c r="Y959">
        <f>(AVERAGE(H959:J959)-1)/4</f>
        <v/>
      </c>
      <c r="Z959">
        <f>(AVERAGE(K959:M959)-1)/4</f>
        <v/>
      </c>
      <c r="AA959">
        <f>(AVERAGE(N959:P959)-1)/4</f>
        <v/>
      </c>
      <c r="AB959">
        <f>(AVERAGE(Q959:S959)-1)/4</f>
        <v/>
      </c>
      <c r="AC959">
        <f>(AVERAGE(T959:V959)-1)/4</f>
        <v/>
      </c>
      <c r="AD959">
        <f>AVERAGE(W959:AA959)</f>
        <v/>
      </c>
      <c r="AE959">
        <f>MIN(W959:AA959)</f>
        <v/>
      </c>
      <c r="AF959">
        <f>1-alpha*MAX(0,delta-AE959)</f>
        <v/>
      </c>
      <c r="AG959">
        <f>AD959*AF959</f>
        <v/>
      </c>
      <c r="AH959">
        <f>1+COUNTIF(bounds,"&lt;"&amp;ROUND(AD959,12))</f>
        <v/>
      </c>
      <c r="AI959">
        <f>1+COUNTIF(bounds,"&lt;"&amp;ROUND(AG959,12))</f>
        <v/>
      </c>
      <c r="AJ959">
        <f>IF(AF959&lt;1,1,0)</f>
        <v/>
      </c>
      <c r="AK959">
        <f>IF(AH959&lt;&gt;AI959,1,0)</f>
        <v/>
      </c>
      <c r="AL959">
        <f>IF(AND(AI959&gt;=3,AB959&lt;=0.2),1,0)</f>
        <v/>
      </c>
      <c r="AM959">
        <f>AVERAGE(W959:AB959)</f>
        <v/>
      </c>
      <c r="AN959">
        <f>1+COUNTIF(bounds,"&lt;"&amp;ROUND(AM959,12))</f>
        <v/>
      </c>
      <c r="AO959">
        <f>IF(AK959=1,AD959,NA())</f>
        <v/>
      </c>
      <c r="AP959">
        <f>IF(AK959=0,AD959,NA())</f>
        <v/>
      </c>
    </row>
    <row r="960">
      <c r="A960" t="n">
        <v>952</v>
      </c>
      <c r="B960" t="n">
        <v>1</v>
      </c>
      <c r="C960" t="n">
        <v>4</v>
      </c>
      <c r="D960" t="n">
        <v>2</v>
      </c>
      <c r="E960" t="n">
        <v>2</v>
      </c>
      <c r="F960" t="n">
        <v>3</v>
      </c>
      <c r="G960" t="n">
        <v>2</v>
      </c>
      <c r="H960" t="n">
        <v>4</v>
      </c>
      <c r="I960" t="n">
        <v>3</v>
      </c>
      <c r="J960" t="n">
        <v>1</v>
      </c>
      <c r="K960" t="n">
        <v>5</v>
      </c>
      <c r="L960" t="n">
        <v>4</v>
      </c>
      <c r="M960" t="n">
        <v>4</v>
      </c>
      <c r="N960" t="n">
        <v>3</v>
      </c>
      <c r="O960" t="n">
        <v>2</v>
      </c>
      <c r="P960" t="n">
        <v>2</v>
      </c>
      <c r="Q960" t="n">
        <v>3</v>
      </c>
      <c r="R960" t="n">
        <v>1</v>
      </c>
      <c r="S960" t="n">
        <v>5</v>
      </c>
      <c r="T960" t="n">
        <v>2</v>
      </c>
      <c r="U960" t="n">
        <v>4</v>
      </c>
      <c r="V960" t="n">
        <v>1</v>
      </c>
      <c r="W960">
        <f>(AVERAGE(B960:D960)-1)/4</f>
        <v/>
      </c>
      <c r="X960">
        <f>(AVERAGE(E960:G960)-1)/4</f>
        <v/>
      </c>
      <c r="Y960">
        <f>(AVERAGE(H960:J960)-1)/4</f>
        <v/>
      </c>
      <c r="Z960">
        <f>(AVERAGE(K960:M960)-1)/4</f>
        <v/>
      </c>
      <c r="AA960">
        <f>(AVERAGE(N960:P960)-1)/4</f>
        <v/>
      </c>
      <c r="AB960">
        <f>(AVERAGE(Q960:S960)-1)/4</f>
        <v/>
      </c>
      <c r="AC960">
        <f>(AVERAGE(T960:V960)-1)/4</f>
        <v/>
      </c>
      <c r="AD960">
        <f>AVERAGE(W960:AA960)</f>
        <v/>
      </c>
      <c r="AE960">
        <f>MIN(W960:AA960)</f>
        <v/>
      </c>
      <c r="AF960">
        <f>1-alpha*MAX(0,delta-AE960)</f>
        <v/>
      </c>
      <c r="AG960">
        <f>AD960*AF960</f>
        <v/>
      </c>
      <c r="AH960">
        <f>1+COUNTIF(bounds,"&lt;"&amp;ROUND(AD960,12))</f>
        <v/>
      </c>
      <c r="AI960">
        <f>1+COUNTIF(bounds,"&lt;"&amp;ROUND(AG960,12))</f>
        <v/>
      </c>
      <c r="AJ960">
        <f>IF(AF960&lt;1,1,0)</f>
        <v/>
      </c>
      <c r="AK960">
        <f>IF(AH960&lt;&gt;AI960,1,0)</f>
        <v/>
      </c>
      <c r="AL960">
        <f>IF(AND(AI960&gt;=3,AB960&lt;=0.2),1,0)</f>
        <v/>
      </c>
      <c r="AM960">
        <f>AVERAGE(W960:AB960)</f>
        <v/>
      </c>
      <c r="AN960">
        <f>1+COUNTIF(bounds,"&lt;"&amp;ROUND(AM960,12))</f>
        <v/>
      </c>
      <c r="AO960">
        <f>IF(AK960=1,AD960,NA())</f>
        <v/>
      </c>
      <c r="AP960">
        <f>IF(AK960=0,AD960,NA())</f>
        <v/>
      </c>
    </row>
    <row r="961">
      <c r="A961" t="n">
        <v>953</v>
      </c>
      <c r="B961" t="n">
        <v>1</v>
      </c>
      <c r="C961" t="n">
        <v>5</v>
      </c>
      <c r="D961" t="n">
        <v>1</v>
      </c>
      <c r="E961" t="n">
        <v>5</v>
      </c>
      <c r="F961" t="n">
        <v>2</v>
      </c>
      <c r="G961" t="n">
        <v>2</v>
      </c>
      <c r="H961" t="n">
        <v>3</v>
      </c>
      <c r="I961" t="n">
        <v>4</v>
      </c>
      <c r="J961" t="n">
        <v>4</v>
      </c>
      <c r="K961" t="n">
        <v>2</v>
      </c>
      <c r="L961" t="n">
        <v>5</v>
      </c>
      <c r="M961" t="n">
        <v>3</v>
      </c>
      <c r="N961" t="n">
        <v>2</v>
      </c>
      <c r="O961" t="n">
        <v>5</v>
      </c>
      <c r="P961" t="n">
        <v>1</v>
      </c>
      <c r="Q961" t="n">
        <v>5</v>
      </c>
      <c r="R961" t="n">
        <v>5</v>
      </c>
      <c r="S961" t="n">
        <v>4</v>
      </c>
      <c r="T961" t="n">
        <v>1</v>
      </c>
      <c r="U961" t="n">
        <v>4</v>
      </c>
      <c r="V961" t="n">
        <v>5</v>
      </c>
      <c r="W961">
        <f>(AVERAGE(B961:D961)-1)/4</f>
        <v/>
      </c>
      <c r="X961">
        <f>(AVERAGE(E961:G961)-1)/4</f>
        <v/>
      </c>
      <c r="Y961">
        <f>(AVERAGE(H961:J961)-1)/4</f>
        <v/>
      </c>
      <c r="Z961">
        <f>(AVERAGE(K961:M961)-1)/4</f>
        <v/>
      </c>
      <c r="AA961">
        <f>(AVERAGE(N961:P961)-1)/4</f>
        <v/>
      </c>
      <c r="AB961">
        <f>(AVERAGE(Q961:S961)-1)/4</f>
        <v/>
      </c>
      <c r="AC961">
        <f>(AVERAGE(T961:V961)-1)/4</f>
        <v/>
      </c>
      <c r="AD961">
        <f>AVERAGE(W961:AA961)</f>
        <v/>
      </c>
      <c r="AE961">
        <f>MIN(W961:AA961)</f>
        <v/>
      </c>
      <c r="AF961">
        <f>1-alpha*MAX(0,delta-AE961)</f>
        <v/>
      </c>
      <c r="AG961">
        <f>AD961*AF961</f>
        <v/>
      </c>
      <c r="AH961">
        <f>1+COUNTIF(bounds,"&lt;"&amp;ROUND(AD961,12))</f>
        <v/>
      </c>
      <c r="AI961">
        <f>1+COUNTIF(bounds,"&lt;"&amp;ROUND(AG961,12))</f>
        <v/>
      </c>
      <c r="AJ961">
        <f>IF(AF961&lt;1,1,0)</f>
        <v/>
      </c>
      <c r="AK961">
        <f>IF(AH961&lt;&gt;AI961,1,0)</f>
        <v/>
      </c>
      <c r="AL961">
        <f>IF(AND(AI961&gt;=3,AB961&lt;=0.2),1,0)</f>
        <v/>
      </c>
      <c r="AM961">
        <f>AVERAGE(W961:AB961)</f>
        <v/>
      </c>
      <c r="AN961">
        <f>1+COUNTIF(bounds,"&lt;"&amp;ROUND(AM961,12))</f>
        <v/>
      </c>
      <c r="AO961">
        <f>IF(AK961=1,AD961,NA())</f>
        <v/>
      </c>
      <c r="AP961">
        <f>IF(AK961=0,AD961,NA())</f>
        <v/>
      </c>
    </row>
    <row r="962">
      <c r="A962" t="n">
        <v>954</v>
      </c>
      <c r="B962" t="n">
        <v>5</v>
      </c>
      <c r="C962" t="n">
        <v>1</v>
      </c>
      <c r="D962" t="n">
        <v>3</v>
      </c>
      <c r="E962" t="n">
        <v>4</v>
      </c>
      <c r="F962" t="n">
        <v>1</v>
      </c>
      <c r="G962" t="n">
        <v>3</v>
      </c>
      <c r="H962" t="n">
        <v>5</v>
      </c>
      <c r="I962" t="n">
        <v>3</v>
      </c>
      <c r="J962" t="n">
        <v>3</v>
      </c>
      <c r="K962" t="n">
        <v>2</v>
      </c>
      <c r="L962" t="n">
        <v>2</v>
      </c>
      <c r="M962" t="n">
        <v>3</v>
      </c>
      <c r="N962" t="n">
        <v>4</v>
      </c>
      <c r="O962" t="n">
        <v>1</v>
      </c>
      <c r="P962" t="n">
        <v>1</v>
      </c>
      <c r="Q962" t="n">
        <v>3</v>
      </c>
      <c r="R962" t="n">
        <v>1</v>
      </c>
      <c r="S962" t="n">
        <v>2</v>
      </c>
      <c r="T962" t="n">
        <v>4</v>
      </c>
      <c r="U962" t="n">
        <v>4</v>
      </c>
      <c r="V962" t="n">
        <v>5</v>
      </c>
      <c r="W962">
        <f>(AVERAGE(B962:D962)-1)/4</f>
        <v/>
      </c>
      <c r="X962">
        <f>(AVERAGE(E962:G962)-1)/4</f>
        <v/>
      </c>
      <c r="Y962">
        <f>(AVERAGE(H962:J962)-1)/4</f>
        <v/>
      </c>
      <c r="Z962">
        <f>(AVERAGE(K962:M962)-1)/4</f>
        <v/>
      </c>
      <c r="AA962">
        <f>(AVERAGE(N962:P962)-1)/4</f>
        <v/>
      </c>
      <c r="AB962">
        <f>(AVERAGE(Q962:S962)-1)/4</f>
        <v/>
      </c>
      <c r="AC962">
        <f>(AVERAGE(T962:V962)-1)/4</f>
        <v/>
      </c>
      <c r="AD962">
        <f>AVERAGE(W962:AA962)</f>
        <v/>
      </c>
      <c r="AE962">
        <f>MIN(W962:AA962)</f>
        <v/>
      </c>
      <c r="AF962">
        <f>1-alpha*MAX(0,delta-AE962)</f>
        <v/>
      </c>
      <c r="AG962">
        <f>AD962*AF962</f>
        <v/>
      </c>
      <c r="AH962">
        <f>1+COUNTIF(bounds,"&lt;"&amp;ROUND(AD962,12))</f>
        <v/>
      </c>
      <c r="AI962">
        <f>1+COUNTIF(bounds,"&lt;"&amp;ROUND(AG962,12))</f>
        <v/>
      </c>
      <c r="AJ962">
        <f>IF(AF962&lt;1,1,0)</f>
        <v/>
      </c>
      <c r="AK962">
        <f>IF(AH962&lt;&gt;AI962,1,0)</f>
        <v/>
      </c>
      <c r="AL962">
        <f>IF(AND(AI962&gt;=3,AB962&lt;=0.2),1,0)</f>
        <v/>
      </c>
      <c r="AM962">
        <f>AVERAGE(W962:AB962)</f>
        <v/>
      </c>
      <c r="AN962">
        <f>1+COUNTIF(bounds,"&lt;"&amp;ROUND(AM962,12))</f>
        <v/>
      </c>
      <c r="AO962">
        <f>IF(AK962=1,AD962,NA())</f>
        <v/>
      </c>
      <c r="AP962">
        <f>IF(AK962=0,AD962,NA())</f>
        <v/>
      </c>
    </row>
    <row r="963">
      <c r="A963" t="n">
        <v>955</v>
      </c>
      <c r="B963" t="n">
        <v>3</v>
      </c>
      <c r="C963" t="n">
        <v>4</v>
      </c>
      <c r="D963" t="n">
        <v>5</v>
      </c>
      <c r="E963" t="n">
        <v>1</v>
      </c>
      <c r="F963" t="n">
        <v>4</v>
      </c>
      <c r="G963" t="n">
        <v>1</v>
      </c>
      <c r="H963" t="n">
        <v>5</v>
      </c>
      <c r="I963" t="n">
        <v>1</v>
      </c>
      <c r="J963" t="n">
        <v>1</v>
      </c>
      <c r="K963" t="n">
        <v>3</v>
      </c>
      <c r="L963" t="n">
        <v>5</v>
      </c>
      <c r="M963" t="n">
        <v>5</v>
      </c>
      <c r="N963" t="n">
        <v>5</v>
      </c>
      <c r="O963" t="n">
        <v>4</v>
      </c>
      <c r="P963" t="n">
        <v>2</v>
      </c>
      <c r="Q963" t="n">
        <v>5</v>
      </c>
      <c r="R963" t="n">
        <v>4</v>
      </c>
      <c r="S963" t="n">
        <v>2</v>
      </c>
      <c r="T963" t="n">
        <v>2</v>
      </c>
      <c r="U963" t="n">
        <v>1</v>
      </c>
      <c r="V963" t="n">
        <v>5</v>
      </c>
      <c r="W963">
        <f>(AVERAGE(B963:D963)-1)/4</f>
        <v/>
      </c>
      <c r="X963">
        <f>(AVERAGE(E963:G963)-1)/4</f>
        <v/>
      </c>
      <c r="Y963">
        <f>(AVERAGE(H963:J963)-1)/4</f>
        <v/>
      </c>
      <c r="Z963">
        <f>(AVERAGE(K963:M963)-1)/4</f>
        <v/>
      </c>
      <c r="AA963">
        <f>(AVERAGE(N963:P963)-1)/4</f>
        <v/>
      </c>
      <c r="AB963">
        <f>(AVERAGE(Q963:S963)-1)/4</f>
        <v/>
      </c>
      <c r="AC963">
        <f>(AVERAGE(T963:V963)-1)/4</f>
        <v/>
      </c>
      <c r="AD963">
        <f>AVERAGE(W963:AA963)</f>
        <v/>
      </c>
      <c r="AE963">
        <f>MIN(W963:AA963)</f>
        <v/>
      </c>
      <c r="AF963">
        <f>1-alpha*MAX(0,delta-AE963)</f>
        <v/>
      </c>
      <c r="AG963">
        <f>AD963*AF963</f>
        <v/>
      </c>
      <c r="AH963">
        <f>1+COUNTIF(bounds,"&lt;"&amp;ROUND(AD963,12))</f>
        <v/>
      </c>
      <c r="AI963">
        <f>1+COUNTIF(bounds,"&lt;"&amp;ROUND(AG963,12))</f>
        <v/>
      </c>
      <c r="AJ963">
        <f>IF(AF963&lt;1,1,0)</f>
        <v/>
      </c>
      <c r="AK963">
        <f>IF(AH963&lt;&gt;AI963,1,0)</f>
        <v/>
      </c>
      <c r="AL963">
        <f>IF(AND(AI963&gt;=3,AB963&lt;=0.2),1,0)</f>
        <v/>
      </c>
      <c r="AM963">
        <f>AVERAGE(W963:AB963)</f>
        <v/>
      </c>
      <c r="AN963">
        <f>1+COUNTIF(bounds,"&lt;"&amp;ROUND(AM963,12))</f>
        <v/>
      </c>
      <c r="AO963">
        <f>IF(AK963=1,AD963,NA())</f>
        <v/>
      </c>
      <c r="AP963">
        <f>IF(AK963=0,AD963,NA())</f>
        <v/>
      </c>
    </row>
    <row r="964">
      <c r="A964" t="n">
        <v>956</v>
      </c>
      <c r="B964" t="n">
        <v>2</v>
      </c>
      <c r="C964" t="n">
        <v>4</v>
      </c>
      <c r="D964" t="n">
        <v>1</v>
      </c>
      <c r="E964" t="n">
        <v>3</v>
      </c>
      <c r="F964" t="n">
        <v>2</v>
      </c>
      <c r="G964" t="n">
        <v>5</v>
      </c>
      <c r="H964" t="n">
        <v>1</v>
      </c>
      <c r="I964" t="n">
        <v>5</v>
      </c>
      <c r="J964" t="n">
        <v>2</v>
      </c>
      <c r="K964" t="n">
        <v>5</v>
      </c>
      <c r="L964" t="n">
        <v>1</v>
      </c>
      <c r="M964" t="n">
        <v>5</v>
      </c>
      <c r="N964" t="n">
        <v>1</v>
      </c>
      <c r="O964" t="n">
        <v>5</v>
      </c>
      <c r="P964" t="n">
        <v>5</v>
      </c>
      <c r="Q964" t="n">
        <v>4</v>
      </c>
      <c r="R964" t="n">
        <v>2</v>
      </c>
      <c r="S964" t="n">
        <v>1</v>
      </c>
      <c r="T964" t="n">
        <v>2</v>
      </c>
      <c r="U964" t="n">
        <v>5</v>
      </c>
      <c r="V964" t="n">
        <v>3</v>
      </c>
      <c r="W964">
        <f>(AVERAGE(B964:D964)-1)/4</f>
        <v/>
      </c>
      <c r="X964">
        <f>(AVERAGE(E964:G964)-1)/4</f>
        <v/>
      </c>
      <c r="Y964">
        <f>(AVERAGE(H964:J964)-1)/4</f>
        <v/>
      </c>
      <c r="Z964">
        <f>(AVERAGE(K964:M964)-1)/4</f>
        <v/>
      </c>
      <c r="AA964">
        <f>(AVERAGE(N964:P964)-1)/4</f>
        <v/>
      </c>
      <c r="AB964">
        <f>(AVERAGE(Q964:S964)-1)/4</f>
        <v/>
      </c>
      <c r="AC964">
        <f>(AVERAGE(T964:V964)-1)/4</f>
        <v/>
      </c>
      <c r="AD964">
        <f>AVERAGE(W964:AA964)</f>
        <v/>
      </c>
      <c r="AE964">
        <f>MIN(W964:AA964)</f>
        <v/>
      </c>
      <c r="AF964">
        <f>1-alpha*MAX(0,delta-AE964)</f>
        <v/>
      </c>
      <c r="AG964">
        <f>AD964*AF964</f>
        <v/>
      </c>
      <c r="AH964">
        <f>1+COUNTIF(bounds,"&lt;"&amp;ROUND(AD964,12))</f>
        <v/>
      </c>
      <c r="AI964">
        <f>1+COUNTIF(bounds,"&lt;"&amp;ROUND(AG964,12))</f>
        <v/>
      </c>
      <c r="AJ964">
        <f>IF(AF964&lt;1,1,0)</f>
        <v/>
      </c>
      <c r="AK964">
        <f>IF(AH964&lt;&gt;AI964,1,0)</f>
        <v/>
      </c>
      <c r="AL964">
        <f>IF(AND(AI964&gt;=3,AB964&lt;=0.2),1,0)</f>
        <v/>
      </c>
      <c r="AM964">
        <f>AVERAGE(W964:AB964)</f>
        <v/>
      </c>
      <c r="AN964">
        <f>1+COUNTIF(bounds,"&lt;"&amp;ROUND(AM964,12))</f>
        <v/>
      </c>
      <c r="AO964">
        <f>IF(AK964=1,AD964,NA())</f>
        <v/>
      </c>
      <c r="AP964">
        <f>IF(AK964=0,AD964,NA())</f>
        <v/>
      </c>
    </row>
    <row r="965">
      <c r="A965" t="n">
        <v>957</v>
      </c>
      <c r="B965" t="n">
        <v>1</v>
      </c>
      <c r="C965" t="n">
        <v>2</v>
      </c>
      <c r="D965" t="n">
        <v>2</v>
      </c>
      <c r="E965" t="n">
        <v>1</v>
      </c>
      <c r="F965" t="n">
        <v>2</v>
      </c>
      <c r="G965" t="n">
        <v>5</v>
      </c>
      <c r="H965" t="n">
        <v>1</v>
      </c>
      <c r="I965" t="n">
        <v>4</v>
      </c>
      <c r="J965" t="n">
        <v>5</v>
      </c>
      <c r="K965" t="n">
        <v>2</v>
      </c>
      <c r="L965" t="n">
        <v>3</v>
      </c>
      <c r="M965" t="n">
        <v>4</v>
      </c>
      <c r="N965" t="n">
        <v>4</v>
      </c>
      <c r="O965" t="n">
        <v>5</v>
      </c>
      <c r="P965" t="n">
        <v>5</v>
      </c>
      <c r="Q965" t="n">
        <v>4</v>
      </c>
      <c r="R965" t="n">
        <v>5</v>
      </c>
      <c r="S965" t="n">
        <v>5</v>
      </c>
      <c r="T965" t="n">
        <v>3</v>
      </c>
      <c r="U965" t="n">
        <v>2</v>
      </c>
      <c r="V965" t="n">
        <v>2</v>
      </c>
      <c r="W965">
        <f>(AVERAGE(B965:D965)-1)/4</f>
        <v/>
      </c>
      <c r="X965">
        <f>(AVERAGE(E965:G965)-1)/4</f>
        <v/>
      </c>
      <c r="Y965">
        <f>(AVERAGE(H965:J965)-1)/4</f>
        <v/>
      </c>
      <c r="Z965">
        <f>(AVERAGE(K965:M965)-1)/4</f>
        <v/>
      </c>
      <c r="AA965">
        <f>(AVERAGE(N965:P965)-1)/4</f>
        <v/>
      </c>
      <c r="AB965">
        <f>(AVERAGE(Q965:S965)-1)/4</f>
        <v/>
      </c>
      <c r="AC965">
        <f>(AVERAGE(T965:V965)-1)/4</f>
        <v/>
      </c>
      <c r="AD965">
        <f>AVERAGE(W965:AA965)</f>
        <v/>
      </c>
      <c r="AE965">
        <f>MIN(W965:AA965)</f>
        <v/>
      </c>
      <c r="AF965">
        <f>1-alpha*MAX(0,delta-AE965)</f>
        <v/>
      </c>
      <c r="AG965">
        <f>AD965*AF965</f>
        <v/>
      </c>
      <c r="AH965">
        <f>1+COUNTIF(bounds,"&lt;"&amp;ROUND(AD965,12))</f>
        <v/>
      </c>
      <c r="AI965">
        <f>1+COUNTIF(bounds,"&lt;"&amp;ROUND(AG965,12))</f>
        <v/>
      </c>
      <c r="AJ965">
        <f>IF(AF965&lt;1,1,0)</f>
        <v/>
      </c>
      <c r="AK965">
        <f>IF(AH965&lt;&gt;AI965,1,0)</f>
        <v/>
      </c>
      <c r="AL965">
        <f>IF(AND(AI965&gt;=3,AB965&lt;=0.2),1,0)</f>
        <v/>
      </c>
      <c r="AM965">
        <f>AVERAGE(W965:AB965)</f>
        <v/>
      </c>
      <c r="AN965">
        <f>1+COUNTIF(bounds,"&lt;"&amp;ROUND(AM965,12))</f>
        <v/>
      </c>
      <c r="AO965">
        <f>IF(AK965=1,AD965,NA())</f>
        <v/>
      </c>
      <c r="AP965">
        <f>IF(AK965=0,AD965,NA())</f>
        <v/>
      </c>
    </row>
    <row r="966">
      <c r="A966" t="n">
        <v>958</v>
      </c>
      <c r="B966" t="n">
        <v>2</v>
      </c>
      <c r="C966" t="n">
        <v>3</v>
      </c>
      <c r="D966" t="n">
        <v>4</v>
      </c>
      <c r="E966" t="n">
        <v>4</v>
      </c>
      <c r="F966" t="n">
        <v>5</v>
      </c>
      <c r="G966" t="n">
        <v>3</v>
      </c>
      <c r="H966" t="n">
        <v>5</v>
      </c>
      <c r="I966" t="n">
        <v>4</v>
      </c>
      <c r="J966" t="n">
        <v>5</v>
      </c>
      <c r="K966" t="n">
        <v>4</v>
      </c>
      <c r="L966" t="n">
        <v>1</v>
      </c>
      <c r="M966" t="n">
        <v>5</v>
      </c>
      <c r="N966" t="n">
        <v>2</v>
      </c>
      <c r="O966" t="n">
        <v>5</v>
      </c>
      <c r="P966" t="n">
        <v>1</v>
      </c>
      <c r="Q966" t="n">
        <v>3</v>
      </c>
      <c r="R966" t="n">
        <v>4</v>
      </c>
      <c r="S966" t="n">
        <v>1</v>
      </c>
      <c r="T966" t="n">
        <v>3</v>
      </c>
      <c r="U966" t="n">
        <v>5</v>
      </c>
      <c r="V966" t="n">
        <v>4</v>
      </c>
      <c r="W966">
        <f>(AVERAGE(B966:D966)-1)/4</f>
        <v/>
      </c>
      <c r="X966">
        <f>(AVERAGE(E966:G966)-1)/4</f>
        <v/>
      </c>
      <c r="Y966">
        <f>(AVERAGE(H966:J966)-1)/4</f>
        <v/>
      </c>
      <c r="Z966">
        <f>(AVERAGE(K966:M966)-1)/4</f>
        <v/>
      </c>
      <c r="AA966">
        <f>(AVERAGE(N966:P966)-1)/4</f>
        <v/>
      </c>
      <c r="AB966">
        <f>(AVERAGE(Q966:S966)-1)/4</f>
        <v/>
      </c>
      <c r="AC966">
        <f>(AVERAGE(T966:V966)-1)/4</f>
        <v/>
      </c>
      <c r="AD966">
        <f>AVERAGE(W966:AA966)</f>
        <v/>
      </c>
      <c r="AE966">
        <f>MIN(W966:AA966)</f>
        <v/>
      </c>
      <c r="AF966">
        <f>1-alpha*MAX(0,delta-AE966)</f>
        <v/>
      </c>
      <c r="AG966">
        <f>AD966*AF966</f>
        <v/>
      </c>
      <c r="AH966">
        <f>1+COUNTIF(bounds,"&lt;"&amp;ROUND(AD966,12))</f>
        <v/>
      </c>
      <c r="AI966">
        <f>1+COUNTIF(bounds,"&lt;"&amp;ROUND(AG966,12))</f>
        <v/>
      </c>
      <c r="AJ966">
        <f>IF(AF966&lt;1,1,0)</f>
        <v/>
      </c>
      <c r="AK966">
        <f>IF(AH966&lt;&gt;AI966,1,0)</f>
        <v/>
      </c>
      <c r="AL966">
        <f>IF(AND(AI966&gt;=3,AB966&lt;=0.2),1,0)</f>
        <v/>
      </c>
      <c r="AM966">
        <f>AVERAGE(W966:AB966)</f>
        <v/>
      </c>
      <c r="AN966">
        <f>1+COUNTIF(bounds,"&lt;"&amp;ROUND(AM966,12))</f>
        <v/>
      </c>
      <c r="AO966">
        <f>IF(AK966=1,AD966,NA())</f>
        <v/>
      </c>
      <c r="AP966">
        <f>IF(AK966=0,AD966,NA())</f>
        <v/>
      </c>
    </row>
    <row r="967">
      <c r="A967" t="n">
        <v>959</v>
      </c>
      <c r="B967" t="n">
        <v>2</v>
      </c>
      <c r="C967" t="n">
        <v>2</v>
      </c>
      <c r="D967" t="n">
        <v>2</v>
      </c>
      <c r="E967" t="n">
        <v>2</v>
      </c>
      <c r="F967" t="n">
        <v>4</v>
      </c>
      <c r="G967" t="n">
        <v>2</v>
      </c>
      <c r="H967" t="n">
        <v>4</v>
      </c>
      <c r="I967" t="n">
        <v>4</v>
      </c>
      <c r="J967" t="n">
        <v>1</v>
      </c>
      <c r="K967" t="n">
        <v>3</v>
      </c>
      <c r="L967" t="n">
        <v>5</v>
      </c>
      <c r="M967" t="n">
        <v>5</v>
      </c>
      <c r="N967" t="n">
        <v>1</v>
      </c>
      <c r="O967" t="n">
        <v>3</v>
      </c>
      <c r="P967" t="n">
        <v>4</v>
      </c>
      <c r="Q967" t="n">
        <v>5</v>
      </c>
      <c r="R967" t="n">
        <v>5</v>
      </c>
      <c r="S967" t="n">
        <v>3</v>
      </c>
      <c r="T967" t="n">
        <v>3</v>
      </c>
      <c r="U967" t="n">
        <v>3</v>
      </c>
      <c r="V967" t="n">
        <v>4</v>
      </c>
      <c r="W967">
        <f>(AVERAGE(B967:D967)-1)/4</f>
        <v/>
      </c>
      <c r="X967">
        <f>(AVERAGE(E967:G967)-1)/4</f>
        <v/>
      </c>
      <c r="Y967">
        <f>(AVERAGE(H967:J967)-1)/4</f>
        <v/>
      </c>
      <c r="Z967">
        <f>(AVERAGE(K967:M967)-1)/4</f>
        <v/>
      </c>
      <c r="AA967">
        <f>(AVERAGE(N967:P967)-1)/4</f>
        <v/>
      </c>
      <c r="AB967">
        <f>(AVERAGE(Q967:S967)-1)/4</f>
        <v/>
      </c>
      <c r="AC967">
        <f>(AVERAGE(T967:V967)-1)/4</f>
        <v/>
      </c>
      <c r="AD967">
        <f>AVERAGE(W967:AA967)</f>
        <v/>
      </c>
      <c r="AE967">
        <f>MIN(W967:AA967)</f>
        <v/>
      </c>
      <c r="AF967">
        <f>1-alpha*MAX(0,delta-AE967)</f>
        <v/>
      </c>
      <c r="AG967">
        <f>AD967*AF967</f>
        <v/>
      </c>
      <c r="AH967">
        <f>1+COUNTIF(bounds,"&lt;"&amp;ROUND(AD967,12))</f>
        <v/>
      </c>
      <c r="AI967">
        <f>1+COUNTIF(bounds,"&lt;"&amp;ROUND(AG967,12))</f>
        <v/>
      </c>
      <c r="AJ967">
        <f>IF(AF967&lt;1,1,0)</f>
        <v/>
      </c>
      <c r="AK967">
        <f>IF(AH967&lt;&gt;AI967,1,0)</f>
        <v/>
      </c>
      <c r="AL967">
        <f>IF(AND(AI967&gt;=3,AB967&lt;=0.2),1,0)</f>
        <v/>
      </c>
      <c r="AM967">
        <f>AVERAGE(W967:AB967)</f>
        <v/>
      </c>
      <c r="AN967">
        <f>1+COUNTIF(bounds,"&lt;"&amp;ROUND(AM967,12))</f>
        <v/>
      </c>
      <c r="AO967">
        <f>IF(AK967=1,AD967,NA())</f>
        <v/>
      </c>
      <c r="AP967">
        <f>IF(AK967=0,AD967,NA())</f>
        <v/>
      </c>
    </row>
    <row r="968">
      <c r="A968" t="n">
        <v>960</v>
      </c>
      <c r="B968" t="n">
        <v>5</v>
      </c>
      <c r="C968" t="n">
        <v>1</v>
      </c>
      <c r="D968" t="n">
        <v>1</v>
      </c>
      <c r="E968" t="n">
        <v>3</v>
      </c>
      <c r="F968" t="n">
        <v>1</v>
      </c>
      <c r="G968" t="n">
        <v>3</v>
      </c>
      <c r="H968" t="n">
        <v>3</v>
      </c>
      <c r="I968" t="n">
        <v>1</v>
      </c>
      <c r="J968" t="n">
        <v>2</v>
      </c>
      <c r="K968" t="n">
        <v>2</v>
      </c>
      <c r="L968" t="n">
        <v>3</v>
      </c>
      <c r="M968" t="n">
        <v>2</v>
      </c>
      <c r="N968" t="n">
        <v>2</v>
      </c>
      <c r="O968" t="n">
        <v>2</v>
      </c>
      <c r="P968" t="n">
        <v>2</v>
      </c>
      <c r="Q968" t="n">
        <v>3</v>
      </c>
      <c r="R968" t="n">
        <v>3</v>
      </c>
      <c r="S968" t="n">
        <v>3</v>
      </c>
      <c r="T968" t="n">
        <v>2</v>
      </c>
      <c r="U968" t="n">
        <v>5</v>
      </c>
      <c r="V968" t="n">
        <v>1</v>
      </c>
      <c r="W968">
        <f>(AVERAGE(B968:D968)-1)/4</f>
        <v/>
      </c>
      <c r="X968">
        <f>(AVERAGE(E968:G968)-1)/4</f>
        <v/>
      </c>
      <c r="Y968">
        <f>(AVERAGE(H968:J968)-1)/4</f>
        <v/>
      </c>
      <c r="Z968">
        <f>(AVERAGE(K968:M968)-1)/4</f>
        <v/>
      </c>
      <c r="AA968">
        <f>(AVERAGE(N968:P968)-1)/4</f>
        <v/>
      </c>
      <c r="AB968">
        <f>(AVERAGE(Q968:S968)-1)/4</f>
        <v/>
      </c>
      <c r="AC968">
        <f>(AVERAGE(T968:V968)-1)/4</f>
        <v/>
      </c>
      <c r="AD968">
        <f>AVERAGE(W968:AA968)</f>
        <v/>
      </c>
      <c r="AE968">
        <f>MIN(W968:AA968)</f>
        <v/>
      </c>
      <c r="AF968">
        <f>1-alpha*MAX(0,delta-AE968)</f>
        <v/>
      </c>
      <c r="AG968">
        <f>AD968*AF968</f>
        <v/>
      </c>
      <c r="AH968">
        <f>1+COUNTIF(bounds,"&lt;"&amp;ROUND(AD968,12))</f>
        <v/>
      </c>
      <c r="AI968">
        <f>1+COUNTIF(bounds,"&lt;"&amp;ROUND(AG968,12))</f>
        <v/>
      </c>
      <c r="AJ968">
        <f>IF(AF968&lt;1,1,0)</f>
        <v/>
      </c>
      <c r="AK968">
        <f>IF(AH968&lt;&gt;AI968,1,0)</f>
        <v/>
      </c>
      <c r="AL968">
        <f>IF(AND(AI968&gt;=3,AB968&lt;=0.2),1,0)</f>
        <v/>
      </c>
      <c r="AM968">
        <f>AVERAGE(W968:AB968)</f>
        <v/>
      </c>
      <c r="AN968">
        <f>1+COUNTIF(bounds,"&lt;"&amp;ROUND(AM968,12))</f>
        <v/>
      </c>
      <c r="AO968">
        <f>IF(AK968=1,AD968,NA())</f>
        <v/>
      </c>
      <c r="AP968">
        <f>IF(AK968=0,AD968,NA())</f>
        <v/>
      </c>
    </row>
    <row r="969">
      <c r="A969" t="n">
        <v>961</v>
      </c>
      <c r="B969" t="n">
        <v>1</v>
      </c>
      <c r="C969" t="n">
        <v>4</v>
      </c>
      <c r="D969" t="n">
        <v>1</v>
      </c>
      <c r="E969" t="n">
        <v>5</v>
      </c>
      <c r="F969" t="n">
        <v>1</v>
      </c>
      <c r="G969" t="n">
        <v>4</v>
      </c>
      <c r="H969" t="n">
        <v>3</v>
      </c>
      <c r="I969" t="n">
        <v>1</v>
      </c>
      <c r="J969" t="n">
        <v>5</v>
      </c>
      <c r="K969" t="n">
        <v>1</v>
      </c>
      <c r="L969" t="n">
        <v>2</v>
      </c>
      <c r="M969" t="n">
        <v>3</v>
      </c>
      <c r="N969" t="n">
        <v>5</v>
      </c>
      <c r="O969" t="n">
        <v>2</v>
      </c>
      <c r="P969" t="n">
        <v>5</v>
      </c>
      <c r="Q969" t="n">
        <v>1</v>
      </c>
      <c r="R969" t="n">
        <v>4</v>
      </c>
      <c r="S969" t="n">
        <v>5</v>
      </c>
      <c r="T969" t="n">
        <v>3</v>
      </c>
      <c r="U969" t="n">
        <v>3</v>
      </c>
      <c r="V969" t="n">
        <v>3</v>
      </c>
      <c r="W969">
        <f>(AVERAGE(B969:D969)-1)/4</f>
        <v/>
      </c>
      <c r="X969">
        <f>(AVERAGE(E969:G969)-1)/4</f>
        <v/>
      </c>
      <c r="Y969">
        <f>(AVERAGE(H969:J969)-1)/4</f>
        <v/>
      </c>
      <c r="Z969">
        <f>(AVERAGE(K969:M969)-1)/4</f>
        <v/>
      </c>
      <c r="AA969">
        <f>(AVERAGE(N969:P969)-1)/4</f>
        <v/>
      </c>
      <c r="AB969">
        <f>(AVERAGE(Q969:S969)-1)/4</f>
        <v/>
      </c>
      <c r="AC969">
        <f>(AVERAGE(T969:V969)-1)/4</f>
        <v/>
      </c>
      <c r="AD969">
        <f>AVERAGE(W969:AA969)</f>
        <v/>
      </c>
      <c r="AE969">
        <f>MIN(W969:AA969)</f>
        <v/>
      </c>
      <c r="AF969">
        <f>1-alpha*MAX(0,delta-AE969)</f>
        <v/>
      </c>
      <c r="AG969">
        <f>AD969*AF969</f>
        <v/>
      </c>
      <c r="AH969">
        <f>1+COUNTIF(bounds,"&lt;"&amp;ROUND(AD969,12))</f>
        <v/>
      </c>
      <c r="AI969">
        <f>1+COUNTIF(bounds,"&lt;"&amp;ROUND(AG969,12))</f>
        <v/>
      </c>
      <c r="AJ969">
        <f>IF(AF969&lt;1,1,0)</f>
        <v/>
      </c>
      <c r="AK969">
        <f>IF(AH969&lt;&gt;AI969,1,0)</f>
        <v/>
      </c>
      <c r="AL969">
        <f>IF(AND(AI969&gt;=3,AB969&lt;=0.2),1,0)</f>
        <v/>
      </c>
      <c r="AM969">
        <f>AVERAGE(W969:AB969)</f>
        <v/>
      </c>
      <c r="AN969">
        <f>1+COUNTIF(bounds,"&lt;"&amp;ROUND(AM969,12))</f>
        <v/>
      </c>
      <c r="AO969">
        <f>IF(AK969=1,AD969,NA())</f>
        <v/>
      </c>
      <c r="AP969">
        <f>IF(AK969=0,AD969,NA())</f>
        <v/>
      </c>
    </row>
    <row r="970">
      <c r="A970" t="n">
        <v>962</v>
      </c>
      <c r="B970" t="n">
        <v>3</v>
      </c>
      <c r="C970" t="n">
        <v>4</v>
      </c>
      <c r="D970" t="n">
        <v>2</v>
      </c>
      <c r="E970" t="n">
        <v>1</v>
      </c>
      <c r="F970" t="n">
        <v>5</v>
      </c>
      <c r="G970" t="n">
        <v>2</v>
      </c>
      <c r="H970" t="n">
        <v>2</v>
      </c>
      <c r="I970" t="n">
        <v>1</v>
      </c>
      <c r="J970" t="n">
        <v>2</v>
      </c>
      <c r="K970" t="n">
        <v>5</v>
      </c>
      <c r="L970" t="n">
        <v>4</v>
      </c>
      <c r="M970" t="n">
        <v>2</v>
      </c>
      <c r="N970" t="n">
        <v>4</v>
      </c>
      <c r="O970" t="n">
        <v>3</v>
      </c>
      <c r="P970" t="n">
        <v>3</v>
      </c>
      <c r="Q970" t="n">
        <v>3</v>
      </c>
      <c r="R970" t="n">
        <v>4</v>
      </c>
      <c r="S970" t="n">
        <v>3</v>
      </c>
      <c r="T970" t="n">
        <v>4</v>
      </c>
      <c r="U970" t="n">
        <v>3</v>
      </c>
      <c r="V970" t="n">
        <v>5</v>
      </c>
      <c r="W970">
        <f>(AVERAGE(B970:D970)-1)/4</f>
        <v/>
      </c>
      <c r="X970">
        <f>(AVERAGE(E970:G970)-1)/4</f>
        <v/>
      </c>
      <c r="Y970">
        <f>(AVERAGE(H970:J970)-1)/4</f>
        <v/>
      </c>
      <c r="Z970">
        <f>(AVERAGE(K970:M970)-1)/4</f>
        <v/>
      </c>
      <c r="AA970">
        <f>(AVERAGE(N970:P970)-1)/4</f>
        <v/>
      </c>
      <c r="AB970">
        <f>(AVERAGE(Q970:S970)-1)/4</f>
        <v/>
      </c>
      <c r="AC970">
        <f>(AVERAGE(T970:V970)-1)/4</f>
        <v/>
      </c>
      <c r="AD970">
        <f>AVERAGE(W970:AA970)</f>
        <v/>
      </c>
      <c r="AE970">
        <f>MIN(W970:AA970)</f>
        <v/>
      </c>
      <c r="AF970">
        <f>1-alpha*MAX(0,delta-AE970)</f>
        <v/>
      </c>
      <c r="AG970">
        <f>AD970*AF970</f>
        <v/>
      </c>
      <c r="AH970">
        <f>1+COUNTIF(bounds,"&lt;"&amp;ROUND(AD970,12))</f>
        <v/>
      </c>
      <c r="AI970">
        <f>1+COUNTIF(bounds,"&lt;"&amp;ROUND(AG970,12))</f>
        <v/>
      </c>
      <c r="AJ970">
        <f>IF(AF970&lt;1,1,0)</f>
        <v/>
      </c>
      <c r="AK970">
        <f>IF(AH970&lt;&gt;AI970,1,0)</f>
        <v/>
      </c>
      <c r="AL970">
        <f>IF(AND(AI970&gt;=3,AB970&lt;=0.2),1,0)</f>
        <v/>
      </c>
      <c r="AM970">
        <f>AVERAGE(W970:AB970)</f>
        <v/>
      </c>
      <c r="AN970">
        <f>1+COUNTIF(bounds,"&lt;"&amp;ROUND(AM970,12))</f>
        <v/>
      </c>
      <c r="AO970">
        <f>IF(AK970=1,AD970,NA())</f>
        <v/>
      </c>
      <c r="AP970">
        <f>IF(AK970=0,AD970,NA())</f>
        <v/>
      </c>
    </row>
    <row r="971">
      <c r="A971" t="n">
        <v>963</v>
      </c>
      <c r="B971" t="n">
        <v>5</v>
      </c>
      <c r="C971" t="n">
        <v>5</v>
      </c>
      <c r="D971" t="n">
        <v>2</v>
      </c>
      <c r="E971" t="n">
        <v>3</v>
      </c>
      <c r="F971" t="n">
        <v>3</v>
      </c>
      <c r="G971" t="n">
        <v>5</v>
      </c>
      <c r="H971" t="n">
        <v>1</v>
      </c>
      <c r="I971" t="n">
        <v>1</v>
      </c>
      <c r="J971" t="n">
        <v>4</v>
      </c>
      <c r="K971" t="n">
        <v>3</v>
      </c>
      <c r="L971" t="n">
        <v>1</v>
      </c>
      <c r="M971" t="n">
        <v>2</v>
      </c>
      <c r="N971" t="n">
        <v>1</v>
      </c>
      <c r="O971" t="n">
        <v>4</v>
      </c>
      <c r="P971" t="n">
        <v>1</v>
      </c>
      <c r="Q971" t="n">
        <v>3</v>
      </c>
      <c r="R971" t="n">
        <v>2</v>
      </c>
      <c r="S971" t="n">
        <v>5</v>
      </c>
      <c r="T971" t="n">
        <v>4</v>
      </c>
      <c r="U971" t="n">
        <v>2</v>
      </c>
      <c r="V971" t="n">
        <v>5</v>
      </c>
      <c r="W971">
        <f>(AVERAGE(B971:D971)-1)/4</f>
        <v/>
      </c>
      <c r="X971">
        <f>(AVERAGE(E971:G971)-1)/4</f>
        <v/>
      </c>
      <c r="Y971">
        <f>(AVERAGE(H971:J971)-1)/4</f>
        <v/>
      </c>
      <c r="Z971">
        <f>(AVERAGE(K971:M971)-1)/4</f>
        <v/>
      </c>
      <c r="AA971">
        <f>(AVERAGE(N971:P971)-1)/4</f>
        <v/>
      </c>
      <c r="AB971">
        <f>(AVERAGE(Q971:S971)-1)/4</f>
        <v/>
      </c>
      <c r="AC971">
        <f>(AVERAGE(T971:V971)-1)/4</f>
        <v/>
      </c>
      <c r="AD971">
        <f>AVERAGE(W971:AA971)</f>
        <v/>
      </c>
      <c r="AE971">
        <f>MIN(W971:AA971)</f>
        <v/>
      </c>
      <c r="AF971">
        <f>1-alpha*MAX(0,delta-AE971)</f>
        <v/>
      </c>
      <c r="AG971">
        <f>AD971*AF971</f>
        <v/>
      </c>
      <c r="AH971">
        <f>1+COUNTIF(bounds,"&lt;"&amp;ROUND(AD971,12))</f>
        <v/>
      </c>
      <c r="AI971">
        <f>1+COUNTIF(bounds,"&lt;"&amp;ROUND(AG971,12))</f>
        <v/>
      </c>
      <c r="AJ971">
        <f>IF(AF971&lt;1,1,0)</f>
        <v/>
      </c>
      <c r="AK971">
        <f>IF(AH971&lt;&gt;AI971,1,0)</f>
        <v/>
      </c>
      <c r="AL971">
        <f>IF(AND(AI971&gt;=3,AB971&lt;=0.2),1,0)</f>
        <v/>
      </c>
      <c r="AM971">
        <f>AVERAGE(W971:AB971)</f>
        <v/>
      </c>
      <c r="AN971">
        <f>1+COUNTIF(bounds,"&lt;"&amp;ROUND(AM971,12))</f>
        <v/>
      </c>
      <c r="AO971">
        <f>IF(AK971=1,AD971,NA())</f>
        <v/>
      </c>
      <c r="AP971">
        <f>IF(AK971=0,AD971,NA())</f>
        <v/>
      </c>
    </row>
    <row r="972">
      <c r="A972" t="n">
        <v>964</v>
      </c>
      <c r="B972" t="n">
        <v>2</v>
      </c>
      <c r="C972" t="n">
        <v>3</v>
      </c>
      <c r="D972" t="n">
        <v>2</v>
      </c>
      <c r="E972" t="n">
        <v>4</v>
      </c>
      <c r="F972" t="n">
        <v>1</v>
      </c>
      <c r="G972" t="n">
        <v>1</v>
      </c>
      <c r="H972" t="n">
        <v>1</v>
      </c>
      <c r="I972" t="n">
        <v>5</v>
      </c>
      <c r="J972" t="n">
        <v>3</v>
      </c>
      <c r="K972" t="n">
        <v>1</v>
      </c>
      <c r="L972" t="n">
        <v>4</v>
      </c>
      <c r="M972" t="n">
        <v>3</v>
      </c>
      <c r="N972" t="n">
        <v>2</v>
      </c>
      <c r="O972" t="n">
        <v>1</v>
      </c>
      <c r="P972" t="n">
        <v>5</v>
      </c>
      <c r="Q972" t="n">
        <v>2</v>
      </c>
      <c r="R972" t="n">
        <v>2</v>
      </c>
      <c r="S972" t="n">
        <v>2</v>
      </c>
      <c r="T972" t="n">
        <v>4</v>
      </c>
      <c r="U972" t="n">
        <v>5</v>
      </c>
      <c r="V972" t="n">
        <v>2</v>
      </c>
      <c r="W972">
        <f>(AVERAGE(B972:D972)-1)/4</f>
        <v/>
      </c>
      <c r="X972">
        <f>(AVERAGE(E972:G972)-1)/4</f>
        <v/>
      </c>
      <c r="Y972">
        <f>(AVERAGE(H972:J972)-1)/4</f>
        <v/>
      </c>
      <c r="Z972">
        <f>(AVERAGE(K972:M972)-1)/4</f>
        <v/>
      </c>
      <c r="AA972">
        <f>(AVERAGE(N972:P972)-1)/4</f>
        <v/>
      </c>
      <c r="AB972">
        <f>(AVERAGE(Q972:S972)-1)/4</f>
        <v/>
      </c>
      <c r="AC972">
        <f>(AVERAGE(T972:V972)-1)/4</f>
        <v/>
      </c>
      <c r="AD972">
        <f>AVERAGE(W972:AA972)</f>
        <v/>
      </c>
      <c r="AE972">
        <f>MIN(W972:AA972)</f>
        <v/>
      </c>
      <c r="AF972">
        <f>1-alpha*MAX(0,delta-AE972)</f>
        <v/>
      </c>
      <c r="AG972">
        <f>AD972*AF972</f>
        <v/>
      </c>
      <c r="AH972">
        <f>1+COUNTIF(bounds,"&lt;"&amp;ROUND(AD972,12))</f>
        <v/>
      </c>
      <c r="AI972">
        <f>1+COUNTIF(bounds,"&lt;"&amp;ROUND(AG972,12))</f>
        <v/>
      </c>
      <c r="AJ972">
        <f>IF(AF972&lt;1,1,0)</f>
        <v/>
      </c>
      <c r="AK972">
        <f>IF(AH972&lt;&gt;AI972,1,0)</f>
        <v/>
      </c>
      <c r="AL972">
        <f>IF(AND(AI972&gt;=3,AB972&lt;=0.2),1,0)</f>
        <v/>
      </c>
      <c r="AM972">
        <f>AVERAGE(W972:AB972)</f>
        <v/>
      </c>
      <c r="AN972">
        <f>1+COUNTIF(bounds,"&lt;"&amp;ROUND(AM972,12))</f>
        <v/>
      </c>
      <c r="AO972">
        <f>IF(AK972=1,AD972,NA())</f>
        <v/>
      </c>
      <c r="AP972">
        <f>IF(AK972=0,AD972,NA())</f>
        <v/>
      </c>
    </row>
    <row r="973">
      <c r="A973" t="n">
        <v>965</v>
      </c>
      <c r="B973" t="n">
        <v>5</v>
      </c>
      <c r="C973" t="n">
        <v>5</v>
      </c>
      <c r="D973" t="n">
        <v>3</v>
      </c>
      <c r="E973" t="n">
        <v>2</v>
      </c>
      <c r="F973" t="n">
        <v>4</v>
      </c>
      <c r="G973" t="n">
        <v>1</v>
      </c>
      <c r="H973" t="n">
        <v>4</v>
      </c>
      <c r="I973" t="n">
        <v>1</v>
      </c>
      <c r="J973" t="n">
        <v>4</v>
      </c>
      <c r="K973" t="n">
        <v>5</v>
      </c>
      <c r="L973" t="n">
        <v>1</v>
      </c>
      <c r="M973" t="n">
        <v>1</v>
      </c>
      <c r="N973" t="n">
        <v>2</v>
      </c>
      <c r="O973" t="n">
        <v>2</v>
      </c>
      <c r="P973" t="n">
        <v>5</v>
      </c>
      <c r="Q973" t="n">
        <v>1</v>
      </c>
      <c r="R973" t="n">
        <v>2</v>
      </c>
      <c r="S973" t="n">
        <v>4</v>
      </c>
      <c r="T973" t="n">
        <v>2</v>
      </c>
      <c r="U973" t="n">
        <v>1</v>
      </c>
      <c r="V973" t="n">
        <v>2</v>
      </c>
      <c r="W973">
        <f>(AVERAGE(B973:D973)-1)/4</f>
        <v/>
      </c>
      <c r="X973">
        <f>(AVERAGE(E973:G973)-1)/4</f>
        <v/>
      </c>
      <c r="Y973">
        <f>(AVERAGE(H973:J973)-1)/4</f>
        <v/>
      </c>
      <c r="Z973">
        <f>(AVERAGE(K973:M973)-1)/4</f>
        <v/>
      </c>
      <c r="AA973">
        <f>(AVERAGE(N973:P973)-1)/4</f>
        <v/>
      </c>
      <c r="AB973">
        <f>(AVERAGE(Q973:S973)-1)/4</f>
        <v/>
      </c>
      <c r="AC973">
        <f>(AVERAGE(T973:V973)-1)/4</f>
        <v/>
      </c>
      <c r="AD973">
        <f>AVERAGE(W973:AA973)</f>
        <v/>
      </c>
      <c r="AE973">
        <f>MIN(W973:AA973)</f>
        <v/>
      </c>
      <c r="AF973">
        <f>1-alpha*MAX(0,delta-AE973)</f>
        <v/>
      </c>
      <c r="AG973">
        <f>AD973*AF973</f>
        <v/>
      </c>
      <c r="AH973">
        <f>1+COUNTIF(bounds,"&lt;"&amp;ROUND(AD973,12))</f>
        <v/>
      </c>
      <c r="AI973">
        <f>1+COUNTIF(bounds,"&lt;"&amp;ROUND(AG973,12))</f>
        <v/>
      </c>
      <c r="AJ973">
        <f>IF(AF973&lt;1,1,0)</f>
        <v/>
      </c>
      <c r="AK973">
        <f>IF(AH973&lt;&gt;AI973,1,0)</f>
        <v/>
      </c>
      <c r="AL973">
        <f>IF(AND(AI973&gt;=3,AB973&lt;=0.2),1,0)</f>
        <v/>
      </c>
      <c r="AM973">
        <f>AVERAGE(W973:AB973)</f>
        <v/>
      </c>
      <c r="AN973">
        <f>1+COUNTIF(bounds,"&lt;"&amp;ROUND(AM973,12))</f>
        <v/>
      </c>
      <c r="AO973">
        <f>IF(AK973=1,AD973,NA())</f>
        <v/>
      </c>
      <c r="AP973">
        <f>IF(AK973=0,AD973,NA())</f>
        <v/>
      </c>
    </row>
    <row r="974">
      <c r="A974" t="n">
        <v>966</v>
      </c>
      <c r="B974" t="n">
        <v>4</v>
      </c>
      <c r="C974" t="n">
        <v>1</v>
      </c>
      <c r="D974" t="n">
        <v>4</v>
      </c>
      <c r="E974" t="n">
        <v>3</v>
      </c>
      <c r="F974" t="n">
        <v>5</v>
      </c>
      <c r="G974" t="n">
        <v>5</v>
      </c>
      <c r="H974" t="n">
        <v>5</v>
      </c>
      <c r="I974" t="n">
        <v>5</v>
      </c>
      <c r="J974" t="n">
        <v>1</v>
      </c>
      <c r="K974" t="n">
        <v>5</v>
      </c>
      <c r="L974" t="n">
        <v>2</v>
      </c>
      <c r="M974" t="n">
        <v>2</v>
      </c>
      <c r="N974" t="n">
        <v>3</v>
      </c>
      <c r="O974" t="n">
        <v>3</v>
      </c>
      <c r="P974" t="n">
        <v>2</v>
      </c>
      <c r="Q974" t="n">
        <v>5</v>
      </c>
      <c r="R974" t="n">
        <v>2</v>
      </c>
      <c r="S974" t="n">
        <v>5</v>
      </c>
      <c r="T974" t="n">
        <v>3</v>
      </c>
      <c r="U974" t="n">
        <v>4</v>
      </c>
      <c r="V974" t="n">
        <v>1</v>
      </c>
      <c r="W974">
        <f>(AVERAGE(B974:D974)-1)/4</f>
        <v/>
      </c>
      <c r="X974">
        <f>(AVERAGE(E974:G974)-1)/4</f>
        <v/>
      </c>
      <c r="Y974">
        <f>(AVERAGE(H974:J974)-1)/4</f>
        <v/>
      </c>
      <c r="Z974">
        <f>(AVERAGE(K974:M974)-1)/4</f>
        <v/>
      </c>
      <c r="AA974">
        <f>(AVERAGE(N974:P974)-1)/4</f>
        <v/>
      </c>
      <c r="AB974">
        <f>(AVERAGE(Q974:S974)-1)/4</f>
        <v/>
      </c>
      <c r="AC974">
        <f>(AVERAGE(T974:V974)-1)/4</f>
        <v/>
      </c>
      <c r="AD974">
        <f>AVERAGE(W974:AA974)</f>
        <v/>
      </c>
      <c r="AE974">
        <f>MIN(W974:AA974)</f>
        <v/>
      </c>
      <c r="AF974">
        <f>1-alpha*MAX(0,delta-AE974)</f>
        <v/>
      </c>
      <c r="AG974">
        <f>AD974*AF974</f>
        <v/>
      </c>
      <c r="AH974">
        <f>1+COUNTIF(bounds,"&lt;"&amp;ROUND(AD974,12))</f>
        <v/>
      </c>
      <c r="AI974">
        <f>1+COUNTIF(bounds,"&lt;"&amp;ROUND(AG974,12))</f>
        <v/>
      </c>
      <c r="AJ974">
        <f>IF(AF974&lt;1,1,0)</f>
        <v/>
      </c>
      <c r="AK974">
        <f>IF(AH974&lt;&gt;AI974,1,0)</f>
        <v/>
      </c>
      <c r="AL974">
        <f>IF(AND(AI974&gt;=3,AB974&lt;=0.2),1,0)</f>
        <v/>
      </c>
      <c r="AM974">
        <f>AVERAGE(W974:AB974)</f>
        <v/>
      </c>
      <c r="AN974">
        <f>1+COUNTIF(bounds,"&lt;"&amp;ROUND(AM974,12))</f>
        <v/>
      </c>
      <c r="AO974">
        <f>IF(AK974=1,AD974,NA())</f>
        <v/>
      </c>
      <c r="AP974">
        <f>IF(AK974=0,AD974,NA())</f>
        <v/>
      </c>
    </row>
    <row r="975">
      <c r="A975" t="n">
        <v>967</v>
      </c>
      <c r="B975" t="n">
        <v>1</v>
      </c>
      <c r="C975" t="n">
        <v>3</v>
      </c>
      <c r="D975" t="n">
        <v>5</v>
      </c>
      <c r="E975" t="n">
        <v>2</v>
      </c>
      <c r="F975" t="n">
        <v>4</v>
      </c>
      <c r="G975" t="n">
        <v>1</v>
      </c>
      <c r="H975" t="n">
        <v>2</v>
      </c>
      <c r="I975" t="n">
        <v>3</v>
      </c>
      <c r="J975" t="n">
        <v>4</v>
      </c>
      <c r="K975" t="n">
        <v>3</v>
      </c>
      <c r="L975" t="n">
        <v>5</v>
      </c>
      <c r="M975" t="n">
        <v>1</v>
      </c>
      <c r="N975" t="n">
        <v>3</v>
      </c>
      <c r="O975" t="n">
        <v>4</v>
      </c>
      <c r="P975" t="n">
        <v>1</v>
      </c>
      <c r="Q975" t="n">
        <v>3</v>
      </c>
      <c r="R975" t="n">
        <v>3</v>
      </c>
      <c r="S975" t="n">
        <v>4</v>
      </c>
      <c r="T975" t="n">
        <v>2</v>
      </c>
      <c r="U975" t="n">
        <v>4</v>
      </c>
      <c r="V975" t="n">
        <v>3</v>
      </c>
      <c r="W975">
        <f>(AVERAGE(B975:D975)-1)/4</f>
        <v/>
      </c>
      <c r="X975">
        <f>(AVERAGE(E975:G975)-1)/4</f>
        <v/>
      </c>
      <c r="Y975">
        <f>(AVERAGE(H975:J975)-1)/4</f>
        <v/>
      </c>
      <c r="Z975">
        <f>(AVERAGE(K975:M975)-1)/4</f>
        <v/>
      </c>
      <c r="AA975">
        <f>(AVERAGE(N975:P975)-1)/4</f>
        <v/>
      </c>
      <c r="AB975">
        <f>(AVERAGE(Q975:S975)-1)/4</f>
        <v/>
      </c>
      <c r="AC975">
        <f>(AVERAGE(T975:V975)-1)/4</f>
        <v/>
      </c>
      <c r="AD975">
        <f>AVERAGE(W975:AA975)</f>
        <v/>
      </c>
      <c r="AE975">
        <f>MIN(W975:AA975)</f>
        <v/>
      </c>
      <c r="AF975">
        <f>1-alpha*MAX(0,delta-AE975)</f>
        <v/>
      </c>
      <c r="AG975">
        <f>AD975*AF975</f>
        <v/>
      </c>
      <c r="AH975">
        <f>1+COUNTIF(bounds,"&lt;"&amp;ROUND(AD975,12))</f>
        <v/>
      </c>
      <c r="AI975">
        <f>1+COUNTIF(bounds,"&lt;"&amp;ROUND(AG975,12))</f>
        <v/>
      </c>
      <c r="AJ975">
        <f>IF(AF975&lt;1,1,0)</f>
        <v/>
      </c>
      <c r="AK975">
        <f>IF(AH975&lt;&gt;AI975,1,0)</f>
        <v/>
      </c>
      <c r="AL975">
        <f>IF(AND(AI975&gt;=3,AB975&lt;=0.2),1,0)</f>
        <v/>
      </c>
      <c r="AM975">
        <f>AVERAGE(W975:AB975)</f>
        <v/>
      </c>
      <c r="AN975">
        <f>1+COUNTIF(bounds,"&lt;"&amp;ROUND(AM975,12))</f>
        <v/>
      </c>
      <c r="AO975">
        <f>IF(AK975=1,AD975,NA())</f>
        <v/>
      </c>
      <c r="AP975">
        <f>IF(AK975=0,AD975,NA())</f>
        <v/>
      </c>
    </row>
    <row r="976">
      <c r="A976" t="n">
        <v>968</v>
      </c>
      <c r="B976" t="n">
        <v>1</v>
      </c>
      <c r="C976" t="n">
        <v>5</v>
      </c>
      <c r="D976" t="n">
        <v>1</v>
      </c>
      <c r="E976" t="n">
        <v>2</v>
      </c>
      <c r="F976" t="n">
        <v>1</v>
      </c>
      <c r="G976" t="n">
        <v>3</v>
      </c>
      <c r="H976" t="n">
        <v>1</v>
      </c>
      <c r="I976" t="n">
        <v>2</v>
      </c>
      <c r="J976" t="n">
        <v>3</v>
      </c>
      <c r="K976" t="n">
        <v>1</v>
      </c>
      <c r="L976" t="n">
        <v>3</v>
      </c>
      <c r="M976" t="n">
        <v>4</v>
      </c>
      <c r="N976" t="n">
        <v>3</v>
      </c>
      <c r="O976" t="n">
        <v>4</v>
      </c>
      <c r="P976" t="n">
        <v>2</v>
      </c>
      <c r="Q976" t="n">
        <v>2</v>
      </c>
      <c r="R976" t="n">
        <v>1</v>
      </c>
      <c r="S976" t="n">
        <v>2</v>
      </c>
      <c r="T976" t="n">
        <v>2</v>
      </c>
      <c r="U976" t="n">
        <v>2</v>
      </c>
      <c r="V976" t="n">
        <v>3</v>
      </c>
      <c r="W976">
        <f>(AVERAGE(B976:D976)-1)/4</f>
        <v/>
      </c>
      <c r="X976">
        <f>(AVERAGE(E976:G976)-1)/4</f>
        <v/>
      </c>
      <c r="Y976">
        <f>(AVERAGE(H976:J976)-1)/4</f>
        <v/>
      </c>
      <c r="Z976">
        <f>(AVERAGE(K976:M976)-1)/4</f>
        <v/>
      </c>
      <c r="AA976">
        <f>(AVERAGE(N976:P976)-1)/4</f>
        <v/>
      </c>
      <c r="AB976">
        <f>(AVERAGE(Q976:S976)-1)/4</f>
        <v/>
      </c>
      <c r="AC976">
        <f>(AVERAGE(T976:V976)-1)/4</f>
        <v/>
      </c>
      <c r="AD976">
        <f>AVERAGE(W976:AA976)</f>
        <v/>
      </c>
      <c r="AE976">
        <f>MIN(W976:AA976)</f>
        <v/>
      </c>
      <c r="AF976">
        <f>1-alpha*MAX(0,delta-AE976)</f>
        <v/>
      </c>
      <c r="AG976">
        <f>AD976*AF976</f>
        <v/>
      </c>
      <c r="AH976">
        <f>1+COUNTIF(bounds,"&lt;"&amp;ROUND(AD976,12))</f>
        <v/>
      </c>
      <c r="AI976">
        <f>1+COUNTIF(bounds,"&lt;"&amp;ROUND(AG976,12))</f>
        <v/>
      </c>
      <c r="AJ976">
        <f>IF(AF976&lt;1,1,0)</f>
        <v/>
      </c>
      <c r="AK976">
        <f>IF(AH976&lt;&gt;AI976,1,0)</f>
        <v/>
      </c>
      <c r="AL976">
        <f>IF(AND(AI976&gt;=3,AB976&lt;=0.2),1,0)</f>
        <v/>
      </c>
      <c r="AM976">
        <f>AVERAGE(W976:AB976)</f>
        <v/>
      </c>
      <c r="AN976">
        <f>1+COUNTIF(bounds,"&lt;"&amp;ROUND(AM976,12))</f>
        <v/>
      </c>
      <c r="AO976">
        <f>IF(AK976=1,AD976,NA())</f>
        <v/>
      </c>
      <c r="AP976">
        <f>IF(AK976=0,AD976,NA())</f>
        <v/>
      </c>
    </row>
    <row r="977">
      <c r="A977" t="n">
        <v>969</v>
      </c>
      <c r="B977" t="n">
        <v>5</v>
      </c>
      <c r="C977" t="n">
        <v>1</v>
      </c>
      <c r="D977" t="n">
        <v>1</v>
      </c>
      <c r="E977" t="n">
        <v>4</v>
      </c>
      <c r="F977" t="n">
        <v>5</v>
      </c>
      <c r="G977" t="n">
        <v>2</v>
      </c>
      <c r="H977" t="n">
        <v>1</v>
      </c>
      <c r="I977" t="n">
        <v>4</v>
      </c>
      <c r="J977" t="n">
        <v>1</v>
      </c>
      <c r="K977" t="n">
        <v>4</v>
      </c>
      <c r="L977" t="n">
        <v>1</v>
      </c>
      <c r="M977" t="n">
        <v>4</v>
      </c>
      <c r="N977" t="n">
        <v>4</v>
      </c>
      <c r="O977" t="n">
        <v>1</v>
      </c>
      <c r="P977" t="n">
        <v>5</v>
      </c>
      <c r="Q977" t="n">
        <v>2</v>
      </c>
      <c r="R977" t="n">
        <v>2</v>
      </c>
      <c r="S977" t="n">
        <v>3</v>
      </c>
      <c r="T977" t="n">
        <v>5</v>
      </c>
      <c r="U977" t="n">
        <v>2</v>
      </c>
      <c r="V977" t="n">
        <v>5</v>
      </c>
      <c r="W977">
        <f>(AVERAGE(B977:D977)-1)/4</f>
        <v/>
      </c>
      <c r="X977">
        <f>(AVERAGE(E977:G977)-1)/4</f>
        <v/>
      </c>
      <c r="Y977">
        <f>(AVERAGE(H977:J977)-1)/4</f>
        <v/>
      </c>
      <c r="Z977">
        <f>(AVERAGE(K977:M977)-1)/4</f>
        <v/>
      </c>
      <c r="AA977">
        <f>(AVERAGE(N977:P977)-1)/4</f>
        <v/>
      </c>
      <c r="AB977">
        <f>(AVERAGE(Q977:S977)-1)/4</f>
        <v/>
      </c>
      <c r="AC977">
        <f>(AVERAGE(T977:V977)-1)/4</f>
        <v/>
      </c>
      <c r="AD977">
        <f>AVERAGE(W977:AA977)</f>
        <v/>
      </c>
      <c r="AE977">
        <f>MIN(W977:AA977)</f>
        <v/>
      </c>
      <c r="AF977">
        <f>1-alpha*MAX(0,delta-AE977)</f>
        <v/>
      </c>
      <c r="AG977">
        <f>AD977*AF977</f>
        <v/>
      </c>
      <c r="AH977">
        <f>1+COUNTIF(bounds,"&lt;"&amp;ROUND(AD977,12))</f>
        <v/>
      </c>
      <c r="AI977">
        <f>1+COUNTIF(bounds,"&lt;"&amp;ROUND(AG977,12))</f>
        <v/>
      </c>
      <c r="AJ977">
        <f>IF(AF977&lt;1,1,0)</f>
        <v/>
      </c>
      <c r="AK977">
        <f>IF(AH977&lt;&gt;AI977,1,0)</f>
        <v/>
      </c>
      <c r="AL977">
        <f>IF(AND(AI977&gt;=3,AB977&lt;=0.2),1,0)</f>
        <v/>
      </c>
      <c r="AM977">
        <f>AVERAGE(W977:AB977)</f>
        <v/>
      </c>
      <c r="AN977">
        <f>1+COUNTIF(bounds,"&lt;"&amp;ROUND(AM977,12))</f>
        <v/>
      </c>
      <c r="AO977">
        <f>IF(AK977=1,AD977,NA())</f>
        <v/>
      </c>
      <c r="AP977">
        <f>IF(AK977=0,AD977,NA())</f>
        <v/>
      </c>
    </row>
    <row r="978">
      <c r="A978" t="n">
        <v>970</v>
      </c>
      <c r="B978" t="n">
        <v>1</v>
      </c>
      <c r="C978" t="n">
        <v>4</v>
      </c>
      <c r="D978" t="n">
        <v>2</v>
      </c>
      <c r="E978" t="n">
        <v>4</v>
      </c>
      <c r="F978" t="n">
        <v>3</v>
      </c>
      <c r="G978" t="n">
        <v>4</v>
      </c>
      <c r="H978" t="n">
        <v>4</v>
      </c>
      <c r="I978" t="n">
        <v>3</v>
      </c>
      <c r="J978" t="n">
        <v>4</v>
      </c>
      <c r="K978" t="n">
        <v>5</v>
      </c>
      <c r="L978" t="n">
        <v>2</v>
      </c>
      <c r="M978" t="n">
        <v>5</v>
      </c>
      <c r="N978" t="n">
        <v>2</v>
      </c>
      <c r="O978" t="n">
        <v>4</v>
      </c>
      <c r="P978" t="n">
        <v>1</v>
      </c>
      <c r="Q978" t="n">
        <v>2</v>
      </c>
      <c r="R978" t="n">
        <v>1</v>
      </c>
      <c r="S978" t="n">
        <v>2</v>
      </c>
      <c r="T978" t="n">
        <v>1</v>
      </c>
      <c r="U978" t="n">
        <v>4</v>
      </c>
      <c r="V978" t="n">
        <v>1</v>
      </c>
      <c r="W978">
        <f>(AVERAGE(B978:D978)-1)/4</f>
        <v/>
      </c>
      <c r="X978">
        <f>(AVERAGE(E978:G978)-1)/4</f>
        <v/>
      </c>
      <c r="Y978">
        <f>(AVERAGE(H978:J978)-1)/4</f>
        <v/>
      </c>
      <c r="Z978">
        <f>(AVERAGE(K978:M978)-1)/4</f>
        <v/>
      </c>
      <c r="AA978">
        <f>(AVERAGE(N978:P978)-1)/4</f>
        <v/>
      </c>
      <c r="AB978">
        <f>(AVERAGE(Q978:S978)-1)/4</f>
        <v/>
      </c>
      <c r="AC978">
        <f>(AVERAGE(T978:V978)-1)/4</f>
        <v/>
      </c>
      <c r="AD978">
        <f>AVERAGE(W978:AA978)</f>
        <v/>
      </c>
      <c r="AE978">
        <f>MIN(W978:AA978)</f>
        <v/>
      </c>
      <c r="AF978">
        <f>1-alpha*MAX(0,delta-AE978)</f>
        <v/>
      </c>
      <c r="AG978">
        <f>AD978*AF978</f>
        <v/>
      </c>
      <c r="AH978">
        <f>1+COUNTIF(bounds,"&lt;"&amp;ROUND(AD978,12))</f>
        <v/>
      </c>
      <c r="AI978">
        <f>1+COUNTIF(bounds,"&lt;"&amp;ROUND(AG978,12))</f>
        <v/>
      </c>
      <c r="AJ978">
        <f>IF(AF978&lt;1,1,0)</f>
        <v/>
      </c>
      <c r="AK978">
        <f>IF(AH978&lt;&gt;AI978,1,0)</f>
        <v/>
      </c>
      <c r="AL978">
        <f>IF(AND(AI978&gt;=3,AB978&lt;=0.2),1,0)</f>
        <v/>
      </c>
      <c r="AM978">
        <f>AVERAGE(W978:AB978)</f>
        <v/>
      </c>
      <c r="AN978">
        <f>1+COUNTIF(bounds,"&lt;"&amp;ROUND(AM978,12))</f>
        <v/>
      </c>
      <c r="AO978">
        <f>IF(AK978=1,AD978,NA())</f>
        <v/>
      </c>
      <c r="AP978">
        <f>IF(AK978=0,AD978,NA())</f>
        <v/>
      </c>
    </row>
    <row r="979">
      <c r="A979" t="n">
        <v>971</v>
      </c>
      <c r="B979" t="n">
        <v>1</v>
      </c>
      <c r="C979" t="n">
        <v>4</v>
      </c>
      <c r="D979" t="n">
        <v>4</v>
      </c>
      <c r="E979" t="n">
        <v>1</v>
      </c>
      <c r="F979" t="n">
        <v>2</v>
      </c>
      <c r="G979" t="n">
        <v>5</v>
      </c>
      <c r="H979" t="n">
        <v>4</v>
      </c>
      <c r="I979" t="n">
        <v>4</v>
      </c>
      <c r="J979" t="n">
        <v>1</v>
      </c>
      <c r="K979" t="n">
        <v>1</v>
      </c>
      <c r="L979" t="n">
        <v>5</v>
      </c>
      <c r="M979" t="n">
        <v>4</v>
      </c>
      <c r="N979" t="n">
        <v>1</v>
      </c>
      <c r="O979" t="n">
        <v>5</v>
      </c>
      <c r="P979" t="n">
        <v>2</v>
      </c>
      <c r="Q979" t="n">
        <v>3</v>
      </c>
      <c r="R979" t="n">
        <v>1</v>
      </c>
      <c r="S979" t="n">
        <v>3</v>
      </c>
      <c r="T979" t="n">
        <v>2</v>
      </c>
      <c r="U979" t="n">
        <v>2</v>
      </c>
      <c r="V979" t="n">
        <v>3</v>
      </c>
      <c r="W979">
        <f>(AVERAGE(B979:D979)-1)/4</f>
        <v/>
      </c>
      <c r="X979">
        <f>(AVERAGE(E979:G979)-1)/4</f>
        <v/>
      </c>
      <c r="Y979">
        <f>(AVERAGE(H979:J979)-1)/4</f>
        <v/>
      </c>
      <c r="Z979">
        <f>(AVERAGE(K979:M979)-1)/4</f>
        <v/>
      </c>
      <c r="AA979">
        <f>(AVERAGE(N979:P979)-1)/4</f>
        <v/>
      </c>
      <c r="AB979">
        <f>(AVERAGE(Q979:S979)-1)/4</f>
        <v/>
      </c>
      <c r="AC979">
        <f>(AVERAGE(T979:V979)-1)/4</f>
        <v/>
      </c>
      <c r="AD979">
        <f>AVERAGE(W979:AA979)</f>
        <v/>
      </c>
      <c r="AE979">
        <f>MIN(W979:AA979)</f>
        <v/>
      </c>
      <c r="AF979">
        <f>1-alpha*MAX(0,delta-AE979)</f>
        <v/>
      </c>
      <c r="AG979">
        <f>AD979*AF979</f>
        <v/>
      </c>
      <c r="AH979">
        <f>1+COUNTIF(bounds,"&lt;"&amp;ROUND(AD979,12))</f>
        <v/>
      </c>
      <c r="AI979">
        <f>1+COUNTIF(bounds,"&lt;"&amp;ROUND(AG979,12))</f>
        <v/>
      </c>
      <c r="AJ979">
        <f>IF(AF979&lt;1,1,0)</f>
        <v/>
      </c>
      <c r="AK979">
        <f>IF(AH979&lt;&gt;AI979,1,0)</f>
        <v/>
      </c>
      <c r="AL979">
        <f>IF(AND(AI979&gt;=3,AB979&lt;=0.2),1,0)</f>
        <v/>
      </c>
      <c r="AM979">
        <f>AVERAGE(W979:AB979)</f>
        <v/>
      </c>
      <c r="AN979">
        <f>1+COUNTIF(bounds,"&lt;"&amp;ROUND(AM979,12))</f>
        <v/>
      </c>
      <c r="AO979">
        <f>IF(AK979=1,AD979,NA())</f>
        <v/>
      </c>
      <c r="AP979">
        <f>IF(AK979=0,AD979,NA())</f>
        <v/>
      </c>
    </row>
    <row r="980">
      <c r="A980" t="n">
        <v>972</v>
      </c>
      <c r="B980" t="n">
        <v>1</v>
      </c>
      <c r="C980" t="n">
        <v>3</v>
      </c>
      <c r="D980" t="n">
        <v>3</v>
      </c>
      <c r="E980" t="n">
        <v>3</v>
      </c>
      <c r="F980" t="n">
        <v>3</v>
      </c>
      <c r="G980" t="n">
        <v>2</v>
      </c>
      <c r="H980" t="n">
        <v>2</v>
      </c>
      <c r="I980" t="n">
        <v>5</v>
      </c>
      <c r="J980" t="n">
        <v>2</v>
      </c>
      <c r="K980" t="n">
        <v>5</v>
      </c>
      <c r="L980" t="n">
        <v>4</v>
      </c>
      <c r="M980" t="n">
        <v>2</v>
      </c>
      <c r="N980" t="n">
        <v>5</v>
      </c>
      <c r="O980" t="n">
        <v>4</v>
      </c>
      <c r="P980" t="n">
        <v>2</v>
      </c>
      <c r="Q980" t="n">
        <v>3</v>
      </c>
      <c r="R980" t="n">
        <v>1</v>
      </c>
      <c r="S980" t="n">
        <v>1</v>
      </c>
      <c r="T980" t="n">
        <v>5</v>
      </c>
      <c r="U980" t="n">
        <v>2</v>
      </c>
      <c r="V980" t="n">
        <v>4</v>
      </c>
      <c r="W980">
        <f>(AVERAGE(B980:D980)-1)/4</f>
        <v/>
      </c>
      <c r="X980">
        <f>(AVERAGE(E980:G980)-1)/4</f>
        <v/>
      </c>
      <c r="Y980">
        <f>(AVERAGE(H980:J980)-1)/4</f>
        <v/>
      </c>
      <c r="Z980">
        <f>(AVERAGE(K980:M980)-1)/4</f>
        <v/>
      </c>
      <c r="AA980">
        <f>(AVERAGE(N980:P980)-1)/4</f>
        <v/>
      </c>
      <c r="AB980">
        <f>(AVERAGE(Q980:S980)-1)/4</f>
        <v/>
      </c>
      <c r="AC980">
        <f>(AVERAGE(T980:V980)-1)/4</f>
        <v/>
      </c>
      <c r="AD980">
        <f>AVERAGE(W980:AA980)</f>
        <v/>
      </c>
      <c r="AE980">
        <f>MIN(W980:AA980)</f>
        <v/>
      </c>
      <c r="AF980">
        <f>1-alpha*MAX(0,delta-AE980)</f>
        <v/>
      </c>
      <c r="AG980">
        <f>AD980*AF980</f>
        <v/>
      </c>
      <c r="AH980">
        <f>1+COUNTIF(bounds,"&lt;"&amp;ROUND(AD980,12))</f>
        <v/>
      </c>
      <c r="AI980">
        <f>1+COUNTIF(bounds,"&lt;"&amp;ROUND(AG980,12))</f>
        <v/>
      </c>
      <c r="AJ980">
        <f>IF(AF980&lt;1,1,0)</f>
        <v/>
      </c>
      <c r="AK980">
        <f>IF(AH980&lt;&gt;AI980,1,0)</f>
        <v/>
      </c>
      <c r="AL980">
        <f>IF(AND(AI980&gt;=3,AB980&lt;=0.2),1,0)</f>
        <v/>
      </c>
      <c r="AM980">
        <f>AVERAGE(W980:AB980)</f>
        <v/>
      </c>
      <c r="AN980">
        <f>1+COUNTIF(bounds,"&lt;"&amp;ROUND(AM980,12))</f>
        <v/>
      </c>
      <c r="AO980">
        <f>IF(AK980=1,AD980,NA())</f>
        <v/>
      </c>
      <c r="AP980">
        <f>IF(AK980=0,AD980,NA())</f>
        <v/>
      </c>
    </row>
    <row r="981">
      <c r="A981" t="n">
        <v>973</v>
      </c>
      <c r="B981" t="n">
        <v>5</v>
      </c>
      <c r="C981" t="n">
        <v>5</v>
      </c>
      <c r="D981" t="n">
        <v>3</v>
      </c>
      <c r="E981" t="n">
        <v>4</v>
      </c>
      <c r="F981" t="n">
        <v>2</v>
      </c>
      <c r="G981" t="n">
        <v>5</v>
      </c>
      <c r="H981" t="n">
        <v>5</v>
      </c>
      <c r="I981" t="n">
        <v>5</v>
      </c>
      <c r="J981" t="n">
        <v>5</v>
      </c>
      <c r="K981" t="n">
        <v>4</v>
      </c>
      <c r="L981" t="n">
        <v>5</v>
      </c>
      <c r="M981" t="n">
        <v>5</v>
      </c>
      <c r="N981" t="n">
        <v>5</v>
      </c>
      <c r="O981" t="n">
        <v>3</v>
      </c>
      <c r="P981" t="n">
        <v>1</v>
      </c>
      <c r="Q981" t="n">
        <v>5</v>
      </c>
      <c r="R981" t="n">
        <v>2</v>
      </c>
      <c r="S981" t="n">
        <v>4</v>
      </c>
      <c r="T981" t="n">
        <v>3</v>
      </c>
      <c r="U981" t="n">
        <v>4</v>
      </c>
      <c r="V981" t="n">
        <v>2</v>
      </c>
      <c r="W981">
        <f>(AVERAGE(B981:D981)-1)/4</f>
        <v/>
      </c>
      <c r="X981">
        <f>(AVERAGE(E981:G981)-1)/4</f>
        <v/>
      </c>
      <c r="Y981">
        <f>(AVERAGE(H981:J981)-1)/4</f>
        <v/>
      </c>
      <c r="Z981">
        <f>(AVERAGE(K981:M981)-1)/4</f>
        <v/>
      </c>
      <c r="AA981">
        <f>(AVERAGE(N981:P981)-1)/4</f>
        <v/>
      </c>
      <c r="AB981">
        <f>(AVERAGE(Q981:S981)-1)/4</f>
        <v/>
      </c>
      <c r="AC981">
        <f>(AVERAGE(T981:V981)-1)/4</f>
        <v/>
      </c>
      <c r="AD981">
        <f>AVERAGE(W981:AA981)</f>
        <v/>
      </c>
      <c r="AE981">
        <f>MIN(W981:AA981)</f>
        <v/>
      </c>
      <c r="AF981">
        <f>1-alpha*MAX(0,delta-AE981)</f>
        <v/>
      </c>
      <c r="AG981">
        <f>AD981*AF981</f>
        <v/>
      </c>
      <c r="AH981">
        <f>1+COUNTIF(bounds,"&lt;"&amp;ROUND(AD981,12))</f>
        <v/>
      </c>
      <c r="AI981">
        <f>1+COUNTIF(bounds,"&lt;"&amp;ROUND(AG981,12))</f>
        <v/>
      </c>
      <c r="AJ981">
        <f>IF(AF981&lt;1,1,0)</f>
        <v/>
      </c>
      <c r="AK981">
        <f>IF(AH981&lt;&gt;AI981,1,0)</f>
        <v/>
      </c>
      <c r="AL981">
        <f>IF(AND(AI981&gt;=3,AB981&lt;=0.2),1,0)</f>
        <v/>
      </c>
      <c r="AM981">
        <f>AVERAGE(W981:AB981)</f>
        <v/>
      </c>
      <c r="AN981">
        <f>1+COUNTIF(bounds,"&lt;"&amp;ROUND(AM981,12))</f>
        <v/>
      </c>
      <c r="AO981">
        <f>IF(AK981=1,AD981,NA())</f>
        <v/>
      </c>
      <c r="AP981">
        <f>IF(AK981=0,AD981,NA())</f>
        <v/>
      </c>
    </row>
    <row r="982">
      <c r="A982" t="n">
        <v>974</v>
      </c>
      <c r="B982" t="n">
        <v>3</v>
      </c>
      <c r="C982" t="n">
        <v>3</v>
      </c>
      <c r="D982" t="n">
        <v>2</v>
      </c>
      <c r="E982" t="n">
        <v>3</v>
      </c>
      <c r="F982" t="n">
        <v>5</v>
      </c>
      <c r="G982" t="n">
        <v>5</v>
      </c>
      <c r="H982" t="n">
        <v>4</v>
      </c>
      <c r="I982" t="n">
        <v>3</v>
      </c>
      <c r="J982" t="n">
        <v>3</v>
      </c>
      <c r="K982" t="n">
        <v>4</v>
      </c>
      <c r="L982" t="n">
        <v>3</v>
      </c>
      <c r="M982" t="n">
        <v>1</v>
      </c>
      <c r="N982" t="n">
        <v>4</v>
      </c>
      <c r="O982" t="n">
        <v>1</v>
      </c>
      <c r="P982" t="n">
        <v>3</v>
      </c>
      <c r="Q982" t="n">
        <v>3</v>
      </c>
      <c r="R982" t="n">
        <v>5</v>
      </c>
      <c r="S982" t="n">
        <v>1</v>
      </c>
      <c r="T982" t="n">
        <v>4</v>
      </c>
      <c r="U982" t="n">
        <v>1</v>
      </c>
      <c r="V982" t="n">
        <v>5</v>
      </c>
      <c r="W982">
        <f>(AVERAGE(B982:D982)-1)/4</f>
        <v/>
      </c>
      <c r="X982">
        <f>(AVERAGE(E982:G982)-1)/4</f>
        <v/>
      </c>
      <c r="Y982">
        <f>(AVERAGE(H982:J982)-1)/4</f>
        <v/>
      </c>
      <c r="Z982">
        <f>(AVERAGE(K982:M982)-1)/4</f>
        <v/>
      </c>
      <c r="AA982">
        <f>(AVERAGE(N982:P982)-1)/4</f>
        <v/>
      </c>
      <c r="AB982">
        <f>(AVERAGE(Q982:S982)-1)/4</f>
        <v/>
      </c>
      <c r="AC982">
        <f>(AVERAGE(T982:V982)-1)/4</f>
        <v/>
      </c>
      <c r="AD982">
        <f>AVERAGE(W982:AA982)</f>
        <v/>
      </c>
      <c r="AE982">
        <f>MIN(W982:AA982)</f>
        <v/>
      </c>
      <c r="AF982">
        <f>1-alpha*MAX(0,delta-AE982)</f>
        <v/>
      </c>
      <c r="AG982">
        <f>AD982*AF982</f>
        <v/>
      </c>
      <c r="AH982">
        <f>1+COUNTIF(bounds,"&lt;"&amp;ROUND(AD982,12))</f>
        <v/>
      </c>
      <c r="AI982">
        <f>1+COUNTIF(bounds,"&lt;"&amp;ROUND(AG982,12))</f>
        <v/>
      </c>
      <c r="AJ982">
        <f>IF(AF982&lt;1,1,0)</f>
        <v/>
      </c>
      <c r="AK982">
        <f>IF(AH982&lt;&gt;AI982,1,0)</f>
        <v/>
      </c>
      <c r="AL982">
        <f>IF(AND(AI982&gt;=3,AB982&lt;=0.2),1,0)</f>
        <v/>
      </c>
      <c r="AM982">
        <f>AVERAGE(W982:AB982)</f>
        <v/>
      </c>
      <c r="AN982">
        <f>1+COUNTIF(bounds,"&lt;"&amp;ROUND(AM982,12))</f>
        <v/>
      </c>
      <c r="AO982">
        <f>IF(AK982=1,AD982,NA())</f>
        <v/>
      </c>
      <c r="AP982">
        <f>IF(AK982=0,AD982,NA())</f>
        <v/>
      </c>
    </row>
    <row r="983">
      <c r="A983" t="n">
        <v>975</v>
      </c>
      <c r="B983" t="n">
        <v>4</v>
      </c>
      <c r="C983" t="n">
        <v>4</v>
      </c>
      <c r="D983" t="n">
        <v>1</v>
      </c>
      <c r="E983" t="n">
        <v>2</v>
      </c>
      <c r="F983" t="n">
        <v>3</v>
      </c>
      <c r="G983" t="n">
        <v>2</v>
      </c>
      <c r="H983" t="n">
        <v>5</v>
      </c>
      <c r="I983" t="n">
        <v>5</v>
      </c>
      <c r="J983" t="n">
        <v>3</v>
      </c>
      <c r="K983" t="n">
        <v>2</v>
      </c>
      <c r="L983" t="n">
        <v>2</v>
      </c>
      <c r="M983" t="n">
        <v>5</v>
      </c>
      <c r="N983" t="n">
        <v>5</v>
      </c>
      <c r="O983" t="n">
        <v>2</v>
      </c>
      <c r="P983" t="n">
        <v>1</v>
      </c>
      <c r="Q983" t="n">
        <v>2</v>
      </c>
      <c r="R983" t="n">
        <v>4</v>
      </c>
      <c r="S983" t="n">
        <v>5</v>
      </c>
      <c r="T983" t="n">
        <v>5</v>
      </c>
      <c r="U983" t="n">
        <v>1</v>
      </c>
      <c r="V983" t="n">
        <v>3</v>
      </c>
      <c r="W983">
        <f>(AVERAGE(B983:D983)-1)/4</f>
        <v/>
      </c>
      <c r="X983">
        <f>(AVERAGE(E983:G983)-1)/4</f>
        <v/>
      </c>
      <c r="Y983">
        <f>(AVERAGE(H983:J983)-1)/4</f>
        <v/>
      </c>
      <c r="Z983">
        <f>(AVERAGE(K983:M983)-1)/4</f>
        <v/>
      </c>
      <c r="AA983">
        <f>(AVERAGE(N983:P983)-1)/4</f>
        <v/>
      </c>
      <c r="AB983">
        <f>(AVERAGE(Q983:S983)-1)/4</f>
        <v/>
      </c>
      <c r="AC983">
        <f>(AVERAGE(T983:V983)-1)/4</f>
        <v/>
      </c>
      <c r="AD983">
        <f>AVERAGE(W983:AA983)</f>
        <v/>
      </c>
      <c r="AE983">
        <f>MIN(W983:AA983)</f>
        <v/>
      </c>
      <c r="AF983">
        <f>1-alpha*MAX(0,delta-AE983)</f>
        <v/>
      </c>
      <c r="AG983">
        <f>AD983*AF983</f>
        <v/>
      </c>
      <c r="AH983">
        <f>1+COUNTIF(bounds,"&lt;"&amp;ROUND(AD983,12))</f>
        <v/>
      </c>
      <c r="AI983">
        <f>1+COUNTIF(bounds,"&lt;"&amp;ROUND(AG983,12))</f>
        <v/>
      </c>
      <c r="AJ983">
        <f>IF(AF983&lt;1,1,0)</f>
        <v/>
      </c>
      <c r="AK983">
        <f>IF(AH983&lt;&gt;AI983,1,0)</f>
        <v/>
      </c>
      <c r="AL983">
        <f>IF(AND(AI983&gt;=3,AB983&lt;=0.2),1,0)</f>
        <v/>
      </c>
      <c r="AM983">
        <f>AVERAGE(W983:AB983)</f>
        <v/>
      </c>
      <c r="AN983">
        <f>1+COUNTIF(bounds,"&lt;"&amp;ROUND(AM983,12))</f>
        <v/>
      </c>
      <c r="AO983">
        <f>IF(AK983=1,AD983,NA())</f>
        <v/>
      </c>
      <c r="AP983">
        <f>IF(AK983=0,AD983,NA())</f>
        <v/>
      </c>
    </row>
    <row r="984">
      <c r="A984" t="n">
        <v>976</v>
      </c>
      <c r="B984" t="n">
        <v>5</v>
      </c>
      <c r="C984" t="n">
        <v>5</v>
      </c>
      <c r="D984" t="n">
        <v>3</v>
      </c>
      <c r="E984" t="n">
        <v>5</v>
      </c>
      <c r="F984" t="n">
        <v>3</v>
      </c>
      <c r="G984" t="n">
        <v>1</v>
      </c>
      <c r="H984" t="n">
        <v>5</v>
      </c>
      <c r="I984" t="n">
        <v>2</v>
      </c>
      <c r="J984" t="n">
        <v>3</v>
      </c>
      <c r="K984" t="n">
        <v>4</v>
      </c>
      <c r="L984" t="n">
        <v>2</v>
      </c>
      <c r="M984" t="n">
        <v>2</v>
      </c>
      <c r="N984" t="n">
        <v>1</v>
      </c>
      <c r="O984" t="n">
        <v>3</v>
      </c>
      <c r="P984" t="n">
        <v>5</v>
      </c>
      <c r="Q984" t="n">
        <v>2</v>
      </c>
      <c r="R984" t="n">
        <v>3</v>
      </c>
      <c r="S984" t="n">
        <v>3</v>
      </c>
      <c r="T984" t="n">
        <v>5</v>
      </c>
      <c r="U984" t="n">
        <v>3</v>
      </c>
      <c r="V984" t="n">
        <v>5</v>
      </c>
      <c r="W984">
        <f>(AVERAGE(B984:D984)-1)/4</f>
        <v/>
      </c>
      <c r="X984">
        <f>(AVERAGE(E984:G984)-1)/4</f>
        <v/>
      </c>
      <c r="Y984">
        <f>(AVERAGE(H984:J984)-1)/4</f>
        <v/>
      </c>
      <c r="Z984">
        <f>(AVERAGE(K984:M984)-1)/4</f>
        <v/>
      </c>
      <c r="AA984">
        <f>(AVERAGE(N984:P984)-1)/4</f>
        <v/>
      </c>
      <c r="AB984">
        <f>(AVERAGE(Q984:S984)-1)/4</f>
        <v/>
      </c>
      <c r="AC984">
        <f>(AVERAGE(T984:V984)-1)/4</f>
        <v/>
      </c>
      <c r="AD984">
        <f>AVERAGE(W984:AA984)</f>
        <v/>
      </c>
      <c r="AE984">
        <f>MIN(W984:AA984)</f>
        <v/>
      </c>
      <c r="AF984">
        <f>1-alpha*MAX(0,delta-AE984)</f>
        <v/>
      </c>
      <c r="AG984">
        <f>AD984*AF984</f>
        <v/>
      </c>
      <c r="AH984">
        <f>1+COUNTIF(bounds,"&lt;"&amp;ROUND(AD984,12))</f>
        <v/>
      </c>
      <c r="AI984">
        <f>1+COUNTIF(bounds,"&lt;"&amp;ROUND(AG984,12))</f>
        <v/>
      </c>
      <c r="AJ984">
        <f>IF(AF984&lt;1,1,0)</f>
        <v/>
      </c>
      <c r="AK984">
        <f>IF(AH984&lt;&gt;AI984,1,0)</f>
        <v/>
      </c>
      <c r="AL984">
        <f>IF(AND(AI984&gt;=3,AB984&lt;=0.2),1,0)</f>
        <v/>
      </c>
      <c r="AM984">
        <f>AVERAGE(W984:AB984)</f>
        <v/>
      </c>
      <c r="AN984">
        <f>1+COUNTIF(bounds,"&lt;"&amp;ROUND(AM984,12))</f>
        <v/>
      </c>
      <c r="AO984">
        <f>IF(AK984=1,AD984,NA())</f>
        <v/>
      </c>
      <c r="AP984">
        <f>IF(AK984=0,AD984,NA())</f>
        <v/>
      </c>
    </row>
    <row r="985">
      <c r="A985" t="n">
        <v>977</v>
      </c>
      <c r="B985" t="n">
        <v>2</v>
      </c>
      <c r="C985" t="n">
        <v>2</v>
      </c>
      <c r="D985" t="n">
        <v>4</v>
      </c>
      <c r="E985" t="n">
        <v>3</v>
      </c>
      <c r="F985" t="n">
        <v>3</v>
      </c>
      <c r="G985" t="n">
        <v>3</v>
      </c>
      <c r="H985" t="n">
        <v>5</v>
      </c>
      <c r="I985" t="n">
        <v>3</v>
      </c>
      <c r="J985" t="n">
        <v>3</v>
      </c>
      <c r="K985" t="n">
        <v>1</v>
      </c>
      <c r="L985" t="n">
        <v>1</v>
      </c>
      <c r="M985" t="n">
        <v>4</v>
      </c>
      <c r="N985" t="n">
        <v>3</v>
      </c>
      <c r="O985" t="n">
        <v>3</v>
      </c>
      <c r="P985" t="n">
        <v>1</v>
      </c>
      <c r="Q985" t="n">
        <v>5</v>
      </c>
      <c r="R985" t="n">
        <v>5</v>
      </c>
      <c r="S985" t="n">
        <v>1</v>
      </c>
      <c r="T985" t="n">
        <v>4</v>
      </c>
      <c r="U985" t="n">
        <v>3</v>
      </c>
      <c r="V985" t="n">
        <v>5</v>
      </c>
      <c r="W985">
        <f>(AVERAGE(B985:D985)-1)/4</f>
        <v/>
      </c>
      <c r="X985">
        <f>(AVERAGE(E985:G985)-1)/4</f>
        <v/>
      </c>
      <c r="Y985">
        <f>(AVERAGE(H985:J985)-1)/4</f>
        <v/>
      </c>
      <c r="Z985">
        <f>(AVERAGE(K985:M985)-1)/4</f>
        <v/>
      </c>
      <c r="AA985">
        <f>(AVERAGE(N985:P985)-1)/4</f>
        <v/>
      </c>
      <c r="AB985">
        <f>(AVERAGE(Q985:S985)-1)/4</f>
        <v/>
      </c>
      <c r="AC985">
        <f>(AVERAGE(T985:V985)-1)/4</f>
        <v/>
      </c>
      <c r="AD985">
        <f>AVERAGE(W985:AA985)</f>
        <v/>
      </c>
      <c r="AE985">
        <f>MIN(W985:AA985)</f>
        <v/>
      </c>
      <c r="AF985">
        <f>1-alpha*MAX(0,delta-AE985)</f>
        <v/>
      </c>
      <c r="AG985">
        <f>AD985*AF985</f>
        <v/>
      </c>
      <c r="AH985">
        <f>1+COUNTIF(bounds,"&lt;"&amp;ROUND(AD985,12))</f>
        <v/>
      </c>
      <c r="AI985">
        <f>1+COUNTIF(bounds,"&lt;"&amp;ROUND(AG985,12))</f>
        <v/>
      </c>
      <c r="AJ985">
        <f>IF(AF985&lt;1,1,0)</f>
        <v/>
      </c>
      <c r="AK985">
        <f>IF(AH985&lt;&gt;AI985,1,0)</f>
        <v/>
      </c>
      <c r="AL985">
        <f>IF(AND(AI985&gt;=3,AB985&lt;=0.2),1,0)</f>
        <v/>
      </c>
      <c r="AM985">
        <f>AVERAGE(W985:AB985)</f>
        <v/>
      </c>
      <c r="AN985">
        <f>1+COUNTIF(bounds,"&lt;"&amp;ROUND(AM985,12))</f>
        <v/>
      </c>
      <c r="AO985">
        <f>IF(AK985=1,AD985,NA())</f>
        <v/>
      </c>
      <c r="AP985">
        <f>IF(AK985=0,AD985,NA())</f>
        <v/>
      </c>
    </row>
    <row r="986">
      <c r="A986" t="n">
        <v>978</v>
      </c>
      <c r="B986" t="n">
        <v>1</v>
      </c>
      <c r="C986" t="n">
        <v>5</v>
      </c>
      <c r="D986" t="n">
        <v>2</v>
      </c>
      <c r="E986" t="n">
        <v>4</v>
      </c>
      <c r="F986" t="n">
        <v>1</v>
      </c>
      <c r="G986" t="n">
        <v>1</v>
      </c>
      <c r="H986" t="n">
        <v>4</v>
      </c>
      <c r="I986" t="n">
        <v>5</v>
      </c>
      <c r="J986" t="n">
        <v>4</v>
      </c>
      <c r="K986" t="n">
        <v>2</v>
      </c>
      <c r="L986" t="n">
        <v>4</v>
      </c>
      <c r="M986" t="n">
        <v>2</v>
      </c>
      <c r="N986" t="n">
        <v>2</v>
      </c>
      <c r="O986" t="n">
        <v>4</v>
      </c>
      <c r="P986" t="n">
        <v>5</v>
      </c>
      <c r="Q986" t="n">
        <v>5</v>
      </c>
      <c r="R986" t="n">
        <v>1</v>
      </c>
      <c r="S986" t="n">
        <v>2</v>
      </c>
      <c r="T986" t="n">
        <v>4</v>
      </c>
      <c r="U986" t="n">
        <v>3</v>
      </c>
      <c r="V986" t="n">
        <v>3</v>
      </c>
      <c r="W986">
        <f>(AVERAGE(B986:D986)-1)/4</f>
        <v/>
      </c>
      <c r="X986">
        <f>(AVERAGE(E986:G986)-1)/4</f>
        <v/>
      </c>
      <c r="Y986">
        <f>(AVERAGE(H986:J986)-1)/4</f>
        <v/>
      </c>
      <c r="Z986">
        <f>(AVERAGE(K986:M986)-1)/4</f>
        <v/>
      </c>
      <c r="AA986">
        <f>(AVERAGE(N986:P986)-1)/4</f>
        <v/>
      </c>
      <c r="AB986">
        <f>(AVERAGE(Q986:S986)-1)/4</f>
        <v/>
      </c>
      <c r="AC986">
        <f>(AVERAGE(T986:V986)-1)/4</f>
        <v/>
      </c>
      <c r="AD986">
        <f>AVERAGE(W986:AA986)</f>
        <v/>
      </c>
      <c r="AE986">
        <f>MIN(W986:AA986)</f>
        <v/>
      </c>
      <c r="AF986">
        <f>1-alpha*MAX(0,delta-AE986)</f>
        <v/>
      </c>
      <c r="AG986">
        <f>AD986*AF986</f>
        <v/>
      </c>
      <c r="AH986">
        <f>1+COUNTIF(bounds,"&lt;"&amp;ROUND(AD986,12))</f>
        <v/>
      </c>
      <c r="AI986">
        <f>1+COUNTIF(bounds,"&lt;"&amp;ROUND(AG986,12))</f>
        <v/>
      </c>
      <c r="AJ986">
        <f>IF(AF986&lt;1,1,0)</f>
        <v/>
      </c>
      <c r="AK986">
        <f>IF(AH986&lt;&gt;AI986,1,0)</f>
        <v/>
      </c>
      <c r="AL986">
        <f>IF(AND(AI986&gt;=3,AB986&lt;=0.2),1,0)</f>
        <v/>
      </c>
      <c r="AM986">
        <f>AVERAGE(W986:AB986)</f>
        <v/>
      </c>
      <c r="AN986">
        <f>1+COUNTIF(bounds,"&lt;"&amp;ROUND(AM986,12))</f>
        <v/>
      </c>
      <c r="AO986">
        <f>IF(AK986=1,AD986,NA())</f>
        <v/>
      </c>
      <c r="AP986">
        <f>IF(AK986=0,AD986,NA())</f>
        <v/>
      </c>
    </row>
    <row r="987">
      <c r="A987" t="n">
        <v>979</v>
      </c>
      <c r="B987" t="n">
        <v>1</v>
      </c>
      <c r="C987" t="n">
        <v>5</v>
      </c>
      <c r="D987" t="n">
        <v>5</v>
      </c>
      <c r="E987" t="n">
        <v>5</v>
      </c>
      <c r="F987" t="n">
        <v>1</v>
      </c>
      <c r="G987" t="n">
        <v>1</v>
      </c>
      <c r="H987" t="n">
        <v>2</v>
      </c>
      <c r="I987" t="n">
        <v>2</v>
      </c>
      <c r="J987" t="n">
        <v>4</v>
      </c>
      <c r="K987" t="n">
        <v>2</v>
      </c>
      <c r="L987" t="n">
        <v>5</v>
      </c>
      <c r="M987" t="n">
        <v>4</v>
      </c>
      <c r="N987" t="n">
        <v>5</v>
      </c>
      <c r="O987" t="n">
        <v>1</v>
      </c>
      <c r="P987" t="n">
        <v>4</v>
      </c>
      <c r="Q987" t="n">
        <v>4</v>
      </c>
      <c r="R987" t="n">
        <v>3</v>
      </c>
      <c r="S987" t="n">
        <v>5</v>
      </c>
      <c r="T987" t="n">
        <v>3</v>
      </c>
      <c r="U987" t="n">
        <v>1</v>
      </c>
      <c r="V987" t="n">
        <v>5</v>
      </c>
      <c r="W987">
        <f>(AVERAGE(B987:D987)-1)/4</f>
        <v/>
      </c>
      <c r="X987">
        <f>(AVERAGE(E987:G987)-1)/4</f>
        <v/>
      </c>
      <c r="Y987">
        <f>(AVERAGE(H987:J987)-1)/4</f>
        <v/>
      </c>
      <c r="Z987">
        <f>(AVERAGE(K987:M987)-1)/4</f>
        <v/>
      </c>
      <c r="AA987">
        <f>(AVERAGE(N987:P987)-1)/4</f>
        <v/>
      </c>
      <c r="AB987">
        <f>(AVERAGE(Q987:S987)-1)/4</f>
        <v/>
      </c>
      <c r="AC987">
        <f>(AVERAGE(T987:V987)-1)/4</f>
        <v/>
      </c>
      <c r="AD987">
        <f>AVERAGE(W987:AA987)</f>
        <v/>
      </c>
      <c r="AE987">
        <f>MIN(W987:AA987)</f>
        <v/>
      </c>
      <c r="AF987">
        <f>1-alpha*MAX(0,delta-AE987)</f>
        <v/>
      </c>
      <c r="AG987">
        <f>AD987*AF987</f>
        <v/>
      </c>
      <c r="AH987">
        <f>1+COUNTIF(bounds,"&lt;"&amp;ROUND(AD987,12))</f>
        <v/>
      </c>
      <c r="AI987">
        <f>1+COUNTIF(bounds,"&lt;"&amp;ROUND(AG987,12))</f>
        <v/>
      </c>
      <c r="AJ987">
        <f>IF(AF987&lt;1,1,0)</f>
        <v/>
      </c>
      <c r="AK987">
        <f>IF(AH987&lt;&gt;AI987,1,0)</f>
        <v/>
      </c>
      <c r="AL987">
        <f>IF(AND(AI987&gt;=3,AB987&lt;=0.2),1,0)</f>
        <v/>
      </c>
      <c r="AM987">
        <f>AVERAGE(W987:AB987)</f>
        <v/>
      </c>
      <c r="AN987">
        <f>1+COUNTIF(bounds,"&lt;"&amp;ROUND(AM987,12))</f>
        <v/>
      </c>
      <c r="AO987">
        <f>IF(AK987=1,AD987,NA())</f>
        <v/>
      </c>
      <c r="AP987">
        <f>IF(AK987=0,AD987,NA())</f>
        <v/>
      </c>
    </row>
    <row r="988">
      <c r="A988" t="n">
        <v>980</v>
      </c>
      <c r="B988" t="n">
        <v>2</v>
      </c>
      <c r="C988" t="n">
        <v>2</v>
      </c>
      <c r="D988" t="n">
        <v>4</v>
      </c>
      <c r="E988" t="n">
        <v>2</v>
      </c>
      <c r="F988" t="n">
        <v>1</v>
      </c>
      <c r="G988" t="n">
        <v>5</v>
      </c>
      <c r="H988" t="n">
        <v>2</v>
      </c>
      <c r="I988" t="n">
        <v>4</v>
      </c>
      <c r="J988" t="n">
        <v>3</v>
      </c>
      <c r="K988" t="n">
        <v>4</v>
      </c>
      <c r="L988" t="n">
        <v>5</v>
      </c>
      <c r="M988" t="n">
        <v>5</v>
      </c>
      <c r="N988" t="n">
        <v>5</v>
      </c>
      <c r="O988" t="n">
        <v>1</v>
      </c>
      <c r="P988" t="n">
        <v>2</v>
      </c>
      <c r="Q988" t="n">
        <v>4</v>
      </c>
      <c r="R988" t="n">
        <v>1</v>
      </c>
      <c r="S988" t="n">
        <v>5</v>
      </c>
      <c r="T988" t="n">
        <v>3</v>
      </c>
      <c r="U988" t="n">
        <v>4</v>
      </c>
      <c r="V988" t="n">
        <v>3</v>
      </c>
      <c r="W988">
        <f>(AVERAGE(B988:D988)-1)/4</f>
        <v/>
      </c>
      <c r="X988">
        <f>(AVERAGE(E988:G988)-1)/4</f>
        <v/>
      </c>
      <c r="Y988">
        <f>(AVERAGE(H988:J988)-1)/4</f>
        <v/>
      </c>
      <c r="Z988">
        <f>(AVERAGE(K988:M988)-1)/4</f>
        <v/>
      </c>
      <c r="AA988">
        <f>(AVERAGE(N988:P988)-1)/4</f>
        <v/>
      </c>
      <c r="AB988">
        <f>(AVERAGE(Q988:S988)-1)/4</f>
        <v/>
      </c>
      <c r="AC988">
        <f>(AVERAGE(T988:V988)-1)/4</f>
        <v/>
      </c>
      <c r="AD988">
        <f>AVERAGE(W988:AA988)</f>
        <v/>
      </c>
      <c r="AE988">
        <f>MIN(W988:AA988)</f>
        <v/>
      </c>
      <c r="AF988">
        <f>1-alpha*MAX(0,delta-AE988)</f>
        <v/>
      </c>
      <c r="AG988">
        <f>AD988*AF988</f>
        <v/>
      </c>
      <c r="AH988">
        <f>1+COUNTIF(bounds,"&lt;"&amp;ROUND(AD988,12))</f>
        <v/>
      </c>
      <c r="AI988">
        <f>1+COUNTIF(bounds,"&lt;"&amp;ROUND(AG988,12))</f>
        <v/>
      </c>
      <c r="AJ988">
        <f>IF(AF988&lt;1,1,0)</f>
        <v/>
      </c>
      <c r="AK988">
        <f>IF(AH988&lt;&gt;AI988,1,0)</f>
        <v/>
      </c>
      <c r="AL988">
        <f>IF(AND(AI988&gt;=3,AB988&lt;=0.2),1,0)</f>
        <v/>
      </c>
      <c r="AM988">
        <f>AVERAGE(W988:AB988)</f>
        <v/>
      </c>
      <c r="AN988">
        <f>1+COUNTIF(bounds,"&lt;"&amp;ROUND(AM988,12))</f>
        <v/>
      </c>
      <c r="AO988">
        <f>IF(AK988=1,AD988,NA())</f>
        <v/>
      </c>
      <c r="AP988">
        <f>IF(AK988=0,AD988,NA())</f>
        <v/>
      </c>
    </row>
    <row r="989">
      <c r="A989" t="n">
        <v>981</v>
      </c>
      <c r="B989" t="n">
        <v>4</v>
      </c>
      <c r="C989" t="n">
        <v>5</v>
      </c>
      <c r="D989" t="n">
        <v>4</v>
      </c>
      <c r="E989" t="n">
        <v>2</v>
      </c>
      <c r="F989" t="n">
        <v>4</v>
      </c>
      <c r="G989" t="n">
        <v>1</v>
      </c>
      <c r="H989" t="n">
        <v>5</v>
      </c>
      <c r="I989" t="n">
        <v>2</v>
      </c>
      <c r="J989" t="n">
        <v>2</v>
      </c>
      <c r="K989" t="n">
        <v>4</v>
      </c>
      <c r="L989" t="n">
        <v>4</v>
      </c>
      <c r="M989" t="n">
        <v>5</v>
      </c>
      <c r="N989" t="n">
        <v>5</v>
      </c>
      <c r="O989" t="n">
        <v>4</v>
      </c>
      <c r="P989" t="n">
        <v>2</v>
      </c>
      <c r="Q989" t="n">
        <v>3</v>
      </c>
      <c r="R989" t="n">
        <v>4</v>
      </c>
      <c r="S989" t="n">
        <v>4</v>
      </c>
      <c r="T989" t="n">
        <v>2</v>
      </c>
      <c r="U989" t="n">
        <v>5</v>
      </c>
      <c r="V989" t="n">
        <v>3</v>
      </c>
      <c r="W989">
        <f>(AVERAGE(B989:D989)-1)/4</f>
        <v/>
      </c>
      <c r="X989">
        <f>(AVERAGE(E989:G989)-1)/4</f>
        <v/>
      </c>
      <c r="Y989">
        <f>(AVERAGE(H989:J989)-1)/4</f>
        <v/>
      </c>
      <c r="Z989">
        <f>(AVERAGE(K989:M989)-1)/4</f>
        <v/>
      </c>
      <c r="AA989">
        <f>(AVERAGE(N989:P989)-1)/4</f>
        <v/>
      </c>
      <c r="AB989">
        <f>(AVERAGE(Q989:S989)-1)/4</f>
        <v/>
      </c>
      <c r="AC989">
        <f>(AVERAGE(T989:V989)-1)/4</f>
        <v/>
      </c>
      <c r="AD989">
        <f>AVERAGE(W989:AA989)</f>
        <v/>
      </c>
      <c r="AE989">
        <f>MIN(W989:AA989)</f>
        <v/>
      </c>
      <c r="AF989">
        <f>1-alpha*MAX(0,delta-AE989)</f>
        <v/>
      </c>
      <c r="AG989">
        <f>AD989*AF989</f>
        <v/>
      </c>
      <c r="AH989">
        <f>1+COUNTIF(bounds,"&lt;"&amp;ROUND(AD989,12))</f>
        <v/>
      </c>
      <c r="AI989">
        <f>1+COUNTIF(bounds,"&lt;"&amp;ROUND(AG989,12))</f>
        <v/>
      </c>
      <c r="AJ989">
        <f>IF(AF989&lt;1,1,0)</f>
        <v/>
      </c>
      <c r="AK989">
        <f>IF(AH989&lt;&gt;AI989,1,0)</f>
        <v/>
      </c>
      <c r="AL989">
        <f>IF(AND(AI989&gt;=3,AB989&lt;=0.2),1,0)</f>
        <v/>
      </c>
      <c r="AM989">
        <f>AVERAGE(W989:AB989)</f>
        <v/>
      </c>
      <c r="AN989">
        <f>1+COUNTIF(bounds,"&lt;"&amp;ROUND(AM989,12))</f>
        <v/>
      </c>
      <c r="AO989">
        <f>IF(AK989=1,AD989,NA())</f>
        <v/>
      </c>
      <c r="AP989">
        <f>IF(AK989=0,AD989,NA())</f>
        <v/>
      </c>
    </row>
    <row r="990">
      <c r="A990" t="n">
        <v>982</v>
      </c>
      <c r="B990" t="n">
        <v>3</v>
      </c>
      <c r="C990" t="n">
        <v>3</v>
      </c>
      <c r="D990" t="n">
        <v>2</v>
      </c>
      <c r="E990" t="n">
        <v>1</v>
      </c>
      <c r="F990" t="n">
        <v>3</v>
      </c>
      <c r="G990" t="n">
        <v>2</v>
      </c>
      <c r="H990" t="n">
        <v>1</v>
      </c>
      <c r="I990" t="n">
        <v>5</v>
      </c>
      <c r="J990" t="n">
        <v>3</v>
      </c>
      <c r="K990" t="n">
        <v>3</v>
      </c>
      <c r="L990" t="n">
        <v>5</v>
      </c>
      <c r="M990" t="n">
        <v>4</v>
      </c>
      <c r="N990" t="n">
        <v>2</v>
      </c>
      <c r="O990" t="n">
        <v>4</v>
      </c>
      <c r="P990" t="n">
        <v>1</v>
      </c>
      <c r="Q990" t="n">
        <v>4</v>
      </c>
      <c r="R990" t="n">
        <v>3</v>
      </c>
      <c r="S990" t="n">
        <v>2</v>
      </c>
      <c r="T990" t="n">
        <v>5</v>
      </c>
      <c r="U990" t="n">
        <v>4</v>
      </c>
      <c r="V990" t="n">
        <v>1</v>
      </c>
      <c r="W990">
        <f>(AVERAGE(B990:D990)-1)/4</f>
        <v/>
      </c>
      <c r="X990">
        <f>(AVERAGE(E990:G990)-1)/4</f>
        <v/>
      </c>
      <c r="Y990">
        <f>(AVERAGE(H990:J990)-1)/4</f>
        <v/>
      </c>
      <c r="Z990">
        <f>(AVERAGE(K990:M990)-1)/4</f>
        <v/>
      </c>
      <c r="AA990">
        <f>(AVERAGE(N990:P990)-1)/4</f>
        <v/>
      </c>
      <c r="AB990">
        <f>(AVERAGE(Q990:S990)-1)/4</f>
        <v/>
      </c>
      <c r="AC990">
        <f>(AVERAGE(T990:V990)-1)/4</f>
        <v/>
      </c>
      <c r="AD990">
        <f>AVERAGE(W990:AA990)</f>
        <v/>
      </c>
      <c r="AE990">
        <f>MIN(W990:AA990)</f>
        <v/>
      </c>
      <c r="AF990">
        <f>1-alpha*MAX(0,delta-AE990)</f>
        <v/>
      </c>
      <c r="AG990">
        <f>AD990*AF990</f>
        <v/>
      </c>
      <c r="AH990">
        <f>1+COUNTIF(bounds,"&lt;"&amp;ROUND(AD990,12))</f>
        <v/>
      </c>
      <c r="AI990">
        <f>1+COUNTIF(bounds,"&lt;"&amp;ROUND(AG990,12))</f>
        <v/>
      </c>
      <c r="AJ990">
        <f>IF(AF990&lt;1,1,0)</f>
        <v/>
      </c>
      <c r="AK990">
        <f>IF(AH990&lt;&gt;AI990,1,0)</f>
        <v/>
      </c>
      <c r="AL990">
        <f>IF(AND(AI990&gt;=3,AB990&lt;=0.2),1,0)</f>
        <v/>
      </c>
      <c r="AM990">
        <f>AVERAGE(W990:AB990)</f>
        <v/>
      </c>
      <c r="AN990">
        <f>1+COUNTIF(bounds,"&lt;"&amp;ROUND(AM990,12))</f>
        <v/>
      </c>
      <c r="AO990">
        <f>IF(AK990=1,AD990,NA())</f>
        <v/>
      </c>
      <c r="AP990">
        <f>IF(AK990=0,AD990,NA())</f>
        <v/>
      </c>
    </row>
    <row r="991">
      <c r="A991" t="n">
        <v>983</v>
      </c>
      <c r="B991" t="n">
        <v>2</v>
      </c>
      <c r="C991" t="n">
        <v>2</v>
      </c>
      <c r="D991" t="n">
        <v>4</v>
      </c>
      <c r="E991" t="n">
        <v>1</v>
      </c>
      <c r="F991" t="n">
        <v>5</v>
      </c>
      <c r="G991" t="n">
        <v>2</v>
      </c>
      <c r="H991" t="n">
        <v>3</v>
      </c>
      <c r="I991" t="n">
        <v>4</v>
      </c>
      <c r="J991" t="n">
        <v>5</v>
      </c>
      <c r="K991" t="n">
        <v>3</v>
      </c>
      <c r="L991" t="n">
        <v>1</v>
      </c>
      <c r="M991" t="n">
        <v>1</v>
      </c>
      <c r="N991" t="n">
        <v>3</v>
      </c>
      <c r="O991" t="n">
        <v>3</v>
      </c>
      <c r="P991" t="n">
        <v>5</v>
      </c>
      <c r="Q991" t="n">
        <v>4</v>
      </c>
      <c r="R991" t="n">
        <v>2</v>
      </c>
      <c r="S991" t="n">
        <v>5</v>
      </c>
      <c r="T991" t="n">
        <v>1</v>
      </c>
      <c r="U991" t="n">
        <v>4</v>
      </c>
      <c r="V991" t="n">
        <v>4</v>
      </c>
      <c r="W991">
        <f>(AVERAGE(B991:D991)-1)/4</f>
        <v/>
      </c>
      <c r="X991">
        <f>(AVERAGE(E991:G991)-1)/4</f>
        <v/>
      </c>
      <c r="Y991">
        <f>(AVERAGE(H991:J991)-1)/4</f>
        <v/>
      </c>
      <c r="Z991">
        <f>(AVERAGE(K991:M991)-1)/4</f>
        <v/>
      </c>
      <c r="AA991">
        <f>(AVERAGE(N991:P991)-1)/4</f>
        <v/>
      </c>
      <c r="AB991">
        <f>(AVERAGE(Q991:S991)-1)/4</f>
        <v/>
      </c>
      <c r="AC991">
        <f>(AVERAGE(T991:V991)-1)/4</f>
        <v/>
      </c>
      <c r="AD991">
        <f>AVERAGE(W991:AA991)</f>
        <v/>
      </c>
      <c r="AE991">
        <f>MIN(W991:AA991)</f>
        <v/>
      </c>
      <c r="AF991">
        <f>1-alpha*MAX(0,delta-AE991)</f>
        <v/>
      </c>
      <c r="AG991">
        <f>AD991*AF991</f>
        <v/>
      </c>
      <c r="AH991">
        <f>1+COUNTIF(bounds,"&lt;"&amp;ROUND(AD991,12))</f>
        <v/>
      </c>
      <c r="AI991">
        <f>1+COUNTIF(bounds,"&lt;"&amp;ROUND(AG991,12))</f>
        <v/>
      </c>
      <c r="AJ991">
        <f>IF(AF991&lt;1,1,0)</f>
        <v/>
      </c>
      <c r="AK991">
        <f>IF(AH991&lt;&gt;AI991,1,0)</f>
        <v/>
      </c>
      <c r="AL991">
        <f>IF(AND(AI991&gt;=3,AB991&lt;=0.2),1,0)</f>
        <v/>
      </c>
      <c r="AM991">
        <f>AVERAGE(W991:AB991)</f>
        <v/>
      </c>
      <c r="AN991">
        <f>1+COUNTIF(bounds,"&lt;"&amp;ROUND(AM991,12))</f>
        <v/>
      </c>
      <c r="AO991">
        <f>IF(AK991=1,AD991,NA())</f>
        <v/>
      </c>
      <c r="AP991">
        <f>IF(AK991=0,AD991,NA())</f>
        <v/>
      </c>
    </row>
    <row r="992">
      <c r="A992" t="n">
        <v>984</v>
      </c>
      <c r="B992" t="n">
        <v>5</v>
      </c>
      <c r="C992" t="n">
        <v>5</v>
      </c>
      <c r="D992" t="n">
        <v>2</v>
      </c>
      <c r="E992" t="n">
        <v>4</v>
      </c>
      <c r="F992" t="n">
        <v>1</v>
      </c>
      <c r="G992" t="n">
        <v>3</v>
      </c>
      <c r="H992" t="n">
        <v>1</v>
      </c>
      <c r="I992" t="n">
        <v>2</v>
      </c>
      <c r="J992" t="n">
        <v>3</v>
      </c>
      <c r="K992" t="n">
        <v>1</v>
      </c>
      <c r="L992" t="n">
        <v>1</v>
      </c>
      <c r="M992" t="n">
        <v>2</v>
      </c>
      <c r="N992" t="n">
        <v>1</v>
      </c>
      <c r="O992" t="n">
        <v>3</v>
      </c>
      <c r="P992" t="n">
        <v>1</v>
      </c>
      <c r="Q992" t="n">
        <v>4</v>
      </c>
      <c r="R992" t="n">
        <v>4</v>
      </c>
      <c r="S992" t="n">
        <v>2</v>
      </c>
      <c r="T992" t="n">
        <v>5</v>
      </c>
      <c r="U992" t="n">
        <v>4</v>
      </c>
      <c r="V992" t="n">
        <v>3</v>
      </c>
      <c r="W992">
        <f>(AVERAGE(B992:D992)-1)/4</f>
        <v/>
      </c>
      <c r="X992">
        <f>(AVERAGE(E992:G992)-1)/4</f>
        <v/>
      </c>
      <c r="Y992">
        <f>(AVERAGE(H992:J992)-1)/4</f>
        <v/>
      </c>
      <c r="Z992">
        <f>(AVERAGE(K992:M992)-1)/4</f>
        <v/>
      </c>
      <c r="AA992">
        <f>(AVERAGE(N992:P992)-1)/4</f>
        <v/>
      </c>
      <c r="AB992">
        <f>(AVERAGE(Q992:S992)-1)/4</f>
        <v/>
      </c>
      <c r="AC992">
        <f>(AVERAGE(T992:V992)-1)/4</f>
        <v/>
      </c>
      <c r="AD992">
        <f>AVERAGE(W992:AA992)</f>
        <v/>
      </c>
      <c r="AE992">
        <f>MIN(W992:AA992)</f>
        <v/>
      </c>
      <c r="AF992">
        <f>1-alpha*MAX(0,delta-AE992)</f>
        <v/>
      </c>
      <c r="AG992">
        <f>AD992*AF992</f>
        <v/>
      </c>
      <c r="AH992">
        <f>1+COUNTIF(bounds,"&lt;"&amp;ROUND(AD992,12))</f>
        <v/>
      </c>
      <c r="AI992">
        <f>1+COUNTIF(bounds,"&lt;"&amp;ROUND(AG992,12))</f>
        <v/>
      </c>
      <c r="AJ992">
        <f>IF(AF992&lt;1,1,0)</f>
        <v/>
      </c>
      <c r="AK992">
        <f>IF(AH992&lt;&gt;AI992,1,0)</f>
        <v/>
      </c>
      <c r="AL992">
        <f>IF(AND(AI992&gt;=3,AB992&lt;=0.2),1,0)</f>
        <v/>
      </c>
      <c r="AM992">
        <f>AVERAGE(W992:AB992)</f>
        <v/>
      </c>
      <c r="AN992">
        <f>1+COUNTIF(bounds,"&lt;"&amp;ROUND(AM992,12))</f>
        <v/>
      </c>
      <c r="AO992">
        <f>IF(AK992=1,AD992,NA())</f>
        <v/>
      </c>
      <c r="AP992">
        <f>IF(AK992=0,AD992,NA())</f>
        <v/>
      </c>
    </row>
    <row r="993">
      <c r="A993" t="n">
        <v>985</v>
      </c>
      <c r="B993" t="n">
        <v>4</v>
      </c>
      <c r="C993" t="n">
        <v>1</v>
      </c>
      <c r="D993" t="n">
        <v>5</v>
      </c>
      <c r="E993" t="n">
        <v>4</v>
      </c>
      <c r="F993" t="n">
        <v>5</v>
      </c>
      <c r="G993" t="n">
        <v>3</v>
      </c>
      <c r="H993" t="n">
        <v>5</v>
      </c>
      <c r="I993" t="n">
        <v>4</v>
      </c>
      <c r="J993" t="n">
        <v>4</v>
      </c>
      <c r="K993" t="n">
        <v>5</v>
      </c>
      <c r="L993" t="n">
        <v>2</v>
      </c>
      <c r="M993" t="n">
        <v>2</v>
      </c>
      <c r="N993" t="n">
        <v>2</v>
      </c>
      <c r="O993" t="n">
        <v>2</v>
      </c>
      <c r="P993" t="n">
        <v>5</v>
      </c>
      <c r="Q993" t="n">
        <v>1</v>
      </c>
      <c r="R993" t="n">
        <v>1</v>
      </c>
      <c r="S993" t="n">
        <v>1</v>
      </c>
      <c r="T993" t="n">
        <v>1</v>
      </c>
      <c r="U993" t="n">
        <v>4</v>
      </c>
      <c r="V993" t="n">
        <v>1</v>
      </c>
      <c r="W993">
        <f>(AVERAGE(B993:D993)-1)/4</f>
        <v/>
      </c>
      <c r="X993">
        <f>(AVERAGE(E993:G993)-1)/4</f>
        <v/>
      </c>
      <c r="Y993">
        <f>(AVERAGE(H993:J993)-1)/4</f>
        <v/>
      </c>
      <c r="Z993">
        <f>(AVERAGE(K993:M993)-1)/4</f>
        <v/>
      </c>
      <c r="AA993">
        <f>(AVERAGE(N993:P993)-1)/4</f>
        <v/>
      </c>
      <c r="AB993">
        <f>(AVERAGE(Q993:S993)-1)/4</f>
        <v/>
      </c>
      <c r="AC993">
        <f>(AVERAGE(T993:V993)-1)/4</f>
        <v/>
      </c>
      <c r="AD993">
        <f>AVERAGE(W993:AA993)</f>
        <v/>
      </c>
      <c r="AE993">
        <f>MIN(W993:AA993)</f>
        <v/>
      </c>
      <c r="AF993">
        <f>1-alpha*MAX(0,delta-AE993)</f>
        <v/>
      </c>
      <c r="AG993">
        <f>AD993*AF993</f>
        <v/>
      </c>
      <c r="AH993">
        <f>1+COUNTIF(bounds,"&lt;"&amp;ROUND(AD993,12))</f>
        <v/>
      </c>
      <c r="AI993">
        <f>1+COUNTIF(bounds,"&lt;"&amp;ROUND(AG993,12))</f>
        <v/>
      </c>
      <c r="AJ993">
        <f>IF(AF993&lt;1,1,0)</f>
        <v/>
      </c>
      <c r="AK993">
        <f>IF(AH993&lt;&gt;AI993,1,0)</f>
        <v/>
      </c>
      <c r="AL993">
        <f>IF(AND(AI993&gt;=3,AB993&lt;=0.2),1,0)</f>
        <v/>
      </c>
      <c r="AM993">
        <f>AVERAGE(W993:AB993)</f>
        <v/>
      </c>
      <c r="AN993">
        <f>1+COUNTIF(bounds,"&lt;"&amp;ROUND(AM993,12))</f>
        <v/>
      </c>
      <c r="AO993">
        <f>IF(AK993=1,AD993,NA())</f>
        <v/>
      </c>
      <c r="AP993">
        <f>IF(AK993=0,AD993,NA())</f>
        <v/>
      </c>
    </row>
    <row r="994">
      <c r="A994" t="n">
        <v>986</v>
      </c>
      <c r="B994" t="n">
        <v>2</v>
      </c>
      <c r="C994" t="n">
        <v>3</v>
      </c>
      <c r="D994" t="n">
        <v>1</v>
      </c>
      <c r="E994" t="n">
        <v>4</v>
      </c>
      <c r="F994" t="n">
        <v>4</v>
      </c>
      <c r="G994" t="n">
        <v>3</v>
      </c>
      <c r="H994" t="n">
        <v>5</v>
      </c>
      <c r="I994" t="n">
        <v>4</v>
      </c>
      <c r="J994" t="n">
        <v>2</v>
      </c>
      <c r="K994" t="n">
        <v>3</v>
      </c>
      <c r="L994" t="n">
        <v>5</v>
      </c>
      <c r="M994" t="n">
        <v>3</v>
      </c>
      <c r="N994" t="n">
        <v>1</v>
      </c>
      <c r="O994" t="n">
        <v>5</v>
      </c>
      <c r="P994" t="n">
        <v>3</v>
      </c>
      <c r="Q994" t="n">
        <v>5</v>
      </c>
      <c r="R994" t="n">
        <v>5</v>
      </c>
      <c r="S994" t="n">
        <v>1</v>
      </c>
      <c r="T994" t="n">
        <v>2</v>
      </c>
      <c r="U994" t="n">
        <v>2</v>
      </c>
      <c r="V994" t="n">
        <v>5</v>
      </c>
      <c r="W994">
        <f>(AVERAGE(B994:D994)-1)/4</f>
        <v/>
      </c>
      <c r="X994">
        <f>(AVERAGE(E994:G994)-1)/4</f>
        <v/>
      </c>
      <c r="Y994">
        <f>(AVERAGE(H994:J994)-1)/4</f>
        <v/>
      </c>
      <c r="Z994">
        <f>(AVERAGE(K994:M994)-1)/4</f>
        <v/>
      </c>
      <c r="AA994">
        <f>(AVERAGE(N994:P994)-1)/4</f>
        <v/>
      </c>
      <c r="AB994">
        <f>(AVERAGE(Q994:S994)-1)/4</f>
        <v/>
      </c>
      <c r="AC994">
        <f>(AVERAGE(T994:V994)-1)/4</f>
        <v/>
      </c>
      <c r="AD994">
        <f>AVERAGE(W994:AA994)</f>
        <v/>
      </c>
      <c r="AE994">
        <f>MIN(W994:AA994)</f>
        <v/>
      </c>
      <c r="AF994">
        <f>1-alpha*MAX(0,delta-AE994)</f>
        <v/>
      </c>
      <c r="AG994">
        <f>AD994*AF994</f>
        <v/>
      </c>
      <c r="AH994">
        <f>1+COUNTIF(bounds,"&lt;"&amp;ROUND(AD994,12))</f>
        <v/>
      </c>
      <c r="AI994">
        <f>1+COUNTIF(bounds,"&lt;"&amp;ROUND(AG994,12))</f>
        <v/>
      </c>
      <c r="AJ994">
        <f>IF(AF994&lt;1,1,0)</f>
        <v/>
      </c>
      <c r="AK994">
        <f>IF(AH994&lt;&gt;AI994,1,0)</f>
        <v/>
      </c>
      <c r="AL994">
        <f>IF(AND(AI994&gt;=3,AB994&lt;=0.2),1,0)</f>
        <v/>
      </c>
      <c r="AM994">
        <f>AVERAGE(W994:AB994)</f>
        <v/>
      </c>
      <c r="AN994">
        <f>1+COUNTIF(bounds,"&lt;"&amp;ROUND(AM994,12))</f>
        <v/>
      </c>
      <c r="AO994">
        <f>IF(AK994=1,AD994,NA())</f>
        <v/>
      </c>
      <c r="AP994">
        <f>IF(AK994=0,AD994,NA())</f>
        <v/>
      </c>
    </row>
    <row r="995">
      <c r="A995" t="n">
        <v>987</v>
      </c>
      <c r="B995" t="n">
        <v>3</v>
      </c>
      <c r="C995" t="n">
        <v>5</v>
      </c>
      <c r="D995" t="n">
        <v>5</v>
      </c>
      <c r="E995" t="n">
        <v>5</v>
      </c>
      <c r="F995" t="n">
        <v>5</v>
      </c>
      <c r="G995" t="n">
        <v>3</v>
      </c>
      <c r="H995" t="n">
        <v>3</v>
      </c>
      <c r="I995" t="n">
        <v>1</v>
      </c>
      <c r="J995" t="n">
        <v>4</v>
      </c>
      <c r="K995" t="n">
        <v>3</v>
      </c>
      <c r="L995" t="n">
        <v>4</v>
      </c>
      <c r="M995" t="n">
        <v>1</v>
      </c>
      <c r="N995" t="n">
        <v>2</v>
      </c>
      <c r="O995" t="n">
        <v>2</v>
      </c>
      <c r="P995" t="n">
        <v>2</v>
      </c>
      <c r="Q995" t="n">
        <v>5</v>
      </c>
      <c r="R995" t="n">
        <v>2</v>
      </c>
      <c r="S995" t="n">
        <v>5</v>
      </c>
      <c r="T995" t="n">
        <v>2</v>
      </c>
      <c r="U995" t="n">
        <v>1</v>
      </c>
      <c r="V995" t="n">
        <v>2</v>
      </c>
      <c r="W995">
        <f>(AVERAGE(B995:D995)-1)/4</f>
        <v/>
      </c>
      <c r="X995">
        <f>(AVERAGE(E995:G995)-1)/4</f>
        <v/>
      </c>
      <c r="Y995">
        <f>(AVERAGE(H995:J995)-1)/4</f>
        <v/>
      </c>
      <c r="Z995">
        <f>(AVERAGE(K995:M995)-1)/4</f>
        <v/>
      </c>
      <c r="AA995">
        <f>(AVERAGE(N995:P995)-1)/4</f>
        <v/>
      </c>
      <c r="AB995">
        <f>(AVERAGE(Q995:S995)-1)/4</f>
        <v/>
      </c>
      <c r="AC995">
        <f>(AVERAGE(T995:V995)-1)/4</f>
        <v/>
      </c>
      <c r="AD995">
        <f>AVERAGE(W995:AA995)</f>
        <v/>
      </c>
      <c r="AE995">
        <f>MIN(W995:AA995)</f>
        <v/>
      </c>
      <c r="AF995">
        <f>1-alpha*MAX(0,delta-AE995)</f>
        <v/>
      </c>
      <c r="AG995">
        <f>AD995*AF995</f>
        <v/>
      </c>
      <c r="AH995">
        <f>1+COUNTIF(bounds,"&lt;"&amp;ROUND(AD995,12))</f>
        <v/>
      </c>
      <c r="AI995">
        <f>1+COUNTIF(bounds,"&lt;"&amp;ROUND(AG995,12))</f>
        <v/>
      </c>
      <c r="AJ995">
        <f>IF(AF995&lt;1,1,0)</f>
        <v/>
      </c>
      <c r="AK995">
        <f>IF(AH995&lt;&gt;AI995,1,0)</f>
        <v/>
      </c>
      <c r="AL995">
        <f>IF(AND(AI995&gt;=3,AB995&lt;=0.2),1,0)</f>
        <v/>
      </c>
      <c r="AM995">
        <f>AVERAGE(W995:AB995)</f>
        <v/>
      </c>
      <c r="AN995">
        <f>1+COUNTIF(bounds,"&lt;"&amp;ROUND(AM995,12))</f>
        <v/>
      </c>
      <c r="AO995">
        <f>IF(AK995=1,AD995,NA())</f>
        <v/>
      </c>
      <c r="AP995">
        <f>IF(AK995=0,AD995,NA())</f>
        <v/>
      </c>
    </row>
    <row r="996">
      <c r="A996" t="n">
        <v>988</v>
      </c>
      <c r="B996" t="n">
        <v>2</v>
      </c>
      <c r="C996" t="n">
        <v>1</v>
      </c>
      <c r="D996" t="n">
        <v>4</v>
      </c>
      <c r="E996" t="n">
        <v>2</v>
      </c>
      <c r="F996" t="n">
        <v>1</v>
      </c>
      <c r="G996" t="n">
        <v>2</v>
      </c>
      <c r="H996" t="n">
        <v>1</v>
      </c>
      <c r="I996" t="n">
        <v>1</v>
      </c>
      <c r="J996" t="n">
        <v>1</v>
      </c>
      <c r="K996" t="n">
        <v>3</v>
      </c>
      <c r="L996" t="n">
        <v>3</v>
      </c>
      <c r="M996" t="n">
        <v>1</v>
      </c>
      <c r="N996" t="n">
        <v>3</v>
      </c>
      <c r="O996" t="n">
        <v>1</v>
      </c>
      <c r="P996" t="n">
        <v>2</v>
      </c>
      <c r="Q996" t="n">
        <v>5</v>
      </c>
      <c r="R996" t="n">
        <v>3</v>
      </c>
      <c r="S996" t="n">
        <v>3</v>
      </c>
      <c r="T996" t="n">
        <v>1</v>
      </c>
      <c r="U996" t="n">
        <v>2</v>
      </c>
      <c r="V996" t="n">
        <v>2</v>
      </c>
      <c r="W996">
        <f>(AVERAGE(B996:D996)-1)/4</f>
        <v/>
      </c>
      <c r="X996">
        <f>(AVERAGE(E996:G996)-1)/4</f>
        <v/>
      </c>
      <c r="Y996">
        <f>(AVERAGE(H996:J996)-1)/4</f>
        <v/>
      </c>
      <c r="Z996">
        <f>(AVERAGE(K996:M996)-1)/4</f>
        <v/>
      </c>
      <c r="AA996">
        <f>(AVERAGE(N996:P996)-1)/4</f>
        <v/>
      </c>
      <c r="AB996">
        <f>(AVERAGE(Q996:S996)-1)/4</f>
        <v/>
      </c>
      <c r="AC996">
        <f>(AVERAGE(T996:V996)-1)/4</f>
        <v/>
      </c>
      <c r="AD996">
        <f>AVERAGE(W996:AA996)</f>
        <v/>
      </c>
      <c r="AE996">
        <f>MIN(W996:AA996)</f>
        <v/>
      </c>
      <c r="AF996">
        <f>1-alpha*MAX(0,delta-AE996)</f>
        <v/>
      </c>
      <c r="AG996">
        <f>AD996*AF996</f>
        <v/>
      </c>
      <c r="AH996">
        <f>1+COUNTIF(bounds,"&lt;"&amp;ROUND(AD996,12))</f>
        <v/>
      </c>
      <c r="AI996">
        <f>1+COUNTIF(bounds,"&lt;"&amp;ROUND(AG996,12))</f>
        <v/>
      </c>
      <c r="AJ996">
        <f>IF(AF996&lt;1,1,0)</f>
        <v/>
      </c>
      <c r="AK996">
        <f>IF(AH996&lt;&gt;AI996,1,0)</f>
        <v/>
      </c>
      <c r="AL996">
        <f>IF(AND(AI996&gt;=3,AB996&lt;=0.2),1,0)</f>
        <v/>
      </c>
      <c r="AM996">
        <f>AVERAGE(W996:AB996)</f>
        <v/>
      </c>
      <c r="AN996">
        <f>1+COUNTIF(bounds,"&lt;"&amp;ROUND(AM996,12))</f>
        <v/>
      </c>
      <c r="AO996">
        <f>IF(AK996=1,AD996,NA())</f>
        <v/>
      </c>
      <c r="AP996">
        <f>IF(AK996=0,AD996,NA())</f>
        <v/>
      </c>
    </row>
    <row r="997">
      <c r="A997" t="n">
        <v>989</v>
      </c>
      <c r="B997" t="n">
        <v>4</v>
      </c>
      <c r="C997" t="n">
        <v>5</v>
      </c>
      <c r="D997" t="n">
        <v>4</v>
      </c>
      <c r="E997" t="n">
        <v>2</v>
      </c>
      <c r="F997" t="n">
        <v>5</v>
      </c>
      <c r="G997" t="n">
        <v>5</v>
      </c>
      <c r="H997" t="n">
        <v>2</v>
      </c>
      <c r="I997" t="n">
        <v>2</v>
      </c>
      <c r="J997" t="n">
        <v>1</v>
      </c>
      <c r="K997" t="n">
        <v>1</v>
      </c>
      <c r="L997" t="n">
        <v>3</v>
      </c>
      <c r="M997" t="n">
        <v>5</v>
      </c>
      <c r="N997" t="n">
        <v>5</v>
      </c>
      <c r="O997" t="n">
        <v>1</v>
      </c>
      <c r="P997" t="n">
        <v>5</v>
      </c>
      <c r="Q997" t="n">
        <v>1</v>
      </c>
      <c r="R997" t="n">
        <v>5</v>
      </c>
      <c r="S997" t="n">
        <v>1</v>
      </c>
      <c r="T997" t="n">
        <v>3</v>
      </c>
      <c r="U997" t="n">
        <v>3</v>
      </c>
      <c r="V997" t="n">
        <v>5</v>
      </c>
      <c r="W997">
        <f>(AVERAGE(B997:D997)-1)/4</f>
        <v/>
      </c>
      <c r="X997">
        <f>(AVERAGE(E997:G997)-1)/4</f>
        <v/>
      </c>
      <c r="Y997">
        <f>(AVERAGE(H997:J997)-1)/4</f>
        <v/>
      </c>
      <c r="Z997">
        <f>(AVERAGE(K997:M997)-1)/4</f>
        <v/>
      </c>
      <c r="AA997">
        <f>(AVERAGE(N997:P997)-1)/4</f>
        <v/>
      </c>
      <c r="AB997">
        <f>(AVERAGE(Q997:S997)-1)/4</f>
        <v/>
      </c>
      <c r="AC997">
        <f>(AVERAGE(T997:V997)-1)/4</f>
        <v/>
      </c>
      <c r="AD997">
        <f>AVERAGE(W997:AA997)</f>
        <v/>
      </c>
      <c r="AE997">
        <f>MIN(W997:AA997)</f>
        <v/>
      </c>
      <c r="AF997">
        <f>1-alpha*MAX(0,delta-AE997)</f>
        <v/>
      </c>
      <c r="AG997">
        <f>AD997*AF997</f>
        <v/>
      </c>
      <c r="AH997">
        <f>1+COUNTIF(bounds,"&lt;"&amp;ROUND(AD997,12))</f>
        <v/>
      </c>
      <c r="AI997">
        <f>1+COUNTIF(bounds,"&lt;"&amp;ROUND(AG997,12))</f>
        <v/>
      </c>
      <c r="AJ997">
        <f>IF(AF997&lt;1,1,0)</f>
        <v/>
      </c>
      <c r="AK997">
        <f>IF(AH997&lt;&gt;AI997,1,0)</f>
        <v/>
      </c>
      <c r="AL997">
        <f>IF(AND(AI997&gt;=3,AB997&lt;=0.2),1,0)</f>
        <v/>
      </c>
      <c r="AM997">
        <f>AVERAGE(W997:AB997)</f>
        <v/>
      </c>
      <c r="AN997">
        <f>1+COUNTIF(bounds,"&lt;"&amp;ROUND(AM997,12))</f>
        <v/>
      </c>
      <c r="AO997">
        <f>IF(AK997=1,AD997,NA())</f>
        <v/>
      </c>
      <c r="AP997">
        <f>IF(AK997=0,AD997,NA())</f>
        <v/>
      </c>
    </row>
    <row r="998">
      <c r="A998" t="n">
        <v>990</v>
      </c>
      <c r="B998" t="n">
        <v>5</v>
      </c>
      <c r="C998" t="n">
        <v>4</v>
      </c>
      <c r="D998" t="n">
        <v>2</v>
      </c>
      <c r="E998" t="n">
        <v>2</v>
      </c>
      <c r="F998" t="n">
        <v>2</v>
      </c>
      <c r="G998" t="n">
        <v>4</v>
      </c>
      <c r="H998" t="n">
        <v>3</v>
      </c>
      <c r="I998" t="n">
        <v>5</v>
      </c>
      <c r="J998" t="n">
        <v>1</v>
      </c>
      <c r="K998" t="n">
        <v>4</v>
      </c>
      <c r="L998" t="n">
        <v>5</v>
      </c>
      <c r="M998" t="n">
        <v>4</v>
      </c>
      <c r="N998" t="n">
        <v>4</v>
      </c>
      <c r="O998" t="n">
        <v>5</v>
      </c>
      <c r="P998" t="n">
        <v>2</v>
      </c>
      <c r="Q998" t="n">
        <v>2</v>
      </c>
      <c r="R998" t="n">
        <v>5</v>
      </c>
      <c r="S998" t="n">
        <v>1</v>
      </c>
      <c r="T998" t="n">
        <v>5</v>
      </c>
      <c r="U998" t="n">
        <v>4</v>
      </c>
      <c r="V998" t="n">
        <v>2</v>
      </c>
      <c r="W998">
        <f>(AVERAGE(B998:D998)-1)/4</f>
        <v/>
      </c>
      <c r="X998">
        <f>(AVERAGE(E998:G998)-1)/4</f>
        <v/>
      </c>
      <c r="Y998">
        <f>(AVERAGE(H998:J998)-1)/4</f>
        <v/>
      </c>
      <c r="Z998">
        <f>(AVERAGE(K998:M998)-1)/4</f>
        <v/>
      </c>
      <c r="AA998">
        <f>(AVERAGE(N998:P998)-1)/4</f>
        <v/>
      </c>
      <c r="AB998">
        <f>(AVERAGE(Q998:S998)-1)/4</f>
        <v/>
      </c>
      <c r="AC998">
        <f>(AVERAGE(T998:V998)-1)/4</f>
        <v/>
      </c>
      <c r="AD998">
        <f>AVERAGE(W998:AA998)</f>
        <v/>
      </c>
      <c r="AE998">
        <f>MIN(W998:AA998)</f>
        <v/>
      </c>
      <c r="AF998">
        <f>1-alpha*MAX(0,delta-AE998)</f>
        <v/>
      </c>
      <c r="AG998">
        <f>AD998*AF998</f>
        <v/>
      </c>
      <c r="AH998">
        <f>1+COUNTIF(bounds,"&lt;"&amp;ROUND(AD998,12))</f>
        <v/>
      </c>
      <c r="AI998">
        <f>1+COUNTIF(bounds,"&lt;"&amp;ROUND(AG998,12))</f>
        <v/>
      </c>
      <c r="AJ998">
        <f>IF(AF998&lt;1,1,0)</f>
        <v/>
      </c>
      <c r="AK998">
        <f>IF(AH998&lt;&gt;AI998,1,0)</f>
        <v/>
      </c>
      <c r="AL998">
        <f>IF(AND(AI998&gt;=3,AB998&lt;=0.2),1,0)</f>
        <v/>
      </c>
      <c r="AM998">
        <f>AVERAGE(W998:AB998)</f>
        <v/>
      </c>
      <c r="AN998">
        <f>1+COUNTIF(bounds,"&lt;"&amp;ROUND(AM998,12))</f>
        <v/>
      </c>
      <c r="AO998">
        <f>IF(AK998=1,AD998,NA())</f>
        <v/>
      </c>
      <c r="AP998">
        <f>IF(AK998=0,AD998,NA())</f>
        <v/>
      </c>
    </row>
    <row r="999">
      <c r="A999" t="n">
        <v>991</v>
      </c>
      <c r="B999" t="n">
        <v>5</v>
      </c>
      <c r="C999" t="n">
        <v>2</v>
      </c>
      <c r="D999" t="n">
        <v>3</v>
      </c>
      <c r="E999" t="n">
        <v>2</v>
      </c>
      <c r="F999" t="n">
        <v>3</v>
      </c>
      <c r="G999" t="n">
        <v>3</v>
      </c>
      <c r="H999" t="n">
        <v>4</v>
      </c>
      <c r="I999" t="n">
        <v>1</v>
      </c>
      <c r="J999" t="n">
        <v>1</v>
      </c>
      <c r="K999" t="n">
        <v>2</v>
      </c>
      <c r="L999" t="n">
        <v>1</v>
      </c>
      <c r="M999" t="n">
        <v>5</v>
      </c>
      <c r="N999" t="n">
        <v>5</v>
      </c>
      <c r="O999" t="n">
        <v>5</v>
      </c>
      <c r="P999" t="n">
        <v>1</v>
      </c>
      <c r="Q999" t="n">
        <v>3</v>
      </c>
      <c r="R999" t="n">
        <v>4</v>
      </c>
      <c r="S999" t="n">
        <v>3</v>
      </c>
      <c r="T999" t="n">
        <v>2</v>
      </c>
      <c r="U999" t="n">
        <v>5</v>
      </c>
      <c r="V999" t="n">
        <v>2</v>
      </c>
      <c r="W999">
        <f>(AVERAGE(B999:D999)-1)/4</f>
        <v/>
      </c>
      <c r="X999">
        <f>(AVERAGE(E999:G999)-1)/4</f>
        <v/>
      </c>
      <c r="Y999">
        <f>(AVERAGE(H999:J999)-1)/4</f>
        <v/>
      </c>
      <c r="Z999">
        <f>(AVERAGE(K999:M999)-1)/4</f>
        <v/>
      </c>
      <c r="AA999">
        <f>(AVERAGE(N999:P999)-1)/4</f>
        <v/>
      </c>
      <c r="AB999">
        <f>(AVERAGE(Q999:S999)-1)/4</f>
        <v/>
      </c>
      <c r="AC999">
        <f>(AVERAGE(T999:V999)-1)/4</f>
        <v/>
      </c>
      <c r="AD999">
        <f>AVERAGE(W999:AA999)</f>
        <v/>
      </c>
      <c r="AE999">
        <f>MIN(W999:AA999)</f>
        <v/>
      </c>
      <c r="AF999">
        <f>1-alpha*MAX(0,delta-AE999)</f>
        <v/>
      </c>
      <c r="AG999">
        <f>AD999*AF999</f>
        <v/>
      </c>
      <c r="AH999">
        <f>1+COUNTIF(bounds,"&lt;"&amp;ROUND(AD999,12))</f>
        <v/>
      </c>
      <c r="AI999">
        <f>1+COUNTIF(bounds,"&lt;"&amp;ROUND(AG999,12))</f>
        <v/>
      </c>
      <c r="AJ999">
        <f>IF(AF999&lt;1,1,0)</f>
        <v/>
      </c>
      <c r="AK999">
        <f>IF(AH999&lt;&gt;AI999,1,0)</f>
        <v/>
      </c>
      <c r="AL999">
        <f>IF(AND(AI999&gt;=3,AB999&lt;=0.2),1,0)</f>
        <v/>
      </c>
      <c r="AM999">
        <f>AVERAGE(W999:AB999)</f>
        <v/>
      </c>
      <c r="AN999">
        <f>1+COUNTIF(bounds,"&lt;"&amp;ROUND(AM999,12))</f>
        <v/>
      </c>
      <c r="AO999">
        <f>IF(AK999=1,AD999,NA())</f>
        <v/>
      </c>
      <c r="AP999">
        <f>IF(AK999=0,AD999,NA())</f>
        <v/>
      </c>
    </row>
    <row r="1000">
      <c r="A1000" t="n">
        <v>992</v>
      </c>
      <c r="B1000" t="n">
        <v>4</v>
      </c>
      <c r="C1000" t="n">
        <v>4</v>
      </c>
      <c r="D1000" t="n">
        <v>4</v>
      </c>
      <c r="E1000" t="n">
        <v>1</v>
      </c>
      <c r="F1000" t="n">
        <v>5</v>
      </c>
      <c r="G1000" t="n">
        <v>4</v>
      </c>
      <c r="H1000" t="n">
        <v>2</v>
      </c>
      <c r="I1000" t="n">
        <v>2</v>
      </c>
      <c r="J1000" t="n">
        <v>1</v>
      </c>
      <c r="K1000" t="n">
        <v>4</v>
      </c>
      <c r="L1000" t="n">
        <v>3</v>
      </c>
      <c r="M1000" t="n">
        <v>2</v>
      </c>
      <c r="N1000" t="n">
        <v>2</v>
      </c>
      <c r="O1000" t="n">
        <v>2</v>
      </c>
      <c r="P1000" t="n">
        <v>4</v>
      </c>
      <c r="Q1000" t="n">
        <v>1</v>
      </c>
      <c r="R1000" t="n">
        <v>5</v>
      </c>
      <c r="S1000" t="n">
        <v>4</v>
      </c>
      <c r="T1000" t="n">
        <v>2</v>
      </c>
      <c r="U1000" t="n">
        <v>3</v>
      </c>
      <c r="V1000" t="n">
        <v>3</v>
      </c>
      <c r="W1000">
        <f>(AVERAGE(B1000:D1000)-1)/4</f>
        <v/>
      </c>
      <c r="X1000">
        <f>(AVERAGE(E1000:G1000)-1)/4</f>
        <v/>
      </c>
      <c r="Y1000">
        <f>(AVERAGE(H1000:J1000)-1)/4</f>
        <v/>
      </c>
      <c r="Z1000">
        <f>(AVERAGE(K1000:M1000)-1)/4</f>
        <v/>
      </c>
      <c r="AA1000">
        <f>(AVERAGE(N1000:P1000)-1)/4</f>
        <v/>
      </c>
      <c r="AB1000">
        <f>(AVERAGE(Q1000:S1000)-1)/4</f>
        <v/>
      </c>
      <c r="AC1000">
        <f>(AVERAGE(T1000:V1000)-1)/4</f>
        <v/>
      </c>
      <c r="AD1000">
        <f>AVERAGE(W1000:AA1000)</f>
        <v/>
      </c>
      <c r="AE1000">
        <f>MIN(W1000:AA1000)</f>
        <v/>
      </c>
      <c r="AF1000">
        <f>1-alpha*MAX(0,delta-AE1000)</f>
        <v/>
      </c>
      <c r="AG1000">
        <f>AD1000*AF1000</f>
        <v/>
      </c>
      <c r="AH1000">
        <f>1+COUNTIF(bounds,"&lt;"&amp;ROUND(AD1000,12))</f>
        <v/>
      </c>
      <c r="AI1000">
        <f>1+COUNTIF(bounds,"&lt;"&amp;ROUND(AG1000,12))</f>
        <v/>
      </c>
      <c r="AJ1000">
        <f>IF(AF1000&lt;1,1,0)</f>
        <v/>
      </c>
      <c r="AK1000">
        <f>IF(AH1000&lt;&gt;AI1000,1,0)</f>
        <v/>
      </c>
      <c r="AL1000">
        <f>IF(AND(AI1000&gt;=3,AB1000&lt;=0.2),1,0)</f>
        <v/>
      </c>
      <c r="AM1000">
        <f>AVERAGE(W1000:AB1000)</f>
        <v/>
      </c>
      <c r="AN1000">
        <f>1+COUNTIF(bounds,"&lt;"&amp;ROUND(AM1000,12))</f>
        <v/>
      </c>
      <c r="AO1000">
        <f>IF(AK1000=1,AD1000,NA())</f>
        <v/>
      </c>
      <c r="AP1000">
        <f>IF(AK1000=0,AD1000,NA())</f>
        <v/>
      </c>
    </row>
    <row r="1001">
      <c r="A1001" t="n">
        <v>993</v>
      </c>
      <c r="B1001" t="n">
        <v>3</v>
      </c>
      <c r="C1001" t="n">
        <v>1</v>
      </c>
      <c r="D1001" t="n">
        <v>5</v>
      </c>
      <c r="E1001" t="n">
        <v>4</v>
      </c>
      <c r="F1001" t="n">
        <v>4</v>
      </c>
      <c r="G1001" t="n">
        <v>1</v>
      </c>
      <c r="H1001" t="n">
        <v>3</v>
      </c>
      <c r="I1001" t="n">
        <v>4</v>
      </c>
      <c r="J1001" t="n">
        <v>1</v>
      </c>
      <c r="K1001" t="n">
        <v>2</v>
      </c>
      <c r="L1001" t="n">
        <v>3</v>
      </c>
      <c r="M1001" t="n">
        <v>5</v>
      </c>
      <c r="N1001" t="n">
        <v>5</v>
      </c>
      <c r="O1001" t="n">
        <v>1</v>
      </c>
      <c r="P1001" t="n">
        <v>5</v>
      </c>
      <c r="Q1001" t="n">
        <v>5</v>
      </c>
      <c r="R1001" t="n">
        <v>3</v>
      </c>
      <c r="S1001" t="n">
        <v>3</v>
      </c>
      <c r="T1001" t="n">
        <v>5</v>
      </c>
      <c r="U1001" t="n">
        <v>2</v>
      </c>
      <c r="V1001" t="n">
        <v>4</v>
      </c>
      <c r="W1001">
        <f>(AVERAGE(B1001:D1001)-1)/4</f>
        <v/>
      </c>
      <c r="X1001">
        <f>(AVERAGE(E1001:G1001)-1)/4</f>
        <v/>
      </c>
      <c r="Y1001">
        <f>(AVERAGE(H1001:J1001)-1)/4</f>
        <v/>
      </c>
      <c r="Z1001">
        <f>(AVERAGE(K1001:M1001)-1)/4</f>
        <v/>
      </c>
      <c r="AA1001">
        <f>(AVERAGE(N1001:P1001)-1)/4</f>
        <v/>
      </c>
      <c r="AB1001">
        <f>(AVERAGE(Q1001:S1001)-1)/4</f>
        <v/>
      </c>
      <c r="AC1001">
        <f>(AVERAGE(T1001:V1001)-1)/4</f>
        <v/>
      </c>
      <c r="AD1001">
        <f>AVERAGE(W1001:AA1001)</f>
        <v/>
      </c>
      <c r="AE1001">
        <f>MIN(W1001:AA1001)</f>
        <v/>
      </c>
      <c r="AF1001">
        <f>1-alpha*MAX(0,delta-AE1001)</f>
        <v/>
      </c>
      <c r="AG1001">
        <f>AD1001*AF1001</f>
        <v/>
      </c>
      <c r="AH1001">
        <f>1+COUNTIF(bounds,"&lt;"&amp;ROUND(AD1001,12))</f>
        <v/>
      </c>
      <c r="AI1001">
        <f>1+COUNTIF(bounds,"&lt;"&amp;ROUND(AG1001,12))</f>
        <v/>
      </c>
      <c r="AJ1001">
        <f>IF(AF1001&lt;1,1,0)</f>
        <v/>
      </c>
      <c r="AK1001">
        <f>IF(AH1001&lt;&gt;AI1001,1,0)</f>
        <v/>
      </c>
      <c r="AL1001">
        <f>IF(AND(AI1001&gt;=3,AB1001&lt;=0.2),1,0)</f>
        <v/>
      </c>
      <c r="AM1001">
        <f>AVERAGE(W1001:AB1001)</f>
        <v/>
      </c>
      <c r="AN1001">
        <f>1+COUNTIF(bounds,"&lt;"&amp;ROUND(AM1001,12))</f>
        <v/>
      </c>
      <c r="AO1001">
        <f>IF(AK1001=1,AD1001,NA())</f>
        <v/>
      </c>
      <c r="AP1001">
        <f>IF(AK1001=0,AD1001,NA())</f>
        <v/>
      </c>
    </row>
    <row r="1002">
      <c r="A1002" t="n">
        <v>994</v>
      </c>
      <c r="B1002" t="n">
        <v>4</v>
      </c>
      <c r="C1002" t="n">
        <v>1</v>
      </c>
      <c r="D1002" t="n">
        <v>4</v>
      </c>
      <c r="E1002" t="n">
        <v>3</v>
      </c>
      <c r="F1002" t="n">
        <v>2</v>
      </c>
      <c r="G1002" t="n">
        <v>5</v>
      </c>
      <c r="H1002" t="n">
        <v>3</v>
      </c>
      <c r="I1002" t="n">
        <v>1</v>
      </c>
      <c r="J1002" t="n">
        <v>5</v>
      </c>
      <c r="K1002" t="n">
        <v>2</v>
      </c>
      <c r="L1002" t="n">
        <v>4</v>
      </c>
      <c r="M1002" t="n">
        <v>1</v>
      </c>
      <c r="N1002" t="n">
        <v>3</v>
      </c>
      <c r="O1002" t="n">
        <v>1</v>
      </c>
      <c r="P1002" t="n">
        <v>5</v>
      </c>
      <c r="Q1002" t="n">
        <v>1</v>
      </c>
      <c r="R1002" t="n">
        <v>4</v>
      </c>
      <c r="S1002" t="n">
        <v>5</v>
      </c>
      <c r="T1002" t="n">
        <v>1</v>
      </c>
      <c r="U1002" t="n">
        <v>1</v>
      </c>
      <c r="V1002" t="n">
        <v>1</v>
      </c>
      <c r="W1002">
        <f>(AVERAGE(B1002:D1002)-1)/4</f>
        <v/>
      </c>
      <c r="X1002">
        <f>(AVERAGE(E1002:G1002)-1)/4</f>
        <v/>
      </c>
      <c r="Y1002">
        <f>(AVERAGE(H1002:J1002)-1)/4</f>
        <v/>
      </c>
      <c r="Z1002">
        <f>(AVERAGE(K1002:M1002)-1)/4</f>
        <v/>
      </c>
      <c r="AA1002">
        <f>(AVERAGE(N1002:P1002)-1)/4</f>
        <v/>
      </c>
      <c r="AB1002">
        <f>(AVERAGE(Q1002:S1002)-1)/4</f>
        <v/>
      </c>
      <c r="AC1002">
        <f>(AVERAGE(T1002:V1002)-1)/4</f>
        <v/>
      </c>
      <c r="AD1002">
        <f>AVERAGE(W1002:AA1002)</f>
        <v/>
      </c>
      <c r="AE1002">
        <f>MIN(W1002:AA1002)</f>
        <v/>
      </c>
      <c r="AF1002">
        <f>1-alpha*MAX(0,delta-AE1002)</f>
        <v/>
      </c>
      <c r="AG1002">
        <f>AD1002*AF1002</f>
        <v/>
      </c>
      <c r="AH1002">
        <f>1+COUNTIF(bounds,"&lt;"&amp;ROUND(AD1002,12))</f>
        <v/>
      </c>
      <c r="AI1002">
        <f>1+COUNTIF(bounds,"&lt;"&amp;ROUND(AG1002,12))</f>
        <v/>
      </c>
      <c r="AJ1002">
        <f>IF(AF1002&lt;1,1,0)</f>
        <v/>
      </c>
      <c r="AK1002">
        <f>IF(AH1002&lt;&gt;AI1002,1,0)</f>
        <v/>
      </c>
      <c r="AL1002">
        <f>IF(AND(AI1002&gt;=3,AB1002&lt;=0.2),1,0)</f>
        <v/>
      </c>
      <c r="AM1002">
        <f>AVERAGE(W1002:AB1002)</f>
        <v/>
      </c>
      <c r="AN1002">
        <f>1+COUNTIF(bounds,"&lt;"&amp;ROUND(AM1002,12))</f>
        <v/>
      </c>
      <c r="AO1002">
        <f>IF(AK1002=1,AD1002,NA())</f>
        <v/>
      </c>
      <c r="AP1002">
        <f>IF(AK1002=0,AD1002,NA())</f>
        <v/>
      </c>
    </row>
    <row r="1003">
      <c r="A1003" t="n">
        <v>995</v>
      </c>
      <c r="B1003" t="n">
        <v>2</v>
      </c>
      <c r="C1003" t="n">
        <v>3</v>
      </c>
      <c r="D1003" t="n">
        <v>3</v>
      </c>
      <c r="E1003" t="n">
        <v>5</v>
      </c>
      <c r="F1003" t="n">
        <v>4</v>
      </c>
      <c r="G1003" t="n">
        <v>5</v>
      </c>
      <c r="H1003" t="n">
        <v>4</v>
      </c>
      <c r="I1003" t="n">
        <v>5</v>
      </c>
      <c r="J1003" t="n">
        <v>4</v>
      </c>
      <c r="K1003" t="n">
        <v>3</v>
      </c>
      <c r="L1003" t="n">
        <v>4</v>
      </c>
      <c r="M1003" t="n">
        <v>2</v>
      </c>
      <c r="N1003" t="n">
        <v>2</v>
      </c>
      <c r="O1003" t="n">
        <v>1</v>
      </c>
      <c r="P1003" t="n">
        <v>1</v>
      </c>
      <c r="Q1003" t="n">
        <v>5</v>
      </c>
      <c r="R1003" t="n">
        <v>3</v>
      </c>
      <c r="S1003" t="n">
        <v>5</v>
      </c>
      <c r="T1003" t="n">
        <v>4</v>
      </c>
      <c r="U1003" t="n">
        <v>1</v>
      </c>
      <c r="V1003" t="n">
        <v>5</v>
      </c>
      <c r="W1003">
        <f>(AVERAGE(B1003:D1003)-1)/4</f>
        <v/>
      </c>
      <c r="X1003">
        <f>(AVERAGE(E1003:G1003)-1)/4</f>
        <v/>
      </c>
      <c r="Y1003">
        <f>(AVERAGE(H1003:J1003)-1)/4</f>
        <v/>
      </c>
      <c r="Z1003">
        <f>(AVERAGE(K1003:M1003)-1)/4</f>
        <v/>
      </c>
      <c r="AA1003">
        <f>(AVERAGE(N1003:P1003)-1)/4</f>
        <v/>
      </c>
      <c r="AB1003">
        <f>(AVERAGE(Q1003:S1003)-1)/4</f>
        <v/>
      </c>
      <c r="AC1003">
        <f>(AVERAGE(T1003:V1003)-1)/4</f>
        <v/>
      </c>
      <c r="AD1003">
        <f>AVERAGE(W1003:AA1003)</f>
        <v/>
      </c>
      <c r="AE1003">
        <f>MIN(W1003:AA1003)</f>
        <v/>
      </c>
      <c r="AF1003">
        <f>1-alpha*MAX(0,delta-AE1003)</f>
        <v/>
      </c>
      <c r="AG1003">
        <f>AD1003*AF1003</f>
        <v/>
      </c>
      <c r="AH1003">
        <f>1+COUNTIF(bounds,"&lt;"&amp;ROUND(AD1003,12))</f>
        <v/>
      </c>
      <c r="AI1003">
        <f>1+COUNTIF(bounds,"&lt;"&amp;ROUND(AG1003,12))</f>
        <v/>
      </c>
      <c r="AJ1003">
        <f>IF(AF1003&lt;1,1,0)</f>
        <v/>
      </c>
      <c r="AK1003">
        <f>IF(AH1003&lt;&gt;AI1003,1,0)</f>
        <v/>
      </c>
      <c r="AL1003">
        <f>IF(AND(AI1003&gt;=3,AB1003&lt;=0.2),1,0)</f>
        <v/>
      </c>
      <c r="AM1003">
        <f>AVERAGE(W1003:AB1003)</f>
        <v/>
      </c>
      <c r="AN1003">
        <f>1+COUNTIF(bounds,"&lt;"&amp;ROUND(AM1003,12))</f>
        <v/>
      </c>
      <c r="AO1003">
        <f>IF(AK1003=1,AD1003,NA())</f>
        <v/>
      </c>
      <c r="AP1003">
        <f>IF(AK1003=0,AD1003,NA())</f>
        <v/>
      </c>
    </row>
    <row r="1004">
      <c r="A1004" t="n">
        <v>996</v>
      </c>
      <c r="B1004" t="n">
        <v>1</v>
      </c>
      <c r="C1004" t="n">
        <v>3</v>
      </c>
      <c r="D1004" t="n">
        <v>2</v>
      </c>
      <c r="E1004" t="n">
        <v>5</v>
      </c>
      <c r="F1004" t="n">
        <v>3</v>
      </c>
      <c r="G1004" t="n">
        <v>3</v>
      </c>
      <c r="H1004" t="n">
        <v>2</v>
      </c>
      <c r="I1004" t="n">
        <v>2</v>
      </c>
      <c r="J1004" t="n">
        <v>2</v>
      </c>
      <c r="K1004" t="n">
        <v>1</v>
      </c>
      <c r="L1004" t="n">
        <v>4</v>
      </c>
      <c r="M1004" t="n">
        <v>3</v>
      </c>
      <c r="N1004" t="n">
        <v>2</v>
      </c>
      <c r="O1004" t="n">
        <v>4</v>
      </c>
      <c r="P1004" t="n">
        <v>2</v>
      </c>
      <c r="Q1004" t="n">
        <v>5</v>
      </c>
      <c r="R1004" t="n">
        <v>2</v>
      </c>
      <c r="S1004" t="n">
        <v>5</v>
      </c>
      <c r="T1004" t="n">
        <v>4</v>
      </c>
      <c r="U1004" t="n">
        <v>5</v>
      </c>
      <c r="V1004" t="n">
        <v>1</v>
      </c>
      <c r="W1004">
        <f>(AVERAGE(B1004:D1004)-1)/4</f>
        <v/>
      </c>
      <c r="X1004">
        <f>(AVERAGE(E1004:G1004)-1)/4</f>
        <v/>
      </c>
      <c r="Y1004">
        <f>(AVERAGE(H1004:J1004)-1)/4</f>
        <v/>
      </c>
      <c r="Z1004">
        <f>(AVERAGE(K1004:M1004)-1)/4</f>
        <v/>
      </c>
      <c r="AA1004">
        <f>(AVERAGE(N1004:P1004)-1)/4</f>
        <v/>
      </c>
      <c r="AB1004">
        <f>(AVERAGE(Q1004:S1004)-1)/4</f>
        <v/>
      </c>
      <c r="AC1004">
        <f>(AVERAGE(T1004:V1004)-1)/4</f>
        <v/>
      </c>
      <c r="AD1004">
        <f>AVERAGE(W1004:AA1004)</f>
        <v/>
      </c>
      <c r="AE1004">
        <f>MIN(W1004:AA1004)</f>
        <v/>
      </c>
      <c r="AF1004">
        <f>1-alpha*MAX(0,delta-AE1004)</f>
        <v/>
      </c>
      <c r="AG1004">
        <f>AD1004*AF1004</f>
        <v/>
      </c>
      <c r="AH1004">
        <f>1+COUNTIF(bounds,"&lt;"&amp;ROUND(AD1004,12))</f>
        <v/>
      </c>
      <c r="AI1004">
        <f>1+COUNTIF(bounds,"&lt;"&amp;ROUND(AG1004,12))</f>
        <v/>
      </c>
      <c r="AJ1004">
        <f>IF(AF1004&lt;1,1,0)</f>
        <v/>
      </c>
      <c r="AK1004">
        <f>IF(AH1004&lt;&gt;AI1004,1,0)</f>
        <v/>
      </c>
      <c r="AL1004">
        <f>IF(AND(AI1004&gt;=3,AB1004&lt;=0.2),1,0)</f>
        <v/>
      </c>
      <c r="AM1004">
        <f>AVERAGE(W1004:AB1004)</f>
        <v/>
      </c>
      <c r="AN1004">
        <f>1+COUNTIF(bounds,"&lt;"&amp;ROUND(AM1004,12))</f>
        <v/>
      </c>
      <c r="AO1004">
        <f>IF(AK1004=1,AD1004,NA())</f>
        <v/>
      </c>
      <c r="AP1004">
        <f>IF(AK1004=0,AD1004,NA())</f>
        <v/>
      </c>
    </row>
    <row r="1005">
      <c r="A1005" t="n">
        <v>997</v>
      </c>
      <c r="B1005" t="n">
        <v>4</v>
      </c>
      <c r="C1005" t="n">
        <v>1</v>
      </c>
      <c r="D1005" t="n">
        <v>2</v>
      </c>
      <c r="E1005" t="n">
        <v>5</v>
      </c>
      <c r="F1005" t="n">
        <v>2</v>
      </c>
      <c r="G1005" t="n">
        <v>4</v>
      </c>
      <c r="H1005" t="n">
        <v>5</v>
      </c>
      <c r="I1005" t="n">
        <v>4</v>
      </c>
      <c r="J1005" t="n">
        <v>4</v>
      </c>
      <c r="K1005" t="n">
        <v>4</v>
      </c>
      <c r="L1005" t="n">
        <v>4</v>
      </c>
      <c r="M1005" t="n">
        <v>2</v>
      </c>
      <c r="N1005" t="n">
        <v>1</v>
      </c>
      <c r="O1005" t="n">
        <v>5</v>
      </c>
      <c r="P1005" t="n">
        <v>3</v>
      </c>
      <c r="Q1005" t="n">
        <v>4</v>
      </c>
      <c r="R1005" t="n">
        <v>5</v>
      </c>
      <c r="S1005" t="n">
        <v>4</v>
      </c>
      <c r="T1005" t="n">
        <v>4</v>
      </c>
      <c r="U1005" t="n">
        <v>5</v>
      </c>
      <c r="V1005" t="n">
        <v>3</v>
      </c>
      <c r="W1005">
        <f>(AVERAGE(B1005:D1005)-1)/4</f>
        <v/>
      </c>
      <c r="X1005">
        <f>(AVERAGE(E1005:G1005)-1)/4</f>
        <v/>
      </c>
      <c r="Y1005">
        <f>(AVERAGE(H1005:J1005)-1)/4</f>
        <v/>
      </c>
      <c r="Z1005">
        <f>(AVERAGE(K1005:M1005)-1)/4</f>
        <v/>
      </c>
      <c r="AA1005">
        <f>(AVERAGE(N1005:P1005)-1)/4</f>
        <v/>
      </c>
      <c r="AB1005">
        <f>(AVERAGE(Q1005:S1005)-1)/4</f>
        <v/>
      </c>
      <c r="AC1005">
        <f>(AVERAGE(T1005:V1005)-1)/4</f>
        <v/>
      </c>
      <c r="AD1005">
        <f>AVERAGE(W1005:AA1005)</f>
        <v/>
      </c>
      <c r="AE1005">
        <f>MIN(W1005:AA1005)</f>
        <v/>
      </c>
      <c r="AF1005">
        <f>1-alpha*MAX(0,delta-AE1005)</f>
        <v/>
      </c>
      <c r="AG1005">
        <f>AD1005*AF1005</f>
        <v/>
      </c>
      <c r="AH1005">
        <f>1+COUNTIF(bounds,"&lt;"&amp;ROUND(AD1005,12))</f>
        <v/>
      </c>
      <c r="AI1005">
        <f>1+COUNTIF(bounds,"&lt;"&amp;ROUND(AG1005,12))</f>
        <v/>
      </c>
      <c r="AJ1005">
        <f>IF(AF1005&lt;1,1,0)</f>
        <v/>
      </c>
      <c r="AK1005">
        <f>IF(AH1005&lt;&gt;AI1005,1,0)</f>
        <v/>
      </c>
      <c r="AL1005">
        <f>IF(AND(AI1005&gt;=3,AB1005&lt;=0.2),1,0)</f>
        <v/>
      </c>
      <c r="AM1005">
        <f>AVERAGE(W1005:AB1005)</f>
        <v/>
      </c>
      <c r="AN1005">
        <f>1+COUNTIF(bounds,"&lt;"&amp;ROUND(AM1005,12))</f>
        <v/>
      </c>
      <c r="AO1005">
        <f>IF(AK1005=1,AD1005,NA())</f>
        <v/>
      </c>
      <c r="AP1005">
        <f>IF(AK1005=0,AD1005,NA())</f>
        <v/>
      </c>
    </row>
    <row r="1006">
      <c r="A1006" t="n">
        <v>998</v>
      </c>
      <c r="B1006" t="n">
        <v>1</v>
      </c>
      <c r="C1006" t="n">
        <v>4</v>
      </c>
      <c r="D1006" t="n">
        <v>5</v>
      </c>
      <c r="E1006" t="n">
        <v>4</v>
      </c>
      <c r="F1006" t="n">
        <v>1</v>
      </c>
      <c r="G1006" t="n">
        <v>5</v>
      </c>
      <c r="H1006" t="n">
        <v>2</v>
      </c>
      <c r="I1006" t="n">
        <v>1</v>
      </c>
      <c r="J1006" t="n">
        <v>5</v>
      </c>
      <c r="K1006" t="n">
        <v>2</v>
      </c>
      <c r="L1006" t="n">
        <v>4</v>
      </c>
      <c r="M1006" t="n">
        <v>3</v>
      </c>
      <c r="N1006" t="n">
        <v>1</v>
      </c>
      <c r="O1006" t="n">
        <v>4</v>
      </c>
      <c r="P1006" t="n">
        <v>1</v>
      </c>
      <c r="Q1006" t="n">
        <v>5</v>
      </c>
      <c r="R1006" t="n">
        <v>4</v>
      </c>
      <c r="S1006" t="n">
        <v>2</v>
      </c>
      <c r="T1006" t="n">
        <v>5</v>
      </c>
      <c r="U1006" t="n">
        <v>3</v>
      </c>
      <c r="V1006" t="n">
        <v>2</v>
      </c>
      <c r="W1006">
        <f>(AVERAGE(B1006:D1006)-1)/4</f>
        <v/>
      </c>
      <c r="X1006">
        <f>(AVERAGE(E1006:G1006)-1)/4</f>
        <v/>
      </c>
      <c r="Y1006">
        <f>(AVERAGE(H1006:J1006)-1)/4</f>
        <v/>
      </c>
      <c r="Z1006">
        <f>(AVERAGE(K1006:M1006)-1)/4</f>
        <v/>
      </c>
      <c r="AA1006">
        <f>(AVERAGE(N1006:P1006)-1)/4</f>
        <v/>
      </c>
      <c r="AB1006">
        <f>(AVERAGE(Q1006:S1006)-1)/4</f>
        <v/>
      </c>
      <c r="AC1006">
        <f>(AVERAGE(T1006:V1006)-1)/4</f>
        <v/>
      </c>
      <c r="AD1006">
        <f>AVERAGE(W1006:AA1006)</f>
        <v/>
      </c>
      <c r="AE1006">
        <f>MIN(W1006:AA1006)</f>
        <v/>
      </c>
      <c r="AF1006">
        <f>1-alpha*MAX(0,delta-AE1006)</f>
        <v/>
      </c>
      <c r="AG1006">
        <f>AD1006*AF1006</f>
        <v/>
      </c>
      <c r="AH1006">
        <f>1+COUNTIF(bounds,"&lt;"&amp;ROUND(AD1006,12))</f>
        <v/>
      </c>
      <c r="AI1006">
        <f>1+COUNTIF(bounds,"&lt;"&amp;ROUND(AG1006,12))</f>
        <v/>
      </c>
      <c r="AJ1006">
        <f>IF(AF1006&lt;1,1,0)</f>
        <v/>
      </c>
      <c r="AK1006">
        <f>IF(AH1006&lt;&gt;AI1006,1,0)</f>
        <v/>
      </c>
      <c r="AL1006">
        <f>IF(AND(AI1006&gt;=3,AB1006&lt;=0.2),1,0)</f>
        <v/>
      </c>
      <c r="AM1006">
        <f>AVERAGE(W1006:AB1006)</f>
        <v/>
      </c>
      <c r="AN1006">
        <f>1+COUNTIF(bounds,"&lt;"&amp;ROUND(AM1006,12))</f>
        <v/>
      </c>
      <c r="AO1006">
        <f>IF(AK1006=1,AD1006,NA())</f>
        <v/>
      </c>
      <c r="AP1006">
        <f>IF(AK1006=0,AD1006,NA())</f>
        <v/>
      </c>
    </row>
    <row r="1007">
      <c r="A1007" t="n">
        <v>999</v>
      </c>
      <c r="B1007" t="n">
        <v>3</v>
      </c>
      <c r="C1007" t="n">
        <v>5</v>
      </c>
      <c r="D1007" t="n">
        <v>4</v>
      </c>
      <c r="E1007" t="n">
        <v>4</v>
      </c>
      <c r="F1007" t="n">
        <v>3</v>
      </c>
      <c r="G1007" t="n">
        <v>1</v>
      </c>
      <c r="H1007" t="n">
        <v>1</v>
      </c>
      <c r="I1007" t="n">
        <v>4</v>
      </c>
      <c r="J1007" t="n">
        <v>2</v>
      </c>
      <c r="K1007" t="n">
        <v>3</v>
      </c>
      <c r="L1007" t="n">
        <v>3</v>
      </c>
      <c r="M1007" t="n">
        <v>1</v>
      </c>
      <c r="N1007" t="n">
        <v>2</v>
      </c>
      <c r="O1007" t="n">
        <v>4</v>
      </c>
      <c r="P1007" t="n">
        <v>5</v>
      </c>
      <c r="Q1007" t="n">
        <v>3</v>
      </c>
      <c r="R1007" t="n">
        <v>5</v>
      </c>
      <c r="S1007" t="n">
        <v>2</v>
      </c>
      <c r="T1007" t="n">
        <v>1</v>
      </c>
      <c r="U1007" t="n">
        <v>4</v>
      </c>
      <c r="V1007" t="n">
        <v>1</v>
      </c>
      <c r="W1007">
        <f>(AVERAGE(B1007:D1007)-1)/4</f>
        <v/>
      </c>
      <c r="X1007">
        <f>(AVERAGE(E1007:G1007)-1)/4</f>
        <v/>
      </c>
      <c r="Y1007">
        <f>(AVERAGE(H1007:J1007)-1)/4</f>
        <v/>
      </c>
      <c r="Z1007">
        <f>(AVERAGE(K1007:M1007)-1)/4</f>
        <v/>
      </c>
      <c r="AA1007">
        <f>(AVERAGE(N1007:P1007)-1)/4</f>
        <v/>
      </c>
      <c r="AB1007">
        <f>(AVERAGE(Q1007:S1007)-1)/4</f>
        <v/>
      </c>
      <c r="AC1007">
        <f>(AVERAGE(T1007:V1007)-1)/4</f>
        <v/>
      </c>
      <c r="AD1007">
        <f>AVERAGE(W1007:AA1007)</f>
        <v/>
      </c>
      <c r="AE1007">
        <f>MIN(W1007:AA1007)</f>
        <v/>
      </c>
      <c r="AF1007">
        <f>1-alpha*MAX(0,delta-AE1007)</f>
        <v/>
      </c>
      <c r="AG1007">
        <f>AD1007*AF1007</f>
        <v/>
      </c>
      <c r="AH1007">
        <f>1+COUNTIF(bounds,"&lt;"&amp;ROUND(AD1007,12))</f>
        <v/>
      </c>
      <c r="AI1007">
        <f>1+COUNTIF(bounds,"&lt;"&amp;ROUND(AG1007,12))</f>
        <v/>
      </c>
      <c r="AJ1007">
        <f>IF(AF1007&lt;1,1,0)</f>
        <v/>
      </c>
      <c r="AK1007">
        <f>IF(AH1007&lt;&gt;AI1007,1,0)</f>
        <v/>
      </c>
      <c r="AL1007">
        <f>IF(AND(AI1007&gt;=3,AB1007&lt;=0.2),1,0)</f>
        <v/>
      </c>
      <c r="AM1007">
        <f>AVERAGE(W1007:AB1007)</f>
        <v/>
      </c>
      <c r="AN1007">
        <f>1+COUNTIF(bounds,"&lt;"&amp;ROUND(AM1007,12))</f>
        <v/>
      </c>
      <c r="AO1007">
        <f>IF(AK1007=1,AD1007,NA())</f>
        <v/>
      </c>
      <c r="AP1007">
        <f>IF(AK1007=0,AD1007,NA())</f>
        <v/>
      </c>
    </row>
    <row r="1008">
      <c r="A1008" t="n">
        <v>1000</v>
      </c>
      <c r="B1008" t="n">
        <v>5</v>
      </c>
      <c r="C1008" t="n">
        <v>3</v>
      </c>
      <c r="D1008" t="n">
        <v>5</v>
      </c>
      <c r="E1008" t="n">
        <v>5</v>
      </c>
      <c r="F1008" t="n">
        <v>2</v>
      </c>
      <c r="G1008" t="n">
        <v>3</v>
      </c>
      <c r="H1008" t="n">
        <v>3</v>
      </c>
      <c r="I1008" t="n">
        <v>4</v>
      </c>
      <c r="J1008" t="n">
        <v>2</v>
      </c>
      <c r="K1008" t="n">
        <v>3</v>
      </c>
      <c r="L1008" t="n">
        <v>4</v>
      </c>
      <c r="M1008" t="n">
        <v>1</v>
      </c>
      <c r="N1008" t="n">
        <v>1</v>
      </c>
      <c r="O1008" t="n">
        <v>2</v>
      </c>
      <c r="P1008" t="n">
        <v>4</v>
      </c>
      <c r="Q1008" t="n">
        <v>4</v>
      </c>
      <c r="R1008" t="n">
        <v>3</v>
      </c>
      <c r="S1008" t="n">
        <v>3</v>
      </c>
      <c r="T1008" t="n">
        <v>4</v>
      </c>
      <c r="U1008" t="n">
        <v>2</v>
      </c>
      <c r="V1008" t="n">
        <v>1</v>
      </c>
      <c r="W1008">
        <f>(AVERAGE(B1008:D1008)-1)/4</f>
        <v/>
      </c>
      <c r="X1008">
        <f>(AVERAGE(E1008:G1008)-1)/4</f>
        <v/>
      </c>
      <c r="Y1008">
        <f>(AVERAGE(H1008:J1008)-1)/4</f>
        <v/>
      </c>
      <c r="Z1008">
        <f>(AVERAGE(K1008:M1008)-1)/4</f>
        <v/>
      </c>
      <c r="AA1008">
        <f>(AVERAGE(N1008:P1008)-1)/4</f>
        <v/>
      </c>
      <c r="AB1008">
        <f>(AVERAGE(Q1008:S1008)-1)/4</f>
        <v/>
      </c>
      <c r="AC1008">
        <f>(AVERAGE(T1008:V1008)-1)/4</f>
        <v/>
      </c>
      <c r="AD1008">
        <f>AVERAGE(W1008:AA1008)</f>
        <v/>
      </c>
      <c r="AE1008">
        <f>MIN(W1008:AA1008)</f>
        <v/>
      </c>
      <c r="AF1008">
        <f>1-alpha*MAX(0,delta-AE1008)</f>
        <v/>
      </c>
      <c r="AG1008">
        <f>AD1008*AF1008</f>
        <v/>
      </c>
      <c r="AH1008">
        <f>1+COUNTIF(bounds,"&lt;"&amp;ROUND(AD1008,12))</f>
        <v/>
      </c>
      <c r="AI1008">
        <f>1+COUNTIF(bounds,"&lt;"&amp;ROUND(AG1008,12))</f>
        <v/>
      </c>
      <c r="AJ1008">
        <f>IF(AF1008&lt;1,1,0)</f>
        <v/>
      </c>
      <c r="AK1008">
        <f>IF(AH1008&lt;&gt;AI1008,1,0)</f>
        <v/>
      </c>
      <c r="AL1008">
        <f>IF(AND(AI1008&gt;=3,AB1008&lt;=0.2),1,0)</f>
        <v/>
      </c>
      <c r="AM1008">
        <f>AVERAGE(W1008:AB1008)</f>
        <v/>
      </c>
      <c r="AN1008">
        <f>1+COUNTIF(bounds,"&lt;"&amp;ROUND(AM1008,12))</f>
        <v/>
      </c>
      <c r="AO1008">
        <f>IF(AK1008=1,AD1008,NA())</f>
        <v/>
      </c>
      <c r="AP1008">
        <f>IF(AK1008=0,AD1008,NA())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9" customWidth="1" min="3" max="3"/>
    <col width="11" customWidth="1" min="4" max="4"/>
    <col width="19" customWidth="1" min="5" max="5"/>
    <col width="11" customWidth="1" min="6" max="6"/>
    <col width="19" customWidth="1" min="7" max="7"/>
  </cols>
  <sheetData>
    <row r="1">
      <c r="A1" s="4" t="inlineStr">
        <is>
          <t>Рисунок 2. Де штраф за слабку ланку змінює рівень зрілості (рівняння 7; точки: перші 1 000 профілів рівномірного сценарію)</t>
        </is>
      </c>
    </row>
    <row r="2">
      <c r="A2" t="inlineStr">
        <is>
          <t>Між суцільною лінією (межа b) і пунктирною лінією (верхня межа рівняння 7) штраф переводить профіль на рівень нижче. Змініть alpha або delta на аркуші Параметри, щоб побачити зсув смуги.</t>
        </is>
      </c>
    </row>
    <row r="4">
      <c r="A4" s="5" t="inlineStr">
        <is>
          <t>DM_min</t>
        </is>
      </c>
      <c r="B4" s="5" t="inlineStr">
        <is>
          <t>Межа 0.40</t>
        </is>
      </c>
      <c r="C4" s="5" t="inlineStr">
        <is>
          <t>Верхня межа для 0.40</t>
        </is>
      </c>
      <c r="D4" s="5" t="inlineStr">
        <is>
          <t>Межа 0.60</t>
        </is>
      </c>
      <c r="E4" s="5" t="inlineStr">
        <is>
          <t>Верхня межа для 0.60</t>
        </is>
      </c>
      <c r="F4" s="5" t="inlineStr">
        <is>
          <t>Межа 0.20</t>
        </is>
      </c>
      <c r="G4" s="5" t="inlineStr">
        <is>
          <t>Верхня межа для 0.20</t>
        </is>
      </c>
    </row>
    <row r="5">
      <c r="A5" t="n">
        <v>0</v>
      </c>
      <c r="B5">
        <f>INDEX(bounds,2)</f>
        <v/>
      </c>
      <c r="C5">
        <f>MIN(B5/(1-alpha*MAX(0,delta-A5)),(4+A5)/5)</f>
        <v/>
      </c>
      <c r="D5">
        <f>INDEX(bounds,3)</f>
        <v/>
      </c>
      <c r="E5">
        <f>MIN(D5/(1-alpha*MAX(0,delta-A5)),(4+A5)/5)</f>
        <v/>
      </c>
      <c r="F5">
        <f>INDEX(bounds,1)</f>
        <v/>
      </c>
      <c r="G5">
        <f>MIN(F5/(1-alpha*MAX(0,delta-A5)),(4+A5)/5)</f>
        <v/>
      </c>
    </row>
    <row r="6">
      <c r="A6" t="n">
        <v>0.025</v>
      </c>
      <c r="B6">
        <f>INDEX(bounds,2)</f>
        <v/>
      </c>
      <c r="C6">
        <f>MIN(B6/(1-alpha*MAX(0,delta-A6)),(4+A6)/5)</f>
        <v/>
      </c>
      <c r="D6">
        <f>INDEX(bounds,3)</f>
        <v/>
      </c>
      <c r="E6">
        <f>MIN(D6/(1-alpha*MAX(0,delta-A6)),(4+A6)/5)</f>
        <v/>
      </c>
      <c r="F6">
        <f>INDEX(bounds,1)</f>
        <v/>
      </c>
      <c r="G6">
        <f>MIN(F6/(1-alpha*MAX(0,delta-A6)),(4+A6)/5)</f>
        <v/>
      </c>
    </row>
    <row r="7">
      <c r="A7" t="n">
        <v>0.05</v>
      </c>
      <c r="B7">
        <f>INDEX(bounds,2)</f>
        <v/>
      </c>
      <c r="C7">
        <f>MIN(B7/(1-alpha*MAX(0,delta-A7)),(4+A7)/5)</f>
        <v/>
      </c>
      <c r="D7">
        <f>INDEX(bounds,3)</f>
        <v/>
      </c>
      <c r="E7">
        <f>MIN(D7/(1-alpha*MAX(0,delta-A7)),(4+A7)/5)</f>
        <v/>
      </c>
      <c r="F7">
        <f>INDEX(bounds,1)</f>
        <v/>
      </c>
      <c r="G7">
        <f>MIN(F7/(1-alpha*MAX(0,delta-A7)),(4+A7)/5)</f>
        <v/>
      </c>
    </row>
    <row r="8">
      <c r="A8" t="n">
        <v>0.075</v>
      </c>
      <c r="B8">
        <f>INDEX(bounds,2)</f>
        <v/>
      </c>
      <c r="C8">
        <f>MIN(B8/(1-alpha*MAX(0,delta-A8)),(4+A8)/5)</f>
        <v/>
      </c>
      <c r="D8">
        <f>INDEX(bounds,3)</f>
        <v/>
      </c>
      <c r="E8">
        <f>MIN(D8/(1-alpha*MAX(0,delta-A8)),(4+A8)/5)</f>
        <v/>
      </c>
      <c r="F8">
        <f>INDEX(bounds,1)</f>
        <v/>
      </c>
      <c r="G8">
        <f>MIN(F8/(1-alpha*MAX(0,delta-A8)),(4+A8)/5)</f>
        <v/>
      </c>
    </row>
    <row r="9">
      <c r="A9" t="n">
        <v>0.1</v>
      </c>
      <c r="B9">
        <f>INDEX(bounds,2)</f>
        <v/>
      </c>
      <c r="C9">
        <f>MIN(B9/(1-alpha*MAX(0,delta-A9)),(4+A9)/5)</f>
        <v/>
      </c>
      <c r="D9">
        <f>INDEX(bounds,3)</f>
        <v/>
      </c>
      <c r="E9">
        <f>MIN(D9/(1-alpha*MAX(0,delta-A9)),(4+A9)/5)</f>
        <v/>
      </c>
      <c r="F9">
        <f>INDEX(bounds,1)</f>
        <v/>
      </c>
      <c r="G9">
        <f>MIN(F9/(1-alpha*MAX(0,delta-A9)),(4+A9)/5)</f>
        <v/>
      </c>
    </row>
    <row r="10">
      <c r="A10" t="n">
        <v>0.125</v>
      </c>
      <c r="B10">
        <f>INDEX(bounds,2)</f>
        <v/>
      </c>
      <c r="C10">
        <f>MIN(B10/(1-alpha*MAX(0,delta-A10)),(4+A10)/5)</f>
        <v/>
      </c>
      <c r="D10">
        <f>INDEX(bounds,3)</f>
        <v/>
      </c>
      <c r="E10">
        <f>MIN(D10/(1-alpha*MAX(0,delta-A10)),(4+A10)/5)</f>
        <v/>
      </c>
      <c r="F10">
        <f>INDEX(bounds,1)</f>
        <v/>
      </c>
      <c r="G10">
        <f>MIN(F10/(1-alpha*MAX(0,delta-A10)),(4+A10)/5)</f>
        <v/>
      </c>
    </row>
    <row r="11">
      <c r="A11" t="n">
        <v>0.15</v>
      </c>
      <c r="B11">
        <f>INDEX(bounds,2)</f>
        <v/>
      </c>
      <c r="C11">
        <f>MIN(B11/(1-alpha*MAX(0,delta-A11)),(4+A11)/5)</f>
        <v/>
      </c>
      <c r="D11">
        <f>INDEX(bounds,3)</f>
        <v/>
      </c>
      <c r="E11">
        <f>MIN(D11/(1-alpha*MAX(0,delta-A11)),(4+A11)/5)</f>
        <v/>
      </c>
      <c r="F11">
        <f>INDEX(bounds,1)</f>
        <v/>
      </c>
      <c r="G11">
        <f>MIN(F11/(1-alpha*MAX(0,delta-A11)),(4+A11)/5)</f>
        <v/>
      </c>
    </row>
    <row r="12">
      <c r="A12" t="n">
        <v>0.175</v>
      </c>
      <c r="B12">
        <f>INDEX(bounds,2)</f>
        <v/>
      </c>
      <c r="C12">
        <f>MIN(B12/(1-alpha*MAX(0,delta-A12)),(4+A12)/5)</f>
        <v/>
      </c>
      <c r="D12">
        <f>INDEX(bounds,3)</f>
        <v/>
      </c>
      <c r="E12">
        <f>MIN(D12/(1-alpha*MAX(0,delta-A12)),(4+A12)/5)</f>
        <v/>
      </c>
      <c r="F12">
        <f>INDEX(bounds,1)</f>
        <v/>
      </c>
      <c r="G12">
        <f>MIN(F12/(1-alpha*MAX(0,delta-A12)),(4+A12)/5)</f>
        <v/>
      </c>
    </row>
    <row r="13">
      <c r="A13" t="n">
        <v>0.2</v>
      </c>
      <c r="B13">
        <f>INDEX(bounds,2)</f>
        <v/>
      </c>
      <c r="C13">
        <f>MIN(B13/(1-alpha*MAX(0,delta-A13)),(4+A13)/5)</f>
        <v/>
      </c>
      <c r="D13">
        <f>INDEX(bounds,3)</f>
        <v/>
      </c>
      <c r="E13">
        <f>MIN(D13/(1-alpha*MAX(0,delta-A13)),(4+A13)/5)</f>
        <v/>
      </c>
      <c r="F13">
        <f>INDEX(bounds,1)</f>
        <v/>
      </c>
      <c r="G13">
        <f>MIN(F13/(1-alpha*MAX(0,delta-A13)),(4+A13)/5)</f>
        <v/>
      </c>
    </row>
    <row r="14">
      <c r="A14" t="n">
        <v>0.225</v>
      </c>
      <c r="B14">
        <f>INDEX(bounds,2)</f>
        <v/>
      </c>
      <c r="C14">
        <f>MIN(B14/(1-alpha*MAX(0,delta-A14)),(4+A14)/5)</f>
        <v/>
      </c>
      <c r="D14">
        <f>INDEX(bounds,3)</f>
        <v/>
      </c>
      <c r="E14">
        <f>MIN(D14/(1-alpha*MAX(0,delta-A14)),(4+A14)/5)</f>
        <v/>
      </c>
      <c r="F14">
        <f>INDEX(bounds,1)</f>
        <v/>
      </c>
      <c r="G14">
        <f>MIN(F14/(1-alpha*MAX(0,delta-A14)),(4+A14)/5)</f>
        <v/>
      </c>
    </row>
    <row r="15">
      <c r="A15" t="n">
        <v>0.25</v>
      </c>
      <c r="B15">
        <f>INDEX(bounds,2)</f>
        <v/>
      </c>
      <c r="C15">
        <f>MIN(B15/(1-alpha*MAX(0,delta-A15)),(4+A15)/5)</f>
        <v/>
      </c>
      <c r="D15">
        <f>INDEX(bounds,3)</f>
        <v/>
      </c>
      <c r="E15">
        <f>MIN(D15/(1-alpha*MAX(0,delta-A15)),(4+A15)/5)</f>
        <v/>
      </c>
      <c r="F15">
        <f>INDEX(bounds,1)</f>
        <v/>
      </c>
      <c r="G15">
        <f>MIN(F15/(1-alpha*MAX(0,delta-A15)),(4+A15)/5)</f>
        <v/>
      </c>
    </row>
    <row r="16">
      <c r="A16" t="n">
        <v>0.275</v>
      </c>
      <c r="B16">
        <f>INDEX(bounds,2)</f>
        <v/>
      </c>
      <c r="C16">
        <f>MIN(B16/(1-alpha*MAX(0,delta-A16)),(4+A16)/5)</f>
        <v/>
      </c>
      <c r="D16">
        <f>INDEX(bounds,3)</f>
        <v/>
      </c>
      <c r="E16">
        <f>MIN(D16/(1-alpha*MAX(0,delta-A16)),(4+A16)/5)</f>
        <v/>
      </c>
      <c r="F16">
        <f>INDEX(bounds,1)</f>
        <v/>
      </c>
      <c r="G16">
        <f>MIN(F16/(1-alpha*MAX(0,delta-A16)),(4+A16)/5)</f>
        <v/>
      </c>
    </row>
    <row r="17">
      <c r="A17" t="n">
        <v>0.3</v>
      </c>
      <c r="B17">
        <f>INDEX(bounds,2)</f>
        <v/>
      </c>
      <c r="C17">
        <f>MIN(B17/(1-alpha*MAX(0,delta-A17)),(4+A17)/5)</f>
        <v/>
      </c>
      <c r="D17">
        <f>INDEX(bounds,3)</f>
        <v/>
      </c>
      <c r="E17">
        <f>MIN(D17/(1-alpha*MAX(0,delta-A17)),(4+A17)/5)</f>
        <v/>
      </c>
      <c r="F17">
        <f>INDEX(bounds,1)</f>
        <v/>
      </c>
      <c r="G17">
        <f>MIN(F17/(1-alpha*MAX(0,delta-A17)),(4+A17)/5)</f>
        <v/>
      </c>
    </row>
    <row r="18">
      <c r="A18" t="n">
        <v>0.325</v>
      </c>
      <c r="B18">
        <f>INDEX(bounds,2)</f>
        <v/>
      </c>
      <c r="C18">
        <f>MIN(B18/(1-alpha*MAX(0,delta-A18)),(4+A18)/5)</f>
        <v/>
      </c>
      <c r="D18">
        <f>INDEX(bounds,3)</f>
        <v/>
      </c>
      <c r="E18">
        <f>MIN(D18/(1-alpha*MAX(0,delta-A18)),(4+A18)/5)</f>
        <v/>
      </c>
      <c r="F18">
        <f>INDEX(bounds,1)</f>
        <v/>
      </c>
      <c r="G18">
        <f>MIN(F18/(1-alpha*MAX(0,delta-A18)),(4+A18)/5)</f>
        <v/>
      </c>
    </row>
    <row r="19">
      <c r="A19" t="n">
        <v>0.35</v>
      </c>
      <c r="B19">
        <f>INDEX(bounds,2)</f>
        <v/>
      </c>
      <c r="C19">
        <f>MIN(B19/(1-alpha*MAX(0,delta-A19)),(4+A19)/5)</f>
        <v/>
      </c>
      <c r="D19">
        <f>INDEX(bounds,3)</f>
        <v/>
      </c>
      <c r="E19">
        <f>MIN(D19/(1-alpha*MAX(0,delta-A19)),(4+A19)/5)</f>
        <v/>
      </c>
      <c r="F19">
        <f>INDEX(bounds,1)</f>
        <v/>
      </c>
      <c r="G19">
        <f>MIN(F19/(1-alpha*MAX(0,delta-A19)),(4+A19)/5)</f>
        <v/>
      </c>
    </row>
    <row r="20">
      <c r="A20" t="n">
        <v>0.375</v>
      </c>
      <c r="B20">
        <f>INDEX(bounds,2)</f>
        <v/>
      </c>
      <c r="C20">
        <f>MIN(B20/(1-alpha*MAX(0,delta-A20)),(4+A20)/5)</f>
        <v/>
      </c>
      <c r="D20">
        <f>INDEX(bounds,3)</f>
        <v/>
      </c>
      <c r="E20">
        <f>MIN(D20/(1-alpha*MAX(0,delta-A20)),(4+A20)/5)</f>
        <v/>
      </c>
      <c r="F20">
        <f>INDEX(bounds,1)</f>
        <v/>
      </c>
      <c r="G20">
        <f>MIN(F20/(1-alpha*MAX(0,delta-A20)),(4+A20)/5)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4" t="inlineStr">
        <is>
          <t>Рисунок 3. Діагностична карта (ADMI, DM_I): профілі вибірки та ситуації таблиці 4</t>
        </is>
      </c>
    </row>
    <row r="2">
      <c r="A2" t="inlineStr">
        <is>
          <t>Нижня права зона (ADMI вище межі рівня 3, DM_I не більше 0,20) - «ілюзія зрілості»: оснащені шари без інтеграції.</t>
        </is>
      </c>
    </row>
    <row r="4">
      <c r="A4" s="5" t="inlineStr">
        <is>
          <t>Ситуація</t>
        </is>
      </c>
      <c r="B4" s="5" t="inlineStr">
        <is>
          <t>ADMI</t>
        </is>
      </c>
      <c r="C4" s="5" t="inlineStr">
        <is>
          <t>DM_I</t>
        </is>
      </c>
    </row>
    <row r="5">
      <c r="A5" t="inlineStr">
        <is>
          <t>Пастка відповідності</t>
        </is>
      </c>
      <c r="B5">
        <f>'Діагностичні_ситуації'!L4</f>
        <v/>
      </c>
      <c r="C5">
        <f>'Діагностичні_ситуації'!G4</f>
        <v/>
      </c>
    </row>
    <row r="6">
      <c r="A6" t="inlineStr">
        <is>
          <t>Зовнішній тиск ЄС</t>
        </is>
      </c>
      <c r="B6">
        <f>'Діагностичні_ситуації'!L5</f>
        <v/>
      </c>
      <c r="C6">
        <f>'Діагностичні_ситуації'!G5</f>
        <v/>
      </c>
    </row>
    <row r="7">
      <c r="A7" t="inlineStr">
        <is>
          <t>Обмежувач абсорбційної здатності</t>
        </is>
      </c>
      <c r="B7">
        <f>'Діагностичні_ситуації'!L6</f>
        <v/>
      </c>
      <c r="C7">
        <f>'Діагностичні_ситуації'!G6</f>
        <v/>
      </c>
    </row>
    <row r="8">
      <c r="A8" t="inlineStr">
        <is>
          <t>Усвідомлена невідповідність</t>
        </is>
      </c>
      <c r="B8">
        <f>'Діагностичні_ситуації'!L7</f>
        <v/>
      </c>
      <c r="C8">
        <f>'Діагностичні_ситуації'!G7</f>
        <v/>
      </c>
    </row>
    <row r="9">
      <c r="A9" t="inlineStr">
        <is>
          <t>Ілюзія зрілості</t>
        </is>
      </c>
      <c r="B9">
        <f>'Діагностичні_ситуації'!L8</f>
        <v/>
      </c>
      <c r="C9">
        <f>'Діагностичні_ситуації'!G8</f>
        <v/>
      </c>
    </row>
    <row r="12">
      <c r="A12" s="5" t="inlineStr">
        <is>
          <t>Допоміжні лінії</t>
        </is>
      </c>
      <c r="B12" s="5" t="inlineStr">
        <is>
          <t>x</t>
        </is>
      </c>
      <c r="C12" s="5" t="inlineStr">
        <is>
          <t>y</t>
        </is>
      </c>
    </row>
    <row r="13">
      <c r="A13" t="inlineStr">
        <is>
          <t>межа рівня 3</t>
        </is>
      </c>
      <c r="B13">
        <f>INDEX(bounds,2)</f>
        <v/>
      </c>
      <c r="C13" t="n">
        <v>0</v>
      </c>
    </row>
    <row r="14">
      <c r="A14" t="inlineStr">
        <is>
          <t>межа рівня 3</t>
        </is>
      </c>
      <c r="B14">
        <f>INDEX(bounds,2)</f>
        <v/>
      </c>
      <c r="C14" t="n">
        <v>1</v>
      </c>
    </row>
    <row r="15">
      <c r="A15" t="inlineStr">
        <is>
          <t>DM_I = 0.20</t>
        </is>
      </c>
      <c r="B15" t="n">
        <v>0</v>
      </c>
      <c r="C15" t="n">
        <v>0.2</v>
      </c>
    </row>
    <row r="16">
      <c r="A16" t="inlineStr">
        <is>
          <t>DM_I = 0.20</t>
        </is>
      </c>
      <c r="B16" t="n">
        <v>1</v>
      </c>
      <c r="C16" t="n">
        <v>0.2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2026-10-24T18:34:37Z</dcterms:created>
  <dcterms:modified xsi:type="dcterms:W3CDTF">2026-10-24T18:34:37Z</dcterms:modified>
</cp:coreProperties>
</file>