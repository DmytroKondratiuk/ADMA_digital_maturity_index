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arameters" sheetId="2" state="visible" r:id="rId2"/>
    <sheet xmlns:r="http://schemas.openxmlformats.org/officeDocument/2006/relationships" name="Calculator" sheetId="3" state="visible" r:id="rId3"/>
    <sheet xmlns:r="http://schemas.openxmlformats.org/officeDocument/2006/relationships" name="Worked_example" sheetId="4" state="visible" r:id="rId4"/>
    <sheet xmlns:r="http://schemas.openxmlformats.org/officeDocument/2006/relationships" name="Statistics_mode" sheetId="5" state="visible" r:id="rId5"/>
    <sheet xmlns:r="http://schemas.openxmlformats.org/officeDocument/2006/relationships" name="EU_data" sheetId="6" state="visible" r:id="rId6"/>
    <sheet xmlns:r="http://schemas.openxmlformats.org/officeDocument/2006/relationships" name="UA_data" sheetId="7" state="visible" r:id="rId7"/>
    <sheet xmlns:r="http://schemas.openxmlformats.org/officeDocument/2006/relationships" name="Diagnostic_situations" sheetId="8" state="visible" r:id="rId8"/>
    <sheet xmlns:r="http://schemas.openxmlformats.org/officeDocument/2006/relationships" name="Boundary_band" sheetId="9" state="visible" r:id="rId9"/>
    <sheet xmlns:r="http://schemas.openxmlformats.org/officeDocument/2006/relationships" name="Experiment_sample" sheetId="10" state="visible" r:id="rId10"/>
    <sheet xmlns:r="http://schemas.openxmlformats.org/officeDocument/2006/relationships" name="Figure_2_band" sheetId="11" state="visible" r:id="rId11"/>
    <sheet xmlns:r="http://schemas.openxmlformats.org/officeDocument/2006/relationships" name="Figure_3_map" sheetId="12" state="visible" r:id="rId12"/>
  </sheets>
  <definedNames>
    <definedName name="alpha">Parameters!$B$3</definedName>
    <definedName name="delta">Parameters!$B$4</definedName>
    <definedName name="bounds">Parameters!$B$7:$B$10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Penalty band and sample profiles</a:t>
            </a:r>
          </a:p>
        </rich>
      </tx>
    </title>
    <plotArea>
      <scatterChart>
        <ser>
          <idx val="0"/>
          <order val="0"/>
          <tx>
            <v>level kept</v>
          </tx>
          <spPr>
            <a:ln xmlns:a="http://schemas.openxmlformats.org/drawingml/2006/main">
              <a:noFill/>
              <a:prstDash val="solid"/>
            </a:ln>
          </spPr>
          <marker>
            <symbol val="circle"/>
            <size val="3"/>
            <spPr>
              <a:solidFill xmlns:a="http://schemas.openxmlformats.org/drawingml/2006/main">
                <a:srgbClr val="BFBFBF"/>
              </a:solidFill>
              <a:ln xmlns:a="http://schemas.openxmlformats.org/drawingml/2006/main">
                <a:solidFill>
                  <a:srgbClr val="BFBFBF"/>
                </a:solidFill>
                <a:prstDash val="solid"/>
              </a:ln>
            </spPr>
          </marker>
          <xVal>
            <numRef>
              <f>'Experiment_sample'!$AC$9:$AC$1008</f>
            </numRef>
          </xVal>
          <yVal>
            <numRef>
              <f>'Experiment_sample'!$AN$9:$AN$1008</f>
            </numRef>
          </yVal>
          <smooth val="0"/>
        </ser>
        <ser>
          <idx val="1"/>
          <order val="1"/>
          <tx>
            <v>level changed by the penalty</v>
          </tx>
          <spPr>
            <a:ln xmlns:a="http://schemas.openxmlformats.org/drawingml/2006/main">
              <a:noFill/>
              <a:prstDash val="solid"/>
            </a:ln>
          </spPr>
          <marker>
            <symbol val="circle"/>
            <size val="4"/>
            <spPr>
              <a:solidFill xmlns:a="http://schemas.openxmlformats.org/drawingml/2006/main">
                <a:srgbClr val="C0504D"/>
              </a:solidFill>
              <a:ln xmlns:a="http://schemas.openxmlformats.org/drawingml/2006/main">
                <a:solidFill>
                  <a:srgbClr val="C0504D"/>
                </a:solidFill>
                <a:prstDash val="solid"/>
              </a:ln>
            </spPr>
          </marker>
          <xVal>
            <numRef>
              <f>'Experiment_sample'!$AC$9:$AC$1008</f>
            </numRef>
          </xVal>
          <yVal>
            <numRef>
              <f>'Experiment_sample'!$AM$9:$AM$1008</f>
            </numRef>
          </yVal>
          <smooth val="0"/>
        </ser>
        <ser>
          <idx val="2"/>
          <order val="2"/>
          <tx>
            <v>bound 0.20</v>
          </tx>
          <spPr>
            <a:ln xmlns:a="http://schemas.openxmlformats.org/drawingml/2006/main" w="19050">
              <a:solidFill>
                <a:srgbClr val="7F7F7F"/>
              </a:solidFill>
              <a:prstDash val="solid"/>
            </a:ln>
          </spPr>
          <marker>
            <symbol val="none"/>
            <spPr>
              <a:ln xmlns:a="http://schemas.openxmlformats.org/drawingml/2006/main">
                <a:prstDash val="solid"/>
              </a:ln>
            </spPr>
          </marker>
          <xVal>
            <numRef>
              <f>'Figure_2_band'!$A$5:$A$20</f>
            </numRef>
          </xVal>
          <yVal>
            <numRef>
              <f>'Figure_2_band'!$F$5:$F$20</f>
            </numRef>
          </yVal>
          <smooth val="0"/>
        </ser>
        <ser>
          <idx val="3"/>
          <order val="3"/>
          <tx>
            <v>upper limit 0.20</v>
          </tx>
          <spPr>
            <a:ln xmlns:a="http://schemas.openxmlformats.org/drawingml/2006/main" w="19050">
              <a:solidFill>
                <a:srgbClr val="7F7F7F"/>
              </a:solidFill>
              <a:prstDash val="dash"/>
            </a:ln>
          </spPr>
          <marker>
            <symbol val="none"/>
            <spPr>
              <a:ln xmlns:a="http://schemas.openxmlformats.org/drawingml/2006/main">
                <a:prstDash val="solid"/>
              </a:ln>
            </spPr>
          </marker>
          <xVal>
            <numRef>
              <f>'Figure_2_band'!$A$5:$A$20</f>
            </numRef>
          </xVal>
          <yVal>
            <numRef>
              <f>'Figure_2_band'!$G$5:$G$20</f>
            </numRef>
          </yVal>
          <smooth val="0"/>
        </ser>
        <ser>
          <idx val="4"/>
          <order val="4"/>
          <tx>
            <v>bound 0.40</v>
          </tx>
          <spPr>
            <a:ln xmlns:a="http://schemas.openxmlformats.org/drawingml/2006/main" w="19050">
              <a:solidFill>
                <a:srgbClr val="1F4E79"/>
              </a:solidFill>
              <a:prstDash val="solid"/>
            </a:ln>
          </spPr>
          <marker>
            <symbol val="none"/>
            <spPr>
              <a:ln xmlns:a="http://schemas.openxmlformats.org/drawingml/2006/main">
                <a:prstDash val="solid"/>
              </a:ln>
            </spPr>
          </marker>
          <xVal>
            <numRef>
              <f>'Figure_2_band'!$A$5:$A$20</f>
            </numRef>
          </xVal>
          <yVal>
            <numRef>
              <f>'Figure_2_band'!$B$5:$B$20</f>
            </numRef>
          </yVal>
          <smooth val="0"/>
        </ser>
        <ser>
          <idx val="5"/>
          <order val="5"/>
          <tx>
            <v>upper limit 0.40</v>
          </tx>
          <spPr>
            <a:ln xmlns:a="http://schemas.openxmlformats.org/drawingml/2006/main" w="19050">
              <a:solidFill>
                <a:srgbClr val="1F4E79"/>
              </a:solidFill>
              <a:prstDash val="dash"/>
            </a:ln>
          </spPr>
          <marker>
            <symbol val="none"/>
            <spPr>
              <a:ln xmlns:a="http://schemas.openxmlformats.org/drawingml/2006/main">
                <a:prstDash val="solid"/>
              </a:ln>
            </spPr>
          </marker>
          <xVal>
            <numRef>
              <f>'Figure_2_band'!$A$5:$A$20</f>
            </numRef>
          </xVal>
          <yVal>
            <numRef>
              <f>'Figure_2_band'!$C$5:$C$20</f>
            </numRef>
          </yVal>
          <smooth val="0"/>
        </ser>
        <ser>
          <idx val="6"/>
          <order val="6"/>
          <tx>
            <v>bound 0.60</v>
          </tx>
          <spPr>
            <a:ln xmlns:a="http://schemas.openxmlformats.org/drawingml/2006/main" w="19050">
              <a:solidFill>
                <a:srgbClr val="2E75B6"/>
              </a:solidFill>
              <a:prstDash val="solid"/>
            </a:ln>
          </spPr>
          <marker>
            <symbol val="none"/>
            <spPr>
              <a:ln xmlns:a="http://schemas.openxmlformats.org/drawingml/2006/main">
                <a:prstDash val="solid"/>
              </a:ln>
            </spPr>
          </marker>
          <xVal>
            <numRef>
              <f>'Figure_2_band'!$A$5:$A$20</f>
            </numRef>
          </xVal>
          <yVal>
            <numRef>
              <f>'Figure_2_band'!$D$5:$D$20</f>
            </numRef>
          </yVal>
          <smooth val="0"/>
        </ser>
        <ser>
          <idx val="7"/>
          <order val="7"/>
          <tx>
            <v>upper limit 0.60</v>
          </tx>
          <spPr>
            <a:ln xmlns:a="http://schemas.openxmlformats.org/drawingml/2006/main" w="19050">
              <a:solidFill>
                <a:srgbClr val="2E75B6"/>
              </a:solidFill>
              <a:prstDash val="dash"/>
            </a:ln>
          </spPr>
          <marker>
            <symbol val="none"/>
            <spPr>
              <a:ln xmlns:a="http://schemas.openxmlformats.org/drawingml/2006/main">
                <a:prstDash val="solid"/>
              </a:ln>
            </spPr>
          </marker>
          <xVal>
            <numRef>
              <f>'Figure_2_band'!$A$5:$A$20</f>
            </numRef>
          </xVal>
          <yVal>
            <numRef>
              <f>'Figure_2_band'!$E$5:$E$20</f>
            </numRef>
          </yVal>
          <smooth val="0"/>
        </ser>
        <axId val="10"/>
        <axId val="20"/>
      </scatterChart>
      <valAx>
        <axId val="10"/>
        <scaling>
          <orientation val="minMax"/>
          <max val="0.6"/>
          <min val="0"/>
        </scaling>
        <delete val="0"/>
        <axPos val="l"/>
        <title>
          <tx>
            <rich>
              <a:bodyPr xmlns:a="http://schemas.openxmlformats.org/drawingml/2006/main"/>
              <a:p xmlns:a="http://schemas.openxmlformats.org/drawingml/2006/main">
                <a:pPr>
                  <a:defRPr/>
                </a:pPr>
                <a:r>
                  <a:t>DM_min (weakest layer)</a:t>
                </a:r>
              </a:p>
            </rich>
          </tx>
        </title>
        <numFmt formatCode="0.0" sourceLinked="0"/>
        <majorTickMark val="none"/>
        <minorTickMark val="none"/>
        <crossAx val="20"/>
        <majorUnit val="0.1"/>
      </valAx>
      <valAx>
        <axId val="20"/>
        <scaling>
          <orientation val="minMax"/>
          <max val="0.9"/>
          <min val="0"/>
        </scaling>
        <delete val="0"/>
        <axPos val="l"/>
        <majorGridlines/>
        <title>
          <tx>
            <rich>
              <a:bodyPr xmlns:a="http://schemas.openxmlformats.org/drawingml/2006/main"/>
              <a:p xmlns:a="http://schemas.openxmlformats.org/drawingml/2006/main">
                <a:pPr>
                  <a:defRPr/>
                </a:pPr>
                <a:r>
                  <a:t>ADMI_base</a:t>
                </a:r>
              </a:p>
            </rich>
          </tx>
        </title>
        <numFmt formatCode="0.0" sourceLinked="0"/>
        <majorTickMark val="none"/>
        <minorTickMark val="none"/>
        <crossAx val="10"/>
        <majorUnit val="0.1"/>
      </valAx>
    </plotArea>
    <legend>
      <legendPos val="b"/>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Diagnostic map (ADMI, DM_I)</a:t>
            </a:r>
          </a:p>
        </rich>
      </tx>
    </title>
    <plotArea>
      <scatterChart>
        <ser>
          <idx val="0"/>
          <order val="0"/>
          <tx>
            <v>sample profiles</v>
          </tx>
          <spPr>
            <a:ln xmlns:a="http://schemas.openxmlformats.org/drawingml/2006/main">
              <a:noFill/>
              <a:prstDash val="solid"/>
            </a:ln>
          </spPr>
          <marker>
            <symbol val="circle"/>
            <size val="3"/>
            <spPr>
              <a:solidFill xmlns:a="http://schemas.openxmlformats.org/drawingml/2006/main">
                <a:srgbClr val="D9D9D9"/>
              </a:solidFill>
              <a:ln xmlns:a="http://schemas.openxmlformats.org/drawingml/2006/main">
                <a:solidFill>
                  <a:srgbClr val="D9D9D9"/>
                </a:solidFill>
                <a:prstDash val="solid"/>
              </a:ln>
            </spPr>
          </marker>
          <xVal>
            <numRef>
              <f>'Experiment_sample'!$AE$9:$AE$1008</f>
            </numRef>
          </xVal>
          <yVal>
            <numRef>
              <f>'Experiment_sample'!$Z$9:$Z$1008</f>
            </numRef>
          </yVal>
          <smooth val="0"/>
        </ser>
        <ser>
          <idx val="1"/>
          <order val="1"/>
          <tx>
            <v>Compliance trap</v>
          </tx>
          <spPr>
            <a:ln xmlns:a="http://schemas.openxmlformats.org/drawingml/2006/main">
              <a:noFill/>
              <a:prstDash val="solid"/>
            </a:ln>
          </spPr>
          <marker>
            <symbol val="diamond"/>
            <size val="9"/>
            <spPr>
              <a:solidFill xmlns:a="http://schemas.openxmlformats.org/drawingml/2006/main">
                <a:srgbClr val="C0504D"/>
              </a:solidFill>
              <a:ln xmlns:a="http://schemas.openxmlformats.org/drawingml/2006/main">
                <a:solidFill>
                  <a:srgbClr val="C0504D"/>
                </a:solidFill>
                <a:prstDash val="solid"/>
              </a:ln>
            </spPr>
          </marker>
          <xVal>
            <numRef>
              <f>'Figure_3_map'!$B$5</f>
            </numRef>
          </xVal>
          <yVal>
            <numRef>
              <f>'Figure_3_map'!$C$5</f>
            </numRef>
          </yVal>
          <smooth val="0"/>
        </ser>
        <ser>
          <idx val="2"/>
          <order val="2"/>
          <tx>
            <v>External EU pressure</v>
          </tx>
          <spPr>
            <a:ln xmlns:a="http://schemas.openxmlformats.org/drawingml/2006/main">
              <a:noFill/>
              <a:prstDash val="solid"/>
            </a:ln>
          </spPr>
          <marker>
            <symbol val="diamond"/>
            <size val="9"/>
            <spPr>
              <a:solidFill xmlns:a="http://schemas.openxmlformats.org/drawingml/2006/main">
                <a:srgbClr val="F79646"/>
              </a:solidFill>
              <a:ln xmlns:a="http://schemas.openxmlformats.org/drawingml/2006/main">
                <a:solidFill>
                  <a:srgbClr val="F79646"/>
                </a:solidFill>
                <a:prstDash val="solid"/>
              </a:ln>
            </spPr>
          </marker>
          <xVal>
            <numRef>
              <f>'Figure_3_map'!$B$6</f>
            </numRef>
          </xVal>
          <yVal>
            <numRef>
              <f>'Figure_3_map'!$C$6</f>
            </numRef>
          </yVal>
          <smooth val="0"/>
        </ser>
        <ser>
          <idx val="3"/>
          <order val="3"/>
          <tx>
            <v>Absorptive limiter</v>
          </tx>
          <spPr>
            <a:ln xmlns:a="http://schemas.openxmlformats.org/drawingml/2006/main">
              <a:noFill/>
              <a:prstDash val="solid"/>
            </a:ln>
          </spPr>
          <marker>
            <symbol val="diamond"/>
            <size val="9"/>
            <spPr>
              <a:solidFill xmlns:a="http://schemas.openxmlformats.org/drawingml/2006/main">
                <a:srgbClr val="9BBB59"/>
              </a:solidFill>
              <a:ln xmlns:a="http://schemas.openxmlformats.org/drawingml/2006/main">
                <a:solidFill>
                  <a:srgbClr val="9BBB59"/>
                </a:solidFill>
                <a:prstDash val="solid"/>
              </a:ln>
            </spPr>
          </marker>
          <xVal>
            <numRef>
              <f>'Figure_3_map'!$B$7</f>
            </numRef>
          </xVal>
          <yVal>
            <numRef>
              <f>'Figure_3_map'!$C$7</f>
            </numRef>
          </yVal>
          <smooth val="0"/>
        </ser>
        <ser>
          <idx val="4"/>
          <order val="4"/>
          <tx>
            <v>Aware mismatch</v>
          </tx>
          <spPr>
            <a:ln xmlns:a="http://schemas.openxmlformats.org/drawingml/2006/main">
              <a:noFill/>
              <a:prstDash val="solid"/>
            </a:ln>
          </spPr>
          <marker>
            <symbol val="diamond"/>
            <size val="9"/>
            <spPr>
              <a:solidFill xmlns:a="http://schemas.openxmlformats.org/drawingml/2006/main">
                <a:srgbClr val="8064A2"/>
              </a:solidFill>
              <a:ln xmlns:a="http://schemas.openxmlformats.org/drawingml/2006/main">
                <a:solidFill>
                  <a:srgbClr val="8064A2"/>
                </a:solidFill>
                <a:prstDash val="solid"/>
              </a:ln>
            </spPr>
          </marker>
          <xVal>
            <numRef>
              <f>'Figure_3_map'!$B$8</f>
            </numRef>
          </xVal>
          <yVal>
            <numRef>
              <f>'Figure_3_map'!$C$8</f>
            </numRef>
          </yVal>
          <smooth val="0"/>
        </ser>
        <ser>
          <idx val="5"/>
          <order val="5"/>
          <tx>
            <v>Illusion of maturity</v>
          </tx>
          <spPr>
            <a:ln xmlns:a="http://schemas.openxmlformats.org/drawingml/2006/main">
              <a:noFill/>
              <a:prstDash val="solid"/>
            </a:ln>
          </spPr>
          <marker>
            <symbol val="diamond"/>
            <size val="9"/>
            <spPr>
              <a:solidFill xmlns:a="http://schemas.openxmlformats.org/drawingml/2006/main">
                <a:srgbClr val="1F4E79"/>
              </a:solidFill>
              <a:ln xmlns:a="http://schemas.openxmlformats.org/drawingml/2006/main">
                <a:solidFill>
                  <a:srgbClr val="1F4E79"/>
                </a:solidFill>
                <a:prstDash val="solid"/>
              </a:ln>
            </spPr>
          </marker>
          <xVal>
            <numRef>
              <f>'Figure_3_map'!$B$9</f>
            </numRef>
          </xVal>
          <yVal>
            <numRef>
              <f>'Figure_3_map'!$C$9</f>
            </numRef>
          </yVal>
          <smooth val="0"/>
        </ser>
        <ser>
          <idx val="6"/>
          <order val="6"/>
          <tx>
            <v>level-3 bound</v>
          </tx>
          <spPr>
            <a:ln xmlns:a="http://schemas.openxmlformats.org/drawingml/2006/main" w="19050">
              <a:solidFill>
                <a:srgbClr val="595959"/>
              </a:solidFill>
              <a:prstDash val="dash"/>
            </a:ln>
          </spPr>
          <marker>
            <symbol val="none"/>
            <spPr>
              <a:ln xmlns:a="http://schemas.openxmlformats.org/drawingml/2006/main">
                <a:prstDash val="solid"/>
              </a:ln>
            </spPr>
          </marker>
          <xVal>
            <numRef>
              <f>'Figure_3_map'!$B$13:$B$14</f>
            </numRef>
          </xVal>
          <yVal>
            <numRef>
              <f>'Figure_3_map'!$C$13:$C$14</f>
            </numRef>
          </yVal>
          <smooth val="0"/>
        </ser>
        <ser>
          <idx val="7"/>
          <order val="7"/>
          <tx>
            <v>DM_I = 0.20</v>
          </tx>
          <spPr>
            <a:ln xmlns:a="http://schemas.openxmlformats.org/drawingml/2006/main" w="19050">
              <a:solidFill>
                <a:srgbClr val="595959"/>
              </a:solidFill>
              <a:prstDash val="dash"/>
            </a:ln>
          </spPr>
          <marker>
            <symbol val="none"/>
            <spPr>
              <a:ln xmlns:a="http://schemas.openxmlformats.org/drawingml/2006/main">
                <a:prstDash val="solid"/>
              </a:ln>
            </spPr>
          </marker>
          <xVal>
            <numRef>
              <f>'Figure_3_map'!$B$15:$B$16</f>
            </numRef>
          </xVal>
          <yVal>
            <numRef>
              <f>'Figure_3_map'!$C$15:$C$16</f>
            </numRef>
          </yVal>
          <smooth val="0"/>
        </ser>
        <axId val="10"/>
        <axId val="20"/>
      </scatterChart>
      <valAx>
        <axId val="10"/>
        <scaling>
          <orientation val="minMax"/>
          <max val="1"/>
          <min val="0"/>
        </scaling>
        <delete val="0"/>
        <axPos val="l"/>
        <title>
          <tx>
            <rich>
              <a:bodyPr xmlns:a="http://schemas.openxmlformats.org/drawingml/2006/main"/>
              <a:p xmlns:a="http://schemas.openxmlformats.org/drawingml/2006/main">
                <a:pPr>
                  <a:defRPr/>
                </a:pPr>
                <a:r>
                  <a:t>ADMI</a:t>
                </a:r>
              </a:p>
            </rich>
          </tx>
        </title>
        <numFmt formatCode="0.0" sourceLinked="0"/>
        <majorTickMark val="none"/>
        <minorTickMark val="none"/>
        <crossAx val="20"/>
        <majorUnit val="0.2"/>
      </valAx>
      <valAx>
        <axId val="20"/>
        <scaling>
          <orientation val="minMax"/>
          <max val="1"/>
          <min val="0"/>
        </scaling>
        <delete val="0"/>
        <axPos val="l"/>
        <majorGridlines/>
        <title>
          <tx>
            <rich>
              <a:bodyPr xmlns:a="http://schemas.openxmlformats.org/drawingml/2006/main"/>
              <a:p xmlns:a="http://schemas.openxmlformats.org/drawingml/2006/main">
                <a:pPr>
                  <a:defRPr/>
                </a:pPr>
                <a:r>
                  <a:t>DM_I (integration)</a:t>
                </a:r>
              </a:p>
            </rich>
          </tx>
        </title>
        <numFmt formatCode="0.0" sourceLinked="0"/>
        <majorTickMark val="none"/>
        <minorTickMark val="none"/>
        <crossAx val="10"/>
        <majorUnit val="0.2"/>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3</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3</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60" customWidth="1" min="1" max="1"/>
  </cols>
  <sheetData>
    <row r="1">
      <c r="A1" s="1" t="inlineStr">
        <is>
          <t>ADMA workbook: hand-checkable calculations of the paper</t>
        </is>
      </c>
    </row>
    <row r="2">
      <c r="A2" s="2" t="n"/>
    </row>
    <row r="3">
      <c r="A3" s="2" t="inlineStr">
        <is>
          <t>Every number on the calculation sheets is an Excel formula. Yellow cells are inputs you may change; blue cells are values copied from official sources (each with its link). Changing the yellow cells on Parameters recalculates every sheet.</t>
        </is>
      </c>
    </row>
    <row r="4">
      <c r="A4" s="2" t="n"/>
    </row>
    <row r="5">
      <c r="A5" s="3" t="inlineStr">
        <is>
          <t>Sheets and the paper</t>
        </is>
      </c>
    </row>
    <row r="6">
      <c r="A6" s="2" t="inlineStr">
        <is>
          <t>Parameters: alpha, delta and level bounds used by all formulas (Section 3.3, Table 2).</t>
        </is>
      </c>
    </row>
    <row r="7">
      <c r="A7" s="2" t="inlineStr">
        <is>
          <t>Calculator: enter 19 questionnaire answers (1-5) and get layer scores, penalty, ADMI, level, DM_I, DM_S (equations 1-5).</t>
        </is>
      </c>
    </row>
    <row r="8">
      <c r="A8" s="2" t="inlineStr">
        <is>
          <t>Worked_example: the profile of Section 4.1.</t>
        </is>
      </c>
    </row>
    <row r="9">
      <c r="A9" s="2" t="inlineStr">
        <is>
          <t>Statistics_mode: Table 7 (equation 6). Uses EU_data and UA_data.</t>
        </is>
      </c>
    </row>
    <row r="10">
      <c r="A10" s="2" t="inlineStr">
        <is>
          <t>EU_data: Eurostat values for all EU-27 countries; the leader is found with MAX/INDEX/MATCH.</t>
        </is>
      </c>
    </row>
    <row r="11">
      <c r="A11" s="2" t="inlineStr">
        <is>
          <t>UA_data: Derzhstat values with direct download links.</t>
        </is>
      </c>
    </row>
    <row r="12">
      <c r="A12" s="2" t="inlineStr">
        <is>
          <t>Diagnostic_situations: Table 6.</t>
        </is>
      </c>
    </row>
    <row r="13">
      <c r="A13" s="2" t="inlineStr">
        <is>
          <t>Boundary_band: equation (7), the band of base index values in which the penalty changes the level (Section 4.2).</t>
        </is>
      </c>
    </row>
    <row r="14">
      <c r="A14" s="2" t="inlineStr">
        <is>
          <t>Experiment_sample: the first 1 000 of the 100 000 generated profiles (uniform scenario) with all formulas row by row, and the corresponding results of the full run for comparison.</t>
        </is>
      </c>
    </row>
    <row r="15">
      <c r="A15" s="2" t="inlineStr">
        <is>
          <t>Figure_2_band: native Excel chart of the band of equation (7) with the sample profiles whose level the penalty changed.</t>
        </is>
      </c>
    </row>
    <row r="16">
      <c r="A16" s="2" t="inlineStr">
        <is>
          <t>Figure_3_map: native Excel chart of the diagnostic map (ADMI, DM_I) with the five situations of Table 6.</t>
        </is>
      </c>
    </row>
    <row r="17">
      <c r="A17" s="2" t="n"/>
    </row>
    <row r="18">
      <c r="A18" s="3" t="inlineStr">
        <is>
          <t>Full experiment</t>
        </is>
      </c>
    </row>
    <row r="19">
      <c r="A19" s="2" t="inlineStr">
        <is>
          <t>The complete experiment (2 x 100 000 profiles, 99 parameter combinations, Tables 4-5, hypotheses H1-H3) is run by scripts/simulation_experiment.py.</t>
        </is>
      </c>
    </row>
    <row r="20">
      <c r="A20" s="2" t="inlineStr">
        <is>
          <t>The profiles are stored in data/generated/profiles_uniform.csv and data/generated/profiles_low_skewed.csv; any row can be typed into the Calculator to check it.</t>
        </is>
      </c>
    </row>
    <row r="21">
      <c r="A21" s="2" t="n"/>
    </row>
    <row r="22">
      <c r="A22" s="3" t="inlineStr">
        <is>
          <t>Level rule</t>
        </is>
      </c>
    </row>
    <row r="23">
      <c r="A23" s="2" t="inlineStr">
        <is>
          <t>Level = 1 + number of bounds strictly below the index value rounded to 12 decimals. A value exactly on a bound belongs to the lower level: 0.40 is level 2, 0.41 is level 3.</t>
        </is>
      </c>
    </row>
    <row r="24">
      <c r="A24" s="2" t="inlineStr">
        <is>
          <t>Index values computed from questionnaire answers are multiples of 1/120, so exact ties occur; the rounding removes floating-point noise so that a tie is never moved to the upper level.</t>
        </is>
      </c>
    </row>
    <row r="25">
      <c r="A25" s="2" t="n"/>
    </row>
    <row r="26">
      <c r="A26" s="3" t="inlineStr">
        <is>
          <t>Verification</t>
        </is>
      </c>
    </row>
    <row r="27">
      <c r="A27" s="2" t="inlineStr">
        <is>
          <t>scripts/verify_workbook.py evaluates the formulas of this workbook with an independent engine (pycel) and compares 7 159 values with the Python scripts. All values agree.</t>
        </is>
      </c>
    </row>
    <row r="28">
      <c r="A28" s="2" t="inlineStr">
        <is>
          <t>The workbook is generated by scripts/build_workbook.py from data/raw and data/generated; this README is generated together with the README sheet and has the same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10" customWidth="1" min="2" max="2"/>
    <col width="80" customWidth="1" min="3" max="3"/>
  </cols>
  <sheetData>
    <row r="1">
      <c r="A1" s="4" t="inlineStr">
        <is>
          <t>Parameters</t>
        </is>
      </c>
    </row>
    <row r="3">
      <c r="A3" s="5" t="inlineStr">
        <is>
          <t>alpha</t>
        </is>
      </c>
      <c r="B3" s="6" t="n">
        <v>0.4</v>
      </c>
      <c r="C3" t="inlineStr">
        <is>
          <t>Strength of the weak-link penalty (calibrated value)</t>
        </is>
      </c>
    </row>
    <row r="4">
      <c r="A4" s="5" t="inlineStr">
        <is>
          <t>delta</t>
        </is>
      </c>
      <c r="B4" s="6" t="n">
        <v>0.375</v>
      </c>
      <c r="C4" t="inlineStr">
        <is>
          <t>Threshold of critical layer weakness (calibrated value; 0.375 = mean answer 2.5)</t>
        </is>
      </c>
    </row>
    <row r="6">
      <c r="A6" s="5" t="inlineStr">
        <is>
          <t>Level bounds (Table 2)</t>
        </is>
      </c>
    </row>
    <row r="7">
      <c r="A7" t="inlineStr">
        <is>
          <t>Level 1 | 2</t>
        </is>
      </c>
      <c r="B7" s="6" t="n">
        <v>0.2</v>
      </c>
    </row>
    <row r="8">
      <c r="A8" t="inlineStr">
        <is>
          <t>Level 2 | 3</t>
        </is>
      </c>
      <c r="B8" s="6" t="n">
        <v>0.4</v>
      </c>
    </row>
    <row r="9">
      <c r="A9" t="inlineStr">
        <is>
          <t>Level 3 | 4</t>
        </is>
      </c>
      <c r="B9" s="6" t="n">
        <v>0.6</v>
      </c>
    </row>
    <row r="10">
      <c r="A10" t="inlineStr">
        <is>
          <t>Level 4 | 5</t>
        </is>
      </c>
      <c r="B10" s="6" t="n">
        <v>0.8</v>
      </c>
    </row>
    <row r="12">
      <c r="A12" t="inlineStr">
        <is>
          <t>Initial values before calibration: alpha = 0.50, delta = 0.25. Model-adjusted bounds used as a robustness check: 0.25, 0.45, 0.60, 0.80.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4" customWidth="1" min="1" max="1"/>
    <col width="7" customWidth="1" min="2" max="2"/>
    <col width="78" customWidth="1" min="3" max="3"/>
    <col width="14" customWidth="1" min="4" max="4"/>
    <col width="18" customWidth="1" min="5" max="5"/>
  </cols>
  <sheetData>
    <row r="1">
      <c r="A1" s="4" t="inlineStr">
        <is>
          <t>ADMI calculator: enter answers 1-5 in the yellow cells</t>
        </is>
      </c>
    </row>
    <row r="3">
      <c r="A3" s="5" t="inlineStr">
        <is>
          <t>#</t>
        </is>
      </c>
      <c r="B3" s="5" t="inlineStr">
        <is>
          <t>Block</t>
        </is>
      </c>
      <c r="C3" s="5" t="inlineStr">
        <is>
          <t>Statement</t>
        </is>
      </c>
      <c r="D3" s="5" t="inlineStr">
        <is>
          <t>Answer (1-5)</t>
        </is>
      </c>
      <c r="E3" s="5" t="inlineStr">
        <is>
          <t>Normalised (eq. 1)</t>
        </is>
      </c>
    </row>
    <row r="4">
      <c r="A4" t="n">
        <v>1</v>
      </c>
      <c r="B4" t="inlineStr">
        <is>
          <t>C</t>
        </is>
      </c>
      <c r="C4" t="inlineStr">
        <is>
          <t>Software for production and resource planning (ERP, MES)</t>
        </is>
      </c>
      <c r="D4" s="6" t="n">
        <v>3</v>
      </c>
      <c r="E4">
        <f>(D4-1)/4</f>
        <v/>
      </c>
    </row>
    <row r="5">
      <c r="A5" t="n">
        <v>2</v>
      </c>
      <c r="B5" t="inlineStr">
        <is>
          <t>C</t>
        </is>
      </c>
      <c r="C5" t="inlineStr">
        <is>
          <t>Automation of production processes with digital equipment</t>
        </is>
      </c>
      <c r="D5" s="6" t="n">
        <v>3</v>
      </c>
      <c r="E5">
        <f>(D5-1)/4</f>
        <v/>
      </c>
    </row>
    <row r="6">
      <c r="A6" t="n">
        <v>3</v>
      </c>
      <c r="B6" t="inlineStr">
        <is>
          <t>C</t>
        </is>
      </c>
      <c r="C6" t="inlineStr">
        <is>
          <t>Approved digital development strategy or plan for 2-3 years</t>
        </is>
      </c>
      <c r="D6" s="6" t="n">
        <v>4</v>
      </c>
      <c r="E6">
        <f>(D6-1)/4</f>
        <v/>
      </c>
    </row>
    <row r="7">
      <c r="A7" t="n">
        <v>4</v>
      </c>
      <c r="B7" t="inlineStr">
        <is>
          <t>L1</t>
        </is>
      </c>
      <c r="C7" t="inlineStr">
        <is>
          <t>Digital tools for human resource management (HRM)</t>
        </is>
      </c>
      <c r="D7" s="6" t="n">
        <v>3</v>
      </c>
      <c r="E7">
        <f>(D7-1)/4</f>
        <v/>
      </c>
    </row>
    <row r="8">
      <c r="A8" t="n">
        <v>5</v>
      </c>
      <c r="B8" t="inlineStr">
        <is>
          <t>L1</t>
        </is>
      </c>
      <c r="C8" t="inlineStr">
        <is>
          <t>Employees have the skills to work with digital tools</t>
        </is>
      </c>
      <c r="D8" s="6" t="n">
        <v>3</v>
      </c>
      <c r="E8">
        <f>(D8-1)/4</f>
        <v/>
      </c>
    </row>
    <row r="9">
      <c r="A9" t="n">
        <v>6</v>
      </c>
      <c r="B9" t="inlineStr">
        <is>
          <t>L2</t>
        </is>
      </c>
      <c r="C9" t="inlineStr">
        <is>
          <t>Digital accounting of inventories (WMS or spreadsheets)</t>
        </is>
      </c>
      <c r="D9" s="6" t="n">
        <v>3</v>
      </c>
      <c r="E9">
        <f>(D9-1)/4</f>
        <v/>
      </c>
    </row>
    <row r="10">
      <c r="A10" t="n">
        <v>7</v>
      </c>
      <c r="B10" t="inlineStr">
        <is>
          <t>L2</t>
        </is>
      </c>
      <c r="C10" t="inlineStr">
        <is>
          <t>Collection and analysis of data on resource use, deviations and losses</t>
        </is>
      </c>
      <c r="D10" s="6" t="n">
        <v>3</v>
      </c>
      <c r="E10">
        <f>(D10-1)/4</f>
        <v/>
      </c>
    </row>
    <row r="11">
      <c r="A11" t="n">
        <v>8</v>
      </c>
      <c r="B11" t="inlineStr">
        <is>
          <t>L2</t>
        </is>
      </c>
      <c r="C11" t="inlineStr">
        <is>
          <t>Monitoring of storage conditions with sensors or IoT</t>
        </is>
      </c>
      <c r="D11" s="6" t="n">
        <v>3</v>
      </c>
      <c r="E11">
        <f>(D11-1)/4</f>
        <v/>
      </c>
    </row>
    <row r="12">
      <c r="A12" t="n">
        <v>9</v>
      </c>
      <c r="B12" t="inlineStr">
        <is>
          <t>L3</t>
        </is>
      </c>
      <c r="C12" t="inlineStr">
        <is>
          <t>GPS monitoring or telematics on vehicles and machinery</t>
        </is>
      </c>
      <c r="D12" s="6" t="n">
        <v>2</v>
      </c>
      <c r="E12">
        <f>(D12-1)/4</f>
        <v/>
      </c>
    </row>
    <row r="13">
      <c r="A13" t="n">
        <v>10</v>
      </c>
      <c r="B13" t="inlineStr">
        <is>
          <t>L3</t>
        </is>
      </c>
      <c r="C13" t="inlineStr">
        <is>
          <t>Data-based maintenance planning (CMMS)</t>
        </is>
      </c>
      <c r="D13" s="6" t="n">
        <v>1</v>
      </c>
      <c r="E13">
        <f>(D13-1)/4</f>
        <v/>
      </c>
    </row>
    <row r="14">
      <c r="A14" t="n">
        <v>11</v>
      </c>
      <c r="B14" t="inlineStr">
        <is>
          <t>L3</t>
        </is>
      </c>
      <c r="C14" t="inlineStr">
        <is>
          <t>Precision farming or precision livestock technologies</t>
        </is>
      </c>
      <c r="D14" s="6" t="n">
        <v>1</v>
      </c>
      <c r="E14">
        <f>(D14-1)/4</f>
        <v/>
      </c>
    </row>
    <row r="15">
      <c r="A15" t="n">
        <v>12</v>
      </c>
      <c r="B15" t="inlineStr">
        <is>
          <t>L4</t>
        </is>
      </c>
      <c r="C15" t="inlineStr">
        <is>
          <t>Digital sales channels (website, e-commerce, EDI)</t>
        </is>
      </c>
      <c r="D15" s="6" t="n">
        <v>3</v>
      </c>
      <c r="E15">
        <f>(D15-1)/4</f>
        <v/>
      </c>
    </row>
    <row r="16">
      <c r="A16" t="n">
        <v>13</v>
      </c>
      <c r="B16" t="inlineStr">
        <is>
          <t>L4</t>
        </is>
      </c>
      <c r="C16" t="inlineStr">
        <is>
          <t>Systematic collection and analysis of demand, price and feedback data (CRM)</t>
        </is>
      </c>
      <c r="D16" s="6" t="n">
        <v>3</v>
      </c>
      <c r="E16">
        <f>(D16-1)/4</f>
        <v/>
      </c>
    </row>
    <row r="17">
      <c r="A17" t="n">
        <v>14</v>
      </c>
      <c r="B17" t="inlineStr">
        <is>
          <t>L4</t>
        </is>
      </c>
      <c r="C17" t="inlineStr">
        <is>
          <t>Digital traceability: verified information on product origin</t>
        </is>
      </c>
      <c r="D17" s="6" t="n">
        <v>3</v>
      </c>
      <c r="E17">
        <f>(D17-1)/4</f>
        <v/>
      </c>
    </row>
    <row r="18">
      <c r="A18" t="n">
        <v>15</v>
      </c>
      <c r="B18" t="inlineStr">
        <is>
          <t>I</t>
        </is>
      </c>
      <c r="C18" t="inlineStr">
        <is>
          <t>Automatic transfer of production data between units</t>
        </is>
      </c>
      <c r="D18" s="6" t="n">
        <v>2</v>
      </c>
      <c r="E18">
        <f>(D18-1)/4</f>
        <v/>
      </c>
    </row>
    <row r="19">
      <c r="A19" t="n">
        <v>16</v>
      </c>
      <c r="B19" t="inlineStr">
        <is>
          <t>I</t>
        </is>
      </c>
      <c r="C19" t="inlineStr">
        <is>
          <t>Timely receipt of external data (prices, weather, regulation)</t>
        </is>
      </c>
      <c r="D19" s="6" t="n">
        <v>2</v>
      </c>
      <c r="E19">
        <f>(D19-1)/4</f>
        <v/>
      </c>
    </row>
    <row r="20">
      <c r="A20" t="n">
        <v>17</v>
      </c>
      <c r="B20" t="inlineStr">
        <is>
          <t>I</t>
        </is>
      </c>
      <c r="C20" t="inlineStr">
        <is>
          <t>Integration of the enterprise's digital systems with each other</t>
        </is>
      </c>
      <c r="D20" s="6" t="n">
        <v>2</v>
      </c>
      <c r="E20">
        <f>(D20-1)/4</f>
        <v/>
      </c>
    </row>
    <row r="21">
      <c r="A21" t="n">
        <v>18</v>
      </c>
      <c r="B21" t="inlineStr">
        <is>
          <t>S</t>
        </is>
      </c>
      <c r="C21" t="inlineStr">
        <is>
          <t>Regular tracking of new digital technologies</t>
        </is>
      </c>
      <c r="D21" s="6" t="n">
        <v>2</v>
      </c>
      <c r="E21">
        <f>(D21-1)/4</f>
        <v/>
      </c>
    </row>
    <row r="22">
      <c r="A22" t="n">
        <v>19</v>
      </c>
      <c r="B22" t="inlineStr">
        <is>
          <t>S</t>
        </is>
      </c>
      <c r="C22" t="inlineStr">
        <is>
          <t>Dedicated budget or resources for digitalisation</t>
        </is>
      </c>
      <c r="D22" s="6" t="n">
        <v>2</v>
      </c>
      <c r="E22">
        <f>(D22-1)/4</f>
        <v/>
      </c>
    </row>
    <row r="24">
      <c r="C24" s="5" t="inlineStr">
        <is>
          <t>Result</t>
        </is>
      </c>
    </row>
    <row r="25">
      <c r="C25" t="inlineStr">
        <is>
          <t>DM_C (eq. 2)</t>
        </is>
      </c>
      <c r="D25">
        <f>AVERAGE(E4:E6)</f>
        <v/>
      </c>
    </row>
    <row r="26">
      <c r="C26" t="inlineStr">
        <is>
          <t>DM_L1 (eq. 2)</t>
        </is>
      </c>
      <c r="D26">
        <f>AVERAGE(E7:E8)</f>
        <v/>
      </c>
    </row>
    <row r="27">
      <c r="C27" t="inlineStr">
        <is>
          <t>DM_L2 (eq. 2)</t>
        </is>
      </c>
      <c r="D27">
        <f>AVERAGE(E9:E11)</f>
        <v/>
      </c>
    </row>
    <row r="28">
      <c r="C28" t="inlineStr">
        <is>
          <t>DM_L3 (eq. 2)</t>
        </is>
      </c>
      <c r="D28">
        <f>AVERAGE(E12:E14)</f>
        <v/>
      </c>
    </row>
    <row r="29">
      <c r="C29" t="inlineStr">
        <is>
          <t>DM_L4 (eq. 2)</t>
        </is>
      </c>
      <c r="D29">
        <f>AVERAGE(E15:E17)</f>
        <v/>
      </c>
    </row>
    <row r="30">
      <c r="C30" t="inlineStr">
        <is>
          <t>DM_I (integration, outside the index)</t>
        </is>
      </c>
      <c r="D30">
        <f>AVERAGE(E18:E20)</f>
        <v/>
      </c>
    </row>
    <row r="31">
      <c r="C31" t="inlineStr">
        <is>
          <t>DM_S (strategy, outside the index)</t>
        </is>
      </c>
      <c r="D31">
        <f>AVERAGE(E21:E22)</f>
        <v/>
      </c>
    </row>
    <row r="32">
      <c r="C32" t="inlineStr">
        <is>
          <t>ADMI_base (eq. 3)</t>
        </is>
      </c>
      <c r="D32">
        <f>AVERAGE(D25:D29)</f>
        <v/>
      </c>
    </row>
    <row r="33">
      <c r="C33" t="inlineStr">
        <is>
          <t>DM_min</t>
        </is>
      </c>
      <c r="D33">
        <f>MIN(D25:D29)</f>
        <v/>
      </c>
    </row>
    <row r="34">
      <c r="C34" t="inlineStr">
        <is>
          <t>Penalty P (eq. 4)</t>
        </is>
      </c>
      <c r="D34">
        <f>1-alpha*MAX(0,delta-D33)</f>
        <v/>
      </c>
    </row>
    <row r="35">
      <c r="C35" t="inlineStr">
        <is>
          <t>ADMI (eq. 5)</t>
        </is>
      </c>
      <c r="D35">
        <f>D32*D34</f>
        <v/>
      </c>
    </row>
    <row r="36">
      <c r="C36" t="inlineStr">
        <is>
          <t>Level by ADMI_base</t>
        </is>
      </c>
      <c r="D36">
        <f>1+COUNTIF(bounds,"&lt;"&amp;ROUND(D32,12))</f>
        <v/>
      </c>
    </row>
    <row r="37">
      <c r="C37" t="inlineStr">
        <is>
          <t>Level by ADMI</t>
        </is>
      </c>
      <c r="D37">
        <f>1+COUNTIF(bounds,"&lt;"&amp;ROUND(D35,12))</f>
        <v/>
      </c>
    </row>
    <row r="38">
      <c r="C38" t="inlineStr">
        <is>
          <t>Penalty changed the level?</t>
        </is>
      </c>
      <c r="D38">
        <f>IF(D36&lt;&gt;D37,"yes","no")</f>
        <v/>
      </c>
    </row>
  </sheetData>
  <dataValidations count="1">
    <dataValidation sqref="D4 D5 D6 D7 D8 D9 D10 D11 D12 D13 D14 D15 D16 D17 D18 D19 D20 D21 D22" showDropDown="0" showInputMessage="0" showErrorMessage="1" allowBlank="0"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4" customWidth="1" min="1" max="1"/>
    <col width="7" customWidth="1" min="2" max="2"/>
    <col width="78" customWidth="1" min="3" max="3"/>
    <col width="14" customWidth="1" min="4" max="4"/>
    <col width="18" customWidth="1" min="5" max="5"/>
  </cols>
  <sheetData>
    <row r="1">
      <c r="A1" s="4" t="inlineStr">
        <is>
          <t>Section 4.1: worked example (ADMI_base 0.433, level 3 -&gt; ADMI 0.383, level 2)</t>
        </is>
      </c>
    </row>
    <row r="3">
      <c r="A3" s="5" t="inlineStr">
        <is>
          <t>#</t>
        </is>
      </c>
      <c r="B3" s="5" t="inlineStr">
        <is>
          <t>Block</t>
        </is>
      </c>
      <c r="C3" s="5" t="inlineStr">
        <is>
          <t>Statement</t>
        </is>
      </c>
      <c r="D3" s="5" t="inlineStr">
        <is>
          <t>Answer (1-5)</t>
        </is>
      </c>
      <c r="E3" s="5" t="inlineStr">
        <is>
          <t>Normalised (eq. 1)</t>
        </is>
      </c>
    </row>
    <row r="4">
      <c r="A4" t="n">
        <v>1</v>
      </c>
      <c r="B4" t="inlineStr">
        <is>
          <t>C</t>
        </is>
      </c>
      <c r="C4" t="inlineStr">
        <is>
          <t>Software for production and resource planning (ERP, MES)</t>
        </is>
      </c>
      <c r="D4" s="6" t="n">
        <v>3</v>
      </c>
      <c r="E4">
        <f>(D4-1)/4</f>
        <v/>
      </c>
    </row>
    <row r="5">
      <c r="A5" t="n">
        <v>2</v>
      </c>
      <c r="B5" t="inlineStr">
        <is>
          <t>C</t>
        </is>
      </c>
      <c r="C5" t="inlineStr">
        <is>
          <t>Automation of production processes with digital equipment</t>
        </is>
      </c>
      <c r="D5" s="6" t="n">
        <v>3</v>
      </c>
      <c r="E5">
        <f>(D5-1)/4</f>
        <v/>
      </c>
    </row>
    <row r="6">
      <c r="A6" t="n">
        <v>3</v>
      </c>
      <c r="B6" t="inlineStr">
        <is>
          <t>C</t>
        </is>
      </c>
      <c r="C6" t="inlineStr">
        <is>
          <t>Approved digital development strategy or plan for 2-3 years</t>
        </is>
      </c>
      <c r="D6" s="6" t="n">
        <v>4</v>
      </c>
      <c r="E6">
        <f>(D6-1)/4</f>
        <v/>
      </c>
    </row>
    <row r="7">
      <c r="A7" t="n">
        <v>4</v>
      </c>
      <c r="B7" t="inlineStr">
        <is>
          <t>L1</t>
        </is>
      </c>
      <c r="C7" t="inlineStr">
        <is>
          <t>Digital tools for human resource management (HRM)</t>
        </is>
      </c>
      <c r="D7" s="6" t="n">
        <v>3</v>
      </c>
      <c r="E7">
        <f>(D7-1)/4</f>
        <v/>
      </c>
    </row>
    <row r="8">
      <c r="A8" t="n">
        <v>5</v>
      </c>
      <c r="B8" t="inlineStr">
        <is>
          <t>L1</t>
        </is>
      </c>
      <c r="C8" t="inlineStr">
        <is>
          <t>Employees have the skills to work with digital tools</t>
        </is>
      </c>
      <c r="D8" s="6" t="n">
        <v>3</v>
      </c>
      <c r="E8">
        <f>(D8-1)/4</f>
        <v/>
      </c>
    </row>
    <row r="9">
      <c r="A9" t="n">
        <v>6</v>
      </c>
      <c r="B9" t="inlineStr">
        <is>
          <t>L2</t>
        </is>
      </c>
      <c r="C9" t="inlineStr">
        <is>
          <t>Digital accounting of inventories (WMS or spreadsheets)</t>
        </is>
      </c>
      <c r="D9" s="6" t="n">
        <v>3</v>
      </c>
      <c r="E9">
        <f>(D9-1)/4</f>
        <v/>
      </c>
    </row>
    <row r="10">
      <c r="A10" t="n">
        <v>7</v>
      </c>
      <c r="B10" t="inlineStr">
        <is>
          <t>L2</t>
        </is>
      </c>
      <c r="C10" t="inlineStr">
        <is>
          <t>Collection and analysis of data on resource use, deviations and losses</t>
        </is>
      </c>
      <c r="D10" s="6" t="n">
        <v>3</v>
      </c>
      <c r="E10">
        <f>(D10-1)/4</f>
        <v/>
      </c>
    </row>
    <row r="11">
      <c r="A11" t="n">
        <v>8</v>
      </c>
      <c r="B11" t="inlineStr">
        <is>
          <t>L2</t>
        </is>
      </c>
      <c r="C11" t="inlineStr">
        <is>
          <t>Monitoring of storage conditions with sensors or IoT</t>
        </is>
      </c>
      <c r="D11" s="6" t="n">
        <v>3</v>
      </c>
      <c r="E11">
        <f>(D11-1)/4</f>
        <v/>
      </c>
    </row>
    <row r="12">
      <c r="A12" t="n">
        <v>9</v>
      </c>
      <c r="B12" t="inlineStr">
        <is>
          <t>L3</t>
        </is>
      </c>
      <c r="C12" t="inlineStr">
        <is>
          <t>GPS monitoring or telematics on vehicles and machinery</t>
        </is>
      </c>
      <c r="D12" s="6" t="n">
        <v>2</v>
      </c>
      <c r="E12">
        <f>(D12-1)/4</f>
        <v/>
      </c>
    </row>
    <row r="13">
      <c r="A13" t="n">
        <v>10</v>
      </c>
      <c r="B13" t="inlineStr">
        <is>
          <t>L3</t>
        </is>
      </c>
      <c r="C13" t="inlineStr">
        <is>
          <t>Data-based maintenance planning (CMMS)</t>
        </is>
      </c>
      <c r="D13" s="6" t="n">
        <v>1</v>
      </c>
      <c r="E13">
        <f>(D13-1)/4</f>
        <v/>
      </c>
    </row>
    <row r="14">
      <c r="A14" t="n">
        <v>11</v>
      </c>
      <c r="B14" t="inlineStr">
        <is>
          <t>L3</t>
        </is>
      </c>
      <c r="C14" t="inlineStr">
        <is>
          <t>Precision farming or precision livestock technologies</t>
        </is>
      </c>
      <c r="D14" s="6" t="n">
        <v>1</v>
      </c>
      <c r="E14">
        <f>(D14-1)/4</f>
        <v/>
      </c>
    </row>
    <row r="15">
      <c r="A15" t="n">
        <v>12</v>
      </c>
      <c r="B15" t="inlineStr">
        <is>
          <t>L4</t>
        </is>
      </c>
      <c r="C15" t="inlineStr">
        <is>
          <t>Digital sales channels (website, e-commerce, EDI)</t>
        </is>
      </c>
      <c r="D15" s="6" t="n">
        <v>3</v>
      </c>
      <c r="E15">
        <f>(D15-1)/4</f>
        <v/>
      </c>
    </row>
    <row r="16">
      <c r="A16" t="n">
        <v>13</v>
      </c>
      <c r="B16" t="inlineStr">
        <is>
          <t>L4</t>
        </is>
      </c>
      <c r="C16" t="inlineStr">
        <is>
          <t>Systematic collection and analysis of demand, price and feedback data (CRM)</t>
        </is>
      </c>
      <c r="D16" s="6" t="n">
        <v>3</v>
      </c>
      <c r="E16">
        <f>(D16-1)/4</f>
        <v/>
      </c>
    </row>
    <row r="17">
      <c r="A17" t="n">
        <v>14</v>
      </c>
      <c r="B17" t="inlineStr">
        <is>
          <t>L4</t>
        </is>
      </c>
      <c r="C17" t="inlineStr">
        <is>
          <t>Digital traceability: verified information on product origin</t>
        </is>
      </c>
      <c r="D17" s="6" t="n">
        <v>3</v>
      </c>
      <c r="E17">
        <f>(D17-1)/4</f>
        <v/>
      </c>
    </row>
    <row r="18">
      <c r="A18" t="n">
        <v>15</v>
      </c>
      <c r="B18" t="inlineStr">
        <is>
          <t>I</t>
        </is>
      </c>
      <c r="C18" t="inlineStr">
        <is>
          <t>Automatic transfer of production data between units</t>
        </is>
      </c>
      <c r="D18" s="6" t="n">
        <v>2</v>
      </c>
      <c r="E18">
        <f>(D18-1)/4</f>
        <v/>
      </c>
    </row>
    <row r="19">
      <c r="A19" t="n">
        <v>16</v>
      </c>
      <c r="B19" t="inlineStr">
        <is>
          <t>I</t>
        </is>
      </c>
      <c r="C19" t="inlineStr">
        <is>
          <t>Timely receipt of external data (prices, weather, regulation)</t>
        </is>
      </c>
      <c r="D19" s="6" t="n">
        <v>2</v>
      </c>
      <c r="E19">
        <f>(D19-1)/4</f>
        <v/>
      </c>
    </row>
    <row r="20">
      <c r="A20" t="n">
        <v>17</v>
      </c>
      <c r="B20" t="inlineStr">
        <is>
          <t>I</t>
        </is>
      </c>
      <c r="C20" t="inlineStr">
        <is>
          <t>Integration of the enterprise's digital systems with each other</t>
        </is>
      </c>
      <c r="D20" s="6" t="n">
        <v>2</v>
      </c>
      <c r="E20">
        <f>(D20-1)/4</f>
        <v/>
      </c>
    </row>
    <row r="21">
      <c r="A21" t="n">
        <v>18</v>
      </c>
      <c r="B21" t="inlineStr">
        <is>
          <t>S</t>
        </is>
      </c>
      <c r="C21" t="inlineStr">
        <is>
          <t>Regular tracking of new digital technologies</t>
        </is>
      </c>
      <c r="D21" s="6" t="n">
        <v>2</v>
      </c>
      <c r="E21">
        <f>(D21-1)/4</f>
        <v/>
      </c>
    </row>
    <row r="22">
      <c r="A22" t="n">
        <v>19</v>
      </c>
      <c r="B22" t="inlineStr">
        <is>
          <t>S</t>
        </is>
      </c>
      <c r="C22" t="inlineStr">
        <is>
          <t>Dedicated budget or resources for digitalisation</t>
        </is>
      </c>
      <c r="D22" s="6" t="n">
        <v>2</v>
      </c>
      <c r="E22">
        <f>(D22-1)/4</f>
        <v/>
      </c>
    </row>
    <row r="24">
      <c r="C24" s="5" t="inlineStr">
        <is>
          <t>Result</t>
        </is>
      </c>
    </row>
    <row r="25">
      <c r="C25" t="inlineStr">
        <is>
          <t>DM_C (eq. 2)</t>
        </is>
      </c>
      <c r="D25">
        <f>AVERAGE(E4:E6)</f>
        <v/>
      </c>
    </row>
    <row r="26">
      <c r="C26" t="inlineStr">
        <is>
          <t>DM_L1 (eq. 2)</t>
        </is>
      </c>
      <c r="D26">
        <f>AVERAGE(E7:E8)</f>
        <v/>
      </c>
    </row>
    <row r="27">
      <c r="C27" t="inlineStr">
        <is>
          <t>DM_L2 (eq. 2)</t>
        </is>
      </c>
      <c r="D27">
        <f>AVERAGE(E9:E11)</f>
        <v/>
      </c>
    </row>
    <row r="28">
      <c r="C28" t="inlineStr">
        <is>
          <t>DM_L3 (eq. 2)</t>
        </is>
      </c>
      <c r="D28">
        <f>AVERAGE(E12:E14)</f>
        <v/>
      </c>
    </row>
    <row r="29">
      <c r="C29" t="inlineStr">
        <is>
          <t>DM_L4 (eq. 2)</t>
        </is>
      </c>
      <c r="D29">
        <f>AVERAGE(E15:E17)</f>
        <v/>
      </c>
    </row>
    <row r="30">
      <c r="C30" t="inlineStr">
        <is>
          <t>DM_I (integration, outside the index)</t>
        </is>
      </c>
      <c r="D30">
        <f>AVERAGE(E18:E20)</f>
        <v/>
      </c>
    </row>
    <row r="31">
      <c r="C31" t="inlineStr">
        <is>
          <t>DM_S (strategy, outside the index)</t>
        </is>
      </c>
      <c r="D31">
        <f>AVERAGE(E21:E22)</f>
        <v/>
      </c>
    </row>
    <row r="32">
      <c r="C32" t="inlineStr">
        <is>
          <t>ADMI_base (eq. 3)</t>
        </is>
      </c>
      <c r="D32">
        <f>AVERAGE(D25:D29)</f>
        <v/>
      </c>
    </row>
    <row r="33">
      <c r="C33" t="inlineStr">
        <is>
          <t>DM_min</t>
        </is>
      </c>
      <c r="D33">
        <f>MIN(D25:D29)</f>
        <v/>
      </c>
    </row>
    <row r="34">
      <c r="C34" t="inlineStr">
        <is>
          <t>Penalty P (eq. 4)</t>
        </is>
      </c>
      <c r="D34">
        <f>1-alpha*MAX(0,delta-D33)</f>
        <v/>
      </c>
    </row>
    <row r="35">
      <c r="C35" t="inlineStr">
        <is>
          <t>ADMI (eq. 5)</t>
        </is>
      </c>
      <c r="D35">
        <f>D32*D34</f>
        <v/>
      </c>
    </row>
    <row r="36">
      <c r="C36" t="inlineStr">
        <is>
          <t>Level by ADMI_base</t>
        </is>
      </c>
      <c r="D36">
        <f>1+COUNTIF(bounds,"&lt;"&amp;ROUND(D32,12))</f>
        <v/>
      </c>
    </row>
    <row r="37">
      <c r="C37" t="inlineStr">
        <is>
          <t>Level by ADMI</t>
        </is>
      </c>
      <c r="D37">
        <f>1+COUNTIF(bounds,"&lt;"&amp;ROUND(D35,12))</f>
        <v/>
      </c>
    </row>
    <row r="38">
      <c r="C38" t="inlineStr">
        <is>
          <t>Penalty changed the level?</t>
        </is>
      </c>
      <c r="D38">
        <f>IF(D36&lt;&gt;D37,"yes","no")</f>
        <v/>
      </c>
    </row>
  </sheetData>
  <dataValidations count="1">
    <dataValidation sqref="D4 D5 D6 D7 D8 D9 D10 D11 D12 D13 D14 D15 D16 D17 D18 D19 D20 D21 D22" showDropDown="0" showInputMessage="0" showErrorMessage="1" allowBlank="0"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7" customWidth="1" min="1" max="1"/>
    <col width="32" customWidth="1" min="2" max="2"/>
    <col width="10" customWidth="1" min="3" max="3"/>
    <col width="11" customWidth="1" min="4" max="4"/>
    <col width="12" customWidth="1" min="5" max="5"/>
    <col width="10" customWidth="1" min="6" max="6"/>
    <col width="9" customWidth="1" min="7" max="7"/>
    <col width="8" customWidth="1" min="8" max="8"/>
    <col width="10" customWidth="1" min="9" max="9"/>
    <col width="12" customWidth="1" min="10" max="10"/>
    <col width="10" customWidth="1" min="11" max="11"/>
  </cols>
  <sheetData>
    <row r="1">
      <c r="A1" s="4" t="inlineStr">
        <is>
          <t>Table 7. Statistics mode of ADMA for the Ukrainian food-processing industry (equation 6, P_min = 0)</t>
        </is>
      </c>
    </row>
    <row r="3">
      <c r="A3" s="5" t="inlineStr">
        <is>
          <t>Layer</t>
        </is>
      </c>
      <c r="B3" s="5" t="inlineStr">
        <is>
          <t>Indicator</t>
        </is>
      </c>
      <c r="C3" s="5" t="inlineStr">
        <is>
          <t>Statement</t>
        </is>
      </c>
      <c r="D3" s="5" t="inlineStr">
        <is>
          <t>Ukraine, %</t>
        </is>
      </c>
      <c r="E3" s="5" t="inlineStr">
        <is>
          <t>Ukraine year</t>
        </is>
      </c>
      <c r="F3" s="5" t="inlineStr">
        <is>
          <t>EU27, %</t>
        </is>
      </c>
      <c r="G3" s="5" t="inlineStr">
        <is>
          <t>EU year</t>
        </is>
      </c>
      <c r="H3" s="5" t="inlineStr">
        <is>
          <t>Leader</t>
        </is>
      </c>
      <c r="I3" s="5" t="inlineStr">
        <is>
          <t>Leader, %</t>
        </is>
      </c>
      <c r="J3" s="5" t="inlineStr">
        <is>
          <t>DM Ukraine</t>
        </is>
      </c>
      <c r="K3" s="5" t="inlineStr">
        <is>
          <t>DM EU27</t>
        </is>
      </c>
    </row>
    <row r="4">
      <c r="A4" t="inlineStr">
        <is>
          <t>C</t>
        </is>
      </c>
      <c r="B4" t="inlineStr">
        <is>
          <t>ERP software</t>
        </is>
      </c>
      <c r="C4" t="n">
        <v>1</v>
      </c>
      <c r="D4">
        <f>UA_data!$D$4</f>
        <v/>
      </c>
      <c r="E4" t="inlineStr">
        <is>
          <t>2025</t>
        </is>
      </c>
      <c r="F4">
        <f>EU_data!$B$4</f>
        <v/>
      </c>
      <c r="G4" t="inlineStr">
        <is>
          <t>2025</t>
        </is>
      </c>
      <c r="H4">
        <f>INDEX(EU_data!$A$5:$A$31,MATCH(MAX(EU_data!$B$5:$B$31),EU_data!$B$5:$B$31,0))</f>
        <v/>
      </c>
      <c r="I4">
        <f>MAX(EU_data!$B$5:$B$31)</f>
        <v/>
      </c>
      <c r="J4">
        <f>D4/I4</f>
        <v/>
      </c>
      <c r="K4">
        <f>F4/I4</f>
        <v/>
      </c>
    </row>
    <row r="5">
      <c r="A5" t="inlineStr">
        <is>
          <t>C</t>
        </is>
      </c>
      <c r="B5" t="inlineStr">
        <is>
          <t>IoT for production processes</t>
        </is>
      </c>
      <c r="C5" t="n">
        <v>2</v>
      </c>
      <c r="D5">
        <f>UA_data!$D$5</f>
        <v/>
      </c>
      <c r="E5" t="inlineStr">
        <is>
          <t>2022</t>
        </is>
      </c>
      <c r="F5">
        <f>EU_data!$C$4</f>
        <v/>
      </c>
      <c r="G5" t="inlineStr">
        <is>
          <t>2021</t>
        </is>
      </c>
      <c r="H5">
        <f>INDEX(EU_data!$A$5:$A$31,MATCH(MAX(EU_data!$C$5:$C$31),EU_data!$C$5:$C$31,0))</f>
        <v/>
      </c>
      <c r="I5">
        <f>MAX(EU_data!$C$5:$C$31)</f>
        <v/>
      </c>
      <c r="J5">
        <f>D5/I5</f>
        <v/>
      </c>
      <c r="K5">
        <f>F5/I5</f>
        <v/>
      </c>
    </row>
    <row r="6">
      <c r="A6" t="inlineStr">
        <is>
          <t>C</t>
        </is>
      </c>
      <c r="B6" t="inlineStr">
        <is>
          <t>Document(s) on ICT security</t>
        </is>
      </c>
      <c r="C6" t="n">
        <v>3</v>
      </c>
      <c r="D6">
        <f>UA_data!$D$6</f>
        <v/>
      </c>
      <c r="E6" t="inlineStr">
        <is>
          <t>2023</t>
        </is>
      </c>
      <c r="F6">
        <f>EU_data!$D$4</f>
        <v/>
      </c>
      <c r="G6" t="inlineStr">
        <is>
          <t>2024</t>
        </is>
      </c>
      <c r="H6">
        <f>INDEX(EU_data!$A$5:$A$31,MATCH(MAX(EU_data!$D$5:$D$31),EU_data!$D$5:$D$31,0))</f>
        <v/>
      </c>
      <c r="I6">
        <f>MAX(EU_data!$D$5:$D$31)</f>
        <v/>
      </c>
      <c r="J6">
        <f>D6/I6</f>
        <v/>
      </c>
      <c r="K6">
        <f>F6/I6</f>
        <v/>
      </c>
    </row>
    <row r="7">
      <c r="A7" t="inlineStr">
        <is>
          <t>L2</t>
        </is>
      </c>
      <c r="B7" t="inlineStr">
        <is>
          <t>Internet of Things</t>
        </is>
      </c>
      <c r="C7" t="n">
        <v>8</v>
      </c>
      <c r="D7">
        <f>UA_data!$D$7</f>
        <v/>
      </c>
      <c r="E7" t="inlineStr">
        <is>
          <t>2022</t>
        </is>
      </c>
      <c r="F7">
        <f>EU_data!$E$4</f>
        <v/>
      </c>
      <c r="G7" t="inlineStr">
        <is>
          <t>2021</t>
        </is>
      </c>
      <c r="H7">
        <f>INDEX(EU_data!$A$5:$A$31,MATCH(MAX(EU_data!$E$5:$E$31),EU_data!$E$5:$E$31,0))</f>
        <v/>
      </c>
      <c r="I7">
        <f>MAX(EU_data!$E$5:$E$31)</f>
        <v/>
      </c>
      <c r="J7">
        <f>D7/I7</f>
        <v/>
      </c>
      <c r="K7">
        <f>F7/I7</f>
        <v/>
      </c>
    </row>
    <row r="8">
      <c r="A8" t="inlineStr">
        <is>
          <t>L3</t>
        </is>
      </c>
      <c r="B8" t="inlineStr">
        <is>
          <t>Paid cloud computing services</t>
        </is>
      </c>
      <c r="C8" t="n">
        <v>10</v>
      </c>
      <c r="D8">
        <f>UA_data!$D$8</f>
        <v/>
      </c>
      <c r="E8" t="inlineStr">
        <is>
          <t>2025</t>
        </is>
      </c>
      <c r="F8">
        <f>EU_data!$F$4</f>
        <v/>
      </c>
      <c r="G8" t="inlineStr">
        <is>
          <t>2025</t>
        </is>
      </c>
      <c r="H8">
        <f>INDEX(EU_data!$A$5:$A$31,MATCH(MAX(EU_data!$F$5:$F$31),EU_data!$F$5:$F$31,0))</f>
        <v/>
      </c>
      <c r="I8">
        <f>MAX(EU_data!$F$5:$F$31)</f>
        <v/>
      </c>
      <c r="J8">
        <f>D8/I8</f>
        <v/>
      </c>
      <c r="K8">
        <f>F8/I8</f>
        <v/>
      </c>
    </row>
    <row r="9">
      <c r="A9" t="inlineStr">
        <is>
          <t>L4</t>
        </is>
      </c>
      <c r="B9" t="inlineStr">
        <is>
          <t>CRM software</t>
        </is>
      </c>
      <c r="C9" t="n">
        <v>13</v>
      </c>
      <c r="D9">
        <f>UA_data!$D$9</f>
        <v/>
      </c>
      <c r="E9" t="inlineStr">
        <is>
          <t>2025</t>
        </is>
      </c>
      <c r="F9">
        <f>EU_data!$G$4</f>
        <v/>
      </c>
      <c r="G9" t="inlineStr">
        <is>
          <t>2025</t>
        </is>
      </c>
      <c r="H9">
        <f>INDEX(EU_data!$A$5:$A$31,MATCH(MAX(EU_data!$G$5:$G$31),EU_data!$G$5:$G$31,0))</f>
        <v/>
      </c>
      <c r="I9">
        <f>MAX(EU_data!$G$5:$G$31)</f>
        <v/>
      </c>
      <c r="J9">
        <f>D9/I9</f>
        <v/>
      </c>
      <c r="K9">
        <f>F9/I9</f>
        <v/>
      </c>
    </row>
    <row r="11">
      <c r="A11" s="5" t="inlineStr">
        <is>
          <t>Layer profile (mean of the layer's indicators)</t>
        </is>
      </c>
    </row>
    <row r="12">
      <c r="A12" s="5" t="inlineStr">
        <is>
          <t>Layer</t>
        </is>
      </c>
      <c r="B12" s="5" t="inlineStr">
        <is>
          <t>DM Ukraine</t>
        </is>
      </c>
      <c r="C12" s="5" t="inlineStr">
        <is>
          <t>DM EU27</t>
        </is>
      </c>
      <c r="D12" s="5" t="inlineStr">
        <is>
          <t>Ukraine below delta?</t>
        </is>
      </c>
      <c r="E12" s="5" t="inlineStr">
        <is>
          <t>EU27 below delta?</t>
        </is>
      </c>
      <c r="F12" s="5" t="n"/>
      <c r="G12" s="5" t="n"/>
      <c r="H12" s="5" t="n"/>
      <c r="I12" s="5" t="n"/>
      <c r="J12" s="5" t="n"/>
      <c r="K12" s="5" t="n"/>
    </row>
    <row r="13">
      <c r="A13" t="inlineStr">
        <is>
          <t>C</t>
        </is>
      </c>
      <c r="B13">
        <f>AVERAGEIF($A$4:$A$9,A13,$J$4:$J$9)</f>
        <v/>
      </c>
      <c r="C13">
        <f>AVERAGEIF($A$4:$A$9,A13,$K$4:$K$9)</f>
        <v/>
      </c>
      <c r="D13">
        <f>IF(B13&lt;delta,"yes","no")</f>
        <v/>
      </c>
      <c r="E13">
        <f>IF(C13&lt;delta,"yes","no")</f>
        <v/>
      </c>
    </row>
    <row r="14">
      <c r="A14" t="inlineStr">
        <is>
          <t>L2</t>
        </is>
      </c>
      <c r="B14">
        <f>AVERAGEIF($A$4:$A$9,A14,$J$4:$J$9)</f>
        <v/>
      </c>
      <c r="C14">
        <f>AVERAGEIF($A$4:$A$9,A14,$K$4:$K$9)</f>
        <v/>
      </c>
      <c r="D14">
        <f>IF(B14&lt;delta,"yes","no")</f>
        <v/>
      </c>
      <c r="E14">
        <f>IF(C14&lt;delta,"yes","no")</f>
        <v/>
      </c>
    </row>
    <row r="15">
      <c r="A15" t="inlineStr">
        <is>
          <t>L3</t>
        </is>
      </c>
      <c r="B15">
        <f>AVERAGEIF($A$4:$A$9,A15,$J$4:$J$9)</f>
        <v/>
      </c>
      <c r="C15">
        <f>AVERAGEIF($A$4:$A$9,A15,$K$4:$K$9)</f>
        <v/>
      </c>
      <c r="D15">
        <f>IF(B15&lt;delta,"yes","no")</f>
        <v/>
      </c>
      <c r="E15">
        <f>IF(C15&lt;delta,"yes","no")</f>
        <v/>
      </c>
    </row>
    <row r="16">
      <c r="A16" t="inlineStr">
        <is>
          <t>L4</t>
        </is>
      </c>
      <c r="B16">
        <f>AVERAGEIF($A$4:$A$9,A16,$J$4:$J$9)</f>
        <v/>
      </c>
      <c r="C16">
        <f>AVERAGEIF($A$4:$A$9,A16,$K$4:$K$9)</f>
        <v/>
      </c>
      <c r="D16">
        <f>IF(B16&lt;delta,"yes","no")</f>
        <v/>
      </c>
      <c r="E16">
        <f>IF(C16&lt;delta,"yes","no")</f>
        <v/>
      </c>
    </row>
    <row r="18">
      <c r="A18" t="inlineStr">
        <is>
          <t>L1 (human capital) has no common indicator in the two surveys, so the full ADMI cannot be computed in the statistics mode.</t>
        </is>
      </c>
    </row>
    <row r="19">
      <c r="A19" t="inlineStr">
        <is>
          <t>Years differ for three indicators (Section 3.6 of the paper): ICT security documents UA 2023 / EU 2024; IoT UA 2022 / EU 2021.</t>
        </is>
      </c>
    </row>
    <row r="20">
      <c r="A20" t="inlineStr">
        <is>
          <t>Leader = EU-27 country with the highest published value; BE, FI and LU publish no values for C10-C12.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Eurostat, ICT usage in enterprises: NACE C10-C12, enterprises with 10+ persons employed, % of enterprises</t>
        </is>
      </c>
    </row>
    <row r="2">
      <c r="A2" s="5" t="inlineStr">
        <is>
          <t>Country</t>
        </is>
      </c>
      <c r="B2" s="5" t="inlineStr">
        <is>
          <t>E_ERP1 2025</t>
        </is>
      </c>
      <c r="C2" s="5" t="inlineStr">
        <is>
          <t>E_IOTDPP 2021</t>
        </is>
      </c>
      <c r="D2" s="5" t="inlineStr">
        <is>
          <t>E_SECPOL2 2024</t>
        </is>
      </c>
      <c r="E2" s="5" t="inlineStr">
        <is>
          <t>E_IOT1 2021</t>
        </is>
      </c>
      <c r="F2" s="5" t="inlineStr">
        <is>
          <t>E_CC 2025</t>
        </is>
      </c>
      <c r="G2" s="5" t="inlineStr">
        <is>
          <t>E_CRM1 2025</t>
        </is>
      </c>
    </row>
    <row r="3">
      <c r="A3" s="5" t="inlineStr">
        <is>
          <t>Source (CSV)</t>
        </is>
      </c>
      <c r="B3" t="inlineStr">
        <is>
          <t>https://ec.europa.eu/eurostat/api/dissemination/sdmx/2.1/data/isoc_eb_iipn2/A.GE10.C10-C12+C10-S951_X_K.E_ERP1+E_CRM1.PC_ENT.?format=SDMX-CSV</t>
        </is>
      </c>
      <c r="C3" t="inlineStr">
        <is>
          <t>https://ec.europa.eu/eurostat/api/dissemination/sdmx/2.1/data/isoc_eb_iotn2/A.GE10.C10-C12+C10-S951_X_K.E_IOT1+E_IOTDPP.PC_ENT.?format=SDMX-CSV</t>
        </is>
      </c>
      <c r="D3" t="inlineStr">
        <is>
          <t>https://ec.europa.eu/eurostat/api/dissemination/sdmx/2.1/data/isoc_cisce_ran2/A.GE10.C10-C12+C10-S951_X_K.E_SECMGE1+E_SECPOL2.PC_ENT.?format=SDMX-CSV</t>
        </is>
      </c>
      <c r="E3" t="inlineStr">
        <is>
          <t>https://ec.europa.eu/eurostat/api/dissemination/sdmx/2.1/data/isoc_eb_iotn2/A.GE10.C10-C12+C10-S951_X_K.E_IOT1+E_IOTDPP.PC_ENT.?format=SDMX-CSV</t>
        </is>
      </c>
      <c r="F3" t="inlineStr">
        <is>
          <t>https://ec.europa.eu/eurostat/api/dissemination/sdmx/2.1/data/isoc_cicce_usen2/A.GE10.C10-C12+C10-S951_X_K.E_CC+E_CC1_S.PC_ENT.?format=SDMX-CSV</t>
        </is>
      </c>
      <c r="G3" t="inlineStr">
        <is>
          <t>https://ec.europa.eu/eurostat/api/dissemination/sdmx/2.1/data/isoc_eb_iipn2/A.GE10.C10-C12+C10-S951_X_K.E_ERP1+E_CRM1.PC_ENT.?format=SDMX-CSV</t>
        </is>
      </c>
    </row>
    <row r="4">
      <c r="A4" s="5" t="inlineStr">
        <is>
          <t>EU27_2020</t>
        </is>
      </c>
      <c r="B4" s="7" t="n">
        <v>45.06</v>
      </c>
      <c r="C4" s="7" t="n">
        <v>9.68</v>
      </c>
      <c r="D4" s="7" t="n">
        <v>26.68</v>
      </c>
      <c r="E4" s="7" t="n">
        <v>29.43</v>
      </c>
      <c r="F4" s="7" t="n">
        <v>40.88</v>
      </c>
      <c r="G4" s="7" t="n">
        <v>17.99</v>
      </c>
    </row>
    <row r="5">
      <c r="A5" t="inlineStr">
        <is>
          <t>AT</t>
        </is>
      </c>
      <c r="B5" s="7" t="n">
        <v>39.48</v>
      </c>
      <c r="C5" s="7" t="n">
        <v>13.7</v>
      </c>
      <c r="D5" s="7" t="n">
        <v>16.94</v>
      </c>
      <c r="E5" s="7" t="n"/>
      <c r="F5" s="7" t="n">
        <v>45.99</v>
      </c>
      <c r="G5" s="7" t="n">
        <v>22.4</v>
      </c>
    </row>
    <row r="6">
      <c r="A6" t="inlineStr">
        <is>
          <t>BE</t>
        </is>
      </c>
      <c r="B6" s="7" t="n"/>
      <c r="C6" s="7" t="n"/>
      <c r="D6" s="7" t="n"/>
      <c r="E6" s="7" t="n"/>
      <c r="F6" s="7" t="n"/>
      <c r="G6" s="7" t="n"/>
    </row>
    <row r="7">
      <c r="A7" t="inlineStr">
        <is>
          <t>BG</t>
        </is>
      </c>
      <c r="B7" s="7" t="n">
        <v>20.79</v>
      </c>
      <c r="C7" s="7" t="n">
        <v>5.36</v>
      </c>
      <c r="D7" s="7" t="n">
        <v>5.87</v>
      </c>
      <c r="E7" s="7" t="n">
        <v>15.28</v>
      </c>
      <c r="F7" s="7" t="n">
        <v>11.32</v>
      </c>
      <c r="G7" s="7" t="n">
        <v>6.67</v>
      </c>
    </row>
    <row r="8">
      <c r="A8" t="inlineStr">
        <is>
          <t>CY</t>
        </is>
      </c>
      <c r="B8" s="7" t="n">
        <v>51.17</v>
      </c>
      <c r="C8" s="7" t="n">
        <v>15.53</v>
      </c>
      <c r="D8" s="7" t="n">
        <v>23.67</v>
      </c>
      <c r="E8" s="7" t="n">
        <v>43.71</v>
      </c>
      <c r="F8" s="7" t="n">
        <v>47.05</v>
      </c>
      <c r="G8" s="7" t="n">
        <v>23.56</v>
      </c>
    </row>
    <row r="9">
      <c r="A9" t="inlineStr">
        <is>
          <t>CZ</t>
        </is>
      </c>
      <c r="B9" s="7" t="n">
        <v>48.16</v>
      </c>
      <c r="C9" s="7" t="n">
        <v>15.03</v>
      </c>
      <c r="D9" s="7" t="n">
        <v>16.8</v>
      </c>
      <c r="E9" s="7" t="n">
        <v>34.29</v>
      </c>
      <c r="F9" s="7" t="n">
        <v>42.58</v>
      </c>
      <c r="G9" s="7" t="n">
        <v>30.18</v>
      </c>
    </row>
    <row r="10">
      <c r="A10" t="inlineStr">
        <is>
          <t>DE</t>
        </is>
      </c>
      <c r="B10" s="7" t="n">
        <v>36.76</v>
      </c>
      <c r="C10" s="7" t="n">
        <v>10.5</v>
      </c>
      <c r="D10" s="7" t="n">
        <v>25.81</v>
      </c>
      <c r="E10" s="7" t="n">
        <v>38.22</v>
      </c>
      <c r="F10" s="7" t="n">
        <v>39.13</v>
      </c>
      <c r="G10" s="7" t="n">
        <v>15.17</v>
      </c>
    </row>
    <row r="11">
      <c r="A11" t="inlineStr">
        <is>
          <t>DK</t>
        </is>
      </c>
      <c r="B11" s="7" t="n"/>
      <c r="C11" s="7" t="n">
        <v>4.82</v>
      </c>
      <c r="D11" s="7" t="n">
        <v>36.4</v>
      </c>
      <c r="E11" s="7" t="n">
        <v>24.38</v>
      </c>
      <c r="F11" s="7" t="n"/>
      <c r="G11" s="7" t="n">
        <v>18.31</v>
      </c>
    </row>
    <row r="12">
      <c r="A12" t="inlineStr">
        <is>
          <t>EE</t>
        </is>
      </c>
      <c r="B12" s="7" t="n">
        <v>37.23</v>
      </c>
      <c r="C12" s="7" t="n">
        <v>11.98</v>
      </c>
      <c r="D12" s="7" t="n">
        <v>40.14</v>
      </c>
      <c r="E12" s="7" t="n">
        <v>25.37</v>
      </c>
      <c r="F12" s="7" t="n">
        <v>65.76000000000001</v>
      </c>
      <c r="G12" s="7" t="n">
        <v>11.41</v>
      </c>
    </row>
    <row r="13">
      <c r="A13" t="inlineStr">
        <is>
          <t>EL</t>
        </is>
      </c>
      <c r="B13" s="7" t="n">
        <v>64.7</v>
      </c>
      <c r="C13" s="7" t="n">
        <v>5.78</v>
      </c>
      <c r="D13" s="7" t="n">
        <v>13.84</v>
      </c>
      <c r="E13" s="7" t="n">
        <v>23.44</v>
      </c>
      <c r="F13" s="7" t="n">
        <v>21.58</v>
      </c>
      <c r="G13" s="7" t="n">
        <v>12.65</v>
      </c>
    </row>
    <row r="14">
      <c r="A14" t="inlineStr">
        <is>
          <t>ES</t>
        </is>
      </c>
      <c r="B14" s="7" t="n">
        <v>66.42</v>
      </c>
      <c r="C14" s="7" t="n"/>
      <c r="D14" s="7" t="n">
        <v>30.13</v>
      </c>
      <c r="E14" s="7" t="n"/>
      <c r="F14" s="7" t="n">
        <v>35.36</v>
      </c>
      <c r="G14" s="7" t="n">
        <v>27.11</v>
      </c>
    </row>
    <row r="15">
      <c r="A15" t="inlineStr">
        <is>
          <t>FI</t>
        </is>
      </c>
      <c r="B15" s="7" t="n"/>
      <c r="C15" s="7" t="n"/>
      <c r="D15" s="7" t="n"/>
      <c r="E15" s="7" t="n"/>
      <c r="F15" s="7" t="n"/>
      <c r="G15" s="7" t="n"/>
    </row>
    <row r="16">
      <c r="A16" t="inlineStr">
        <is>
          <t>FR</t>
        </is>
      </c>
      <c r="B16" s="7" t="n">
        <v>44.73</v>
      </c>
      <c r="C16" s="7" t="n">
        <v>2.41</v>
      </c>
      <c r="D16" s="7" t="n">
        <v>14.9</v>
      </c>
      <c r="E16" s="7" t="n">
        <v>20.42</v>
      </c>
      <c r="F16" s="7" t="n">
        <v>25.15</v>
      </c>
      <c r="G16" s="7" t="n">
        <v>15.77</v>
      </c>
    </row>
    <row r="17">
      <c r="A17" t="inlineStr">
        <is>
          <t>HR</t>
        </is>
      </c>
      <c r="B17" s="7" t="n">
        <v>16.52</v>
      </c>
      <c r="C17" s="7" t="n">
        <v>3.9</v>
      </c>
      <c r="D17" s="7" t="n">
        <v>9.32</v>
      </c>
      <c r="E17" s="7" t="n">
        <v>22.37</v>
      </c>
      <c r="F17" s="7" t="n">
        <v>29.31</v>
      </c>
      <c r="G17" s="7" t="n">
        <v>8.550000000000001</v>
      </c>
    </row>
    <row r="18">
      <c r="A18" t="inlineStr">
        <is>
          <t>HU</t>
        </is>
      </c>
      <c r="B18" s="7" t="n">
        <v>28.07</v>
      </c>
      <c r="C18" s="7" t="n">
        <v>6.77</v>
      </c>
      <c r="D18" s="7" t="n">
        <v>8.949999999999999</v>
      </c>
      <c r="E18" s="7" t="n">
        <v>21.11</v>
      </c>
      <c r="F18" s="7" t="n">
        <v>33.93</v>
      </c>
      <c r="G18" s="7" t="n">
        <v>12.58</v>
      </c>
    </row>
    <row r="19">
      <c r="A19" t="inlineStr">
        <is>
          <t>IE</t>
        </is>
      </c>
      <c r="B19" s="7" t="n">
        <v>40.95</v>
      </c>
      <c r="C19" s="7" t="n">
        <v>11.38</v>
      </c>
      <c r="D19" s="7" t="n">
        <v>65.84999999999999</v>
      </c>
      <c r="E19" s="7" t="n">
        <v>40.67</v>
      </c>
      <c r="F19" s="7" t="n">
        <v>71.23</v>
      </c>
      <c r="G19" s="7" t="n">
        <v>17.33</v>
      </c>
    </row>
    <row r="20">
      <c r="A20" t="inlineStr">
        <is>
          <t>IT</t>
        </is>
      </c>
      <c r="B20" s="7" t="n">
        <v>48.97</v>
      </c>
      <c r="C20" s="7" t="n">
        <v>21.2</v>
      </c>
      <c r="D20" s="7" t="n">
        <v>30.27</v>
      </c>
      <c r="E20" s="7" t="n">
        <v>40.33</v>
      </c>
      <c r="F20" s="7" t="n">
        <v>67.77</v>
      </c>
      <c r="G20" s="7" t="n">
        <v>14.78</v>
      </c>
    </row>
    <row r="21">
      <c r="A21" t="inlineStr">
        <is>
          <t>LT</t>
        </is>
      </c>
      <c r="B21" s="7" t="n">
        <v>59.21</v>
      </c>
      <c r="C21" s="7" t="n">
        <v>13.88</v>
      </c>
      <c r="D21" s="7" t="n">
        <v>35.41</v>
      </c>
      <c r="E21" s="7" t="n">
        <v>37.8</v>
      </c>
      <c r="F21" s="7" t="n">
        <v>58.23</v>
      </c>
      <c r="G21" s="7" t="n">
        <v>26.04</v>
      </c>
    </row>
    <row r="22">
      <c r="A22" t="inlineStr">
        <is>
          <t>LU</t>
        </is>
      </c>
      <c r="B22" s="7" t="n"/>
      <c r="C22" s="7" t="n"/>
      <c r="D22" s="7" t="n"/>
      <c r="E22" s="7" t="n"/>
      <c r="F22" s="7" t="n"/>
      <c r="G22" s="7" t="n"/>
    </row>
    <row r="23">
      <c r="A23" t="inlineStr">
        <is>
          <t>LV</t>
        </is>
      </c>
      <c r="B23" s="7" t="n">
        <v>45.3</v>
      </c>
      <c r="C23" s="7" t="n">
        <v>14.43</v>
      </c>
      <c r="D23" s="7" t="n">
        <v>50.69</v>
      </c>
      <c r="E23" s="7" t="n">
        <v>30.05</v>
      </c>
      <c r="F23" s="7" t="n">
        <v>33.37</v>
      </c>
      <c r="G23" s="7" t="n">
        <v>13.14</v>
      </c>
    </row>
    <row r="24">
      <c r="A24" t="inlineStr">
        <is>
          <t>MT</t>
        </is>
      </c>
      <c r="B24" s="7" t="n">
        <v>51.12</v>
      </c>
      <c r="C24" s="7" t="n">
        <v>16.37</v>
      </c>
      <c r="D24" s="7" t="n">
        <v>16.51</v>
      </c>
      <c r="E24" s="7" t="n">
        <v>34.88</v>
      </c>
      <c r="F24" s="7" t="n">
        <v>57.71</v>
      </c>
      <c r="G24" s="7" t="n">
        <v>26.29</v>
      </c>
    </row>
    <row r="25">
      <c r="A25" t="inlineStr">
        <is>
          <t>NL</t>
        </is>
      </c>
      <c r="B25" s="7" t="n">
        <v>56.49</v>
      </c>
      <c r="C25" s="7" t="n">
        <v>9.17</v>
      </c>
      <c r="D25" s="7" t="n">
        <v>34.67</v>
      </c>
      <c r="E25" s="7" t="n">
        <v>29.12</v>
      </c>
      <c r="F25" s="7" t="n">
        <v>62.97</v>
      </c>
      <c r="G25" s="7" t="n">
        <v>31.25</v>
      </c>
    </row>
    <row r="26">
      <c r="A26" t="inlineStr">
        <is>
          <t>PL</t>
        </is>
      </c>
      <c r="B26" s="7" t="n">
        <v>37.18</v>
      </c>
      <c r="C26" s="7" t="n">
        <v>6.4</v>
      </c>
      <c r="D26" s="7" t="n">
        <v>30.78</v>
      </c>
      <c r="E26" s="7" t="n">
        <v>15.84</v>
      </c>
      <c r="F26" s="7" t="n">
        <v>45.08</v>
      </c>
      <c r="G26" s="7" t="n">
        <v>21.14</v>
      </c>
    </row>
    <row r="27">
      <c r="A27" t="inlineStr">
        <is>
          <t>PT</t>
        </is>
      </c>
      <c r="B27" s="7" t="n"/>
      <c r="C27" s="7" t="n">
        <v>2.28</v>
      </c>
      <c r="D27" s="7" t="n">
        <v>53.98</v>
      </c>
      <c r="E27" s="7" t="n">
        <v>16.76</v>
      </c>
      <c r="F27" s="7" t="n">
        <v>33.02</v>
      </c>
      <c r="G27" s="7" t="n">
        <v>16.85</v>
      </c>
    </row>
    <row r="28">
      <c r="A28" t="inlineStr">
        <is>
          <t>RO</t>
        </is>
      </c>
      <c r="B28" s="7" t="n">
        <v>21.02</v>
      </c>
      <c r="C28" s="7" t="n">
        <v>3.04</v>
      </c>
      <c r="D28" s="7" t="n">
        <v>56.74</v>
      </c>
      <c r="E28" s="7" t="n">
        <v>10.11</v>
      </c>
      <c r="F28" s="7" t="n">
        <v>18.73</v>
      </c>
      <c r="G28" s="7" t="n">
        <v>8.779999999999999</v>
      </c>
    </row>
    <row r="29">
      <c r="A29" t="inlineStr">
        <is>
          <t>SE</t>
        </is>
      </c>
      <c r="B29" s="7" t="n">
        <v>28.82</v>
      </c>
      <c r="C29" s="7" t="n">
        <v>19.37</v>
      </c>
      <c r="D29" s="7" t="n">
        <v>34.96</v>
      </c>
      <c r="E29" s="7" t="n">
        <v>49.89</v>
      </c>
      <c r="F29" s="7" t="n">
        <v>64.58</v>
      </c>
      <c r="G29" s="7" t="n">
        <v>18</v>
      </c>
    </row>
    <row r="30">
      <c r="A30" t="inlineStr">
        <is>
          <t>SI</t>
        </is>
      </c>
      <c r="B30" s="7" t="n">
        <v>23.51</v>
      </c>
      <c r="C30" s="7" t="n">
        <v>17.6</v>
      </c>
      <c r="D30" s="7" t="n">
        <v>31.73</v>
      </c>
      <c r="E30" s="7" t="n">
        <v>46.66</v>
      </c>
      <c r="F30" s="7" t="n">
        <v>32.28</v>
      </c>
      <c r="G30" s="7" t="n">
        <v>11.61</v>
      </c>
    </row>
    <row r="31">
      <c r="A31" t="inlineStr">
        <is>
          <t>SK</t>
        </is>
      </c>
      <c r="B31" s="7" t="n">
        <v>21.08</v>
      </c>
      <c r="C31" s="7" t="n">
        <v>11.25</v>
      </c>
      <c r="D31" s="7" t="n">
        <v>13.44</v>
      </c>
      <c r="E31" s="7" t="n">
        <v>35.54</v>
      </c>
      <c r="F31" s="7" t="n">
        <v>35.09</v>
      </c>
      <c r="G31" s="7" t="n">
        <v>13.71</v>
      </c>
    </row>
    <row r="33">
      <c r="A33" t="inlineStr">
        <is>
          <t>Empty cell = no published value (flag u, low reliability). The CSV links download the full series; filter by indic_is, geo and TIME_PERIOD.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2" customWidth="1" min="1" max="1"/>
    <col width="42" customWidth="1" min="2" max="2"/>
    <col width="8" customWidth="1" min="3" max="3"/>
    <col width="10" customWidth="1" min="4" max="4"/>
    <col width="14" customWidth="1" min="5" max="5"/>
    <col width="120" customWidth="1" min="6" max="6"/>
  </cols>
  <sheetData>
    <row r="1">
      <c r="A1" s="4" t="inlineStr">
        <is>
          <t>State Statistics Service of Ukraine, data bank stat.gov.ua (SSSU:DF_INFORM_COMMUN_TECH_ENTRP): KVED 10-12, % of enterprises</t>
        </is>
      </c>
    </row>
    <row r="3">
      <c r="A3" s="5" t="inlineStr">
        <is>
          <t>Indicator</t>
        </is>
      </c>
      <c r="B3" s="5" t="inlineStr">
        <is>
          <t>Breakdown</t>
        </is>
      </c>
      <c r="C3" s="5" t="inlineStr">
        <is>
          <t>Year</t>
        </is>
      </c>
      <c r="D3" s="5" t="inlineStr">
        <is>
          <t>Value, %</t>
        </is>
      </c>
      <c r="E3" s="5" t="inlineStr">
        <is>
          <t>Data updated</t>
        </is>
      </c>
      <c r="F3" s="5" t="inlineStr">
        <is>
          <t>Direct download (CSV)</t>
        </is>
      </c>
    </row>
    <row r="4">
      <c r="A4" t="inlineStr">
        <is>
          <t>ERP software</t>
        </is>
      </c>
      <c r="B4" t="inlineStr">
        <is>
          <t>_T / _T</t>
        </is>
      </c>
      <c r="C4" t="inlineStr">
        <is>
          <t>2025</t>
        </is>
      </c>
      <c r="D4" s="7" t="n">
        <v>20.4</v>
      </c>
      <c r="E4" t="inlineStr">
        <is>
          <t>16.09.2026</t>
        </is>
      </c>
      <c r="F4" t="inlineStr">
        <is>
          <t>https://stat.gov.ua/sdmx/workspaces/default:integration/registry/sdmx/3.0/data/dataflow/SSSU/DF_INFORM_COMMUN_TECH_ENTRP/~/SH_ENTRP_ERP_SOFTWARE.UA00000000000000000._T._T._T.C10-C12+_T.A</t>
        </is>
      </c>
    </row>
    <row r="5">
      <c r="A5" t="inlineStr">
        <is>
          <t>IoT for production processes</t>
        </is>
      </c>
      <c r="B5" t="inlineStr">
        <is>
          <t>PURPOSE_INTERNET_THINGS / PRODUCTION_PROCESSES</t>
        </is>
      </c>
      <c r="C5" t="inlineStr">
        <is>
          <t>2022</t>
        </is>
      </c>
      <c r="D5" s="7" t="n">
        <v>2.2</v>
      </c>
      <c r="E5" t="inlineStr">
        <is>
          <t>16.09.2026</t>
        </is>
      </c>
      <c r="F5" t="inlineStr">
        <is>
          <t>https://stat.gov.ua/sdmx/workspaces/default:integration/registry/sdmx/3.0/data/dataflow/SSSU/DF_INFORM_COMMUN_TECH_ENTRP/~/SH_ENTRP_INTERNET_THINGS.UA00000000000000000.*.*._T.C10-C12+_T.A</t>
        </is>
      </c>
    </row>
    <row r="6">
      <c r="A6" t="inlineStr">
        <is>
          <t>Document(s) on ICT security</t>
        </is>
      </c>
      <c r="B6" t="inlineStr">
        <is>
          <t>_T / _T</t>
        </is>
      </c>
      <c r="C6" t="inlineStr">
        <is>
          <t>2023</t>
        </is>
      </c>
      <c r="D6" s="7" t="n">
        <v>7.3</v>
      </c>
      <c r="E6" t="inlineStr">
        <is>
          <t>16.09.2026</t>
        </is>
      </c>
      <c r="F6" t="inlineStr">
        <is>
          <t>https://stat.gov.ua/sdmx/workspaces/default:integration/registry/sdmx/3.0/data/dataflow/SSSU/DF_INFORM_COMMUN_TECH_ENTRP/~/SH_ENTRP_HAVE_DOCUMENT.UA00000000000000000._T._T._T.C10-C12+_T.A</t>
        </is>
      </c>
    </row>
    <row r="7">
      <c r="A7" t="inlineStr">
        <is>
          <t>Internet of Things</t>
        </is>
      </c>
      <c r="B7" t="inlineStr">
        <is>
          <t>_T / _T</t>
        </is>
      </c>
      <c r="C7" t="inlineStr">
        <is>
          <t>2022</t>
        </is>
      </c>
      <c r="D7" s="7" t="n">
        <v>9.4</v>
      </c>
      <c r="E7" t="inlineStr">
        <is>
          <t>16.09.2026</t>
        </is>
      </c>
      <c r="F7" t="inlineStr">
        <is>
          <t>https://stat.gov.ua/sdmx/workspaces/default:integration/registry/sdmx/3.0/data/dataflow/SSSU/DF_INFORM_COMMUN_TECH_ENTRP/~/SH_ENTRP_INTERNET_THINGS.UA00000000000000000.*.*._T.C10-C12+_T.A</t>
        </is>
      </c>
    </row>
    <row r="8">
      <c r="A8" t="inlineStr">
        <is>
          <t>Paid cloud computing services</t>
        </is>
      </c>
      <c r="B8" t="inlineStr">
        <is>
          <t>CLOUD_COMPUTING_TYPE / _T</t>
        </is>
      </c>
      <c r="C8" t="inlineStr">
        <is>
          <t>2025</t>
        </is>
      </c>
      <c r="D8" s="7" t="n">
        <v>16.9</v>
      </c>
      <c r="E8" t="inlineStr">
        <is>
          <t>16.09.2026</t>
        </is>
      </c>
      <c r="F8" t="inlineStr">
        <is>
          <t>https://stat.gov.ua/sdmx/workspaces/default:integration/registry/sdmx/3.0/data/dataflow/SSSU/DF_INFORM_COMMUN_TECH_ENTRP/~/SH_ENTRP_CLOUD.UA00000000000000000.CLOUD_COMPUTING_TYPE+_T._T._T.C10-C12+_T.A</t>
        </is>
      </c>
    </row>
    <row r="9">
      <c r="A9" t="inlineStr">
        <is>
          <t>CRM software</t>
        </is>
      </c>
      <c r="B9" t="inlineStr">
        <is>
          <t>_T / _T</t>
        </is>
      </c>
      <c r="C9" t="inlineStr">
        <is>
          <t>2025</t>
        </is>
      </c>
      <c r="D9" s="7" t="n">
        <v>6.9</v>
      </c>
      <c r="E9" t="inlineStr">
        <is>
          <t>16.09.2026</t>
        </is>
      </c>
      <c r="F9" t="inlineStr">
        <is>
          <t>https://stat.gov.ua/sdmx/workspaces/default:integration/registry/sdmx/3.0/data/dataflow/SSSU/DF_INFORM_COMMUN_TECH_ENTRP/~/SH_ENTRP_CRM_SOFTWARE.UA00000000000000000._T._T._T.C10-C12+_T.A</t>
        </is>
      </c>
    </row>
    <row r="11">
      <c r="A11" t="inlineStr">
        <is>
          <t>Each link downloads a CSV with all years (columns TIME_PERIOD, OBS_VALUE). Interactive table: https://stat.gov.ua/uk/explorer?urn=SSSU%3ADF_INFORM_COMMUN_TECH_ENTRP%28~%29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22" customWidth="1" min="1" max="1"/>
  </cols>
  <sheetData>
    <row r="1">
      <c r="A1" s="4" t="inlineStr">
        <is>
          <t>Table 6. Diagnostic situations of ADMA (illustrative profiles)</t>
        </is>
      </c>
    </row>
    <row r="3">
      <c r="A3" s="5" t="inlineStr">
        <is>
          <t>Situation</t>
        </is>
      </c>
      <c r="B3" s="5" t="inlineStr">
        <is>
          <t>DM_C</t>
        </is>
      </c>
      <c r="C3" s="5" t="inlineStr">
        <is>
          <t>DM_L1</t>
        </is>
      </c>
      <c r="D3" s="5" t="inlineStr">
        <is>
          <t>DM_L2</t>
        </is>
      </c>
      <c r="E3" s="5" t="inlineStr">
        <is>
          <t>DM_L3</t>
        </is>
      </c>
      <c r="F3" s="5" t="inlineStr">
        <is>
          <t>DM_L4</t>
        </is>
      </c>
      <c r="G3" s="5" t="inlineStr">
        <is>
          <t>DM_I</t>
        </is>
      </c>
      <c r="H3" s="5" t="inlineStr">
        <is>
          <t>DM_S</t>
        </is>
      </c>
      <c r="I3" s="5" t="inlineStr">
        <is>
          <t>ADMI_base</t>
        </is>
      </c>
      <c r="J3" s="5" t="inlineStr">
        <is>
          <t>DM_min</t>
        </is>
      </c>
      <c r="K3" s="5" t="inlineStr">
        <is>
          <t>Penalty</t>
        </is>
      </c>
      <c r="L3" s="5" t="inlineStr">
        <is>
          <t>ADMI</t>
        </is>
      </c>
      <c r="M3" s="5" t="inlineStr">
        <is>
          <t>Level by ADMI</t>
        </is>
      </c>
      <c r="N3" s="5" t="inlineStr">
        <is>
          <t>Scalar incl. DM_I</t>
        </is>
      </c>
      <c r="O3" s="5" t="inlineStr">
        <is>
          <t>Level by scalar</t>
        </is>
      </c>
    </row>
    <row r="4">
      <c r="A4" t="inlineStr">
        <is>
          <t>Compliance trap</t>
        </is>
      </c>
      <c r="B4" s="6" t="n">
        <v>0.7</v>
      </c>
      <c r="C4" s="6" t="n">
        <v>0.4</v>
      </c>
      <c r="D4" s="6" t="n">
        <v>0.45</v>
      </c>
      <c r="E4" s="6" t="n">
        <v>0.05</v>
      </c>
      <c r="F4" s="6" t="n">
        <v>0.6</v>
      </c>
      <c r="G4" s="6" t="n">
        <v>0.3</v>
      </c>
      <c r="H4" s="6" t="n">
        <v>0.4</v>
      </c>
      <c r="I4">
        <f>AVERAGE(B4:F4)</f>
        <v/>
      </c>
      <c r="J4">
        <f>MIN(B4:F4)</f>
        <v/>
      </c>
      <c r="K4">
        <f>1-alpha*MAX(0,delta-J4)</f>
        <v/>
      </c>
      <c r="L4">
        <f>I4*K4</f>
        <v/>
      </c>
      <c r="M4">
        <f>1+COUNTIF(bounds,"&lt;"&amp;ROUND(L4,12))</f>
        <v/>
      </c>
      <c r="N4">
        <f>AVERAGE(B4:G4)</f>
        <v/>
      </c>
      <c r="O4">
        <f>1+COUNTIF(bounds,"&lt;"&amp;ROUND(N4,12))</f>
        <v/>
      </c>
    </row>
    <row r="5">
      <c r="A5" t="inlineStr">
        <is>
          <t>External EU pressure</t>
        </is>
      </c>
      <c r="B5" s="6" t="n">
        <v>0.35</v>
      </c>
      <c r="C5" s="6" t="n">
        <v>0.3</v>
      </c>
      <c r="D5" s="6" t="n">
        <v>0.35</v>
      </c>
      <c r="E5" s="6" t="n">
        <v>0.3</v>
      </c>
      <c r="F5" s="6" t="n">
        <v>0.7</v>
      </c>
      <c r="G5" s="6" t="n">
        <v>0.15</v>
      </c>
      <c r="H5" s="6" t="n">
        <v>0.3</v>
      </c>
      <c r="I5">
        <f>AVERAGE(B5:F5)</f>
        <v/>
      </c>
      <c r="J5">
        <f>MIN(B5:F5)</f>
        <v/>
      </c>
      <c r="K5">
        <f>1-alpha*MAX(0,delta-J5)</f>
        <v/>
      </c>
      <c r="L5">
        <f>I5*K5</f>
        <v/>
      </c>
      <c r="M5">
        <f>1+COUNTIF(bounds,"&lt;"&amp;ROUND(L5,12))</f>
        <v/>
      </c>
      <c r="N5">
        <f>AVERAGE(B5:G5)</f>
        <v/>
      </c>
      <c r="O5">
        <f>1+COUNTIF(bounds,"&lt;"&amp;ROUND(N5,12))</f>
        <v/>
      </c>
    </row>
    <row r="6">
      <c r="A6" t="inlineStr">
        <is>
          <t>Absorptive limiter</t>
        </is>
      </c>
      <c r="B6" s="6" t="n">
        <v>0.55</v>
      </c>
      <c r="C6" s="6" t="n">
        <v>0.1</v>
      </c>
      <c r="D6" s="6" t="n">
        <v>0.45</v>
      </c>
      <c r="E6" s="6" t="n">
        <v>0.45</v>
      </c>
      <c r="F6" s="6" t="n">
        <v>0.5</v>
      </c>
      <c r="G6" s="6" t="n">
        <v>0.35</v>
      </c>
      <c r="H6" s="6" t="n">
        <v>0.4</v>
      </c>
      <c r="I6">
        <f>AVERAGE(B6:F6)</f>
        <v/>
      </c>
      <c r="J6">
        <f>MIN(B6:F6)</f>
        <v/>
      </c>
      <c r="K6">
        <f>1-alpha*MAX(0,delta-J6)</f>
        <v/>
      </c>
      <c r="L6">
        <f>I6*K6</f>
        <v/>
      </c>
      <c r="M6">
        <f>1+COUNTIF(bounds,"&lt;"&amp;ROUND(L6,12))</f>
        <v/>
      </c>
      <c r="N6">
        <f>AVERAGE(B6:G6)</f>
        <v/>
      </c>
      <c r="O6">
        <f>1+COUNTIF(bounds,"&lt;"&amp;ROUND(N6,12))</f>
        <v/>
      </c>
    </row>
    <row r="7">
      <c r="A7" t="inlineStr">
        <is>
          <t>Aware mismatch</t>
        </is>
      </c>
      <c r="B7" s="6" t="n">
        <v>0.3</v>
      </c>
      <c r="C7" s="6" t="n">
        <v>0.25</v>
      </c>
      <c r="D7" s="6" t="n">
        <v>0.25</v>
      </c>
      <c r="E7" s="6" t="n">
        <v>0.3</v>
      </c>
      <c r="F7" s="6" t="n">
        <v>0.25</v>
      </c>
      <c r="G7" s="6" t="n">
        <v>0.2</v>
      </c>
      <c r="H7" s="6" t="n">
        <v>0.75</v>
      </c>
      <c r="I7">
        <f>AVERAGE(B7:F7)</f>
        <v/>
      </c>
      <c r="J7">
        <f>MIN(B7:F7)</f>
        <v/>
      </c>
      <c r="K7">
        <f>1-alpha*MAX(0,delta-J7)</f>
        <v/>
      </c>
      <c r="L7">
        <f>I7*K7</f>
        <v/>
      </c>
      <c r="M7">
        <f>1+COUNTIF(bounds,"&lt;"&amp;ROUND(L7,12))</f>
        <v/>
      </c>
      <c r="N7">
        <f>AVERAGE(B7:G7)</f>
        <v/>
      </c>
      <c r="O7">
        <f>1+COUNTIF(bounds,"&lt;"&amp;ROUND(N7,12))</f>
        <v/>
      </c>
    </row>
    <row r="8">
      <c r="A8" t="inlineStr">
        <is>
          <t>Illusion of maturity</t>
        </is>
      </c>
      <c r="B8" s="6" t="n">
        <v>0.55</v>
      </c>
      <c r="C8" s="6" t="n">
        <v>0.55</v>
      </c>
      <c r="D8" s="6" t="n">
        <v>0.55</v>
      </c>
      <c r="E8" s="6" t="n">
        <v>0.55</v>
      </c>
      <c r="F8" s="6" t="n">
        <v>0.55</v>
      </c>
      <c r="G8" s="6" t="n">
        <v>0.15</v>
      </c>
      <c r="H8" s="6" t="n">
        <v>0.5</v>
      </c>
      <c r="I8">
        <f>AVERAGE(B8:F8)</f>
        <v/>
      </c>
      <c r="J8">
        <f>MIN(B8:F8)</f>
        <v/>
      </c>
      <c r="K8">
        <f>1-alpha*MAX(0,delta-J8)</f>
        <v/>
      </c>
      <c r="L8">
        <f>I8*K8</f>
        <v/>
      </c>
      <c r="M8">
        <f>1+COUNTIF(bounds,"&lt;"&amp;ROUND(L8,12))</f>
        <v/>
      </c>
      <c r="N8">
        <f>AVERAGE(B8:G8)</f>
        <v/>
      </c>
      <c r="O8">
        <f>1+COUNTIF(bounds,"&lt;"&amp;ROUND(N8,12))</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s="4" t="inlineStr">
        <is>
          <t>Equation (7): the level drops across bound b if and only if b &lt; ADMI_base &lt;= b / P(DM_min)</t>
        </is>
      </c>
    </row>
    <row r="2">
      <c r="A2" t="inlineStr">
        <is>
          <t>Upper limit is also capped by (4 + DM_min) / 5, the largest base index possible when the weakest layer equals DM_min.</t>
        </is>
      </c>
    </row>
    <row r="3">
      <c r="A3" s="5" t="inlineStr">
        <is>
          <t>Bound b</t>
        </is>
      </c>
      <c r="B3" s="5" t="inlineStr">
        <is>
          <t>DM_min</t>
        </is>
      </c>
      <c r="C3" s="5" t="inlineStr">
        <is>
          <t>Penalty P</t>
        </is>
      </c>
      <c r="D3" s="5" t="inlineStr">
        <is>
          <t>ADMI_base from</t>
        </is>
      </c>
      <c r="E3" s="5" t="inlineStr">
        <is>
          <t>ADMI_base to</t>
        </is>
      </c>
      <c r="F3" s="5" t="inlineStr">
        <is>
          <t>Band width</t>
        </is>
      </c>
    </row>
    <row r="4">
      <c r="A4">
        <f>INDEX(bounds,1)</f>
        <v/>
      </c>
      <c r="B4" t="n">
        <v>0</v>
      </c>
      <c r="C4">
        <f>1-alpha*MAX(0,delta-B4)</f>
        <v/>
      </c>
      <c r="D4">
        <f>A4</f>
        <v/>
      </c>
      <c r="E4">
        <f>MIN(A4/C4,(4+B4)/5)</f>
        <v/>
      </c>
      <c r="F4">
        <f>MAX(0,E4-A4)</f>
        <v/>
      </c>
    </row>
    <row r="5">
      <c r="A5">
        <f>INDEX(bounds,1)</f>
        <v/>
      </c>
      <c r="B5" t="n">
        <v>0.025</v>
      </c>
      <c r="C5">
        <f>1-alpha*MAX(0,delta-B5)</f>
        <v/>
      </c>
      <c r="D5">
        <f>A5</f>
        <v/>
      </c>
      <c r="E5">
        <f>MIN(A5/C5,(4+B5)/5)</f>
        <v/>
      </c>
      <c r="F5">
        <f>MAX(0,E5-A5)</f>
        <v/>
      </c>
    </row>
    <row r="6">
      <c r="A6">
        <f>INDEX(bounds,1)</f>
        <v/>
      </c>
      <c r="B6" t="n">
        <v>0.05</v>
      </c>
      <c r="C6">
        <f>1-alpha*MAX(0,delta-B6)</f>
        <v/>
      </c>
      <c r="D6">
        <f>A6</f>
        <v/>
      </c>
      <c r="E6">
        <f>MIN(A6/C6,(4+B6)/5)</f>
        <v/>
      </c>
      <c r="F6">
        <f>MAX(0,E6-A6)</f>
        <v/>
      </c>
    </row>
    <row r="7">
      <c r="A7">
        <f>INDEX(bounds,1)</f>
        <v/>
      </c>
      <c r="B7" t="n">
        <v>0.075</v>
      </c>
      <c r="C7">
        <f>1-alpha*MAX(0,delta-B7)</f>
        <v/>
      </c>
      <c r="D7">
        <f>A7</f>
        <v/>
      </c>
      <c r="E7">
        <f>MIN(A7/C7,(4+B7)/5)</f>
        <v/>
      </c>
      <c r="F7">
        <f>MAX(0,E7-A7)</f>
        <v/>
      </c>
    </row>
    <row r="8">
      <c r="A8">
        <f>INDEX(bounds,1)</f>
        <v/>
      </c>
      <c r="B8" t="n">
        <v>0.1</v>
      </c>
      <c r="C8">
        <f>1-alpha*MAX(0,delta-B8)</f>
        <v/>
      </c>
      <c r="D8">
        <f>A8</f>
        <v/>
      </c>
      <c r="E8">
        <f>MIN(A8/C8,(4+B8)/5)</f>
        <v/>
      </c>
      <c r="F8">
        <f>MAX(0,E8-A8)</f>
        <v/>
      </c>
    </row>
    <row r="9">
      <c r="A9">
        <f>INDEX(bounds,1)</f>
        <v/>
      </c>
      <c r="B9" t="n">
        <v>0.125</v>
      </c>
      <c r="C9">
        <f>1-alpha*MAX(0,delta-B9)</f>
        <v/>
      </c>
      <c r="D9">
        <f>A9</f>
        <v/>
      </c>
      <c r="E9">
        <f>MIN(A9/C9,(4+B9)/5)</f>
        <v/>
      </c>
      <c r="F9">
        <f>MAX(0,E9-A9)</f>
        <v/>
      </c>
    </row>
    <row r="10">
      <c r="A10">
        <f>INDEX(bounds,1)</f>
        <v/>
      </c>
      <c r="B10" t="n">
        <v>0.15</v>
      </c>
      <c r="C10">
        <f>1-alpha*MAX(0,delta-B10)</f>
        <v/>
      </c>
      <c r="D10">
        <f>A10</f>
        <v/>
      </c>
      <c r="E10">
        <f>MIN(A10/C10,(4+B10)/5)</f>
        <v/>
      </c>
      <c r="F10">
        <f>MAX(0,E10-A10)</f>
        <v/>
      </c>
    </row>
    <row r="11">
      <c r="A11">
        <f>INDEX(bounds,1)</f>
        <v/>
      </c>
      <c r="B11" t="n">
        <v>0.175</v>
      </c>
      <c r="C11">
        <f>1-alpha*MAX(0,delta-B11)</f>
        <v/>
      </c>
      <c r="D11">
        <f>A11</f>
        <v/>
      </c>
      <c r="E11">
        <f>MIN(A11/C11,(4+B11)/5)</f>
        <v/>
      </c>
      <c r="F11">
        <f>MAX(0,E11-A11)</f>
        <v/>
      </c>
    </row>
    <row r="12">
      <c r="A12">
        <f>INDEX(bounds,1)</f>
        <v/>
      </c>
      <c r="B12" t="n">
        <v>0.2</v>
      </c>
      <c r="C12">
        <f>1-alpha*MAX(0,delta-B12)</f>
        <v/>
      </c>
      <c r="D12">
        <f>A12</f>
        <v/>
      </c>
      <c r="E12">
        <f>MIN(A12/C12,(4+B12)/5)</f>
        <v/>
      </c>
      <c r="F12">
        <f>MAX(0,E12-A12)</f>
        <v/>
      </c>
    </row>
    <row r="13">
      <c r="A13">
        <f>INDEX(bounds,1)</f>
        <v/>
      </c>
      <c r="B13" t="n">
        <v>0.225</v>
      </c>
      <c r="C13">
        <f>1-alpha*MAX(0,delta-B13)</f>
        <v/>
      </c>
      <c r="D13">
        <f>A13</f>
        <v/>
      </c>
      <c r="E13">
        <f>MIN(A13/C13,(4+B13)/5)</f>
        <v/>
      </c>
      <c r="F13">
        <f>MAX(0,E13-A13)</f>
        <v/>
      </c>
    </row>
    <row r="14">
      <c r="A14">
        <f>INDEX(bounds,1)</f>
        <v/>
      </c>
      <c r="B14" t="n">
        <v>0.25</v>
      </c>
      <c r="C14">
        <f>1-alpha*MAX(0,delta-B14)</f>
        <v/>
      </c>
      <c r="D14">
        <f>A14</f>
        <v/>
      </c>
      <c r="E14">
        <f>MIN(A14/C14,(4+B14)/5)</f>
        <v/>
      </c>
      <c r="F14">
        <f>MAX(0,E14-A14)</f>
        <v/>
      </c>
    </row>
    <row r="15">
      <c r="A15">
        <f>INDEX(bounds,1)</f>
        <v/>
      </c>
      <c r="B15" t="n">
        <v>0.275</v>
      </c>
      <c r="C15">
        <f>1-alpha*MAX(0,delta-B15)</f>
        <v/>
      </c>
      <c r="D15">
        <f>A15</f>
        <v/>
      </c>
      <c r="E15">
        <f>MIN(A15/C15,(4+B15)/5)</f>
        <v/>
      </c>
      <c r="F15">
        <f>MAX(0,E15-A15)</f>
        <v/>
      </c>
    </row>
    <row r="16">
      <c r="A16">
        <f>INDEX(bounds,1)</f>
        <v/>
      </c>
      <c r="B16" t="n">
        <v>0.3</v>
      </c>
      <c r="C16">
        <f>1-alpha*MAX(0,delta-B16)</f>
        <v/>
      </c>
      <c r="D16">
        <f>A16</f>
        <v/>
      </c>
      <c r="E16">
        <f>MIN(A16/C16,(4+B16)/5)</f>
        <v/>
      </c>
      <c r="F16">
        <f>MAX(0,E16-A16)</f>
        <v/>
      </c>
    </row>
    <row r="17">
      <c r="A17">
        <f>INDEX(bounds,1)</f>
        <v/>
      </c>
      <c r="B17" t="n">
        <v>0.325</v>
      </c>
      <c r="C17">
        <f>1-alpha*MAX(0,delta-B17)</f>
        <v/>
      </c>
      <c r="D17">
        <f>A17</f>
        <v/>
      </c>
      <c r="E17">
        <f>MIN(A17/C17,(4+B17)/5)</f>
        <v/>
      </c>
      <c r="F17">
        <f>MAX(0,E17-A17)</f>
        <v/>
      </c>
    </row>
    <row r="18">
      <c r="A18">
        <f>INDEX(bounds,1)</f>
        <v/>
      </c>
      <c r="B18" t="n">
        <v>0.35</v>
      </c>
      <c r="C18">
        <f>1-alpha*MAX(0,delta-B18)</f>
        <v/>
      </c>
      <c r="D18">
        <f>A18</f>
        <v/>
      </c>
      <c r="E18">
        <f>MIN(A18/C18,(4+B18)/5)</f>
        <v/>
      </c>
      <c r="F18">
        <f>MAX(0,E18-A18)</f>
        <v/>
      </c>
    </row>
    <row r="19">
      <c r="A19">
        <f>INDEX(bounds,1)</f>
        <v/>
      </c>
      <c r="B19" t="n">
        <v>0.375</v>
      </c>
      <c r="C19">
        <f>1-alpha*MAX(0,delta-B19)</f>
        <v/>
      </c>
      <c r="D19">
        <f>A19</f>
        <v/>
      </c>
      <c r="E19">
        <f>MIN(A19/C19,(4+B19)/5)</f>
        <v/>
      </c>
      <c r="F19">
        <f>MAX(0,E19-A19)</f>
        <v/>
      </c>
    </row>
    <row r="20">
      <c r="A20">
        <f>INDEX(bounds,2)</f>
        <v/>
      </c>
      <c r="B20" t="n">
        <v>0</v>
      </c>
      <c r="C20">
        <f>1-alpha*MAX(0,delta-B20)</f>
        <v/>
      </c>
      <c r="D20">
        <f>A20</f>
        <v/>
      </c>
      <c r="E20">
        <f>MIN(A20/C20,(4+B20)/5)</f>
        <v/>
      </c>
      <c r="F20">
        <f>MAX(0,E20-A20)</f>
        <v/>
      </c>
    </row>
    <row r="21">
      <c r="A21">
        <f>INDEX(bounds,2)</f>
        <v/>
      </c>
      <c r="B21" t="n">
        <v>0.025</v>
      </c>
      <c r="C21">
        <f>1-alpha*MAX(0,delta-B21)</f>
        <v/>
      </c>
      <c r="D21">
        <f>A21</f>
        <v/>
      </c>
      <c r="E21">
        <f>MIN(A21/C21,(4+B21)/5)</f>
        <v/>
      </c>
      <c r="F21">
        <f>MAX(0,E21-A21)</f>
        <v/>
      </c>
    </row>
    <row r="22">
      <c r="A22">
        <f>INDEX(bounds,2)</f>
        <v/>
      </c>
      <c r="B22" t="n">
        <v>0.05</v>
      </c>
      <c r="C22">
        <f>1-alpha*MAX(0,delta-B22)</f>
        <v/>
      </c>
      <c r="D22">
        <f>A22</f>
        <v/>
      </c>
      <c r="E22">
        <f>MIN(A22/C22,(4+B22)/5)</f>
        <v/>
      </c>
      <c r="F22">
        <f>MAX(0,E22-A22)</f>
        <v/>
      </c>
    </row>
    <row r="23">
      <c r="A23">
        <f>INDEX(bounds,2)</f>
        <v/>
      </c>
      <c r="B23" t="n">
        <v>0.075</v>
      </c>
      <c r="C23">
        <f>1-alpha*MAX(0,delta-B23)</f>
        <v/>
      </c>
      <c r="D23">
        <f>A23</f>
        <v/>
      </c>
      <c r="E23">
        <f>MIN(A23/C23,(4+B23)/5)</f>
        <v/>
      </c>
      <c r="F23">
        <f>MAX(0,E23-A23)</f>
        <v/>
      </c>
    </row>
    <row r="24">
      <c r="A24">
        <f>INDEX(bounds,2)</f>
        <v/>
      </c>
      <c r="B24" t="n">
        <v>0.1</v>
      </c>
      <c r="C24">
        <f>1-alpha*MAX(0,delta-B24)</f>
        <v/>
      </c>
      <c r="D24">
        <f>A24</f>
        <v/>
      </c>
      <c r="E24">
        <f>MIN(A24/C24,(4+B24)/5)</f>
        <v/>
      </c>
      <c r="F24">
        <f>MAX(0,E24-A24)</f>
        <v/>
      </c>
    </row>
    <row r="25">
      <c r="A25">
        <f>INDEX(bounds,2)</f>
        <v/>
      </c>
      <c r="B25" t="n">
        <v>0.125</v>
      </c>
      <c r="C25">
        <f>1-alpha*MAX(0,delta-B25)</f>
        <v/>
      </c>
      <c r="D25">
        <f>A25</f>
        <v/>
      </c>
      <c r="E25">
        <f>MIN(A25/C25,(4+B25)/5)</f>
        <v/>
      </c>
      <c r="F25">
        <f>MAX(0,E25-A25)</f>
        <v/>
      </c>
    </row>
    <row r="26">
      <c r="A26">
        <f>INDEX(bounds,2)</f>
        <v/>
      </c>
      <c r="B26" t="n">
        <v>0.15</v>
      </c>
      <c r="C26">
        <f>1-alpha*MAX(0,delta-B26)</f>
        <v/>
      </c>
      <c r="D26">
        <f>A26</f>
        <v/>
      </c>
      <c r="E26">
        <f>MIN(A26/C26,(4+B26)/5)</f>
        <v/>
      </c>
      <c r="F26">
        <f>MAX(0,E26-A26)</f>
        <v/>
      </c>
    </row>
    <row r="27">
      <c r="A27">
        <f>INDEX(bounds,2)</f>
        <v/>
      </c>
      <c r="B27" t="n">
        <v>0.175</v>
      </c>
      <c r="C27">
        <f>1-alpha*MAX(0,delta-B27)</f>
        <v/>
      </c>
      <c r="D27">
        <f>A27</f>
        <v/>
      </c>
      <c r="E27">
        <f>MIN(A27/C27,(4+B27)/5)</f>
        <v/>
      </c>
      <c r="F27">
        <f>MAX(0,E27-A27)</f>
        <v/>
      </c>
    </row>
    <row r="28">
      <c r="A28">
        <f>INDEX(bounds,2)</f>
        <v/>
      </c>
      <c r="B28" t="n">
        <v>0.2</v>
      </c>
      <c r="C28">
        <f>1-alpha*MAX(0,delta-B28)</f>
        <v/>
      </c>
      <c r="D28">
        <f>A28</f>
        <v/>
      </c>
      <c r="E28">
        <f>MIN(A28/C28,(4+B28)/5)</f>
        <v/>
      </c>
      <c r="F28">
        <f>MAX(0,E28-A28)</f>
        <v/>
      </c>
    </row>
    <row r="29">
      <c r="A29">
        <f>INDEX(bounds,2)</f>
        <v/>
      </c>
      <c r="B29" t="n">
        <v>0.225</v>
      </c>
      <c r="C29">
        <f>1-alpha*MAX(0,delta-B29)</f>
        <v/>
      </c>
      <c r="D29">
        <f>A29</f>
        <v/>
      </c>
      <c r="E29">
        <f>MIN(A29/C29,(4+B29)/5)</f>
        <v/>
      </c>
      <c r="F29">
        <f>MAX(0,E29-A29)</f>
        <v/>
      </c>
    </row>
    <row r="30">
      <c r="A30">
        <f>INDEX(bounds,2)</f>
        <v/>
      </c>
      <c r="B30" t="n">
        <v>0.25</v>
      </c>
      <c r="C30">
        <f>1-alpha*MAX(0,delta-B30)</f>
        <v/>
      </c>
      <c r="D30">
        <f>A30</f>
        <v/>
      </c>
      <c r="E30">
        <f>MIN(A30/C30,(4+B30)/5)</f>
        <v/>
      </c>
      <c r="F30">
        <f>MAX(0,E30-A30)</f>
        <v/>
      </c>
    </row>
    <row r="31">
      <c r="A31">
        <f>INDEX(bounds,2)</f>
        <v/>
      </c>
      <c r="B31" t="n">
        <v>0.275</v>
      </c>
      <c r="C31">
        <f>1-alpha*MAX(0,delta-B31)</f>
        <v/>
      </c>
      <c r="D31">
        <f>A31</f>
        <v/>
      </c>
      <c r="E31">
        <f>MIN(A31/C31,(4+B31)/5)</f>
        <v/>
      </c>
      <c r="F31">
        <f>MAX(0,E31-A31)</f>
        <v/>
      </c>
    </row>
    <row r="32">
      <c r="A32">
        <f>INDEX(bounds,2)</f>
        <v/>
      </c>
      <c r="B32" t="n">
        <v>0.3</v>
      </c>
      <c r="C32">
        <f>1-alpha*MAX(0,delta-B32)</f>
        <v/>
      </c>
      <c r="D32">
        <f>A32</f>
        <v/>
      </c>
      <c r="E32">
        <f>MIN(A32/C32,(4+B32)/5)</f>
        <v/>
      </c>
      <c r="F32">
        <f>MAX(0,E32-A32)</f>
        <v/>
      </c>
    </row>
    <row r="33">
      <c r="A33">
        <f>INDEX(bounds,2)</f>
        <v/>
      </c>
      <c r="B33" t="n">
        <v>0.325</v>
      </c>
      <c r="C33">
        <f>1-alpha*MAX(0,delta-B33)</f>
        <v/>
      </c>
      <c r="D33">
        <f>A33</f>
        <v/>
      </c>
      <c r="E33">
        <f>MIN(A33/C33,(4+B33)/5)</f>
        <v/>
      </c>
      <c r="F33">
        <f>MAX(0,E33-A33)</f>
        <v/>
      </c>
    </row>
    <row r="34">
      <c r="A34">
        <f>INDEX(bounds,2)</f>
        <v/>
      </c>
      <c r="B34" t="n">
        <v>0.35</v>
      </c>
      <c r="C34">
        <f>1-alpha*MAX(0,delta-B34)</f>
        <v/>
      </c>
      <c r="D34">
        <f>A34</f>
        <v/>
      </c>
      <c r="E34">
        <f>MIN(A34/C34,(4+B34)/5)</f>
        <v/>
      </c>
      <c r="F34">
        <f>MAX(0,E34-A34)</f>
        <v/>
      </c>
    </row>
    <row r="35">
      <c r="A35">
        <f>INDEX(bounds,2)</f>
        <v/>
      </c>
      <c r="B35" t="n">
        <v>0.375</v>
      </c>
      <c r="C35">
        <f>1-alpha*MAX(0,delta-B35)</f>
        <v/>
      </c>
      <c r="D35">
        <f>A35</f>
        <v/>
      </c>
      <c r="E35">
        <f>MIN(A35/C35,(4+B35)/5)</f>
        <v/>
      </c>
      <c r="F35">
        <f>MAX(0,E35-A35)</f>
        <v/>
      </c>
    </row>
    <row r="36">
      <c r="A36">
        <f>INDEX(bounds,3)</f>
        <v/>
      </c>
      <c r="B36" t="n">
        <v>0</v>
      </c>
      <c r="C36">
        <f>1-alpha*MAX(0,delta-B36)</f>
        <v/>
      </c>
      <c r="D36">
        <f>A36</f>
        <v/>
      </c>
      <c r="E36">
        <f>MIN(A36/C36,(4+B36)/5)</f>
        <v/>
      </c>
      <c r="F36">
        <f>MAX(0,E36-A36)</f>
        <v/>
      </c>
    </row>
    <row r="37">
      <c r="A37">
        <f>INDEX(bounds,3)</f>
        <v/>
      </c>
      <c r="B37" t="n">
        <v>0.025</v>
      </c>
      <c r="C37">
        <f>1-alpha*MAX(0,delta-B37)</f>
        <v/>
      </c>
      <c r="D37">
        <f>A37</f>
        <v/>
      </c>
      <c r="E37">
        <f>MIN(A37/C37,(4+B37)/5)</f>
        <v/>
      </c>
      <c r="F37">
        <f>MAX(0,E37-A37)</f>
        <v/>
      </c>
    </row>
    <row r="38">
      <c r="A38">
        <f>INDEX(bounds,3)</f>
        <v/>
      </c>
      <c r="B38" t="n">
        <v>0.05</v>
      </c>
      <c r="C38">
        <f>1-alpha*MAX(0,delta-B38)</f>
        <v/>
      </c>
      <c r="D38">
        <f>A38</f>
        <v/>
      </c>
      <c r="E38">
        <f>MIN(A38/C38,(4+B38)/5)</f>
        <v/>
      </c>
      <c r="F38">
        <f>MAX(0,E38-A38)</f>
        <v/>
      </c>
    </row>
    <row r="39">
      <c r="A39">
        <f>INDEX(bounds,3)</f>
        <v/>
      </c>
      <c r="B39" t="n">
        <v>0.075</v>
      </c>
      <c r="C39">
        <f>1-alpha*MAX(0,delta-B39)</f>
        <v/>
      </c>
      <c r="D39">
        <f>A39</f>
        <v/>
      </c>
      <c r="E39">
        <f>MIN(A39/C39,(4+B39)/5)</f>
        <v/>
      </c>
      <c r="F39">
        <f>MAX(0,E39-A39)</f>
        <v/>
      </c>
    </row>
    <row r="40">
      <c r="A40">
        <f>INDEX(bounds,3)</f>
        <v/>
      </c>
      <c r="B40" t="n">
        <v>0.1</v>
      </c>
      <c r="C40">
        <f>1-alpha*MAX(0,delta-B40)</f>
        <v/>
      </c>
      <c r="D40">
        <f>A40</f>
        <v/>
      </c>
      <c r="E40">
        <f>MIN(A40/C40,(4+B40)/5)</f>
        <v/>
      </c>
      <c r="F40">
        <f>MAX(0,E40-A40)</f>
        <v/>
      </c>
    </row>
    <row r="41">
      <c r="A41">
        <f>INDEX(bounds,3)</f>
        <v/>
      </c>
      <c r="B41" t="n">
        <v>0.125</v>
      </c>
      <c r="C41">
        <f>1-alpha*MAX(0,delta-B41)</f>
        <v/>
      </c>
      <c r="D41">
        <f>A41</f>
        <v/>
      </c>
      <c r="E41">
        <f>MIN(A41/C41,(4+B41)/5)</f>
        <v/>
      </c>
      <c r="F41">
        <f>MAX(0,E41-A41)</f>
        <v/>
      </c>
    </row>
    <row r="42">
      <c r="A42">
        <f>INDEX(bounds,3)</f>
        <v/>
      </c>
      <c r="B42" t="n">
        <v>0.15</v>
      </c>
      <c r="C42">
        <f>1-alpha*MAX(0,delta-B42)</f>
        <v/>
      </c>
      <c r="D42">
        <f>A42</f>
        <v/>
      </c>
      <c r="E42">
        <f>MIN(A42/C42,(4+B42)/5)</f>
        <v/>
      </c>
      <c r="F42">
        <f>MAX(0,E42-A42)</f>
        <v/>
      </c>
    </row>
    <row r="43">
      <c r="A43">
        <f>INDEX(bounds,3)</f>
        <v/>
      </c>
      <c r="B43" t="n">
        <v>0.175</v>
      </c>
      <c r="C43">
        <f>1-alpha*MAX(0,delta-B43)</f>
        <v/>
      </c>
      <c r="D43">
        <f>A43</f>
        <v/>
      </c>
      <c r="E43">
        <f>MIN(A43/C43,(4+B43)/5)</f>
        <v/>
      </c>
      <c r="F43">
        <f>MAX(0,E43-A43)</f>
        <v/>
      </c>
    </row>
    <row r="44">
      <c r="A44">
        <f>INDEX(bounds,3)</f>
        <v/>
      </c>
      <c r="B44" t="n">
        <v>0.2</v>
      </c>
      <c r="C44">
        <f>1-alpha*MAX(0,delta-B44)</f>
        <v/>
      </c>
      <c r="D44">
        <f>A44</f>
        <v/>
      </c>
      <c r="E44">
        <f>MIN(A44/C44,(4+B44)/5)</f>
        <v/>
      </c>
      <c r="F44">
        <f>MAX(0,E44-A44)</f>
        <v/>
      </c>
    </row>
    <row r="45">
      <c r="A45">
        <f>INDEX(bounds,3)</f>
        <v/>
      </c>
      <c r="B45" t="n">
        <v>0.225</v>
      </c>
      <c r="C45">
        <f>1-alpha*MAX(0,delta-B45)</f>
        <v/>
      </c>
      <c r="D45">
        <f>A45</f>
        <v/>
      </c>
      <c r="E45">
        <f>MIN(A45/C45,(4+B45)/5)</f>
        <v/>
      </c>
      <c r="F45">
        <f>MAX(0,E45-A45)</f>
        <v/>
      </c>
    </row>
    <row r="46">
      <c r="A46">
        <f>INDEX(bounds,3)</f>
        <v/>
      </c>
      <c r="B46" t="n">
        <v>0.25</v>
      </c>
      <c r="C46">
        <f>1-alpha*MAX(0,delta-B46)</f>
        <v/>
      </c>
      <c r="D46">
        <f>A46</f>
        <v/>
      </c>
      <c r="E46">
        <f>MIN(A46/C46,(4+B46)/5)</f>
        <v/>
      </c>
      <c r="F46">
        <f>MAX(0,E46-A46)</f>
        <v/>
      </c>
    </row>
    <row r="47">
      <c r="A47">
        <f>INDEX(bounds,3)</f>
        <v/>
      </c>
      <c r="B47" t="n">
        <v>0.275</v>
      </c>
      <c r="C47">
        <f>1-alpha*MAX(0,delta-B47)</f>
        <v/>
      </c>
      <c r="D47">
        <f>A47</f>
        <v/>
      </c>
      <c r="E47">
        <f>MIN(A47/C47,(4+B47)/5)</f>
        <v/>
      </c>
      <c r="F47">
        <f>MAX(0,E47-A47)</f>
        <v/>
      </c>
    </row>
    <row r="48">
      <c r="A48">
        <f>INDEX(bounds,3)</f>
        <v/>
      </c>
      <c r="B48" t="n">
        <v>0.3</v>
      </c>
      <c r="C48">
        <f>1-alpha*MAX(0,delta-B48)</f>
        <v/>
      </c>
      <c r="D48">
        <f>A48</f>
        <v/>
      </c>
      <c r="E48">
        <f>MIN(A48/C48,(4+B48)/5)</f>
        <v/>
      </c>
      <c r="F48">
        <f>MAX(0,E48-A48)</f>
        <v/>
      </c>
    </row>
    <row r="49">
      <c r="A49">
        <f>INDEX(bounds,3)</f>
        <v/>
      </c>
      <c r="B49" t="n">
        <v>0.325</v>
      </c>
      <c r="C49">
        <f>1-alpha*MAX(0,delta-B49)</f>
        <v/>
      </c>
      <c r="D49">
        <f>A49</f>
        <v/>
      </c>
      <c r="E49">
        <f>MIN(A49/C49,(4+B49)/5)</f>
        <v/>
      </c>
      <c r="F49">
        <f>MAX(0,E49-A49)</f>
        <v/>
      </c>
    </row>
    <row r="50">
      <c r="A50">
        <f>INDEX(bounds,3)</f>
        <v/>
      </c>
      <c r="B50" t="n">
        <v>0.35</v>
      </c>
      <c r="C50">
        <f>1-alpha*MAX(0,delta-B50)</f>
        <v/>
      </c>
      <c r="D50">
        <f>A50</f>
        <v/>
      </c>
      <c r="E50">
        <f>MIN(A50/C50,(4+B50)/5)</f>
        <v/>
      </c>
      <c r="F50">
        <f>MAX(0,E50-A50)</f>
        <v/>
      </c>
    </row>
    <row r="51">
      <c r="A51">
        <f>INDEX(bounds,3)</f>
        <v/>
      </c>
      <c r="B51" t="n">
        <v>0.375</v>
      </c>
      <c r="C51">
        <f>1-alpha*MAX(0,delta-B51)</f>
        <v/>
      </c>
      <c r="D51">
        <f>A51</f>
        <v/>
      </c>
      <c r="E51">
        <f>MIN(A51/C51,(4+B51)/5)</f>
        <v/>
      </c>
      <c r="F51">
        <f>MAX(0,E51-A51)</f>
        <v/>
      </c>
    </row>
    <row r="52">
      <c r="A52">
        <f>INDEX(bounds,4)</f>
        <v/>
      </c>
      <c r="B52" t="n">
        <v>0</v>
      </c>
      <c r="C52">
        <f>1-alpha*MAX(0,delta-B52)</f>
        <v/>
      </c>
      <c r="D52">
        <f>A52</f>
        <v/>
      </c>
      <c r="E52">
        <f>MIN(A52/C52,(4+B52)/5)</f>
        <v/>
      </c>
      <c r="F52">
        <f>MAX(0,E52-A52)</f>
        <v/>
      </c>
    </row>
    <row r="53">
      <c r="A53">
        <f>INDEX(bounds,4)</f>
        <v/>
      </c>
      <c r="B53" t="n">
        <v>0.025</v>
      </c>
      <c r="C53">
        <f>1-alpha*MAX(0,delta-B53)</f>
        <v/>
      </c>
      <c r="D53">
        <f>A53</f>
        <v/>
      </c>
      <c r="E53">
        <f>MIN(A53/C53,(4+B53)/5)</f>
        <v/>
      </c>
      <c r="F53">
        <f>MAX(0,E53-A53)</f>
        <v/>
      </c>
    </row>
    <row r="54">
      <c r="A54">
        <f>INDEX(bounds,4)</f>
        <v/>
      </c>
      <c r="B54" t="n">
        <v>0.05</v>
      </c>
      <c r="C54">
        <f>1-alpha*MAX(0,delta-B54)</f>
        <v/>
      </c>
      <c r="D54">
        <f>A54</f>
        <v/>
      </c>
      <c r="E54">
        <f>MIN(A54/C54,(4+B54)/5)</f>
        <v/>
      </c>
      <c r="F54">
        <f>MAX(0,E54-A54)</f>
        <v/>
      </c>
    </row>
    <row r="55">
      <c r="A55">
        <f>INDEX(bounds,4)</f>
        <v/>
      </c>
      <c r="B55" t="n">
        <v>0.075</v>
      </c>
      <c r="C55">
        <f>1-alpha*MAX(0,delta-B55)</f>
        <v/>
      </c>
      <c r="D55">
        <f>A55</f>
        <v/>
      </c>
      <c r="E55">
        <f>MIN(A55/C55,(4+B55)/5)</f>
        <v/>
      </c>
      <c r="F55">
        <f>MAX(0,E55-A55)</f>
        <v/>
      </c>
    </row>
    <row r="56">
      <c r="A56">
        <f>INDEX(bounds,4)</f>
        <v/>
      </c>
      <c r="B56" t="n">
        <v>0.1</v>
      </c>
      <c r="C56">
        <f>1-alpha*MAX(0,delta-B56)</f>
        <v/>
      </c>
      <c r="D56">
        <f>A56</f>
        <v/>
      </c>
      <c r="E56">
        <f>MIN(A56/C56,(4+B56)/5)</f>
        <v/>
      </c>
      <c r="F56">
        <f>MAX(0,E56-A56)</f>
        <v/>
      </c>
    </row>
    <row r="57">
      <c r="A57">
        <f>INDEX(bounds,4)</f>
        <v/>
      </c>
      <c r="B57" t="n">
        <v>0.125</v>
      </c>
      <c r="C57">
        <f>1-alpha*MAX(0,delta-B57)</f>
        <v/>
      </c>
      <c r="D57">
        <f>A57</f>
        <v/>
      </c>
      <c r="E57">
        <f>MIN(A57/C57,(4+B57)/5)</f>
        <v/>
      </c>
      <c r="F57">
        <f>MAX(0,E57-A57)</f>
        <v/>
      </c>
    </row>
    <row r="58">
      <c r="A58">
        <f>INDEX(bounds,4)</f>
        <v/>
      </c>
      <c r="B58" t="n">
        <v>0.15</v>
      </c>
      <c r="C58">
        <f>1-alpha*MAX(0,delta-B58)</f>
        <v/>
      </c>
      <c r="D58">
        <f>A58</f>
        <v/>
      </c>
      <c r="E58">
        <f>MIN(A58/C58,(4+B58)/5)</f>
        <v/>
      </c>
      <c r="F58">
        <f>MAX(0,E58-A58)</f>
        <v/>
      </c>
    </row>
    <row r="59">
      <c r="A59">
        <f>INDEX(bounds,4)</f>
        <v/>
      </c>
      <c r="B59" t="n">
        <v>0.175</v>
      </c>
      <c r="C59">
        <f>1-alpha*MAX(0,delta-B59)</f>
        <v/>
      </c>
      <c r="D59">
        <f>A59</f>
        <v/>
      </c>
      <c r="E59">
        <f>MIN(A59/C59,(4+B59)/5)</f>
        <v/>
      </c>
      <c r="F59">
        <f>MAX(0,E59-A59)</f>
        <v/>
      </c>
    </row>
    <row r="60">
      <c r="A60">
        <f>INDEX(bounds,4)</f>
        <v/>
      </c>
      <c r="B60" t="n">
        <v>0.2</v>
      </c>
      <c r="C60">
        <f>1-alpha*MAX(0,delta-B60)</f>
        <v/>
      </c>
      <c r="D60">
        <f>A60</f>
        <v/>
      </c>
      <c r="E60">
        <f>MIN(A60/C60,(4+B60)/5)</f>
        <v/>
      </c>
      <c r="F60">
        <f>MAX(0,E60-A60)</f>
        <v/>
      </c>
    </row>
    <row r="61">
      <c r="A61">
        <f>INDEX(bounds,4)</f>
        <v/>
      </c>
      <c r="B61" t="n">
        <v>0.225</v>
      </c>
      <c r="C61">
        <f>1-alpha*MAX(0,delta-B61)</f>
        <v/>
      </c>
      <c r="D61">
        <f>A61</f>
        <v/>
      </c>
      <c r="E61">
        <f>MIN(A61/C61,(4+B61)/5)</f>
        <v/>
      </c>
      <c r="F61">
        <f>MAX(0,E61-A61)</f>
        <v/>
      </c>
    </row>
    <row r="62">
      <c r="A62">
        <f>INDEX(bounds,4)</f>
        <v/>
      </c>
      <c r="B62" t="n">
        <v>0.25</v>
      </c>
      <c r="C62">
        <f>1-alpha*MAX(0,delta-B62)</f>
        <v/>
      </c>
      <c r="D62">
        <f>A62</f>
        <v/>
      </c>
      <c r="E62">
        <f>MIN(A62/C62,(4+B62)/5)</f>
        <v/>
      </c>
      <c r="F62">
        <f>MAX(0,E62-A62)</f>
        <v/>
      </c>
    </row>
    <row r="63">
      <c r="A63">
        <f>INDEX(bounds,4)</f>
        <v/>
      </c>
      <c r="B63" t="n">
        <v>0.275</v>
      </c>
      <c r="C63">
        <f>1-alpha*MAX(0,delta-B63)</f>
        <v/>
      </c>
      <c r="D63">
        <f>A63</f>
        <v/>
      </c>
      <c r="E63">
        <f>MIN(A63/C63,(4+B63)/5)</f>
        <v/>
      </c>
      <c r="F63">
        <f>MAX(0,E63-A63)</f>
        <v/>
      </c>
    </row>
    <row r="64">
      <c r="A64">
        <f>INDEX(bounds,4)</f>
        <v/>
      </c>
      <c r="B64" t="n">
        <v>0.3</v>
      </c>
      <c r="C64">
        <f>1-alpha*MAX(0,delta-B64)</f>
        <v/>
      </c>
      <c r="D64">
        <f>A64</f>
        <v/>
      </c>
      <c r="E64">
        <f>MIN(A64/C64,(4+B64)/5)</f>
        <v/>
      </c>
      <c r="F64">
        <f>MAX(0,E64-A64)</f>
        <v/>
      </c>
    </row>
    <row r="65">
      <c r="A65">
        <f>INDEX(bounds,4)</f>
        <v/>
      </c>
      <c r="B65" t="n">
        <v>0.325</v>
      </c>
      <c r="C65">
        <f>1-alpha*MAX(0,delta-B65)</f>
        <v/>
      </c>
      <c r="D65">
        <f>A65</f>
        <v/>
      </c>
      <c r="E65">
        <f>MIN(A65/C65,(4+B65)/5)</f>
        <v/>
      </c>
      <c r="F65">
        <f>MAX(0,E65-A65)</f>
        <v/>
      </c>
    </row>
    <row r="66">
      <c r="A66">
        <f>INDEX(bounds,4)</f>
        <v/>
      </c>
      <c r="B66" t="n">
        <v>0.35</v>
      </c>
      <c r="C66">
        <f>1-alpha*MAX(0,delta-B66)</f>
        <v/>
      </c>
      <c r="D66">
        <f>A66</f>
        <v/>
      </c>
      <c r="E66">
        <f>MIN(A66/C66,(4+B66)/5)</f>
        <v/>
      </c>
      <c r="F66">
        <f>MAX(0,E66-A66)</f>
        <v/>
      </c>
    </row>
    <row r="67">
      <c r="A67">
        <f>INDEX(bounds,4)</f>
        <v/>
      </c>
      <c r="B67" t="n">
        <v>0.375</v>
      </c>
      <c r="C67">
        <f>1-alpha*MAX(0,delta-B67)</f>
        <v/>
      </c>
      <c r="D67">
        <f>A67</f>
        <v/>
      </c>
      <c r="E67">
        <f>MIN(A67/C67,(4+B67)/5)</f>
        <v/>
      </c>
      <c r="F67">
        <f>MAX(0,E67-A67)</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N1008"/>
  <sheetViews>
    <sheetView workbookViewId="0">
      <pane xSplit="1" ySplit="8" topLeftCell="B9" activePane="bottomRight" state="frozen"/>
      <selection pane="topRight"/>
      <selection pane="bottomLeft"/>
      <selection pane="bottomRight" activeCell="A1" sqref="A1"/>
    </sheetView>
  </sheetViews>
  <sheetFormatPr baseColWidth="8" defaultRowHeight="15"/>
  <sheetData>
    <row r="1">
      <c r="A1" s="4" t="inlineStr">
        <is>
          <t>First 1000 of 100 000 generated profiles (uniform scenario, data/generated/profiles_uniform.csv), every column is a formula</t>
        </is>
      </c>
    </row>
    <row r="2">
      <c r="A2" s="5" t="inlineStr">
        <is>
          <t>Summary for this sample</t>
        </is>
      </c>
      <c r="E2" s="5" t="inlineStr">
        <is>
          <t>Full run, 100 000 profiles (scripts/simulation_experiment.py)</t>
        </is>
      </c>
    </row>
    <row r="3">
      <c r="A3" t="inlineStr">
        <is>
          <t>Share of profiles with a penalty</t>
        </is>
      </c>
      <c r="D3">
        <f>AVERAGE(AH9:AH1008)</f>
        <v/>
      </c>
      <c r="E3" t="n">
        <v>0.795</v>
      </c>
    </row>
    <row r="4">
      <c r="A4" t="inlineStr">
        <is>
          <t>Share of profiles whose level changed (H1)</t>
        </is>
      </c>
      <c r="D4">
        <f>AVERAGE(AI9:AI1008)</f>
        <v/>
      </c>
      <c r="E4" t="n">
        <v>0.1125</v>
      </c>
    </row>
    <row r="5">
      <c r="A5" t="inlineStr">
        <is>
          <t>Mean reduction of the index</t>
        </is>
      </c>
      <c r="D5">
        <f>AVERAGE(AB9:AB1008)-AVERAGE(AE9:AE1008)</f>
        <v/>
      </c>
      <c r="E5" t="n">
        <v>0.0249</v>
      </c>
    </row>
    <row r="6">
      <c r="A6" t="inlineStr">
        <is>
          <t>Share 'illusion of maturity' (H2)</t>
        </is>
      </c>
      <c r="D6">
        <f>AVERAGE(AJ9:AJ1008)</f>
        <v/>
      </c>
      <c r="E6" t="n">
        <v>0.0595</v>
      </c>
    </row>
    <row r="8">
      <c r="A8" s="5" t="inlineStr">
        <is>
          <t>profile_id</t>
        </is>
      </c>
      <c r="B8" s="5" t="inlineStr">
        <is>
          <t>C_1</t>
        </is>
      </c>
      <c r="C8" s="5" t="inlineStr">
        <is>
          <t>C_2</t>
        </is>
      </c>
      <c r="D8" s="5" t="inlineStr">
        <is>
          <t>C_3</t>
        </is>
      </c>
      <c r="E8" s="5" t="inlineStr">
        <is>
          <t>L1_1</t>
        </is>
      </c>
      <c r="F8" s="5" t="inlineStr">
        <is>
          <t>L1_2</t>
        </is>
      </c>
      <c r="G8" s="5" t="inlineStr">
        <is>
          <t>L2_1</t>
        </is>
      </c>
      <c r="H8" s="5" t="inlineStr">
        <is>
          <t>L2_2</t>
        </is>
      </c>
      <c r="I8" s="5" t="inlineStr">
        <is>
          <t>L2_3</t>
        </is>
      </c>
      <c r="J8" s="5" t="inlineStr">
        <is>
          <t>L3_1</t>
        </is>
      </c>
      <c r="K8" s="5" t="inlineStr">
        <is>
          <t>L3_2</t>
        </is>
      </c>
      <c r="L8" s="5" t="inlineStr">
        <is>
          <t>L3_3</t>
        </is>
      </c>
      <c r="M8" s="5" t="inlineStr">
        <is>
          <t>L4_1</t>
        </is>
      </c>
      <c r="N8" s="5" t="inlineStr">
        <is>
          <t>L4_2</t>
        </is>
      </c>
      <c r="O8" s="5" t="inlineStr">
        <is>
          <t>L4_3</t>
        </is>
      </c>
      <c r="P8" s="5" t="inlineStr">
        <is>
          <t>I_1</t>
        </is>
      </c>
      <c r="Q8" s="5" t="inlineStr">
        <is>
          <t>I_2</t>
        </is>
      </c>
      <c r="R8" s="5" t="inlineStr">
        <is>
          <t>I_3</t>
        </is>
      </c>
      <c r="S8" s="5" t="inlineStr">
        <is>
          <t>S_1</t>
        </is>
      </c>
      <c r="T8" s="5" t="inlineStr">
        <is>
          <t>S_2</t>
        </is>
      </c>
      <c r="U8" s="5" t="inlineStr">
        <is>
          <t>DM_C</t>
        </is>
      </c>
      <c r="V8" s="5" t="inlineStr">
        <is>
          <t>DM_L1</t>
        </is>
      </c>
      <c r="W8" s="5" t="inlineStr">
        <is>
          <t>DM_L2</t>
        </is>
      </c>
      <c r="X8" s="5" t="inlineStr">
        <is>
          <t>DM_L3</t>
        </is>
      </c>
      <c r="Y8" s="5" t="inlineStr">
        <is>
          <t>DM_L4</t>
        </is>
      </c>
      <c r="Z8" s="5" t="inlineStr">
        <is>
          <t>DM_I</t>
        </is>
      </c>
      <c r="AA8" s="5" t="inlineStr">
        <is>
          <t>DM_S</t>
        </is>
      </c>
      <c r="AB8" s="5" t="inlineStr">
        <is>
          <t>ADMI_base</t>
        </is>
      </c>
      <c r="AC8" s="5" t="inlineStr">
        <is>
          <t>DM_min</t>
        </is>
      </c>
      <c r="AD8" s="5" t="inlineStr">
        <is>
          <t>Penalty</t>
        </is>
      </c>
      <c r="AE8" s="5" t="inlineStr">
        <is>
          <t>ADMI</t>
        </is>
      </c>
      <c r="AF8" s="5" t="inlineStr">
        <is>
          <t>Level base</t>
        </is>
      </c>
      <c r="AG8" s="5" t="inlineStr">
        <is>
          <t>Level ADMI</t>
        </is>
      </c>
      <c r="AH8" s="5" t="inlineStr">
        <is>
          <t>Penalised</t>
        </is>
      </c>
      <c r="AI8" s="5" t="inlineStr">
        <is>
          <t>Level changed</t>
        </is>
      </c>
      <c r="AJ8" s="5" t="inlineStr">
        <is>
          <t>Illusion of maturity</t>
        </is>
      </c>
      <c r="AK8" s="5" t="inlineStr">
        <is>
          <t>Scalar incl. DM_I</t>
        </is>
      </c>
      <c r="AL8" s="5" t="inlineStr">
        <is>
          <t>Scalar level</t>
        </is>
      </c>
      <c r="AM8" s="5" t="inlineStr">
        <is>
          <t>Figure 2: ADMI_base if level changed</t>
        </is>
      </c>
      <c r="AN8" s="5" t="inlineStr">
        <is>
          <t>Figure 2: ADMI_base if level kept</t>
        </is>
      </c>
    </row>
    <row r="9">
      <c r="A9" t="n">
        <v>1</v>
      </c>
      <c r="B9" t="n">
        <v>1</v>
      </c>
      <c r="C9" t="n">
        <v>4</v>
      </c>
      <c r="D9" t="n">
        <v>3</v>
      </c>
      <c r="E9" t="n">
        <v>5</v>
      </c>
      <c r="F9" t="n">
        <v>5</v>
      </c>
      <c r="G9" t="n">
        <v>5</v>
      </c>
      <c r="H9" t="n">
        <v>1</v>
      </c>
      <c r="I9" t="n">
        <v>4</v>
      </c>
      <c r="J9" t="n">
        <v>5</v>
      </c>
      <c r="K9" t="n">
        <v>2</v>
      </c>
      <c r="L9" t="n">
        <v>5</v>
      </c>
      <c r="M9" t="n">
        <v>5</v>
      </c>
      <c r="N9" t="n">
        <v>5</v>
      </c>
      <c r="O9" t="n">
        <v>4</v>
      </c>
      <c r="P9" t="n">
        <v>4</v>
      </c>
      <c r="Q9" t="n">
        <v>1</v>
      </c>
      <c r="R9" t="n">
        <v>4</v>
      </c>
      <c r="S9" t="n">
        <v>4</v>
      </c>
      <c r="T9" t="n">
        <v>2</v>
      </c>
      <c r="U9">
        <f>(AVERAGE(B9:D9)-1)/4</f>
        <v/>
      </c>
      <c r="V9">
        <f>(AVERAGE(E9:F9)-1)/4</f>
        <v/>
      </c>
      <c r="W9">
        <f>(AVERAGE(G9:I9)-1)/4</f>
        <v/>
      </c>
      <c r="X9">
        <f>(AVERAGE(J9:L9)-1)/4</f>
        <v/>
      </c>
      <c r="Y9">
        <f>(AVERAGE(M9:O9)-1)/4</f>
        <v/>
      </c>
      <c r="Z9">
        <f>(AVERAGE(P9:R9)-1)/4</f>
        <v/>
      </c>
      <c r="AA9">
        <f>(AVERAGE(S9:T9)-1)/4</f>
        <v/>
      </c>
      <c r="AB9">
        <f>AVERAGE(U9:Y9)</f>
        <v/>
      </c>
      <c r="AC9">
        <f>MIN(U9:Y9)</f>
        <v/>
      </c>
      <c r="AD9">
        <f>1-alpha*MAX(0,delta-AC9)</f>
        <v/>
      </c>
      <c r="AE9">
        <f>AB9*AD9</f>
        <v/>
      </c>
      <c r="AF9">
        <f>1+COUNTIF(bounds,"&lt;"&amp;ROUND(AB9,12))</f>
        <v/>
      </c>
      <c r="AG9">
        <f>1+COUNTIF(bounds,"&lt;"&amp;ROUND(AE9,12))</f>
        <v/>
      </c>
      <c r="AH9">
        <f>IF(AD9&lt;1,1,0)</f>
        <v/>
      </c>
      <c r="AI9">
        <f>IF(AF9&lt;&gt;AG9,1,0)</f>
        <v/>
      </c>
      <c r="AJ9">
        <f>IF(AND(AG9&gt;=3,Z9&lt;=0.2),1,0)</f>
        <v/>
      </c>
      <c r="AK9">
        <f>AVERAGE(U9:Z9)</f>
        <v/>
      </c>
      <c r="AL9">
        <f>1+COUNTIF(bounds,"&lt;"&amp;ROUND(AK9,12))</f>
        <v/>
      </c>
      <c r="AM9">
        <f>IF(AI9=1,AB9,NA())</f>
        <v/>
      </c>
      <c r="AN9">
        <f>IF(AI9=0,AB9,NA())</f>
        <v/>
      </c>
    </row>
    <row r="10">
      <c r="A10" t="n">
        <v>2</v>
      </c>
      <c r="B10" t="n">
        <v>2</v>
      </c>
      <c r="C10" t="n">
        <v>2</v>
      </c>
      <c r="D10" t="n">
        <v>4</v>
      </c>
      <c r="E10" t="n">
        <v>4</v>
      </c>
      <c r="F10" t="n">
        <v>4</v>
      </c>
      <c r="G10" t="n">
        <v>2</v>
      </c>
      <c r="H10" t="n">
        <v>2</v>
      </c>
      <c r="I10" t="n">
        <v>5</v>
      </c>
      <c r="J10" t="n">
        <v>4</v>
      </c>
      <c r="K10" t="n">
        <v>2</v>
      </c>
      <c r="L10" t="n">
        <v>5</v>
      </c>
      <c r="M10" t="n">
        <v>4</v>
      </c>
      <c r="N10" t="n">
        <v>1</v>
      </c>
      <c r="O10" t="n">
        <v>2</v>
      </c>
      <c r="P10" t="n">
        <v>4</v>
      </c>
      <c r="Q10" t="n">
        <v>1</v>
      </c>
      <c r="R10" t="n">
        <v>3</v>
      </c>
      <c r="S10" t="n">
        <v>4</v>
      </c>
      <c r="T10" t="n">
        <v>4</v>
      </c>
      <c r="U10">
        <f>(AVERAGE(B10:D10)-1)/4</f>
        <v/>
      </c>
      <c r="V10">
        <f>(AVERAGE(E10:F10)-1)/4</f>
        <v/>
      </c>
      <c r="W10">
        <f>(AVERAGE(G10:I10)-1)/4</f>
        <v/>
      </c>
      <c r="X10">
        <f>(AVERAGE(J10:L10)-1)/4</f>
        <v/>
      </c>
      <c r="Y10">
        <f>(AVERAGE(M10:O10)-1)/4</f>
        <v/>
      </c>
      <c r="Z10">
        <f>(AVERAGE(P10:R10)-1)/4</f>
        <v/>
      </c>
      <c r="AA10">
        <f>(AVERAGE(S10:T10)-1)/4</f>
        <v/>
      </c>
      <c r="AB10">
        <f>AVERAGE(U10:Y10)</f>
        <v/>
      </c>
      <c r="AC10">
        <f>MIN(U10:Y10)</f>
        <v/>
      </c>
      <c r="AD10">
        <f>1-alpha*MAX(0,delta-AC10)</f>
        <v/>
      </c>
      <c r="AE10">
        <f>AB10*AD10</f>
        <v/>
      </c>
      <c r="AF10">
        <f>1+COUNTIF(bounds,"&lt;"&amp;ROUND(AB10,12))</f>
        <v/>
      </c>
      <c r="AG10">
        <f>1+COUNTIF(bounds,"&lt;"&amp;ROUND(AE10,12))</f>
        <v/>
      </c>
      <c r="AH10">
        <f>IF(AD10&lt;1,1,0)</f>
        <v/>
      </c>
      <c r="AI10">
        <f>IF(AF10&lt;&gt;AG10,1,0)</f>
        <v/>
      </c>
      <c r="AJ10">
        <f>IF(AND(AG10&gt;=3,Z10&lt;=0.2),1,0)</f>
        <v/>
      </c>
      <c r="AK10">
        <f>AVERAGE(U10:Z10)</f>
        <v/>
      </c>
      <c r="AL10">
        <f>1+COUNTIF(bounds,"&lt;"&amp;ROUND(AK10,12))</f>
        <v/>
      </c>
      <c r="AM10">
        <f>IF(AI10=1,AB10,NA())</f>
        <v/>
      </c>
      <c r="AN10">
        <f>IF(AI10=0,AB10,NA())</f>
        <v/>
      </c>
    </row>
    <row r="11">
      <c r="A11" t="n">
        <v>3</v>
      </c>
      <c r="B11" t="n">
        <v>5</v>
      </c>
      <c r="C11" t="n">
        <v>1</v>
      </c>
      <c r="D11" t="n">
        <v>4</v>
      </c>
      <c r="E11" t="n">
        <v>4</v>
      </c>
      <c r="F11" t="n">
        <v>3</v>
      </c>
      <c r="G11" t="n">
        <v>1</v>
      </c>
      <c r="H11" t="n">
        <v>4</v>
      </c>
      <c r="I11" t="n">
        <v>3</v>
      </c>
      <c r="J11" t="n">
        <v>4</v>
      </c>
      <c r="K11" t="n">
        <v>2</v>
      </c>
      <c r="L11" t="n">
        <v>5</v>
      </c>
      <c r="M11" t="n">
        <v>4</v>
      </c>
      <c r="N11" t="n">
        <v>2</v>
      </c>
      <c r="O11" t="n">
        <v>3</v>
      </c>
      <c r="P11" t="n">
        <v>2</v>
      </c>
      <c r="Q11" t="n">
        <v>1</v>
      </c>
      <c r="R11" t="n">
        <v>1</v>
      </c>
      <c r="S11" t="n">
        <v>3</v>
      </c>
      <c r="T11" t="n">
        <v>4</v>
      </c>
      <c r="U11">
        <f>(AVERAGE(B11:D11)-1)/4</f>
        <v/>
      </c>
      <c r="V11">
        <f>(AVERAGE(E11:F11)-1)/4</f>
        <v/>
      </c>
      <c r="W11">
        <f>(AVERAGE(G11:I11)-1)/4</f>
        <v/>
      </c>
      <c r="X11">
        <f>(AVERAGE(J11:L11)-1)/4</f>
        <v/>
      </c>
      <c r="Y11">
        <f>(AVERAGE(M11:O11)-1)/4</f>
        <v/>
      </c>
      <c r="Z11">
        <f>(AVERAGE(P11:R11)-1)/4</f>
        <v/>
      </c>
      <c r="AA11">
        <f>(AVERAGE(S11:T11)-1)/4</f>
        <v/>
      </c>
      <c r="AB11">
        <f>AVERAGE(U11:Y11)</f>
        <v/>
      </c>
      <c r="AC11">
        <f>MIN(U11:Y11)</f>
        <v/>
      </c>
      <c r="AD11">
        <f>1-alpha*MAX(0,delta-AC11)</f>
        <v/>
      </c>
      <c r="AE11">
        <f>AB11*AD11</f>
        <v/>
      </c>
      <c r="AF11">
        <f>1+COUNTIF(bounds,"&lt;"&amp;ROUND(AB11,12))</f>
        <v/>
      </c>
      <c r="AG11">
        <f>1+COUNTIF(bounds,"&lt;"&amp;ROUND(AE11,12))</f>
        <v/>
      </c>
      <c r="AH11">
        <f>IF(AD11&lt;1,1,0)</f>
        <v/>
      </c>
      <c r="AI11">
        <f>IF(AF11&lt;&gt;AG11,1,0)</f>
        <v/>
      </c>
      <c r="AJ11">
        <f>IF(AND(AG11&gt;=3,Z11&lt;=0.2),1,0)</f>
        <v/>
      </c>
      <c r="AK11">
        <f>AVERAGE(U11:Z11)</f>
        <v/>
      </c>
      <c r="AL11">
        <f>1+COUNTIF(bounds,"&lt;"&amp;ROUND(AK11,12))</f>
        <v/>
      </c>
      <c r="AM11">
        <f>IF(AI11=1,AB11,NA())</f>
        <v/>
      </c>
      <c r="AN11">
        <f>IF(AI11=0,AB11,NA())</f>
        <v/>
      </c>
    </row>
    <row r="12">
      <c r="A12" t="n">
        <v>4</v>
      </c>
      <c r="B12" t="n">
        <v>2</v>
      </c>
      <c r="C12" t="n">
        <v>5</v>
      </c>
      <c r="D12" t="n">
        <v>5</v>
      </c>
      <c r="E12" t="n">
        <v>2</v>
      </c>
      <c r="F12" t="n">
        <v>4</v>
      </c>
      <c r="G12" t="n">
        <v>1</v>
      </c>
      <c r="H12" t="n">
        <v>2</v>
      </c>
      <c r="I12" t="n">
        <v>4</v>
      </c>
      <c r="J12" t="n">
        <v>5</v>
      </c>
      <c r="K12" t="n">
        <v>4</v>
      </c>
      <c r="L12" t="n">
        <v>1</v>
      </c>
      <c r="M12" t="n">
        <v>2</v>
      </c>
      <c r="N12" t="n">
        <v>3</v>
      </c>
      <c r="O12" t="n">
        <v>3</v>
      </c>
      <c r="P12" t="n">
        <v>2</v>
      </c>
      <c r="Q12" t="n">
        <v>2</v>
      </c>
      <c r="R12" t="n">
        <v>5</v>
      </c>
      <c r="S12" t="n">
        <v>1</v>
      </c>
      <c r="T12" t="n">
        <v>1</v>
      </c>
      <c r="U12">
        <f>(AVERAGE(B12:D12)-1)/4</f>
        <v/>
      </c>
      <c r="V12">
        <f>(AVERAGE(E12:F12)-1)/4</f>
        <v/>
      </c>
      <c r="W12">
        <f>(AVERAGE(G12:I12)-1)/4</f>
        <v/>
      </c>
      <c r="X12">
        <f>(AVERAGE(J12:L12)-1)/4</f>
        <v/>
      </c>
      <c r="Y12">
        <f>(AVERAGE(M12:O12)-1)/4</f>
        <v/>
      </c>
      <c r="Z12">
        <f>(AVERAGE(P12:R12)-1)/4</f>
        <v/>
      </c>
      <c r="AA12">
        <f>(AVERAGE(S12:T12)-1)/4</f>
        <v/>
      </c>
      <c r="AB12">
        <f>AVERAGE(U12:Y12)</f>
        <v/>
      </c>
      <c r="AC12">
        <f>MIN(U12:Y12)</f>
        <v/>
      </c>
      <c r="AD12">
        <f>1-alpha*MAX(0,delta-AC12)</f>
        <v/>
      </c>
      <c r="AE12">
        <f>AB12*AD12</f>
        <v/>
      </c>
      <c r="AF12">
        <f>1+COUNTIF(bounds,"&lt;"&amp;ROUND(AB12,12))</f>
        <v/>
      </c>
      <c r="AG12">
        <f>1+COUNTIF(bounds,"&lt;"&amp;ROUND(AE12,12))</f>
        <v/>
      </c>
      <c r="AH12">
        <f>IF(AD12&lt;1,1,0)</f>
        <v/>
      </c>
      <c r="AI12">
        <f>IF(AF12&lt;&gt;AG12,1,0)</f>
        <v/>
      </c>
      <c r="AJ12">
        <f>IF(AND(AG12&gt;=3,Z12&lt;=0.2),1,0)</f>
        <v/>
      </c>
      <c r="AK12">
        <f>AVERAGE(U12:Z12)</f>
        <v/>
      </c>
      <c r="AL12">
        <f>1+COUNTIF(bounds,"&lt;"&amp;ROUND(AK12,12))</f>
        <v/>
      </c>
      <c r="AM12">
        <f>IF(AI12=1,AB12,NA())</f>
        <v/>
      </c>
      <c r="AN12">
        <f>IF(AI12=0,AB12,NA())</f>
        <v/>
      </c>
    </row>
    <row r="13">
      <c r="A13" t="n">
        <v>5</v>
      </c>
      <c r="B13" t="n">
        <v>4</v>
      </c>
      <c r="C13" t="n">
        <v>4</v>
      </c>
      <c r="D13" t="n">
        <v>3</v>
      </c>
      <c r="E13" t="n">
        <v>4</v>
      </c>
      <c r="F13" t="n">
        <v>5</v>
      </c>
      <c r="G13" t="n">
        <v>5</v>
      </c>
      <c r="H13" t="n">
        <v>1</v>
      </c>
      <c r="I13" t="n">
        <v>3</v>
      </c>
      <c r="J13" t="n">
        <v>5</v>
      </c>
      <c r="K13" t="n">
        <v>4</v>
      </c>
      <c r="L13" t="n">
        <v>2</v>
      </c>
      <c r="M13" t="n">
        <v>4</v>
      </c>
      <c r="N13" t="n">
        <v>4</v>
      </c>
      <c r="O13" t="n">
        <v>5</v>
      </c>
      <c r="P13" t="n">
        <v>5</v>
      </c>
      <c r="Q13" t="n">
        <v>5</v>
      </c>
      <c r="R13" t="n">
        <v>2</v>
      </c>
      <c r="S13" t="n">
        <v>1</v>
      </c>
      <c r="T13" t="n">
        <v>4</v>
      </c>
      <c r="U13">
        <f>(AVERAGE(B13:D13)-1)/4</f>
        <v/>
      </c>
      <c r="V13">
        <f>(AVERAGE(E13:F13)-1)/4</f>
        <v/>
      </c>
      <c r="W13">
        <f>(AVERAGE(G13:I13)-1)/4</f>
        <v/>
      </c>
      <c r="X13">
        <f>(AVERAGE(J13:L13)-1)/4</f>
        <v/>
      </c>
      <c r="Y13">
        <f>(AVERAGE(M13:O13)-1)/4</f>
        <v/>
      </c>
      <c r="Z13">
        <f>(AVERAGE(P13:R13)-1)/4</f>
        <v/>
      </c>
      <c r="AA13">
        <f>(AVERAGE(S13:T13)-1)/4</f>
        <v/>
      </c>
      <c r="AB13">
        <f>AVERAGE(U13:Y13)</f>
        <v/>
      </c>
      <c r="AC13">
        <f>MIN(U13:Y13)</f>
        <v/>
      </c>
      <c r="AD13">
        <f>1-alpha*MAX(0,delta-AC13)</f>
        <v/>
      </c>
      <c r="AE13">
        <f>AB13*AD13</f>
        <v/>
      </c>
      <c r="AF13">
        <f>1+COUNTIF(bounds,"&lt;"&amp;ROUND(AB13,12))</f>
        <v/>
      </c>
      <c r="AG13">
        <f>1+COUNTIF(bounds,"&lt;"&amp;ROUND(AE13,12))</f>
        <v/>
      </c>
      <c r="AH13">
        <f>IF(AD13&lt;1,1,0)</f>
        <v/>
      </c>
      <c r="AI13">
        <f>IF(AF13&lt;&gt;AG13,1,0)</f>
        <v/>
      </c>
      <c r="AJ13">
        <f>IF(AND(AG13&gt;=3,Z13&lt;=0.2),1,0)</f>
        <v/>
      </c>
      <c r="AK13">
        <f>AVERAGE(U13:Z13)</f>
        <v/>
      </c>
      <c r="AL13">
        <f>1+COUNTIF(bounds,"&lt;"&amp;ROUND(AK13,12))</f>
        <v/>
      </c>
      <c r="AM13">
        <f>IF(AI13=1,AB13,NA())</f>
        <v/>
      </c>
      <c r="AN13">
        <f>IF(AI13=0,AB13,NA())</f>
        <v/>
      </c>
    </row>
    <row r="14">
      <c r="A14" t="n">
        <v>6</v>
      </c>
      <c r="B14" t="n">
        <v>5</v>
      </c>
      <c r="C14" t="n">
        <v>3</v>
      </c>
      <c r="D14" t="n">
        <v>2</v>
      </c>
      <c r="E14" t="n">
        <v>5</v>
      </c>
      <c r="F14" t="n">
        <v>1</v>
      </c>
      <c r="G14" t="n">
        <v>2</v>
      </c>
      <c r="H14" t="n">
        <v>1</v>
      </c>
      <c r="I14" t="n">
        <v>5</v>
      </c>
      <c r="J14" t="n">
        <v>3</v>
      </c>
      <c r="K14" t="n">
        <v>4</v>
      </c>
      <c r="L14" t="n">
        <v>5</v>
      </c>
      <c r="M14" t="n">
        <v>3</v>
      </c>
      <c r="N14" t="n">
        <v>1</v>
      </c>
      <c r="O14" t="n">
        <v>2</v>
      </c>
      <c r="P14" t="n">
        <v>4</v>
      </c>
      <c r="Q14" t="n">
        <v>2</v>
      </c>
      <c r="R14" t="n">
        <v>2</v>
      </c>
      <c r="S14" t="n">
        <v>5</v>
      </c>
      <c r="T14" t="n">
        <v>5</v>
      </c>
      <c r="U14">
        <f>(AVERAGE(B14:D14)-1)/4</f>
        <v/>
      </c>
      <c r="V14">
        <f>(AVERAGE(E14:F14)-1)/4</f>
        <v/>
      </c>
      <c r="W14">
        <f>(AVERAGE(G14:I14)-1)/4</f>
        <v/>
      </c>
      <c r="X14">
        <f>(AVERAGE(J14:L14)-1)/4</f>
        <v/>
      </c>
      <c r="Y14">
        <f>(AVERAGE(M14:O14)-1)/4</f>
        <v/>
      </c>
      <c r="Z14">
        <f>(AVERAGE(P14:R14)-1)/4</f>
        <v/>
      </c>
      <c r="AA14">
        <f>(AVERAGE(S14:T14)-1)/4</f>
        <v/>
      </c>
      <c r="AB14">
        <f>AVERAGE(U14:Y14)</f>
        <v/>
      </c>
      <c r="AC14">
        <f>MIN(U14:Y14)</f>
        <v/>
      </c>
      <c r="AD14">
        <f>1-alpha*MAX(0,delta-AC14)</f>
        <v/>
      </c>
      <c r="AE14">
        <f>AB14*AD14</f>
        <v/>
      </c>
      <c r="AF14">
        <f>1+COUNTIF(bounds,"&lt;"&amp;ROUND(AB14,12))</f>
        <v/>
      </c>
      <c r="AG14">
        <f>1+COUNTIF(bounds,"&lt;"&amp;ROUND(AE14,12))</f>
        <v/>
      </c>
      <c r="AH14">
        <f>IF(AD14&lt;1,1,0)</f>
        <v/>
      </c>
      <c r="AI14">
        <f>IF(AF14&lt;&gt;AG14,1,0)</f>
        <v/>
      </c>
      <c r="AJ14">
        <f>IF(AND(AG14&gt;=3,Z14&lt;=0.2),1,0)</f>
        <v/>
      </c>
      <c r="AK14">
        <f>AVERAGE(U14:Z14)</f>
        <v/>
      </c>
      <c r="AL14">
        <f>1+COUNTIF(bounds,"&lt;"&amp;ROUND(AK14,12))</f>
        <v/>
      </c>
      <c r="AM14">
        <f>IF(AI14=1,AB14,NA())</f>
        <v/>
      </c>
      <c r="AN14">
        <f>IF(AI14=0,AB14,NA())</f>
        <v/>
      </c>
    </row>
    <row r="15">
      <c r="A15" t="n">
        <v>7</v>
      </c>
      <c r="B15" t="n">
        <v>2</v>
      </c>
      <c r="C15" t="n">
        <v>2</v>
      </c>
      <c r="D15" t="n">
        <v>3</v>
      </c>
      <c r="E15" t="n">
        <v>3</v>
      </c>
      <c r="F15" t="n">
        <v>2</v>
      </c>
      <c r="G15" t="n">
        <v>2</v>
      </c>
      <c r="H15" t="n">
        <v>4</v>
      </c>
      <c r="I15" t="n">
        <v>5</v>
      </c>
      <c r="J15" t="n">
        <v>1</v>
      </c>
      <c r="K15" t="n">
        <v>4</v>
      </c>
      <c r="L15" t="n">
        <v>5</v>
      </c>
      <c r="M15" t="n">
        <v>5</v>
      </c>
      <c r="N15" t="n">
        <v>2</v>
      </c>
      <c r="O15" t="n">
        <v>2</v>
      </c>
      <c r="P15" t="n">
        <v>4</v>
      </c>
      <c r="Q15" t="n">
        <v>2</v>
      </c>
      <c r="R15" t="n">
        <v>1</v>
      </c>
      <c r="S15" t="n">
        <v>2</v>
      </c>
      <c r="T15" t="n">
        <v>3</v>
      </c>
      <c r="U15">
        <f>(AVERAGE(B15:D15)-1)/4</f>
        <v/>
      </c>
      <c r="V15">
        <f>(AVERAGE(E15:F15)-1)/4</f>
        <v/>
      </c>
      <c r="W15">
        <f>(AVERAGE(G15:I15)-1)/4</f>
        <v/>
      </c>
      <c r="X15">
        <f>(AVERAGE(J15:L15)-1)/4</f>
        <v/>
      </c>
      <c r="Y15">
        <f>(AVERAGE(M15:O15)-1)/4</f>
        <v/>
      </c>
      <c r="Z15">
        <f>(AVERAGE(P15:R15)-1)/4</f>
        <v/>
      </c>
      <c r="AA15">
        <f>(AVERAGE(S15:T15)-1)/4</f>
        <v/>
      </c>
      <c r="AB15">
        <f>AVERAGE(U15:Y15)</f>
        <v/>
      </c>
      <c r="AC15">
        <f>MIN(U15:Y15)</f>
        <v/>
      </c>
      <c r="AD15">
        <f>1-alpha*MAX(0,delta-AC15)</f>
        <v/>
      </c>
      <c r="AE15">
        <f>AB15*AD15</f>
        <v/>
      </c>
      <c r="AF15">
        <f>1+COUNTIF(bounds,"&lt;"&amp;ROUND(AB15,12))</f>
        <v/>
      </c>
      <c r="AG15">
        <f>1+COUNTIF(bounds,"&lt;"&amp;ROUND(AE15,12))</f>
        <v/>
      </c>
      <c r="AH15">
        <f>IF(AD15&lt;1,1,0)</f>
        <v/>
      </c>
      <c r="AI15">
        <f>IF(AF15&lt;&gt;AG15,1,0)</f>
        <v/>
      </c>
      <c r="AJ15">
        <f>IF(AND(AG15&gt;=3,Z15&lt;=0.2),1,0)</f>
        <v/>
      </c>
      <c r="AK15">
        <f>AVERAGE(U15:Z15)</f>
        <v/>
      </c>
      <c r="AL15">
        <f>1+COUNTIF(bounds,"&lt;"&amp;ROUND(AK15,12))</f>
        <v/>
      </c>
      <c r="AM15">
        <f>IF(AI15=1,AB15,NA())</f>
        <v/>
      </c>
      <c r="AN15">
        <f>IF(AI15=0,AB15,NA())</f>
        <v/>
      </c>
    </row>
    <row r="16">
      <c r="A16" t="n">
        <v>8</v>
      </c>
      <c r="B16" t="n">
        <v>3</v>
      </c>
      <c r="C16" t="n">
        <v>4</v>
      </c>
      <c r="D16" t="n">
        <v>1</v>
      </c>
      <c r="E16" t="n">
        <v>2</v>
      </c>
      <c r="F16" t="n">
        <v>2</v>
      </c>
      <c r="G16" t="n">
        <v>4</v>
      </c>
      <c r="H16" t="n">
        <v>3</v>
      </c>
      <c r="I16" t="n">
        <v>4</v>
      </c>
      <c r="J16" t="n">
        <v>5</v>
      </c>
      <c r="K16" t="n">
        <v>2</v>
      </c>
      <c r="L16" t="n">
        <v>1</v>
      </c>
      <c r="M16" t="n">
        <v>3</v>
      </c>
      <c r="N16" t="n">
        <v>1</v>
      </c>
      <c r="O16" t="n">
        <v>4</v>
      </c>
      <c r="P16" t="n">
        <v>5</v>
      </c>
      <c r="Q16" t="n">
        <v>4</v>
      </c>
      <c r="R16" t="n">
        <v>2</v>
      </c>
      <c r="S16" t="n">
        <v>4</v>
      </c>
      <c r="T16" t="n">
        <v>4</v>
      </c>
      <c r="U16">
        <f>(AVERAGE(B16:D16)-1)/4</f>
        <v/>
      </c>
      <c r="V16">
        <f>(AVERAGE(E16:F16)-1)/4</f>
        <v/>
      </c>
      <c r="W16">
        <f>(AVERAGE(G16:I16)-1)/4</f>
        <v/>
      </c>
      <c r="X16">
        <f>(AVERAGE(J16:L16)-1)/4</f>
        <v/>
      </c>
      <c r="Y16">
        <f>(AVERAGE(M16:O16)-1)/4</f>
        <v/>
      </c>
      <c r="Z16">
        <f>(AVERAGE(P16:R16)-1)/4</f>
        <v/>
      </c>
      <c r="AA16">
        <f>(AVERAGE(S16:T16)-1)/4</f>
        <v/>
      </c>
      <c r="AB16">
        <f>AVERAGE(U16:Y16)</f>
        <v/>
      </c>
      <c r="AC16">
        <f>MIN(U16:Y16)</f>
        <v/>
      </c>
      <c r="AD16">
        <f>1-alpha*MAX(0,delta-AC16)</f>
        <v/>
      </c>
      <c r="AE16">
        <f>AB16*AD16</f>
        <v/>
      </c>
      <c r="AF16">
        <f>1+COUNTIF(bounds,"&lt;"&amp;ROUND(AB16,12))</f>
        <v/>
      </c>
      <c r="AG16">
        <f>1+COUNTIF(bounds,"&lt;"&amp;ROUND(AE16,12))</f>
        <v/>
      </c>
      <c r="AH16">
        <f>IF(AD16&lt;1,1,0)</f>
        <v/>
      </c>
      <c r="AI16">
        <f>IF(AF16&lt;&gt;AG16,1,0)</f>
        <v/>
      </c>
      <c r="AJ16">
        <f>IF(AND(AG16&gt;=3,Z16&lt;=0.2),1,0)</f>
        <v/>
      </c>
      <c r="AK16">
        <f>AVERAGE(U16:Z16)</f>
        <v/>
      </c>
      <c r="AL16">
        <f>1+COUNTIF(bounds,"&lt;"&amp;ROUND(AK16,12))</f>
        <v/>
      </c>
      <c r="AM16">
        <f>IF(AI16=1,AB16,NA())</f>
        <v/>
      </c>
      <c r="AN16">
        <f>IF(AI16=0,AB16,NA())</f>
        <v/>
      </c>
    </row>
    <row r="17">
      <c r="A17" t="n">
        <v>9</v>
      </c>
      <c r="B17" t="n">
        <v>3</v>
      </c>
      <c r="C17" t="n">
        <v>2</v>
      </c>
      <c r="D17" t="n">
        <v>1</v>
      </c>
      <c r="E17" t="n">
        <v>1</v>
      </c>
      <c r="F17" t="n">
        <v>3</v>
      </c>
      <c r="G17" t="n">
        <v>5</v>
      </c>
      <c r="H17" t="n">
        <v>2</v>
      </c>
      <c r="I17" t="n">
        <v>2</v>
      </c>
      <c r="J17" t="n">
        <v>2</v>
      </c>
      <c r="K17" t="n">
        <v>3</v>
      </c>
      <c r="L17" t="n">
        <v>2</v>
      </c>
      <c r="M17" t="n">
        <v>4</v>
      </c>
      <c r="N17" t="n">
        <v>1</v>
      </c>
      <c r="O17" t="n">
        <v>2</v>
      </c>
      <c r="P17" t="n">
        <v>3</v>
      </c>
      <c r="Q17" t="n">
        <v>5</v>
      </c>
      <c r="R17" t="n">
        <v>4</v>
      </c>
      <c r="S17" t="n">
        <v>1</v>
      </c>
      <c r="T17" t="n">
        <v>3</v>
      </c>
      <c r="U17">
        <f>(AVERAGE(B17:D17)-1)/4</f>
        <v/>
      </c>
      <c r="V17">
        <f>(AVERAGE(E17:F17)-1)/4</f>
        <v/>
      </c>
      <c r="W17">
        <f>(AVERAGE(G17:I17)-1)/4</f>
        <v/>
      </c>
      <c r="X17">
        <f>(AVERAGE(J17:L17)-1)/4</f>
        <v/>
      </c>
      <c r="Y17">
        <f>(AVERAGE(M17:O17)-1)/4</f>
        <v/>
      </c>
      <c r="Z17">
        <f>(AVERAGE(P17:R17)-1)/4</f>
        <v/>
      </c>
      <c r="AA17">
        <f>(AVERAGE(S17:T17)-1)/4</f>
        <v/>
      </c>
      <c r="AB17">
        <f>AVERAGE(U17:Y17)</f>
        <v/>
      </c>
      <c r="AC17">
        <f>MIN(U17:Y17)</f>
        <v/>
      </c>
      <c r="AD17">
        <f>1-alpha*MAX(0,delta-AC17)</f>
        <v/>
      </c>
      <c r="AE17">
        <f>AB17*AD17</f>
        <v/>
      </c>
      <c r="AF17">
        <f>1+COUNTIF(bounds,"&lt;"&amp;ROUND(AB17,12))</f>
        <v/>
      </c>
      <c r="AG17">
        <f>1+COUNTIF(bounds,"&lt;"&amp;ROUND(AE17,12))</f>
        <v/>
      </c>
      <c r="AH17">
        <f>IF(AD17&lt;1,1,0)</f>
        <v/>
      </c>
      <c r="AI17">
        <f>IF(AF17&lt;&gt;AG17,1,0)</f>
        <v/>
      </c>
      <c r="AJ17">
        <f>IF(AND(AG17&gt;=3,Z17&lt;=0.2),1,0)</f>
        <v/>
      </c>
      <c r="AK17">
        <f>AVERAGE(U17:Z17)</f>
        <v/>
      </c>
      <c r="AL17">
        <f>1+COUNTIF(bounds,"&lt;"&amp;ROUND(AK17,12))</f>
        <v/>
      </c>
      <c r="AM17">
        <f>IF(AI17=1,AB17,NA())</f>
        <v/>
      </c>
      <c r="AN17">
        <f>IF(AI17=0,AB17,NA())</f>
        <v/>
      </c>
    </row>
    <row r="18">
      <c r="A18" t="n">
        <v>10</v>
      </c>
      <c r="B18" t="n">
        <v>3</v>
      </c>
      <c r="C18" t="n">
        <v>3</v>
      </c>
      <c r="D18" t="n">
        <v>2</v>
      </c>
      <c r="E18" t="n">
        <v>5</v>
      </c>
      <c r="F18" t="n">
        <v>1</v>
      </c>
      <c r="G18" t="n">
        <v>5</v>
      </c>
      <c r="H18" t="n">
        <v>3</v>
      </c>
      <c r="I18" t="n">
        <v>4</v>
      </c>
      <c r="J18" t="n">
        <v>3</v>
      </c>
      <c r="K18" t="n">
        <v>4</v>
      </c>
      <c r="L18" t="n">
        <v>3</v>
      </c>
      <c r="M18" t="n">
        <v>3</v>
      </c>
      <c r="N18" t="n">
        <v>2</v>
      </c>
      <c r="O18" t="n">
        <v>4</v>
      </c>
      <c r="P18" t="n">
        <v>3</v>
      </c>
      <c r="Q18" t="n">
        <v>5</v>
      </c>
      <c r="R18" t="n">
        <v>2</v>
      </c>
      <c r="S18" t="n">
        <v>3</v>
      </c>
      <c r="T18" t="n">
        <v>1</v>
      </c>
      <c r="U18">
        <f>(AVERAGE(B18:D18)-1)/4</f>
        <v/>
      </c>
      <c r="V18">
        <f>(AVERAGE(E18:F18)-1)/4</f>
        <v/>
      </c>
      <c r="W18">
        <f>(AVERAGE(G18:I18)-1)/4</f>
        <v/>
      </c>
      <c r="X18">
        <f>(AVERAGE(J18:L18)-1)/4</f>
        <v/>
      </c>
      <c r="Y18">
        <f>(AVERAGE(M18:O18)-1)/4</f>
        <v/>
      </c>
      <c r="Z18">
        <f>(AVERAGE(P18:R18)-1)/4</f>
        <v/>
      </c>
      <c r="AA18">
        <f>(AVERAGE(S18:T18)-1)/4</f>
        <v/>
      </c>
      <c r="AB18">
        <f>AVERAGE(U18:Y18)</f>
        <v/>
      </c>
      <c r="AC18">
        <f>MIN(U18:Y18)</f>
        <v/>
      </c>
      <c r="AD18">
        <f>1-alpha*MAX(0,delta-AC18)</f>
        <v/>
      </c>
      <c r="AE18">
        <f>AB18*AD18</f>
        <v/>
      </c>
      <c r="AF18">
        <f>1+COUNTIF(bounds,"&lt;"&amp;ROUND(AB18,12))</f>
        <v/>
      </c>
      <c r="AG18">
        <f>1+COUNTIF(bounds,"&lt;"&amp;ROUND(AE18,12))</f>
        <v/>
      </c>
      <c r="AH18">
        <f>IF(AD18&lt;1,1,0)</f>
        <v/>
      </c>
      <c r="AI18">
        <f>IF(AF18&lt;&gt;AG18,1,0)</f>
        <v/>
      </c>
      <c r="AJ18">
        <f>IF(AND(AG18&gt;=3,Z18&lt;=0.2),1,0)</f>
        <v/>
      </c>
      <c r="AK18">
        <f>AVERAGE(U18:Z18)</f>
        <v/>
      </c>
      <c r="AL18">
        <f>1+COUNTIF(bounds,"&lt;"&amp;ROUND(AK18,12))</f>
        <v/>
      </c>
      <c r="AM18">
        <f>IF(AI18=1,AB18,NA())</f>
        <v/>
      </c>
      <c r="AN18">
        <f>IF(AI18=0,AB18,NA())</f>
        <v/>
      </c>
    </row>
    <row r="19">
      <c r="A19" t="n">
        <v>11</v>
      </c>
      <c r="B19" t="n">
        <v>2</v>
      </c>
      <c r="C19" t="n">
        <v>5</v>
      </c>
      <c r="D19" t="n">
        <v>4</v>
      </c>
      <c r="E19" t="n">
        <v>4</v>
      </c>
      <c r="F19" t="n">
        <v>4</v>
      </c>
      <c r="G19" t="n">
        <v>5</v>
      </c>
      <c r="H19" t="n">
        <v>1</v>
      </c>
      <c r="I19" t="n">
        <v>3</v>
      </c>
      <c r="J19" t="n">
        <v>3</v>
      </c>
      <c r="K19" t="n">
        <v>4</v>
      </c>
      <c r="L19" t="n">
        <v>1</v>
      </c>
      <c r="M19" t="n">
        <v>5</v>
      </c>
      <c r="N19" t="n">
        <v>2</v>
      </c>
      <c r="O19" t="n">
        <v>2</v>
      </c>
      <c r="P19" t="n">
        <v>2</v>
      </c>
      <c r="Q19" t="n">
        <v>2</v>
      </c>
      <c r="R19" t="n">
        <v>3</v>
      </c>
      <c r="S19" t="n">
        <v>2</v>
      </c>
      <c r="T19" t="n">
        <v>4</v>
      </c>
      <c r="U19">
        <f>(AVERAGE(B19:D19)-1)/4</f>
        <v/>
      </c>
      <c r="V19">
        <f>(AVERAGE(E19:F19)-1)/4</f>
        <v/>
      </c>
      <c r="W19">
        <f>(AVERAGE(G19:I19)-1)/4</f>
        <v/>
      </c>
      <c r="X19">
        <f>(AVERAGE(J19:L19)-1)/4</f>
        <v/>
      </c>
      <c r="Y19">
        <f>(AVERAGE(M19:O19)-1)/4</f>
        <v/>
      </c>
      <c r="Z19">
        <f>(AVERAGE(P19:R19)-1)/4</f>
        <v/>
      </c>
      <c r="AA19">
        <f>(AVERAGE(S19:T19)-1)/4</f>
        <v/>
      </c>
      <c r="AB19">
        <f>AVERAGE(U19:Y19)</f>
        <v/>
      </c>
      <c r="AC19">
        <f>MIN(U19:Y19)</f>
        <v/>
      </c>
      <c r="AD19">
        <f>1-alpha*MAX(0,delta-AC19)</f>
        <v/>
      </c>
      <c r="AE19">
        <f>AB19*AD19</f>
        <v/>
      </c>
      <c r="AF19">
        <f>1+COUNTIF(bounds,"&lt;"&amp;ROUND(AB19,12))</f>
        <v/>
      </c>
      <c r="AG19">
        <f>1+COUNTIF(bounds,"&lt;"&amp;ROUND(AE19,12))</f>
        <v/>
      </c>
      <c r="AH19">
        <f>IF(AD19&lt;1,1,0)</f>
        <v/>
      </c>
      <c r="AI19">
        <f>IF(AF19&lt;&gt;AG19,1,0)</f>
        <v/>
      </c>
      <c r="AJ19">
        <f>IF(AND(AG19&gt;=3,Z19&lt;=0.2),1,0)</f>
        <v/>
      </c>
      <c r="AK19">
        <f>AVERAGE(U19:Z19)</f>
        <v/>
      </c>
      <c r="AL19">
        <f>1+COUNTIF(bounds,"&lt;"&amp;ROUND(AK19,12))</f>
        <v/>
      </c>
      <c r="AM19">
        <f>IF(AI19=1,AB19,NA())</f>
        <v/>
      </c>
      <c r="AN19">
        <f>IF(AI19=0,AB19,NA())</f>
        <v/>
      </c>
    </row>
    <row r="20">
      <c r="A20" t="n">
        <v>12</v>
      </c>
      <c r="B20" t="n">
        <v>4</v>
      </c>
      <c r="C20" t="n">
        <v>2</v>
      </c>
      <c r="D20" t="n">
        <v>5</v>
      </c>
      <c r="E20" t="n">
        <v>1</v>
      </c>
      <c r="F20" t="n">
        <v>4</v>
      </c>
      <c r="G20" t="n">
        <v>2</v>
      </c>
      <c r="H20" t="n">
        <v>3</v>
      </c>
      <c r="I20" t="n">
        <v>2</v>
      </c>
      <c r="J20" t="n">
        <v>1</v>
      </c>
      <c r="K20" t="n">
        <v>5</v>
      </c>
      <c r="L20" t="n">
        <v>1</v>
      </c>
      <c r="M20" t="n">
        <v>3</v>
      </c>
      <c r="N20" t="n">
        <v>5</v>
      </c>
      <c r="O20" t="n">
        <v>2</v>
      </c>
      <c r="P20" t="n">
        <v>3</v>
      </c>
      <c r="Q20" t="n">
        <v>5</v>
      </c>
      <c r="R20" t="n">
        <v>4</v>
      </c>
      <c r="S20" t="n">
        <v>3</v>
      </c>
      <c r="T20" t="n">
        <v>2</v>
      </c>
      <c r="U20">
        <f>(AVERAGE(B20:D20)-1)/4</f>
        <v/>
      </c>
      <c r="V20">
        <f>(AVERAGE(E20:F20)-1)/4</f>
        <v/>
      </c>
      <c r="W20">
        <f>(AVERAGE(G20:I20)-1)/4</f>
        <v/>
      </c>
      <c r="X20">
        <f>(AVERAGE(J20:L20)-1)/4</f>
        <v/>
      </c>
      <c r="Y20">
        <f>(AVERAGE(M20:O20)-1)/4</f>
        <v/>
      </c>
      <c r="Z20">
        <f>(AVERAGE(P20:R20)-1)/4</f>
        <v/>
      </c>
      <c r="AA20">
        <f>(AVERAGE(S20:T20)-1)/4</f>
        <v/>
      </c>
      <c r="AB20">
        <f>AVERAGE(U20:Y20)</f>
        <v/>
      </c>
      <c r="AC20">
        <f>MIN(U20:Y20)</f>
        <v/>
      </c>
      <c r="AD20">
        <f>1-alpha*MAX(0,delta-AC20)</f>
        <v/>
      </c>
      <c r="AE20">
        <f>AB20*AD20</f>
        <v/>
      </c>
      <c r="AF20">
        <f>1+COUNTIF(bounds,"&lt;"&amp;ROUND(AB20,12))</f>
        <v/>
      </c>
      <c r="AG20">
        <f>1+COUNTIF(bounds,"&lt;"&amp;ROUND(AE20,12))</f>
        <v/>
      </c>
      <c r="AH20">
        <f>IF(AD20&lt;1,1,0)</f>
        <v/>
      </c>
      <c r="AI20">
        <f>IF(AF20&lt;&gt;AG20,1,0)</f>
        <v/>
      </c>
      <c r="AJ20">
        <f>IF(AND(AG20&gt;=3,Z20&lt;=0.2),1,0)</f>
        <v/>
      </c>
      <c r="AK20">
        <f>AVERAGE(U20:Z20)</f>
        <v/>
      </c>
      <c r="AL20">
        <f>1+COUNTIF(bounds,"&lt;"&amp;ROUND(AK20,12))</f>
        <v/>
      </c>
      <c r="AM20">
        <f>IF(AI20=1,AB20,NA())</f>
        <v/>
      </c>
      <c r="AN20">
        <f>IF(AI20=0,AB20,NA())</f>
        <v/>
      </c>
    </row>
    <row r="21">
      <c r="A21" t="n">
        <v>13</v>
      </c>
      <c r="B21" t="n">
        <v>3</v>
      </c>
      <c r="C21" t="n">
        <v>3</v>
      </c>
      <c r="D21" t="n">
        <v>5</v>
      </c>
      <c r="E21" t="n">
        <v>1</v>
      </c>
      <c r="F21" t="n">
        <v>4</v>
      </c>
      <c r="G21" t="n">
        <v>5</v>
      </c>
      <c r="H21" t="n">
        <v>4</v>
      </c>
      <c r="I21" t="n">
        <v>2</v>
      </c>
      <c r="J21" t="n">
        <v>5</v>
      </c>
      <c r="K21" t="n">
        <v>2</v>
      </c>
      <c r="L21" t="n">
        <v>1</v>
      </c>
      <c r="M21" t="n">
        <v>2</v>
      </c>
      <c r="N21" t="n">
        <v>2</v>
      </c>
      <c r="O21" t="n">
        <v>4</v>
      </c>
      <c r="P21" t="n">
        <v>2</v>
      </c>
      <c r="Q21" t="n">
        <v>5</v>
      </c>
      <c r="R21" t="n">
        <v>2</v>
      </c>
      <c r="S21" t="n">
        <v>4</v>
      </c>
      <c r="T21" t="n">
        <v>2</v>
      </c>
      <c r="U21">
        <f>(AVERAGE(B21:D21)-1)/4</f>
        <v/>
      </c>
      <c r="V21">
        <f>(AVERAGE(E21:F21)-1)/4</f>
        <v/>
      </c>
      <c r="W21">
        <f>(AVERAGE(G21:I21)-1)/4</f>
        <v/>
      </c>
      <c r="X21">
        <f>(AVERAGE(J21:L21)-1)/4</f>
        <v/>
      </c>
      <c r="Y21">
        <f>(AVERAGE(M21:O21)-1)/4</f>
        <v/>
      </c>
      <c r="Z21">
        <f>(AVERAGE(P21:R21)-1)/4</f>
        <v/>
      </c>
      <c r="AA21">
        <f>(AVERAGE(S21:T21)-1)/4</f>
        <v/>
      </c>
      <c r="AB21">
        <f>AVERAGE(U21:Y21)</f>
        <v/>
      </c>
      <c r="AC21">
        <f>MIN(U21:Y21)</f>
        <v/>
      </c>
      <c r="AD21">
        <f>1-alpha*MAX(0,delta-AC21)</f>
        <v/>
      </c>
      <c r="AE21">
        <f>AB21*AD21</f>
        <v/>
      </c>
      <c r="AF21">
        <f>1+COUNTIF(bounds,"&lt;"&amp;ROUND(AB21,12))</f>
        <v/>
      </c>
      <c r="AG21">
        <f>1+COUNTIF(bounds,"&lt;"&amp;ROUND(AE21,12))</f>
        <v/>
      </c>
      <c r="AH21">
        <f>IF(AD21&lt;1,1,0)</f>
        <v/>
      </c>
      <c r="AI21">
        <f>IF(AF21&lt;&gt;AG21,1,0)</f>
        <v/>
      </c>
      <c r="AJ21">
        <f>IF(AND(AG21&gt;=3,Z21&lt;=0.2),1,0)</f>
        <v/>
      </c>
      <c r="AK21">
        <f>AVERAGE(U21:Z21)</f>
        <v/>
      </c>
      <c r="AL21">
        <f>1+COUNTIF(bounds,"&lt;"&amp;ROUND(AK21,12))</f>
        <v/>
      </c>
      <c r="AM21">
        <f>IF(AI21=1,AB21,NA())</f>
        <v/>
      </c>
      <c r="AN21">
        <f>IF(AI21=0,AB21,NA())</f>
        <v/>
      </c>
    </row>
    <row r="22">
      <c r="A22" t="n">
        <v>14</v>
      </c>
      <c r="B22" t="n">
        <v>2</v>
      </c>
      <c r="C22" t="n">
        <v>4</v>
      </c>
      <c r="D22" t="n">
        <v>2</v>
      </c>
      <c r="E22" t="n">
        <v>3</v>
      </c>
      <c r="F22" t="n">
        <v>3</v>
      </c>
      <c r="G22" t="n">
        <v>4</v>
      </c>
      <c r="H22" t="n">
        <v>2</v>
      </c>
      <c r="I22" t="n">
        <v>4</v>
      </c>
      <c r="J22" t="n">
        <v>3</v>
      </c>
      <c r="K22" t="n">
        <v>4</v>
      </c>
      <c r="L22" t="n">
        <v>5</v>
      </c>
      <c r="M22" t="n">
        <v>1</v>
      </c>
      <c r="N22" t="n">
        <v>2</v>
      </c>
      <c r="O22" t="n">
        <v>2</v>
      </c>
      <c r="P22" t="n">
        <v>2</v>
      </c>
      <c r="Q22" t="n">
        <v>5</v>
      </c>
      <c r="R22" t="n">
        <v>1</v>
      </c>
      <c r="S22" t="n">
        <v>4</v>
      </c>
      <c r="T22" t="n">
        <v>3</v>
      </c>
      <c r="U22">
        <f>(AVERAGE(B22:D22)-1)/4</f>
        <v/>
      </c>
      <c r="V22">
        <f>(AVERAGE(E22:F22)-1)/4</f>
        <v/>
      </c>
      <c r="W22">
        <f>(AVERAGE(G22:I22)-1)/4</f>
        <v/>
      </c>
      <c r="X22">
        <f>(AVERAGE(J22:L22)-1)/4</f>
        <v/>
      </c>
      <c r="Y22">
        <f>(AVERAGE(M22:O22)-1)/4</f>
        <v/>
      </c>
      <c r="Z22">
        <f>(AVERAGE(P22:R22)-1)/4</f>
        <v/>
      </c>
      <c r="AA22">
        <f>(AVERAGE(S22:T22)-1)/4</f>
        <v/>
      </c>
      <c r="AB22">
        <f>AVERAGE(U22:Y22)</f>
        <v/>
      </c>
      <c r="AC22">
        <f>MIN(U22:Y22)</f>
        <v/>
      </c>
      <c r="AD22">
        <f>1-alpha*MAX(0,delta-AC22)</f>
        <v/>
      </c>
      <c r="AE22">
        <f>AB22*AD22</f>
        <v/>
      </c>
      <c r="AF22">
        <f>1+COUNTIF(bounds,"&lt;"&amp;ROUND(AB22,12))</f>
        <v/>
      </c>
      <c r="AG22">
        <f>1+COUNTIF(bounds,"&lt;"&amp;ROUND(AE22,12))</f>
        <v/>
      </c>
      <c r="AH22">
        <f>IF(AD22&lt;1,1,0)</f>
        <v/>
      </c>
      <c r="AI22">
        <f>IF(AF22&lt;&gt;AG22,1,0)</f>
        <v/>
      </c>
      <c r="AJ22">
        <f>IF(AND(AG22&gt;=3,Z22&lt;=0.2),1,0)</f>
        <v/>
      </c>
      <c r="AK22">
        <f>AVERAGE(U22:Z22)</f>
        <v/>
      </c>
      <c r="AL22">
        <f>1+COUNTIF(bounds,"&lt;"&amp;ROUND(AK22,12))</f>
        <v/>
      </c>
      <c r="AM22">
        <f>IF(AI22=1,AB22,NA())</f>
        <v/>
      </c>
      <c r="AN22">
        <f>IF(AI22=0,AB22,NA())</f>
        <v/>
      </c>
    </row>
    <row r="23">
      <c r="A23" t="n">
        <v>15</v>
      </c>
      <c r="B23" t="n">
        <v>2</v>
      </c>
      <c r="C23" t="n">
        <v>4</v>
      </c>
      <c r="D23" t="n">
        <v>2</v>
      </c>
      <c r="E23" t="n">
        <v>1</v>
      </c>
      <c r="F23" t="n">
        <v>5</v>
      </c>
      <c r="G23" t="n">
        <v>5</v>
      </c>
      <c r="H23" t="n">
        <v>3</v>
      </c>
      <c r="I23" t="n">
        <v>2</v>
      </c>
      <c r="J23" t="n">
        <v>5</v>
      </c>
      <c r="K23" t="n">
        <v>1</v>
      </c>
      <c r="L23" t="n">
        <v>3</v>
      </c>
      <c r="M23" t="n">
        <v>2</v>
      </c>
      <c r="N23" t="n">
        <v>4</v>
      </c>
      <c r="O23" t="n">
        <v>5</v>
      </c>
      <c r="P23" t="n">
        <v>4</v>
      </c>
      <c r="Q23" t="n">
        <v>4</v>
      </c>
      <c r="R23" t="n">
        <v>1</v>
      </c>
      <c r="S23" t="n">
        <v>4</v>
      </c>
      <c r="T23" t="n">
        <v>2</v>
      </c>
      <c r="U23">
        <f>(AVERAGE(B23:D23)-1)/4</f>
        <v/>
      </c>
      <c r="V23">
        <f>(AVERAGE(E23:F23)-1)/4</f>
        <v/>
      </c>
      <c r="W23">
        <f>(AVERAGE(G23:I23)-1)/4</f>
        <v/>
      </c>
      <c r="X23">
        <f>(AVERAGE(J23:L23)-1)/4</f>
        <v/>
      </c>
      <c r="Y23">
        <f>(AVERAGE(M23:O23)-1)/4</f>
        <v/>
      </c>
      <c r="Z23">
        <f>(AVERAGE(P23:R23)-1)/4</f>
        <v/>
      </c>
      <c r="AA23">
        <f>(AVERAGE(S23:T23)-1)/4</f>
        <v/>
      </c>
      <c r="AB23">
        <f>AVERAGE(U23:Y23)</f>
        <v/>
      </c>
      <c r="AC23">
        <f>MIN(U23:Y23)</f>
        <v/>
      </c>
      <c r="AD23">
        <f>1-alpha*MAX(0,delta-AC23)</f>
        <v/>
      </c>
      <c r="AE23">
        <f>AB23*AD23</f>
        <v/>
      </c>
      <c r="AF23">
        <f>1+COUNTIF(bounds,"&lt;"&amp;ROUND(AB23,12))</f>
        <v/>
      </c>
      <c r="AG23">
        <f>1+COUNTIF(bounds,"&lt;"&amp;ROUND(AE23,12))</f>
        <v/>
      </c>
      <c r="AH23">
        <f>IF(AD23&lt;1,1,0)</f>
        <v/>
      </c>
      <c r="AI23">
        <f>IF(AF23&lt;&gt;AG23,1,0)</f>
        <v/>
      </c>
      <c r="AJ23">
        <f>IF(AND(AG23&gt;=3,Z23&lt;=0.2),1,0)</f>
        <v/>
      </c>
      <c r="AK23">
        <f>AVERAGE(U23:Z23)</f>
        <v/>
      </c>
      <c r="AL23">
        <f>1+COUNTIF(bounds,"&lt;"&amp;ROUND(AK23,12))</f>
        <v/>
      </c>
      <c r="AM23">
        <f>IF(AI23=1,AB23,NA())</f>
        <v/>
      </c>
      <c r="AN23">
        <f>IF(AI23=0,AB23,NA())</f>
        <v/>
      </c>
    </row>
    <row r="24">
      <c r="A24" t="n">
        <v>16</v>
      </c>
      <c r="B24" t="n">
        <v>3</v>
      </c>
      <c r="C24" t="n">
        <v>3</v>
      </c>
      <c r="D24" t="n">
        <v>1</v>
      </c>
      <c r="E24" t="n">
        <v>1</v>
      </c>
      <c r="F24" t="n">
        <v>2</v>
      </c>
      <c r="G24" t="n">
        <v>4</v>
      </c>
      <c r="H24" t="n">
        <v>1</v>
      </c>
      <c r="I24" t="n">
        <v>4</v>
      </c>
      <c r="J24" t="n">
        <v>5</v>
      </c>
      <c r="K24" t="n">
        <v>1</v>
      </c>
      <c r="L24" t="n">
        <v>1</v>
      </c>
      <c r="M24" t="n">
        <v>2</v>
      </c>
      <c r="N24" t="n">
        <v>4</v>
      </c>
      <c r="O24" t="n">
        <v>3</v>
      </c>
      <c r="P24" t="n">
        <v>2</v>
      </c>
      <c r="Q24" t="n">
        <v>3</v>
      </c>
      <c r="R24" t="n">
        <v>3</v>
      </c>
      <c r="S24" t="n">
        <v>5</v>
      </c>
      <c r="T24" t="n">
        <v>1</v>
      </c>
      <c r="U24">
        <f>(AVERAGE(B24:D24)-1)/4</f>
        <v/>
      </c>
      <c r="V24">
        <f>(AVERAGE(E24:F24)-1)/4</f>
        <v/>
      </c>
      <c r="W24">
        <f>(AVERAGE(G24:I24)-1)/4</f>
        <v/>
      </c>
      <c r="X24">
        <f>(AVERAGE(J24:L24)-1)/4</f>
        <v/>
      </c>
      <c r="Y24">
        <f>(AVERAGE(M24:O24)-1)/4</f>
        <v/>
      </c>
      <c r="Z24">
        <f>(AVERAGE(P24:R24)-1)/4</f>
        <v/>
      </c>
      <c r="AA24">
        <f>(AVERAGE(S24:T24)-1)/4</f>
        <v/>
      </c>
      <c r="AB24">
        <f>AVERAGE(U24:Y24)</f>
        <v/>
      </c>
      <c r="AC24">
        <f>MIN(U24:Y24)</f>
        <v/>
      </c>
      <c r="AD24">
        <f>1-alpha*MAX(0,delta-AC24)</f>
        <v/>
      </c>
      <c r="AE24">
        <f>AB24*AD24</f>
        <v/>
      </c>
      <c r="AF24">
        <f>1+COUNTIF(bounds,"&lt;"&amp;ROUND(AB24,12))</f>
        <v/>
      </c>
      <c r="AG24">
        <f>1+COUNTIF(bounds,"&lt;"&amp;ROUND(AE24,12))</f>
        <v/>
      </c>
      <c r="AH24">
        <f>IF(AD24&lt;1,1,0)</f>
        <v/>
      </c>
      <c r="AI24">
        <f>IF(AF24&lt;&gt;AG24,1,0)</f>
        <v/>
      </c>
      <c r="AJ24">
        <f>IF(AND(AG24&gt;=3,Z24&lt;=0.2),1,0)</f>
        <v/>
      </c>
      <c r="AK24">
        <f>AVERAGE(U24:Z24)</f>
        <v/>
      </c>
      <c r="AL24">
        <f>1+COUNTIF(bounds,"&lt;"&amp;ROUND(AK24,12))</f>
        <v/>
      </c>
      <c r="AM24">
        <f>IF(AI24=1,AB24,NA())</f>
        <v/>
      </c>
      <c r="AN24">
        <f>IF(AI24=0,AB24,NA())</f>
        <v/>
      </c>
    </row>
    <row r="25">
      <c r="A25" t="n">
        <v>17</v>
      </c>
      <c r="B25" t="n">
        <v>4</v>
      </c>
      <c r="C25" t="n">
        <v>3</v>
      </c>
      <c r="D25" t="n">
        <v>4</v>
      </c>
      <c r="E25" t="n">
        <v>2</v>
      </c>
      <c r="F25" t="n">
        <v>5</v>
      </c>
      <c r="G25" t="n">
        <v>5</v>
      </c>
      <c r="H25" t="n">
        <v>2</v>
      </c>
      <c r="I25" t="n">
        <v>3</v>
      </c>
      <c r="J25" t="n">
        <v>2</v>
      </c>
      <c r="K25" t="n">
        <v>2</v>
      </c>
      <c r="L25" t="n">
        <v>4</v>
      </c>
      <c r="M25" t="n">
        <v>1</v>
      </c>
      <c r="N25" t="n">
        <v>2</v>
      </c>
      <c r="O25" t="n">
        <v>3</v>
      </c>
      <c r="P25" t="n">
        <v>2</v>
      </c>
      <c r="Q25" t="n">
        <v>3</v>
      </c>
      <c r="R25" t="n">
        <v>4</v>
      </c>
      <c r="S25" t="n">
        <v>4</v>
      </c>
      <c r="T25" t="n">
        <v>3</v>
      </c>
      <c r="U25">
        <f>(AVERAGE(B25:D25)-1)/4</f>
        <v/>
      </c>
      <c r="V25">
        <f>(AVERAGE(E25:F25)-1)/4</f>
        <v/>
      </c>
      <c r="W25">
        <f>(AVERAGE(G25:I25)-1)/4</f>
        <v/>
      </c>
      <c r="X25">
        <f>(AVERAGE(J25:L25)-1)/4</f>
        <v/>
      </c>
      <c r="Y25">
        <f>(AVERAGE(M25:O25)-1)/4</f>
        <v/>
      </c>
      <c r="Z25">
        <f>(AVERAGE(P25:R25)-1)/4</f>
        <v/>
      </c>
      <c r="AA25">
        <f>(AVERAGE(S25:T25)-1)/4</f>
        <v/>
      </c>
      <c r="AB25">
        <f>AVERAGE(U25:Y25)</f>
        <v/>
      </c>
      <c r="AC25">
        <f>MIN(U25:Y25)</f>
        <v/>
      </c>
      <c r="AD25">
        <f>1-alpha*MAX(0,delta-AC25)</f>
        <v/>
      </c>
      <c r="AE25">
        <f>AB25*AD25</f>
        <v/>
      </c>
      <c r="AF25">
        <f>1+COUNTIF(bounds,"&lt;"&amp;ROUND(AB25,12))</f>
        <v/>
      </c>
      <c r="AG25">
        <f>1+COUNTIF(bounds,"&lt;"&amp;ROUND(AE25,12))</f>
        <v/>
      </c>
      <c r="AH25">
        <f>IF(AD25&lt;1,1,0)</f>
        <v/>
      </c>
      <c r="AI25">
        <f>IF(AF25&lt;&gt;AG25,1,0)</f>
        <v/>
      </c>
      <c r="AJ25">
        <f>IF(AND(AG25&gt;=3,Z25&lt;=0.2),1,0)</f>
        <v/>
      </c>
      <c r="AK25">
        <f>AVERAGE(U25:Z25)</f>
        <v/>
      </c>
      <c r="AL25">
        <f>1+COUNTIF(bounds,"&lt;"&amp;ROUND(AK25,12))</f>
        <v/>
      </c>
      <c r="AM25">
        <f>IF(AI25=1,AB25,NA())</f>
        <v/>
      </c>
      <c r="AN25">
        <f>IF(AI25=0,AB25,NA())</f>
        <v/>
      </c>
    </row>
    <row r="26">
      <c r="A26" t="n">
        <v>18</v>
      </c>
      <c r="B26" t="n">
        <v>2</v>
      </c>
      <c r="C26" t="n">
        <v>3</v>
      </c>
      <c r="D26" t="n">
        <v>3</v>
      </c>
      <c r="E26" t="n">
        <v>1</v>
      </c>
      <c r="F26" t="n">
        <v>1</v>
      </c>
      <c r="G26" t="n">
        <v>1</v>
      </c>
      <c r="H26" t="n">
        <v>4</v>
      </c>
      <c r="I26" t="n">
        <v>2</v>
      </c>
      <c r="J26" t="n">
        <v>1</v>
      </c>
      <c r="K26" t="n">
        <v>4</v>
      </c>
      <c r="L26" t="n">
        <v>4</v>
      </c>
      <c r="M26" t="n">
        <v>3</v>
      </c>
      <c r="N26" t="n">
        <v>5</v>
      </c>
      <c r="O26" t="n">
        <v>1</v>
      </c>
      <c r="P26" t="n">
        <v>3</v>
      </c>
      <c r="Q26" t="n">
        <v>4</v>
      </c>
      <c r="R26" t="n">
        <v>5</v>
      </c>
      <c r="S26" t="n">
        <v>1</v>
      </c>
      <c r="T26" t="n">
        <v>2</v>
      </c>
      <c r="U26">
        <f>(AVERAGE(B26:D26)-1)/4</f>
        <v/>
      </c>
      <c r="V26">
        <f>(AVERAGE(E26:F26)-1)/4</f>
        <v/>
      </c>
      <c r="W26">
        <f>(AVERAGE(G26:I26)-1)/4</f>
        <v/>
      </c>
      <c r="X26">
        <f>(AVERAGE(J26:L26)-1)/4</f>
        <v/>
      </c>
      <c r="Y26">
        <f>(AVERAGE(M26:O26)-1)/4</f>
        <v/>
      </c>
      <c r="Z26">
        <f>(AVERAGE(P26:R26)-1)/4</f>
        <v/>
      </c>
      <c r="AA26">
        <f>(AVERAGE(S26:T26)-1)/4</f>
        <v/>
      </c>
      <c r="AB26">
        <f>AVERAGE(U26:Y26)</f>
        <v/>
      </c>
      <c r="AC26">
        <f>MIN(U26:Y26)</f>
        <v/>
      </c>
      <c r="AD26">
        <f>1-alpha*MAX(0,delta-AC26)</f>
        <v/>
      </c>
      <c r="AE26">
        <f>AB26*AD26</f>
        <v/>
      </c>
      <c r="AF26">
        <f>1+COUNTIF(bounds,"&lt;"&amp;ROUND(AB26,12))</f>
        <v/>
      </c>
      <c r="AG26">
        <f>1+COUNTIF(bounds,"&lt;"&amp;ROUND(AE26,12))</f>
        <v/>
      </c>
      <c r="AH26">
        <f>IF(AD26&lt;1,1,0)</f>
        <v/>
      </c>
      <c r="AI26">
        <f>IF(AF26&lt;&gt;AG26,1,0)</f>
        <v/>
      </c>
      <c r="AJ26">
        <f>IF(AND(AG26&gt;=3,Z26&lt;=0.2),1,0)</f>
        <v/>
      </c>
      <c r="AK26">
        <f>AVERAGE(U26:Z26)</f>
        <v/>
      </c>
      <c r="AL26">
        <f>1+COUNTIF(bounds,"&lt;"&amp;ROUND(AK26,12))</f>
        <v/>
      </c>
      <c r="AM26">
        <f>IF(AI26=1,AB26,NA())</f>
        <v/>
      </c>
      <c r="AN26">
        <f>IF(AI26=0,AB26,NA())</f>
        <v/>
      </c>
    </row>
    <row r="27">
      <c r="A27" t="n">
        <v>19</v>
      </c>
      <c r="B27" t="n">
        <v>3</v>
      </c>
      <c r="C27" t="n">
        <v>4</v>
      </c>
      <c r="D27" t="n">
        <v>3</v>
      </c>
      <c r="E27" t="n">
        <v>1</v>
      </c>
      <c r="F27" t="n">
        <v>4</v>
      </c>
      <c r="G27" t="n">
        <v>5</v>
      </c>
      <c r="H27" t="n">
        <v>3</v>
      </c>
      <c r="I27" t="n">
        <v>2</v>
      </c>
      <c r="J27" t="n">
        <v>2</v>
      </c>
      <c r="K27" t="n">
        <v>4</v>
      </c>
      <c r="L27" t="n">
        <v>2</v>
      </c>
      <c r="M27" t="n">
        <v>3</v>
      </c>
      <c r="N27" t="n">
        <v>2</v>
      </c>
      <c r="O27" t="n">
        <v>2</v>
      </c>
      <c r="P27" t="n">
        <v>2</v>
      </c>
      <c r="Q27" t="n">
        <v>2</v>
      </c>
      <c r="R27" t="n">
        <v>2</v>
      </c>
      <c r="S27" t="n">
        <v>1</v>
      </c>
      <c r="T27" t="n">
        <v>2</v>
      </c>
      <c r="U27">
        <f>(AVERAGE(B27:D27)-1)/4</f>
        <v/>
      </c>
      <c r="V27">
        <f>(AVERAGE(E27:F27)-1)/4</f>
        <v/>
      </c>
      <c r="W27">
        <f>(AVERAGE(G27:I27)-1)/4</f>
        <v/>
      </c>
      <c r="X27">
        <f>(AVERAGE(J27:L27)-1)/4</f>
        <v/>
      </c>
      <c r="Y27">
        <f>(AVERAGE(M27:O27)-1)/4</f>
        <v/>
      </c>
      <c r="Z27">
        <f>(AVERAGE(P27:R27)-1)/4</f>
        <v/>
      </c>
      <c r="AA27">
        <f>(AVERAGE(S27:T27)-1)/4</f>
        <v/>
      </c>
      <c r="AB27">
        <f>AVERAGE(U27:Y27)</f>
        <v/>
      </c>
      <c r="AC27">
        <f>MIN(U27:Y27)</f>
        <v/>
      </c>
      <c r="AD27">
        <f>1-alpha*MAX(0,delta-AC27)</f>
        <v/>
      </c>
      <c r="AE27">
        <f>AB27*AD27</f>
        <v/>
      </c>
      <c r="AF27">
        <f>1+COUNTIF(bounds,"&lt;"&amp;ROUND(AB27,12))</f>
        <v/>
      </c>
      <c r="AG27">
        <f>1+COUNTIF(bounds,"&lt;"&amp;ROUND(AE27,12))</f>
        <v/>
      </c>
      <c r="AH27">
        <f>IF(AD27&lt;1,1,0)</f>
        <v/>
      </c>
      <c r="AI27">
        <f>IF(AF27&lt;&gt;AG27,1,0)</f>
        <v/>
      </c>
      <c r="AJ27">
        <f>IF(AND(AG27&gt;=3,Z27&lt;=0.2),1,0)</f>
        <v/>
      </c>
      <c r="AK27">
        <f>AVERAGE(U27:Z27)</f>
        <v/>
      </c>
      <c r="AL27">
        <f>1+COUNTIF(bounds,"&lt;"&amp;ROUND(AK27,12))</f>
        <v/>
      </c>
      <c r="AM27">
        <f>IF(AI27=1,AB27,NA())</f>
        <v/>
      </c>
      <c r="AN27">
        <f>IF(AI27=0,AB27,NA())</f>
        <v/>
      </c>
    </row>
    <row r="28">
      <c r="A28" t="n">
        <v>20</v>
      </c>
      <c r="B28" t="n">
        <v>3</v>
      </c>
      <c r="C28" t="n">
        <v>1</v>
      </c>
      <c r="D28" t="n">
        <v>4</v>
      </c>
      <c r="E28" t="n">
        <v>3</v>
      </c>
      <c r="F28" t="n">
        <v>5</v>
      </c>
      <c r="G28" t="n">
        <v>5</v>
      </c>
      <c r="H28" t="n">
        <v>5</v>
      </c>
      <c r="I28" t="n">
        <v>4</v>
      </c>
      <c r="J28" t="n">
        <v>4</v>
      </c>
      <c r="K28" t="n">
        <v>2</v>
      </c>
      <c r="L28" t="n">
        <v>4</v>
      </c>
      <c r="M28" t="n">
        <v>5</v>
      </c>
      <c r="N28" t="n">
        <v>1</v>
      </c>
      <c r="O28" t="n">
        <v>5</v>
      </c>
      <c r="P28" t="n">
        <v>2</v>
      </c>
      <c r="Q28" t="n">
        <v>1</v>
      </c>
      <c r="R28" t="n">
        <v>4</v>
      </c>
      <c r="S28" t="n">
        <v>5</v>
      </c>
      <c r="T28" t="n">
        <v>2</v>
      </c>
      <c r="U28">
        <f>(AVERAGE(B28:D28)-1)/4</f>
        <v/>
      </c>
      <c r="V28">
        <f>(AVERAGE(E28:F28)-1)/4</f>
        <v/>
      </c>
      <c r="W28">
        <f>(AVERAGE(G28:I28)-1)/4</f>
        <v/>
      </c>
      <c r="X28">
        <f>(AVERAGE(J28:L28)-1)/4</f>
        <v/>
      </c>
      <c r="Y28">
        <f>(AVERAGE(M28:O28)-1)/4</f>
        <v/>
      </c>
      <c r="Z28">
        <f>(AVERAGE(P28:R28)-1)/4</f>
        <v/>
      </c>
      <c r="AA28">
        <f>(AVERAGE(S28:T28)-1)/4</f>
        <v/>
      </c>
      <c r="AB28">
        <f>AVERAGE(U28:Y28)</f>
        <v/>
      </c>
      <c r="AC28">
        <f>MIN(U28:Y28)</f>
        <v/>
      </c>
      <c r="AD28">
        <f>1-alpha*MAX(0,delta-AC28)</f>
        <v/>
      </c>
      <c r="AE28">
        <f>AB28*AD28</f>
        <v/>
      </c>
      <c r="AF28">
        <f>1+COUNTIF(bounds,"&lt;"&amp;ROUND(AB28,12))</f>
        <v/>
      </c>
      <c r="AG28">
        <f>1+COUNTIF(bounds,"&lt;"&amp;ROUND(AE28,12))</f>
        <v/>
      </c>
      <c r="AH28">
        <f>IF(AD28&lt;1,1,0)</f>
        <v/>
      </c>
      <c r="AI28">
        <f>IF(AF28&lt;&gt;AG28,1,0)</f>
        <v/>
      </c>
      <c r="AJ28">
        <f>IF(AND(AG28&gt;=3,Z28&lt;=0.2),1,0)</f>
        <v/>
      </c>
      <c r="AK28">
        <f>AVERAGE(U28:Z28)</f>
        <v/>
      </c>
      <c r="AL28">
        <f>1+COUNTIF(bounds,"&lt;"&amp;ROUND(AK28,12))</f>
        <v/>
      </c>
      <c r="AM28">
        <f>IF(AI28=1,AB28,NA())</f>
        <v/>
      </c>
      <c r="AN28">
        <f>IF(AI28=0,AB28,NA())</f>
        <v/>
      </c>
    </row>
    <row r="29">
      <c r="A29" t="n">
        <v>21</v>
      </c>
      <c r="B29" t="n">
        <v>3</v>
      </c>
      <c r="C29" t="n">
        <v>2</v>
      </c>
      <c r="D29" t="n">
        <v>3</v>
      </c>
      <c r="E29" t="n">
        <v>5</v>
      </c>
      <c r="F29" t="n">
        <v>5</v>
      </c>
      <c r="G29" t="n">
        <v>3</v>
      </c>
      <c r="H29" t="n">
        <v>3</v>
      </c>
      <c r="I29" t="n">
        <v>4</v>
      </c>
      <c r="J29" t="n">
        <v>1</v>
      </c>
      <c r="K29" t="n">
        <v>3</v>
      </c>
      <c r="L29" t="n">
        <v>1</v>
      </c>
      <c r="M29" t="n">
        <v>4</v>
      </c>
      <c r="N29" t="n">
        <v>3</v>
      </c>
      <c r="O29" t="n">
        <v>1</v>
      </c>
      <c r="P29" t="n">
        <v>3</v>
      </c>
      <c r="Q29" t="n">
        <v>4</v>
      </c>
      <c r="R29" t="n">
        <v>1</v>
      </c>
      <c r="S29" t="n">
        <v>3</v>
      </c>
      <c r="T29" t="n">
        <v>1</v>
      </c>
      <c r="U29">
        <f>(AVERAGE(B29:D29)-1)/4</f>
        <v/>
      </c>
      <c r="V29">
        <f>(AVERAGE(E29:F29)-1)/4</f>
        <v/>
      </c>
      <c r="W29">
        <f>(AVERAGE(G29:I29)-1)/4</f>
        <v/>
      </c>
      <c r="X29">
        <f>(AVERAGE(J29:L29)-1)/4</f>
        <v/>
      </c>
      <c r="Y29">
        <f>(AVERAGE(M29:O29)-1)/4</f>
        <v/>
      </c>
      <c r="Z29">
        <f>(AVERAGE(P29:R29)-1)/4</f>
        <v/>
      </c>
      <c r="AA29">
        <f>(AVERAGE(S29:T29)-1)/4</f>
        <v/>
      </c>
      <c r="AB29">
        <f>AVERAGE(U29:Y29)</f>
        <v/>
      </c>
      <c r="AC29">
        <f>MIN(U29:Y29)</f>
        <v/>
      </c>
      <c r="AD29">
        <f>1-alpha*MAX(0,delta-AC29)</f>
        <v/>
      </c>
      <c r="AE29">
        <f>AB29*AD29</f>
        <v/>
      </c>
      <c r="AF29">
        <f>1+COUNTIF(bounds,"&lt;"&amp;ROUND(AB29,12))</f>
        <v/>
      </c>
      <c r="AG29">
        <f>1+COUNTIF(bounds,"&lt;"&amp;ROUND(AE29,12))</f>
        <v/>
      </c>
      <c r="AH29">
        <f>IF(AD29&lt;1,1,0)</f>
        <v/>
      </c>
      <c r="AI29">
        <f>IF(AF29&lt;&gt;AG29,1,0)</f>
        <v/>
      </c>
      <c r="AJ29">
        <f>IF(AND(AG29&gt;=3,Z29&lt;=0.2),1,0)</f>
        <v/>
      </c>
      <c r="AK29">
        <f>AVERAGE(U29:Z29)</f>
        <v/>
      </c>
      <c r="AL29">
        <f>1+COUNTIF(bounds,"&lt;"&amp;ROUND(AK29,12))</f>
        <v/>
      </c>
      <c r="AM29">
        <f>IF(AI29=1,AB29,NA())</f>
        <v/>
      </c>
      <c r="AN29">
        <f>IF(AI29=0,AB29,NA())</f>
        <v/>
      </c>
    </row>
    <row r="30">
      <c r="A30" t="n">
        <v>22</v>
      </c>
      <c r="B30" t="n">
        <v>1</v>
      </c>
      <c r="C30" t="n">
        <v>5</v>
      </c>
      <c r="D30" t="n">
        <v>5</v>
      </c>
      <c r="E30" t="n">
        <v>1</v>
      </c>
      <c r="F30" t="n">
        <v>2</v>
      </c>
      <c r="G30" t="n">
        <v>1</v>
      </c>
      <c r="H30" t="n">
        <v>3</v>
      </c>
      <c r="I30" t="n">
        <v>3</v>
      </c>
      <c r="J30" t="n">
        <v>1</v>
      </c>
      <c r="K30" t="n">
        <v>2</v>
      </c>
      <c r="L30" t="n">
        <v>4</v>
      </c>
      <c r="M30" t="n">
        <v>1</v>
      </c>
      <c r="N30" t="n">
        <v>4</v>
      </c>
      <c r="O30" t="n">
        <v>2</v>
      </c>
      <c r="P30" t="n">
        <v>2</v>
      </c>
      <c r="Q30" t="n">
        <v>1</v>
      </c>
      <c r="R30" t="n">
        <v>5</v>
      </c>
      <c r="S30" t="n">
        <v>1</v>
      </c>
      <c r="T30" t="n">
        <v>1</v>
      </c>
      <c r="U30">
        <f>(AVERAGE(B30:D30)-1)/4</f>
        <v/>
      </c>
      <c r="V30">
        <f>(AVERAGE(E30:F30)-1)/4</f>
        <v/>
      </c>
      <c r="W30">
        <f>(AVERAGE(G30:I30)-1)/4</f>
        <v/>
      </c>
      <c r="X30">
        <f>(AVERAGE(J30:L30)-1)/4</f>
        <v/>
      </c>
      <c r="Y30">
        <f>(AVERAGE(M30:O30)-1)/4</f>
        <v/>
      </c>
      <c r="Z30">
        <f>(AVERAGE(P30:R30)-1)/4</f>
        <v/>
      </c>
      <c r="AA30">
        <f>(AVERAGE(S30:T30)-1)/4</f>
        <v/>
      </c>
      <c r="AB30">
        <f>AVERAGE(U30:Y30)</f>
        <v/>
      </c>
      <c r="AC30">
        <f>MIN(U30:Y30)</f>
        <v/>
      </c>
      <c r="AD30">
        <f>1-alpha*MAX(0,delta-AC30)</f>
        <v/>
      </c>
      <c r="AE30">
        <f>AB30*AD30</f>
        <v/>
      </c>
      <c r="AF30">
        <f>1+COUNTIF(bounds,"&lt;"&amp;ROUND(AB30,12))</f>
        <v/>
      </c>
      <c r="AG30">
        <f>1+COUNTIF(bounds,"&lt;"&amp;ROUND(AE30,12))</f>
        <v/>
      </c>
      <c r="AH30">
        <f>IF(AD30&lt;1,1,0)</f>
        <v/>
      </c>
      <c r="AI30">
        <f>IF(AF30&lt;&gt;AG30,1,0)</f>
        <v/>
      </c>
      <c r="AJ30">
        <f>IF(AND(AG30&gt;=3,Z30&lt;=0.2),1,0)</f>
        <v/>
      </c>
      <c r="AK30">
        <f>AVERAGE(U30:Z30)</f>
        <v/>
      </c>
      <c r="AL30">
        <f>1+COUNTIF(bounds,"&lt;"&amp;ROUND(AK30,12))</f>
        <v/>
      </c>
      <c r="AM30">
        <f>IF(AI30=1,AB30,NA())</f>
        <v/>
      </c>
      <c r="AN30">
        <f>IF(AI30=0,AB30,NA())</f>
        <v/>
      </c>
    </row>
    <row r="31">
      <c r="A31" t="n">
        <v>23</v>
      </c>
      <c r="B31" t="n">
        <v>1</v>
      </c>
      <c r="C31" t="n">
        <v>2</v>
      </c>
      <c r="D31" t="n">
        <v>4</v>
      </c>
      <c r="E31" t="n">
        <v>4</v>
      </c>
      <c r="F31" t="n">
        <v>2</v>
      </c>
      <c r="G31" t="n">
        <v>3</v>
      </c>
      <c r="H31" t="n">
        <v>4</v>
      </c>
      <c r="I31" t="n">
        <v>2</v>
      </c>
      <c r="J31" t="n">
        <v>3</v>
      </c>
      <c r="K31" t="n">
        <v>5</v>
      </c>
      <c r="L31" t="n">
        <v>2</v>
      </c>
      <c r="M31" t="n">
        <v>4</v>
      </c>
      <c r="N31" t="n">
        <v>5</v>
      </c>
      <c r="O31" t="n">
        <v>2</v>
      </c>
      <c r="P31" t="n">
        <v>5</v>
      </c>
      <c r="Q31" t="n">
        <v>5</v>
      </c>
      <c r="R31" t="n">
        <v>1</v>
      </c>
      <c r="S31" t="n">
        <v>2</v>
      </c>
      <c r="T31" t="n">
        <v>2</v>
      </c>
      <c r="U31">
        <f>(AVERAGE(B31:D31)-1)/4</f>
        <v/>
      </c>
      <c r="V31">
        <f>(AVERAGE(E31:F31)-1)/4</f>
        <v/>
      </c>
      <c r="W31">
        <f>(AVERAGE(G31:I31)-1)/4</f>
        <v/>
      </c>
      <c r="X31">
        <f>(AVERAGE(J31:L31)-1)/4</f>
        <v/>
      </c>
      <c r="Y31">
        <f>(AVERAGE(M31:O31)-1)/4</f>
        <v/>
      </c>
      <c r="Z31">
        <f>(AVERAGE(P31:R31)-1)/4</f>
        <v/>
      </c>
      <c r="AA31">
        <f>(AVERAGE(S31:T31)-1)/4</f>
        <v/>
      </c>
      <c r="AB31">
        <f>AVERAGE(U31:Y31)</f>
        <v/>
      </c>
      <c r="AC31">
        <f>MIN(U31:Y31)</f>
        <v/>
      </c>
      <c r="AD31">
        <f>1-alpha*MAX(0,delta-AC31)</f>
        <v/>
      </c>
      <c r="AE31">
        <f>AB31*AD31</f>
        <v/>
      </c>
      <c r="AF31">
        <f>1+COUNTIF(bounds,"&lt;"&amp;ROUND(AB31,12))</f>
        <v/>
      </c>
      <c r="AG31">
        <f>1+COUNTIF(bounds,"&lt;"&amp;ROUND(AE31,12))</f>
        <v/>
      </c>
      <c r="AH31">
        <f>IF(AD31&lt;1,1,0)</f>
        <v/>
      </c>
      <c r="AI31">
        <f>IF(AF31&lt;&gt;AG31,1,0)</f>
        <v/>
      </c>
      <c r="AJ31">
        <f>IF(AND(AG31&gt;=3,Z31&lt;=0.2),1,0)</f>
        <v/>
      </c>
      <c r="AK31">
        <f>AVERAGE(U31:Z31)</f>
        <v/>
      </c>
      <c r="AL31">
        <f>1+COUNTIF(bounds,"&lt;"&amp;ROUND(AK31,12))</f>
        <v/>
      </c>
      <c r="AM31">
        <f>IF(AI31=1,AB31,NA())</f>
        <v/>
      </c>
      <c r="AN31">
        <f>IF(AI31=0,AB31,NA())</f>
        <v/>
      </c>
    </row>
    <row r="32">
      <c r="A32" t="n">
        <v>24</v>
      </c>
      <c r="B32" t="n">
        <v>2</v>
      </c>
      <c r="C32" t="n">
        <v>3</v>
      </c>
      <c r="D32" t="n">
        <v>3</v>
      </c>
      <c r="E32" t="n">
        <v>4</v>
      </c>
      <c r="F32" t="n">
        <v>5</v>
      </c>
      <c r="G32" t="n">
        <v>1</v>
      </c>
      <c r="H32" t="n">
        <v>2</v>
      </c>
      <c r="I32" t="n">
        <v>4</v>
      </c>
      <c r="J32" t="n">
        <v>2</v>
      </c>
      <c r="K32" t="n">
        <v>4</v>
      </c>
      <c r="L32" t="n">
        <v>2</v>
      </c>
      <c r="M32" t="n">
        <v>4</v>
      </c>
      <c r="N32" t="n">
        <v>4</v>
      </c>
      <c r="O32" t="n">
        <v>5</v>
      </c>
      <c r="P32" t="n">
        <v>4</v>
      </c>
      <c r="Q32" t="n">
        <v>1</v>
      </c>
      <c r="R32" t="n">
        <v>1</v>
      </c>
      <c r="S32" t="n">
        <v>5</v>
      </c>
      <c r="T32" t="n">
        <v>1</v>
      </c>
      <c r="U32">
        <f>(AVERAGE(B32:D32)-1)/4</f>
        <v/>
      </c>
      <c r="V32">
        <f>(AVERAGE(E32:F32)-1)/4</f>
        <v/>
      </c>
      <c r="W32">
        <f>(AVERAGE(G32:I32)-1)/4</f>
        <v/>
      </c>
      <c r="X32">
        <f>(AVERAGE(J32:L32)-1)/4</f>
        <v/>
      </c>
      <c r="Y32">
        <f>(AVERAGE(M32:O32)-1)/4</f>
        <v/>
      </c>
      <c r="Z32">
        <f>(AVERAGE(P32:R32)-1)/4</f>
        <v/>
      </c>
      <c r="AA32">
        <f>(AVERAGE(S32:T32)-1)/4</f>
        <v/>
      </c>
      <c r="AB32">
        <f>AVERAGE(U32:Y32)</f>
        <v/>
      </c>
      <c r="AC32">
        <f>MIN(U32:Y32)</f>
        <v/>
      </c>
      <c r="AD32">
        <f>1-alpha*MAX(0,delta-AC32)</f>
        <v/>
      </c>
      <c r="AE32">
        <f>AB32*AD32</f>
        <v/>
      </c>
      <c r="AF32">
        <f>1+COUNTIF(bounds,"&lt;"&amp;ROUND(AB32,12))</f>
        <v/>
      </c>
      <c r="AG32">
        <f>1+COUNTIF(bounds,"&lt;"&amp;ROUND(AE32,12))</f>
        <v/>
      </c>
      <c r="AH32">
        <f>IF(AD32&lt;1,1,0)</f>
        <v/>
      </c>
      <c r="AI32">
        <f>IF(AF32&lt;&gt;AG32,1,0)</f>
        <v/>
      </c>
      <c r="AJ32">
        <f>IF(AND(AG32&gt;=3,Z32&lt;=0.2),1,0)</f>
        <v/>
      </c>
      <c r="AK32">
        <f>AVERAGE(U32:Z32)</f>
        <v/>
      </c>
      <c r="AL32">
        <f>1+COUNTIF(bounds,"&lt;"&amp;ROUND(AK32,12))</f>
        <v/>
      </c>
      <c r="AM32">
        <f>IF(AI32=1,AB32,NA())</f>
        <v/>
      </c>
      <c r="AN32">
        <f>IF(AI32=0,AB32,NA())</f>
        <v/>
      </c>
    </row>
    <row r="33">
      <c r="A33" t="n">
        <v>25</v>
      </c>
      <c r="B33" t="n">
        <v>4</v>
      </c>
      <c r="C33" t="n">
        <v>5</v>
      </c>
      <c r="D33" t="n">
        <v>5</v>
      </c>
      <c r="E33" t="n">
        <v>1</v>
      </c>
      <c r="F33" t="n">
        <v>1</v>
      </c>
      <c r="G33" t="n">
        <v>1</v>
      </c>
      <c r="H33" t="n">
        <v>2</v>
      </c>
      <c r="I33" t="n">
        <v>5</v>
      </c>
      <c r="J33" t="n">
        <v>2</v>
      </c>
      <c r="K33" t="n">
        <v>4</v>
      </c>
      <c r="L33" t="n">
        <v>2</v>
      </c>
      <c r="M33" t="n">
        <v>5</v>
      </c>
      <c r="N33" t="n">
        <v>4</v>
      </c>
      <c r="O33" t="n">
        <v>2</v>
      </c>
      <c r="P33" t="n">
        <v>4</v>
      </c>
      <c r="Q33" t="n">
        <v>5</v>
      </c>
      <c r="R33" t="n">
        <v>2</v>
      </c>
      <c r="S33" t="n">
        <v>5</v>
      </c>
      <c r="T33" t="n">
        <v>5</v>
      </c>
      <c r="U33">
        <f>(AVERAGE(B33:D33)-1)/4</f>
        <v/>
      </c>
      <c r="V33">
        <f>(AVERAGE(E33:F33)-1)/4</f>
        <v/>
      </c>
      <c r="W33">
        <f>(AVERAGE(G33:I33)-1)/4</f>
        <v/>
      </c>
      <c r="X33">
        <f>(AVERAGE(J33:L33)-1)/4</f>
        <v/>
      </c>
      <c r="Y33">
        <f>(AVERAGE(M33:O33)-1)/4</f>
        <v/>
      </c>
      <c r="Z33">
        <f>(AVERAGE(P33:R33)-1)/4</f>
        <v/>
      </c>
      <c r="AA33">
        <f>(AVERAGE(S33:T33)-1)/4</f>
        <v/>
      </c>
      <c r="AB33">
        <f>AVERAGE(U33:Y33)</f>
        <v/>
      </c>
      <c r="AC33">
        <f>MIN(U33:Y33)</f>
        <v/>
      </c>
      <c r="AD33">
        <f>1-alpha*MAX(0,delta-AC33)</f>
        <v/>
      </c>
      <c r="AE33">
        <f>AB33*AD33</f>
        <v/>
      </c>
      <c r="AF33">
        <f>1+COUNTIF(bounds,"&lt;"&amp;ROUND(AB33,12))</f>
        <v/>
      </c>
      <c r="AG33">
        <f>1+COUNTIF(bounds,"&lt;"&amp;ROUND(AE33,12))</f>
        <v/>
      </c>
      <c r="AH33">
        <f>IF(AD33&lt;1,1,0)</f>
        <v/>
      </c>
      <c r="AI33">
        <f>IF(AF33&lt;&gt;AG33,1,0)</f>
        <v/>
      </c>
      <c r="AJ33">
        <f>IF(AND(AG33&gt;=3,Z33&lt;=0.2),1,0)</f>
        <v/>
      </c>
      <c r="AK33">
        <f>AVERAGE(U33:Z33)</f>
        <v/>
      </c>
      <c r="AL33">
        <f>1+COUNTIF(bounds,"&lt;"&amp;ROUND(AK33,12))</f>
        <v/>
      </c>
      <c r="AM33">
        <f>IF(AI33=1,AB33,NA())</f>
        <v/>
      </c>
      <c r="AN33">
        <f>IF(AI33=0,AB33,NA())</f>
        <v/>
      </c>
    </row>
    <row r="34">
      <c r="A34" t="n">
        <v>26</v>
      </c>
      <c r="B34" t="n">
        <v>4</v>
      </c>
      <c r="C34" t="n">
        <v>1</v>
      </c>
      <c r="D34" t="n">
        <v>5</v>
      </c>
      <c r="E34" t="n">
        <v>3</v>
      </c>
      <c r="F34" t="n">
        <v>4</v>
      </c>
      <c r="G34" t="n">
        <v>1</v>
      </c>
      <c r="H34" t="n">
        <v>4</v>
      </c>
      <c r="I34" t="n">
        <v>3</v>
      </c>
      <c r="J34" t="n">
        <v>2</v>
      </c>
      <c r="K34" t="n">
        <v>4</v>
      </c>
      <c r="L34" t="n">
        <v>3</v>
      </c>
      <c r="M34" t="n">
        <v>4</v>
      </c>
      <c r="N34" t="n">
        <v>5</v>
      </c>
      <c r="O34" t="n">
        <v>1</v>
      </c>
      <c r="P34" t="n">
        <v>3</v>
      </c>
      <c r="Q34" t="n">
        <v>1</v>
      </c>
      <c r="R34" t="n">
        <v>5</v>
      </c>
      <c r="S34" t="n">
        <v>3</v>
      </c>
      <c r="T34" t="n">
        <v>4</v>
      </c>
      <c r="U34">
        <f>(AVERAGE(B34:D34)-1)/4</f>
        <v/>
      </c>
      <c r="V34">
        <f>(AVERAGE(E34:F34)-1)/4</f>
        <v/>
      </c>
      <c r="W34">
        <f>(AVERAGE(G34:I34)-1)/4</f>
        <v/>
      </c>
      <c r="X34">
        <f>(AVERAGE(J34:L34)-1)/4</f>
        <v/>
      </c>
      <c r="Y34">
        <f>(AVERAGE(M34:O34)-1)/4</f>
        <v/>
      </c>
      <c r="Z34">
        <f>(AVERAGE(P34:R34)-1)/4</f>
        <v/>
      </c>
      <c r="AA34">
        <f>(AVERAGE(S34:T34)-1)/4</f>
        <v/>
      </c>
      <c r="AB34">
        <f>AVERAGE(U34:Y34)</f>
        <v/>
      </c>
      <c r="AC34">
        <f>MIN(U34:Y34)</f>
        <v/>
      </c>
      <c r="AD34">
        <f>1-alpha*MAX(0,delta-AC34)</f>
        <v/>
      </c>
      <c r="AE34">
        <f>AB34*AD34</f>
        <v/>
      </c>
      <c r="AF34">
        <f>1+COUNTIF(bounds,"&lt;"&amp;ROUND(AB34,12))</f>
        <v/>
      </c>
      <c r="AG34">
        <f>1+COUNTIF(bounds,"&lt;"&amp;ROUND(AE34,12))</f>
        <v/>
      </c>
      <c r="AH34">
        <f>IF(AD34&lt;1,1,0)</f>
        <v/>
      </c>
      <c r="AI34">
        <f>IF(AF34&lt;&gt;AG34,1,0)</f>
        <v/>
      </c>
      <c r="AJ34">
        <f>IF(AND(AG34&gt;=3,Z34&lt;=0.2),1,0)</f>
        <v/>
      </c>
      <c r="AK34">
        <f>AVERAGE(U34:Z34)</f>
        <v/>
      </c>
      <c r="AL34">
        <f>1+COUNTIF(bounds,"&lt;"&amp;ROUND(AK34,12))</f>
        <v/>
      </c>
      <c r="AM34">
        <f>IF(AI34=1,AB34,NA())</f>
        <v/>
      </c>
      <c r="AN34">
        <f>IF(AI34=0,AB34,NA())</f>
        <v/>
      </c>
    </row>
    <row r="35">
      <c r="A35" t="n">
        <v>27</v>
      </c>
      <c r="B35" t="n">
        <v>1</v>
      </c>
      <c r="C35" t="n">
        <v>2</v>
      </c>
      <c r="D35" t="n">
        <v>2</v>
      </c>
      <c r="E35" t="n">
        <v>3</v>
      </c>
      <c r="F35" t="n">
        <v>5</v>
      </c>
      <c r="G35" t="n">
        <v>2</v>
      </c>
      <c r="H35" t="n">
        <v>1</v>
      </c>
      <c r="I35" t="n">
        <v>3</v>
      </c>
      <c r="J35" t="n">
        <v>3</v>
      </c>
      <c r="K35" t="n">
        <v>2</v>
      </c>
      <c r="L35" t="n">
        <v>3</v>
      </c>
      <c r="M35" t="n">
        <v>1</v>
      </c>
      <c r="N35" t="n">
        <v>1</v>
      </c>
      <c r="O35" t="n">
        <v>2</v>
      </c>
      <c r="P35" t="n">
        <v>2</v>
      </c>
      <c r="Q35" t="n">
        <v>1</v>
      </c>
      <c r="R35" t="n">
        <v>1</v>
      </c>
      <c r="S35" t="n">
        <v>1</v>
      </c>
      <c r="T35" t="n">
        <v>4</v>
      </c>
      <c r="U35">
        <f>(AVERAGE(B35:D35)-1)/4</f>
        <v/>
      </c>
      <c r="V35">
        <f>(AVERAGE(E35:F35)-1)/4</f>
        <v/>
      </c>
      <c r="W35">
        <f>(AVERAGE(G35:I35)-1)/4</f>
        <v/>
      </c>
      <c r="X35">
        <f>(AVERAGE(J35:L35)-1)/4</f>
        <v/>
      </c>
      <c r="Y35">
        <f>(AVERAGE(M35:O35)-1)/4</f>
        <v/>
      </c>
      <c r="Z35">
        <f>(AVERAGE(P35:R35)-1)/4</f>
        <v/>
      </c>
      <c r="AA35">
        <f>(AVERAGE(S35:T35)-1)/4</f>
        <v/>
      </c>
      <c r="AB35">
        <f>AVERAGE(U35:Y35)</f>
        <v/>
      </c>
      <c r="AC35">
        <f>MIN(U35:Y35)</f>
        <v/>
      </c>
      <c r="AD35">
        <f>1-alpha*MAX(0,delta-AC35)</f>
        <v/>
      </c>
      <c r="AE35">
        <f>AB35*AD35</f>
        <v/>
      </c>
      <c r="AF35">
        <f>1+COUNTIF(bounds,"&lt;"&amp;ROUND(AB35,12))</f>
        <v/>
      </c>
      <c r="AG35">
        <f>1+COUNTIF(bounds,"&lt;"&amp;ROUND(AE35,12))</f>
        <v/>
      </c>
      <c r="AH35">
        <f>IF(AD35&lt;1,1,0)</f>
        <v/>
      </c>
      <c r="AI35">
        <f>IF(AF35&lt;&gt;AG35,1,0)</f>
        <v/>
      </c>
      <c r="AJ35">
        <f>IF(AND(AG35&gt;=3,Z35&lt;=0.2),1,0)</f>
        <v/>
      </c>
      <c r="AK35">
        <f>AVERAGE(U35:Z35)</f>
        <v/>
      </c>
      <c r="AL35">
        <f>1+COUNTIF(bounds,"&lt;"&amp;ROUND(AK35,12))</f>
        <v/>
      </c>
      <c r="AM35">
        <f>IF(AI35=1,AB35,NA())</f>
        <v/>
      </c>
      <c r="AN35">
        <f>IF(AI35=0,AB35,NA())</f>
        <v/>
      </c>
    </row>
    <row r="36">
      <c r="A36" t="n">
        <v>28</v>
      </c>
      <c r="B36" t="n">
        <v>4</v>
      </c>
      <c r="C36" t="n">
        <v>3</v>
      </c>
      <c r="D36" t="n">
        <v>1</v>
      </c>
      <c r="E36" t="n">
        <v>4</v>
      </c>
      <c r="F36" t="n">
        <v>4</v>
      </c>
      <c r="G36" t="n">
        <v>3</v>
      </c>
      <c r="H36" t="n">
        <v>4</v>
      </c>
      <c r="I36" t="n">
        <v>5</v>
      </c>
      <c r="J36" t="n">
        <v>2</v>
      </c>
      <c r="K36" t="n">
        <v>3</v>
      </c>
      <c r="L36" t="n">
        <v>1</v>
      </c>
      <c r="M36" t="n">
        <v>4</v>
      </c>
      <c r="N36" t="n">
        <v>1</v>
      </c>
      <c r="O36" t="n">
        <v>5</v>
      </c>
      <c r="P36" t="n">
        <v>2</v>
      </c>
      <c r="Q36" t="n">
        <v>1</v>
      </c>
      <c r="R36" t="n">
        <v>3</v>
      </c>
      <c r="S36" t="n">
        <v>4</v>
      </c>
      <c r="T36" t="n">
        <v>2</v>
      </c>
      <c r="U36">
        <f>(AVERAGE(B36:D36)-1)/4</f>
        <v/>
      </c>
      <c r="V36">
        <f>(AVERAGE(E36:F36)-1)/4</f>
        <v/>
      </c>
      <c r="W36">
        <f>(AVERAGE(G36:I36)-1)/4</f>
        <v/>
      </c>
      <c r="X36">
        <f>(AVERAGE(J36:L36)-1)/4</f>
        <v/>
      </c>
      <c r="Y36">
        <f>(AVERAGE(M36:O36)-1)/4</f>
        <v/>
      </c>
      <c r="Z36">
        <f>(AVERAGE(P36:R36)-1)/4</f>
        <v/>
      </c>
      <c r="AA36">
        <f>(AVERAGE(S36:T36)-1)/4</f>
        <v/>
      </c>
      <c r="AB36">
        <f>AVERAGE(U36:Y36)</f>
        <v/>
      </c>
      <c r="AC36">
        <f>MIN(U36:Y36)</f>
        <v/>
      </c>
      <c r="AD36">
        <f>1-alpha*MAX(0,delta-AC36)</f>
        <v/>
      </c>
      <c r="AE36">
        <f>AB36*AD36</f>
        <v/>
      </c>
      <c r="AF36">
        <f>1+COUNTIF(bounds,"&lt;"&amp;ROUND(AB36,12))</f>
        <v/>
      </c>
      <c r="AG36">
        <f>1+COUNTIF(bounds,"&lt;"&amp;ROUND(AE36,12))</f>
        <v/>
      </c>
      <c r="AH36">
        <f>IF(AD36&lt;1,1,0)</f>
        <v/>
      </c>
      <c r="AI36">
        <f>IF(AF36&lt;&gt;AG36,1,0)</f>
        <v/>
      </c>
      <c r="AJ36">
        <f>IF(AND(AG36&gt;=3,Z36&lt;=0.2),1,0)</f>
        <v/>
      </c>
      <c r="AK36">
        <f>AVERAGE(U36:Z36)</f>
        <v/>
      </c>
      <c r="AL36">
        <f>1+COUNTIF(bounds,"&lt;"&amp;ROUND(AK36,12))</f>
        <v/>
      </c>
      <c r="AM36">
        <f>IF(AI36=1,AB36,NA())</f>
        <v/>
      </c>
      <c r="AN36">
        <f>IF(AI36=0,AB36,NA())</f>
        <v/>
      </c>
    </row>
    <row r="37">
      <c r="A37" t="n">
        <v>29</v>
      </c>
      <c r="B37" t="n">
        <v>1</v>
      </c>
      <c r="C37" t="n">
        <v>4</v>
      </c>
      <c r="D37" t="n">
        <v>3</v>
      </c>
      <c r="E37" t="n">
        <v>1</v>
      </c>
      <c r="F37" t="n">
        <v>1</v>
      </c>
      <c r="G37" t="n">
        <v>3</v>
      </c>
      <c r="H37" t="n">
        <v>4</v>
      </c>
      <c r="I37" t="n">
        <v>2</v>
      </c>
      <c r="J37" t="n">
        <v>5</v>
      </c>
      <c r="K37" t="n">
        <v>5</v>
      </c>
      <c r="L37" t="n">
        <v>4</v>
      </c>
      <c r="M37" t="n">
        <v>3</v>
      </c>
      <c r="N37" t="n">
        <v>1</v>
      </c>
      <c r="O37" t="n">
        <v>3</v>
      </c>
      <c r="P37" t="n">
        <v>3</v>
      </c>
      <c r="Q37" t="n">
        <v>3</v>
      </c>
      <c r="R37" t="n">
        <v>2</v>
      </c>
      <c r="S37" t="n">
        <v>2</v>
      </c>
      <c r="T37" t="n">
        <v>4</v>
      </c>
      <c r="U37">
        <f>(AVERAGE(B37:D37)-1)/4</f>
        <v/>
      </c>
      <c r="V37">
        <f>(AVERAGE(E37:F37)-1)/4</f>
        <v/>
      </c>
      <c r="W37">
        <f>(AVERAGE(G37:I37)-1)/4</f>
        <v/>
      </c>
      <c r="X37">
        <f>(AVERAGE(J37:L37)-1)/4</f>
        <v/>
      </c>
      <c r="Y37">
        <f>(AVERAGE(M37:O37)-1)/4</f>
        <v/>
      </c>
      <c r="Z37">
        <f>(AVERAGE(P37:R37)-1)/4</f>
        <v/>
      </c>
      <c r="AA37">
        <f>(AVERAGE(S37:T37)-1)/4</f>
        <v/>
      </c>
      <c r="AB37">
        <f>AVERAGE(U37:Y37)</f>
        <v/>
      </c>
      <c r="AC37">
        <f>MIN(U37:Y37)</f>
        <v/>
      </c>
      <c r="AD37">
        <f>1-alpha*MAX(0,delta-AC37)</f>
        <v/>
      </c>
      <c r="AE37">
        <f>AB37*AD37</f>
        <v/>
      </c>
      <c r="AF37">
        <f>1+COUNTIF(bounds,"&lt;"&amp;ROUND(AB37,12))</f>
        <v/>
      </c>
      <c r="AG37">
        <f>1+COUNTIF(bounds,"&lt;"&amp;ROUND(AE37,12))</f>
        <v/>
      </c>
      <c r="AH37">
        <f>IF(AD37&lt;1,1,0)</f>
        <v/>
      </c>
      <c r="AI37">
        <f>IF(AF37&lt;&gt;AG37,1,0)</f>
        <v/>
      </c>
      <c r="AJ37">
        <f>IF(AND(AG37&gt;=3,Z37&lt;=0.2),1,0)</f>
        <v/>
      </c>
      <c r="AK37">
        <f>AVERAGE(U37:Z37)</f>
        <v/>
      </c>
      <c r="AL37">
        <f>1+COUNTIF(bounds,"&lt;"&amp;ROUND(AK37,12))</f>
        <v/>
      </c>
      <c r="AM37">
        <f>IF(AI37=1,AB37,NA())</f>
        <v/>
      </c>
      <c r="AN37">
        <f>IF(AI37=0,AB37,NA())</f>
        <v/>
      </c>
    </row>
    <row r="38">
      <c r="A38" t="n">
        <v>30</v>
      </c>
      <c r="B38" t="n">
        <v>4</v>
      </c>
      <c r="C38" t="n">
        <v>3</v>
      </c>
      <c r="D38" t="n">
        <v>5</v>
      </c>
      <c r="E38" t="n">
        <v>4</v>
      </c>
      <c r="F38" t="n">
        <v>4</v>
      </c>
      <c r="G38" t="n">
        <v>3</v>
      </c>
      <c r="H38" t="n">
        <v>4</v>
      </c>
      <c r="I38" t="n">
        <v>2</v>
      </c>
      <c r="J38" t="n">
        <v>5</v>
      </c>
      <c r="K38" t="n">
        <v>4</v>
      </c>
      <c r="L38" t="n">
        <v>5</v>
      </c>
      <c r="M38" t="n">
        <v>2</v>
      </c>
      <c r="N38" t="n">
        <v>2</v>
      </c>
      <c r="O38" t="n">
        <v>2</v>
      </c>
      <c r="P38" t="n">
        <v>2</v>
      </c>
      <c r="Q38" t="n">
        <v>4</v>
      </c>
      <c r="R38" t="n">
        <v>4</v>
      </c>
      <c r="S38" t="n">
        <v>3</v>
      </c>
      <c r="T38" t="n">
        <v>4</v>
      </c>
      <c r="U38">
        <f>(AVERAGE(B38:D38)-1)/4</f>
        <v/>
      </c>
      <c r="V38">
        <f>(AVERAGE(E38:F38)-1)/4</f>
        <v/>
      </c>
      <c r="W38">
        <f>(AVERAGE(G38:I38)-1)/4</f>
        <v/>
      </c>
      <c r="X38">
        <f>(AVERAGE(J38:L38)-1)/4</f>
        <v/>
      </c>
      <c r="Y38">
        <f>(AVERAGE(M38:O38)-1)/4</f>
        <v/>
      </c>
      <c r="Z38">
        <f>(AVERAGE(P38:R38)-1)/4</f>
        <v/>
      </c>
      <c r="AA38">
        <f>(AVERAGE(S38:T38)-1)/4</f>
        <v/>
      </c>
      <c r="AB38">
        <f>AVERAGE(U38:Y38)</f>
        <v/>
      </c>
      <c r="AC38">
        <f>MIN(U38:Y38)</f>
        <v/>
      </c>
      <c r="AD38">
        <f>1-alpha*MAX(0,delta-AC38)</f>
        <v/>
      </c>
      <c r="AE38">
        <f>AB38*AD38</f>
        <v/>
      </c>
      <c r="AF38">
        <f>1+COUNTIF(bounds,"&lt;"&amp;ROUND(AB38,12))</f>
        <v/>
      </c>
      <c r="AG38">
        <f>1+COUNTIF(bounds,"&lt;"&amp;ROUND(AE38,12))</f>
        <v/>
      </c>
      <c r="AH38">
        <f>IF(AD38&lt;1,1,0)</f>
        <v/>
      </c>
      <c r="AI38">
        <f>IF(AF38&lt;&gt;AG38,1,0)</f>
        <v/>
      </c>
      <c r="AJ38">
        <f>IF(AND(AG38&gt;=3,Z38&lt;=0.2),1,0)</f>
        <v/>
      </c>
      <c r="AK38">
        <f>AVERAGE(U38:Z38)</f>
        <v/>
      </c>
      <c r="AL38">
        <f>1+COUNTIF(bounds,"&lt;"&amp;ROUND(AK38,12))</f>
        <v/>
      </c>
      <c r="AM38">
        <f>IF(AI38=1,AB38,NA())</f>
        <v/>
      </c>
      <c r="AN38">
        <f>IF(AI38=0,AB38,NA())</f>
        <v/>
      </c>
    </row>
    <row r="39">
      <c r="A39" t="n">
        <v>31</v>
      </c>
      <c r="B39" t="n">
        <v>5</v>
      </c>
      <c r="C39" t="n">
        <v>1</v>
      </c>
      <c r="D39" t="n">
        <v>5</v>
      </c>
      <c r="E39" t="n">
        <v>3</v>
      </c>
      <c r="F39" t="n">
        <v>5</v>
      </c>
      <c r="G39" t="n">
        <v>1</v>
      </c>
      <c r="H39" t="n">
        <v>5</v>
      </c>
      <c r="I39" t="n">
        <v>4</v>
      </c>
      <c r="J39" t="n">
        <v>5</v>
      </c>
      <c r="K39" t="n">
        <v>2</v>
      </c>
      <c r="L39" t="n">
        <v>4</v>
      </c>
      <c r="M39" t="n">
        <v>3</v>
      </c>
      <c r="N39" t="n">
        <v>3</v>
      </c>
      <c r="O39" t="n">
        <v>3</v>
      </c>
      <c r="P39" t="n">
        <v>3</v>
      </c>
      <c r="Q39" t="n">
        <v>5</v>
      </c>
      <c r="R39" t="n">
        <v>2</v>
      </c>
      <c r="S39" t="n">
        <v>5</v>
      </c>
      <c r="T39" t="n">
        <v>5</v>
      </c>
      <c r="U39">
        <f>(AVERAGE(B39:D39)-1)/4</f>
        <v/>
      </c>
      <c r="V39">
        <f>(AVERAGE(E39:F39)-1)/4</f>
        <v/>
      </c>
      <c r="W39">
        <f>(AVERAGE(G39:I39)-1)/4</f>
        <v/>
      </c>
      <c r="X39">
        <f>(AVERAGE(J39:L39)-1)/4</f>
        <v/>
      </c>
      <c r="Y39">
        <f>(AVERAGE(M39:O39)-1)/4</f>
        <v/>
      </c>
      <c r="Z39">
        <f>(AVERAGE(P39:R39)-1)/4</f>
        <v/>
      </c>
      <c r="AA39">
        <f>(AVERAGE(S39:T39)-1)/4</f>
        <v/>
      </c>
      <c r="AB39">
        <f>AVERAGE(U39:Y39)</f>
        <v/>
      </c>
      <c r="AC39">
        <f>MIN(U39:Y39)</f>
        <v/>
      </c>
      <c r="AD39">
        <f>1-alpha*MAX(0,delta-AC39)</f>
        <v/>
      </c>
      <c r="AE39">
        <f>AB39*AD39</f>
        <v/>
      </c>
      <c r="AF39">
        <f>1+COUNTIF(bounds,"&lt;"&amp;ROUND(AB39,12))</f>
        <v/>
      </c>
      <c r="AG39">
        <f>1+COUNTIF(bounds,"&lt;"&amp;ROUND(AE39,12))</f>
        <v/>
      </c>
      <c r="AH39">
        <f>IF(AD39&lt;1,1,0)</f>
        <v/>
      </c>
      <c r="AI39">
        <f>IF(AF39&lt;&gt;AG39,1,0)</f>
        <v/>
      </c>
      <c r="AJ39">
        <f>IF(AND(AG39&gt;=3,Z39&lt;=0.2),1,0)</f>
        <v/>
      </c>
      <c r="AK39">
        <f>AVERAGE(U39:Z39)</f>
        <v/>
      </c>
      <c r="AL39">
        <f>1+COUNTIF(bounds,"&lt;"&amp;ROUND(AK39,12))</f>
        <v/>
      </c>
      <c r="AM39">
        <f>IF(AI39=1,AB39,NA())</f>
        <v/>
      </c>
      <c r="AN39">
        <f>IF(AI39=0,AB39,NA())</f>
        <v/>
      </c>
    </row>
    <row r="40">
      <c r="A40" t="n">
        <v>32</v>
      </c>
      <c r="B40" t="n">
        <v>4</v>
      </c>
      <c r="C40" t="n">
        <v>4</v>
      </c>
      <c r="D40" t="n">
        <v>4</v>
      </c>
      <c r="E40" t="n">
        <v>4</v>
      </c>
      <c r="F40" t="n">
        <v>2</v>
      </c>
      <c r="G40" t="n">
        <v>1</v>
      </c>
      <c r="H40" t="n">
        <v>2</v>
      </c>
      <c r="I40" t="n">
        <v>1</v>
      </c>
      <c r="J40" t="n">
        <v>3</v>
      </c>
      <c r="K40" t="n">
        <v>1</v>
      </c>
      <c r="L40" t="n">
        <v>3</v>
      </c>
      <c r="M40" t="n">
        <v>1</v>
      </c>
      <c r="N40" t="n">
        <v>1</v>
      </c>
      <c r="O40" t="n">
        <v>3</v>
      </c>
      <c r="P40" t="n">
        <v>3</v>
      </c>
      <c r="Q40" t="n">
        <v>5</v>
      </c>
      <c r="R40" t="n">
        <v>3</v>
      </c>
      <c r="S40" t="n">
        <v>5</v>
      </c>
      <c r="T40" t="n">
        <v>3</v>
      </c>
      <c r="U40">
        <f>(AVERAGE(B40:D40)-1)/4</f>
        <v/>
      </c>
      <c r="V40">
        <f>(AVERAGE(E40:F40)-1)/4</f>
        <v/>
      </c>
      <c r="W40">
        <f>(AVERAGE(G40:I40)-1)/4</f>
        <v/>
      </c>
      <c r="X40">
        <f>(AVERAGE(J40:L40)-1)/4</f>
        <v/>
      </c>
      <c r="Y40">
        <f>(AVERAGE(M40:O40)-1)/4</f>
        <v/>
      </c>
      <c r="Z40">
        <f>(AVERAGE(P40:R40)-1)/4</f>
        <v/>
      </c>
      <c r="AA40">
        <f>(AVERAGE(S40:T40)-1)/4</f>
        <v/>
      </c>
      <c r="AB40">
        <f>AVERAGE(U40:Y40)</f>
        <v/>
      </c>
      <c r="AC40">
        <f>MIN(U40:Y40)</f>
        <v/>
      </c>
      <c r="AD40">
        <f>1-alpha*MAX(0,delta-AC40)</f>
        <v/>
      </c>
      <c r="AE40">
        <f>AB40*AD40</f>
        <v/>
      </c>
      <c r="AF40">
        <f>1+COUNTIF(bounds,"&lt;"&amp;ROUND(AB40,12))</f>
        <v/>
      </c>
      <c r="AG40">
        <f>1+COUNTIF(bounds,"&lt;"&amp;ROUND(AE40,12))</f>
        <v/>
      </c>
      <c r="AH40">
        <f>IF(AD40&lt;1,1,0)</f>
        <v/>
      </c>
      <c r="AI40">
        <f>IF(AF40&lt;&gt;AG40,1,0)</f>
        <v/>
      </c>
      <c r="AJ40">
        <f>IF(AND(AG40&gt;=3,Z40&lt;=0.2),1,0)</f>
        <v/>
      </c>
      <c r="AK40">
        <f>AVERAGE(U40:Z40)</f>
        <v/>
      </c>
      <c r="AL40">
        <f>1+COUNTIF(bounds,"&lt;"&amp;ROUND(AK40,12))</f>
        <v/>
      </c>
      <c r="AM40">
        <f>IF(AI40=1,AB40,NA())</f>
        <v/>
      </c>
      <c r="AN40">
        <f>IF(AI40=0,AB40,NA())</f>
        <v/>
      </c>
    </row>
    <row r="41">
      <c r="A41" t="n">
        <v>33</v>
      </c>
      <c r="B41" t="n">
        <v>3</v>
      </c>
      <c r="C41" t="n">
        <v>5</v>
      </c>
      <c r="D41" t="n">
        <v>2</v>
      </c>
      <c r="E41" t="n">
        <v>5</v>
      </c>
      <c r="F41" t="n">
        <v>1</v>
      </c>
      <c r="G41" t="n">
        <v>4</v>
      </c>
      <c r="H41" t="n">
        <v>5</v>
      </c>
      <c r="I41" t="n">
        <v>1</v>
      </c>
      <c r="J41" t="n">
        <v>1</v>
      </c>
      <c r="K41" t="n">
        <v>4</v>
      </c>
      <c r="L41" t="n">
        <v>4</v>
      </c>
      <c r="M41" t="n">
        <v>1</v>
      </c>
      <c r="N41" t="n">
        <v>5</v>
      </c>
      <c r="O41" t="n">
        <v>2</v>
      </c>
      <c r="P41" t="n">
        <v>2</v>
      </c>
      <c r="Q41" t="n">
        <v>5</v>
      </c>
      <c r="R41" t="n">
        <v>5</v>
      </c>
      <c r="S41" t="n">
        <v>1</v>
      </c>
      <c r="T41" t="n">
        <v>3</v>
      </c>
      <c r="U41">
        <f>(AVERAGE(B41:D41)-1)/4</f>
        <v/>
      </c>
      <c r="V41">
        <f>(AVERAGE(E41:F41)-1)/4</f>
        <v/>
      </c>
      <c r="W41">
        <f>(AVERAGE(G41:I41)-1)/4</f>
        <v/>
      </c>
      <c r="X41">
        <f>(AVERAGE(J41:L41)-1)/4</f>
        <v/>
      </c>
      <c r="Y41">
        <f>(AVERAGE(M41:O41)-1)/4</f>
        <v/>
      </c>
      <c r="Z41">
        <f>(AVERAGE(P41:R41)-1)/4</f>
        <v/>
      </c>
      <c r="AA41">
        <f>(AVERAGE(S41:T41)-1)/4</f>
        <v/>
      </c>
      <c r="AB41">
        <f>AVERAGE(U41:Y41)</f>
        <v/>
      </c>
      <c r="AC41">
        <f>MIN(U41:Y41)</f>
        <v/>
      </c>
      <c r="AD41">
        <f>1-alpha*MAX(0,delta-AC41)</f>
        <v/>
      </c>
      <c r="AE41">
        <f>AB41*AD41</f>
        <v/>
      </c>
      <c r="AF41">
        <f>1+COUNTIF(bounds,"&lt;"&amp;ROUND(AB41,12))</f>
        <v/>
      </c>
      <c r="AG41">
        <f>1+COUNTIF(bounds,"&lt;"&amp;ROUND(AE41,12))</f>
        <v/>
      </c>
      <c r="AH41">
        <f>IF(AD41&lt;1,1,0)</f>
        <v/>
      </c>
      <c r="AI41">
        <f>IF(AF41&lt;&gt;AG41,1,0)</f>
        <v/>
      </c>
      <c r="AJ41">
        <f>IF(AND(AG41&gt;=3,Z41&lt;=0.2),1,0)</f>
        <v/>
      </c>
      <c r="AK41">
        <f>AVERAGE(U41:Z41)</f>
        <v/>
      </c>
      <c r="AL41">
        <f>1+COUNTIF(bounds,"&lt;"&amp;ROUND(AK41,12))</f>
        <v/>
      </c>
      <c r="AM41">
        <f>IF(AI41=1,AB41,NA())</f>
        <v/>
      </c>
      <c r="AN41">
        <f>IF(AI41=0,AB41,NA())</f>
        <v/>
      </c>
    </row>
    <row r="42">
      <c r="A42" t="n">
        <v>34</v>
      </c>
      <c r="B42" t="n">
        <v>3</v>
      </c>
      <c r="C42" t="n">
        <v>5</v>
      </c>
      <c r="D42" t="n">
        <v>1</v>
      </c>
      <c r="E42" t="n">
        <v>5</v>
      </c>
      <c r="F42" t="n">
        <v>4</v>
      </c>
      <c r="G42" t="n">
        <v>2</v>
      </c>
      <c r="H42" t="n">
        <v>3</v>
      </c>
      <c r="I42" t="n">
        <v>1</v>
      </c>
      <c r="J42" t="n">
        <v>5</v>
      </c>
      <c r="K42" t="n">
        <v>5</v>
      </c>
      <c r="L42" t="n">
        <v>5</v>
      </c>
      <c r="M42" t="n">
        <v>1</v>
      </c>
      <c r="N42" t="n">
        <v>1</v>
      </c>
      <c r="O42" t="n">
        <v>4</v>
      </c>
      <c r="P42" t="n">
        <v>2</v>
      </c>
      <c r="Q42" t="n">
        <v>1</v>
      </c>
      <c r="R42" t="n">
        <v>4</v>
      </c>
      <c r="S42" t="n">
        <v>3</v>
      </c>
      <c r="T42" t="n">
        <v>2</v>
      </c>
      <c r="U42">
        <f>(AVERAGE(B42:D42)-1)/4</f>
        <v/>
      </c>
      <c r="V42">
        <f>(AVERAGE(E42:F42)-1)/4</f>
        <v/>
      </c>
      <c r="W42">
        <f>(AVERAGE(G42:I42)-1)/4</f>
        <v/>
      </c>
      <c r="X42">
        <f>(AVERAGE(J42:L42)-1)/4</f>
        <v/>
      </c>
      <c r="Y42">
        <f>(AVERAGE(M42:O42)-1)/4</f>
        <v/>
      </c>
      <c r="Z42">
        <f>(AVERAGE(P42:R42)-1)/4</f>
        <v/>
      </c>
      <c r="AA42">
        <f>(AVERAGE(S42:T42)-1)/4</f>
        <v/>
      </c>
      <c r="AB42">
        <f>AVERAGE(U42:Y42)</f>
        <v/>
      </c>
      <c r="AC42">
        <f>MIN(U42:Y42)</f>
        <v/>
      </c>
      <c r="AD42">
        <f>1-alpha*MAX(0,delta-AC42)</f>
        <v/>
      </c>
      <c r="AE42">
        <f>AB42*AD42</f>
        <v/>
      </c>
      <c r="AF42">
        <f>1+COUNTIF(bounds,"&lt;"&amp;ROUND(AB42,12))</f>
        <v/>
      </c>
      <c r="AG42">
        <f>1+COUNTIF(bounds,"&lt;"&amp;ROUND(AE42,12))</f>
        <v/>
      </c>
      <c r="AH42">
        <f>IF(AD42&lt;1,1,0)</f>
        <v/>
      </c>
      <c r="AI42">
        <f>IF(AF42&lt;&gt;AG42,1,0)</f>
        <v/>
      </c>
      <c r="AJ42">
        <f>IF(AND(AG42&gt;=3,Z42&lt;=0.2),1,0)</f>
        <v/>
      </c>
      <c r="AK42">
        <f>AVERAGE(U42:Z42)</f>
        <v/>
      </c>
      <c r="AL42">
        <f>1+COUNTIF(bounds,"&lt;"&amp;ROUND(AK42,12))</f>
        <v/>
      </c>
      <c r="AM42">
        <f>IF(AI42=1,AB42,NA())</f>
        <v/>
      </c>
      <c r="AN42">
        <f>IF(AI42=0,AB42,NA())</f>
        <v/>
      </c>
    </row>
    <row r="43">
      <c r="A43" t="n">
        <v>35</v>
      </c>
      <c r="B43" t="n">
        <v>4</v>
      </c>
      <c r="C43" t="n">
        <v>3</v>
      </c>
      <c r="D43" t="n">
        <v>4</v>
      </c>
      <c r="E43" t="n">
        <v>5</v>
      </c>
      <c r="F43" t="n">
        <v>2</v>
      </c>
      <c r="G43" t="n">
        <v>4</v>
      </c>
      <c r="H43" t="n">
        <v>1</v>
      </c>
      <c r="I43" t="n">
        <v>5</v>
      </c>
      <c r="J43" t="n">
        <v>4</v>
      </c>
      <c r="K43" t="n">
        <v>3</v>
      </c>
      <c r="L43" t="n">
        <v>5</v>
      </c>
      <c r="M43" t="n">
        <v>5</v>
      </c>
      <c r="N43" t="n">
        <v>5</v>
      </c>
      <c r="O43" t="n">
        <v>4</v>
      </c>
      <c r="P43" t="n">
        <v>1</v>
      </c>
      <c r="Q43" t="n">
        <v>2</v>
      </c>
      <c r="R43" t="n">
        <v>2</v>
      </c>
      <c r="S43" t="n">
        <v>2</v>
      </c>
      <c r="T43" t="n">
        <v>5</v>
      </c>
      <c r="U43">
        <f>(AVERAGE(B43:D43)-1)/4</f>
        <v/>
      </c>
      <c r="V43">
        <f>(AVERAGE(E43:F43)-1)/4</f>
        <v/>
      </c>
      <c r="W43">
        <f>(AVERAGE(G43:I43)-1)/4</f>
        <v/>
      </c>
      <c r="X43">
        <f>(AVERAGE(J43:L43)-1)/4</f>
        <v/>
      </c>
      <c r="Y43">
        <f>(AVERAGE(M43:O43)-1)/4</f>
        <v/>
      </c>
      <c r="Z43">
        <f>(AVERAGE(P43:R43)-1)/4</f>
        <v/>
      </c>
      <c r="AA43">
        <f>(AVERAGE(S43:T43)-1)/4</f>
        <v/>
      </c>
      <c r="AB43">
        <f>AVERAGE(U43:Y43)</f>
        <v/>
      </c>
      <c r="AC43">
        <f>MIN(U43:Y43)</f>
        <v/>
      </c>
      <c r="AD43">
        <f>1-alpha*MAX(0,delta-AC43)</f>
        <v/>
      </c>
      <c r="AE43">
        <f>AB43*AD43</f>
        <v/>
      </c>
      <c r="AF43">
        <f>1+COUNTIF(bounds,"&lt;"&amp;ROUND(AB43,12))</f>
        <v/>
      </c>
      <c r="AG43">
        <f>1+COUNTIF(bounds,"&lt;"&amp;ROUND(AE43,12))</f>
        <v/>
      </c>
      <c r="AH43">
        <f>IF(AD43&lt;1,1,0)</f>
        <v/>
      </c>
      <c r="AI43">
        <f>IF(AF43&lt;&gt;AG43,1,0)</f>
        <v/>
      </c>
      <c r="AJ43">
        <f>IF(AND(AG43&gt;=3,Z43&lt;=0.2),1,0)</f>
        <v/>
      </c>
      <c r="AK43">
        <f>AVERAGE(U43:Z43)</f>
        <v/>
      </c>
      <c r="AL43">
        <f>1+COUNTIF(bounds,"&lt;"&amp;ROUND(AK43,12))</f>
        <v/>
      </c>
      <c r="AM43">
        <f>IF(AI43=1,AB43,NA())</f>
        <v/>
      </c>
      <c r="AN43">
        <f>IF(AI43=0,AB43,NA())</f>
        <v/>
      </c>
    </row>
    <row r="44">
      <c r="A44" t="n">
        <v>36</v>
      </c>
      <c r="B44" t="n">
        <v>1</v>
      </c>
      <c r="C44" t="n">
        <v>4</v>
      </c>
      <c r="D44" t="n">
        <v>5</v>
      </c>
      <c r="E44" t="n">
        <v>1</v>
      </c>
      <c r="F44" t="n">
        <v>5</v>
      </c>
      <c r="G44" t="n">
        <v>4</v>
      </c>
      <c r="H44" t="n">
        <v>5</v>
      </c>
      <c r="I44" t="n">
        <v>5</v>
      </c>
      <c r="J44" t="n">
        <v>2</v>
      </c>
      <c r="K44" t="n">
        <v>1</v>
      </c>
      <c r="L44" t="n">
        <v>1</v>
      </c>
      <c r="M44" t="n">
        <v>5</v>
      </c>
      <c r="N44" t="n">
        <v>1</v>
      </c>
      <c r="O44" t="n">
        <v>5</v>
      </c>
      <c r="P44" t="n">
        <v>1</v>
      </c>
      <c r="Q44" t="n">
        <v>2</v>
      </c>
      <c r="R44" t="n">
        <v>4</v>
      </c>
      <c r="S44" t="n">
        <v>2</v>
      </c>
      <c r="T44" t="n">
        <v>1</v>
      </c>
      <c r="U44">
        <f>(AVERAGE(B44:D44)-1)/4</f>
        <v/>
      </c>
      <c r="V44">
        <f>(AVERAGE(E44:F44)-1)/4</f>
        <v/>
      </c>
      <c r="W44">
        <f>(AVERAGE(G44:I44)-1)/4</f>
        <v/>
      </c>
      <c r="X44">
        <f>(AVERAGE(J44:L44)-1)/4</f>
        <v/>
      </c>
      <c r="Y44">
        <f>(AVERAGE(M44:O44)-1)/4</f>
        <v/>
      </c>
      <c r="Z44">
        <f>(AVERAGE(P44:R44)-1)/4</f>
        <v/>
      </c>
      <c r="AA44">
        <f>(AVERAGE(S44:T44)-1)/4</f>
        <v/>
      </c>
      <c r="AB44">
        <f>AVERAGE(U44:Y44)</f>
        <v/>
      </c>
      <c r="AC44">
        <f>MIN(U44:Y44)</f>
        <v/>
      </c>
      <c r="AD44">
        <f>1-alpha*MAX(0,delta-AC44)</f>
        <v/>
      </c>
      <c r="AE44">
        <f>AB44*AD44</f>
        <v/>
      </c>
      <c r="AF44">
        <f>1+COUNTIF(bounds,"&lt;"&amp;ROUND(AB44,12))</f>
        <v/>
      </c>
      <c r="AG44">
        <f>1+COUNTIF(bounds,"&lt;"&amp;ROUND(AE44,12))</f>
        <v/>
      </c>
      <c r="AH44">
        <f>IF(AD44&lt;1,1,0)</f>
        <v/>
      </c>
      <c r="AI44">
        <f>IF(AF44&lt;&gt;AG44,1,0)</f>
        <v/>
      </c>
      <c r="AJ44">
        <f>IF(AND(AG44&gt;=3,Z44&lt;=0.2),1,0)</f>
        <v/>
      </c>
      <c r="AK44">
        <f>AVERAGE(U44:Z44)</f>
        <v/>
      </c>
      <c r="AL44">
        <f>1+COUNTIF(bounds,"&lt;"&amp;ROUND(AK44,12))</f>
        <v/>
      </c>
      <c r="AM44">
        <f>IF(AI44=1,AB44,NA())</f>
        <v/>
      </c>
      <c r="AN44">
        <f>IF(AI44=0,AB44,NA())</f>
        <v/>
      </c>
    </row>
    <row r="45">
      <c r="A45" t="n">
        <v>37</v>
      </c>
      <c r="B45" t="n">
        <v>4</v>
      </c>
      <c r="C45" t="n">
        <v>2</v>
      </c>
      <c r="D45" t="n">
        <v>4</v>
      </c>
      <c r="E45" t="n">
        <v>1</v>
      </c>
      <c r="F45" t="n">
        <v>3</v>
      </c>
      <c r="G45" t="n">
        <v>5</v>
      </c>
      <c r="H45" t="n">
        <v>4</v>
      </c>
      <c r="I45" t="n">
        <v>1</v>
      </c>
      <c r="J45" t="n">
        <v>2</v>
      </c>
      <c r="K45" t="n">
        <v>5</v>
      </c>
      <c r="L45" t="n">
        <v>1</v>
      </c>
      <c r="M45" t="n">
        <v>2</v>
      </c>
      <c r="N45" t="n">
        <v>2</v>
      </c>
      <c r="O45" t="n">
        <v>2</v>
      </c>
      <c r="P45" t="n">
        <v>4</v>
      </c>
      <c r="Q45" t="n">
        <v>1</v>
      </c>
      <c r="R45" t="n">
        <v>1</v>
      </c>
      <c r="S45" t="n">
        <v>4</v>
      </c>
      <c r="T45" t="n">
        <v>2</v>
      </c>
      <c r="U45">
        <f>(AVERAGE(B45:D45)-1)/4</f>
        <v/>
      </c>
      <c r="V45">
        <f>(AVERAGE(E45:F45)-1)/4</f>
        <v/>
      </c>
      <c r="W45">
        <f>(AVERAGE(G45:I45)-1)/4</f>
        <v/>
      </c>
      <c r="X45">
        <f>(AVERAGE(J45:L45)-1)/4</f>
        <v/>
      </c>
      <c r="Y45">
        <f>(AVERAGE(M45:O45)-1)/4</f>
        <v/>
      </c>
      <c r="Z45">
        <f>(AVERAGE(P45:R45)-1)/4</f>
        <v/>
      </c>
      <c r="AA45">
        <f>(AVERAGE(S45:T45)-1)/4</f>
        <v/>
      </c>
      <c r="AB45">
        <f>AVERAGE(U45:Y45)</f>
        <v/>
      </c>
      <c r="AC45">
        <f>MIN(U45:Y45)</f>
        <v/>
      </c>
      <c r="AD45">
        <f>1-alpha*MAX(0,delta-AC45)</f>
        <v/>
      </c>
      <c r="AE45">
        <f>AB45*AD45</f>
        <v/>
      </c>
      <c r="AF45">
        <f>1+COUNTIF(bounds,"&lt;"&amp;ROUND(AB45,12))</f>
        <v/>
      </c>
      <c r="AG45">
        <f>1+COUNTIF(bounds,"&lt;"&amp;ROUND(AE45,12))</f>
        <v/>
      </c>
      <c r="AH45">
        <f>IF(AD45&lt;1,1,0)</f>
        <v/>
      </c>
      <c r="AI45">
        <f>IF(AF45&lt;&gt;AG45,1,0)</f>
        <v/>
      </c>
      <c r="AJ45">
        <f>IF(AND(AG45&gt;=3,Z45&lt;=0.2),1,0)</f>
        <v/>
      </c>
      <c r="AK45">
        <f>AVERAGE(U45:Z45)</f>
        <v/>
      </c>
      <c r="AL45">
        <f>1+COUNTIF(bounds,"&lt;"&amp;ROUND(AK45,12))</f>
        <v/>
      </c>
      <c r="AM45">
        <f>IF(AI45=1,AB45,NA())</f>
        <v/>
      </c>
      <c r="AN45">
        <f>IF(AI45=0,AB45,NA())</f>
        <v/>
      </c>
    </row>
    <row r="46">
      <c r="A46" t="n">
        <v>38</v>
      </c>
      <c r="B46" t="n">
        <v>2</v>
      </c>
      <c r="C46" t="n">
        <v>4</v>
      </c>
      <c r="D46" t="n">
        <v>1</v>
      </c>
      <c r="E46" t="n">
        <v>4</v>
      </c>
      <c r="F46" t="n">
        <v>4</v>
      </c>
      <c r="G46" t="n">
        <v>5</v>
      </c>
      <c r="H46" t="n">
        <v>5</v>
      </c>
      <c r="I46" t="n">
        <v>4</v>
      </c>
      <c r="J46" t="n">
        <v>5</v>
      </c>
      <c r="K46" t="n">
        <v>5</v>
      </c>
      <c r="L46" t="n">
        <v>3</v>
      </c>
      <c r="M46" t="n">
        <v>5</v>
      </c>
      <c r="N46" t="n">
        <v>1</v>
      </c>
      <c r="O46" t="n">
        <v>1</v>
      </c>
      <c r="P46" t="n">
        <v>4</v>
      </c>
      <c r="Q46" t="n">
        <v>2</v>
      </c>
      <c r="R46" t="n">
        <v>5</v>
      </c>
      <c r="S46" t="n">
        <v>5</v>
      </c>
      <c r="T46" t="n">
        <v>3</v>
      </c>
      <c r="U46">
        <f>(AVERAGE(B46:D46)-1)/4</f>
        <v/>
      </c>
      <c r="V46">
        <f>(AVERAGE(E46:F46)-1)/4</f>
        <v/>
      </c>
      <c r="W46">
        <f>(AVERAGE(G46:I46)-1)/4</f>
        <v/>
      </c>
      <c r="X46">
        <f>(AVERAGE(J46:L46)-1)/4</f>
        <v/>
      </c>
      <c r="Y46">
        <f>(AVERAGE(M46:O46)-1)/4</f>
        <v/>
      </c>
      <c r="Z46">
        <f>(AVERAGE(P46:R46)-1)/4</f>
        <v/>
      </c>
      <c r="AA46">
        <f>(AVERAGE(S46:T46)-1)/4</f>
        <v/>
      </c>
      <c r="AB46">
        <f>AVERAGE(U46:Y46)</f>
        <v/>
      </c>
      <c r="AC46">
        <f>MIN(U46:Y46)</f>
        <v/>
      </c>
      <c r="AD46">
        <f>1-alpha*MAX(0,delta-AC46)</f>
        <v/>
      </c>
      <c r="AE46">
        <f>AB46*AD46</f>
        <v/>
      </c>
      <c r="AF46">
        <f>1+COUNTIF(bounds,"&lt;"&amp;ROUND(AB46,12))</f>
        <v/>
      </c>
      <c r="AG46">
        <f>1+COUNTIF(bounds,"&lt;"&amp;ROUND(AE46,12))</f>
        <v/>
      </c>
      <c r="AH46">
        <f>IF(AD46&lt;1,1,0)</f>
        <v/>
      </c>
      <c r="AI46">
        <f>IF(AF46&lt;&gt;AG46,1,0)</f>
        <v/>
      </c>
      <c r="AJ46">
        <f>IF(AND(AG46&gt;=3,Z46&lt;=0.2),1,0)</f>
        <v/>
      </c>
      <c r="AK46">
        <f>AVERAGE(U46:Z46)</f>
        <v/>
      </c>
      <c r="AL46">
        <f>1+COUNTIF(bounds,"&lt;"&amp;ROUND(AK46,12))</f>
        <v/>
      </c>
      <c r="AM46">
        <f>IF(AI46=1,AB46,NA())</f>
        <v/>
      </c>
      <c r="AN46">
        <f>IF(AI46=0,AB46,NA())</f>
        <v/>
      </c>
    </row>
    <row r="47">
      <c r="A47" t="n">
        <v>39</v>
      </c>
      <c r="B47" t="n">
        <v>2</v>
      </c>
      <c r="C47" t="n">
        <v>1</v>
      </c>
      <c r="D47" t="n">
        <v>1</v>
      </c>
      <c r="E47" t="n">
        <v>3</v>
      </c>
      <c r="F47" t="n">
        <v>3</v>
      </c>
      <c r="G47" t="n">
        <v>5</v>
      </c>
      <c r="H47" t="n">
        <v>5</v>
      </c>
      <c r="I47" t="n">
        <v>1</v>
      </c>
      <c r="J47" t="n">
        <v>3</v>
      </c>
      <c r="K47" t="n">
        <v>3</v>
      </c>
      <c r="L47" t="n">
        <v>5</v>
      </c>
      <c r="M47" t="n">
        <v>5</v>
      </c>
      <c r="N47" t="n">
        <v>2</v>
      </c>
      <c r="O47" t="n">
        <v>4</v>
      </c>
      <c r="P47" t="n">
        <v>4</v>
      </c>
      <c r="Q47" t="n">
        <v>4</v>
      </c>
      <c r="R47" t="n">
        <v>1</v>
      </c>
      <c r="S47" t="n">
        <v>4</v>
      </c>
      <c r="T47" t="n">
        <v>3</v>
      </c>
      <c r="U47">
        <f>(AVERAGE(B47:D47)-1)/4</f>
        <v/>
      </c>
      <c r="V47">
        <f>(AVERAGE(E47:F47)-1)/4</f>
        <v/>
      </c>
      <c r="W47">
        <f>(AVERAGE(G47:I47)-1)/4</f>
        <v/>
      </c>
      <c r="X47">
        <f>(AVERAGE(J47:L47)-1)/4</f>
        <v/>
      </c>
      <c r="Y47">
        <f>(AVERAGE(M47:O47)-1)/4</f>
        <v/>
      </c>
      <c r="Z47">
        <f>(AVERAGE(P47:R47)-1)/4</f>
        <v/>
      </c>
      <c r="AA47">
        <f>(AVERAGE(S47:T47)-1)/4</f>
        <v/>
      </c>
      <c r="AB47">
        <f>AVERAGE(U47:Y47)</f>
        <v/>
      </c>
      <c r="AC47">
        <f>MIN(U47:Y47)</f>
        <v/>
      </c>
      <c r="AD47">
        <f>1-alpha*MAX(0,delta-AC47)</f>
        <v/>
      </c>
      <c r="AE47">
        <f>AB47*AD47</f>
        <v/>
      </c>
      <c r="AF47">
        <f>1+COUNTIF(bounds,"&lt;"&amp;ROUND(AB47,12))</f>
        <v/>
      </c>
      <c r="AG47">
        <f>1+COUNTIF(bounds,"&lt;"&amp;ROUND(AE47,12))</f>
        <v/>
      </c>
      <c r="AH47">
        <f>IF(AD47&lt;1,1,0)</f>
        <v/>
      </c>
      <c r="AI47">
        <f>IF(AF47&lt;&gt;AG47,1,0)</f>
        <v/>
      </c>
      <c r="AJ47">
        <f>IF(AND(AG47&gt;=3,Z47&lt;=0.2),1,0)</f>
        <v/>
      </c>
      <c r="AK47">
        <f>AVERAGE(U47:Z47)</f>
        <v/>
      </c>
      <c r="AL47">
        <f>1+COUNTIF(bounds,"&lt;"&amp;ROUND(AK47,12))</f>
        <v/>
      </c>
      <c r="AM47">
        <f>IF(AI47=1,AB47,NA())</f>
        <v/>
      </c>
      <c r="AN47">
        <f>IF(AI47=0,AB47,NA())</f>
        <v/>
      </c>
    </row>
    <row r="48">
      <c r="A48" t="n">
        <v>40</v>
      </c>
      <c r="B48" t="n">
        <v>3</v>
      </c>
      <c r="C48" t="n">
        <v>2</v>
      </c>
      <c r="D48" t="n">
        <v>3</v>
      </c>
      <c r="E48" t="n">
        <v>5</v>
      </c>
      <c r="F48" t="n">
        <v>3</v>
      </c>
      <c r="G48" t="n">
        <v>5</v>
      </c>
      <c r="H48" t="n">
        <v>5</v>
      </c>
      <c r="I48" t="n">
        <v>3</v>
      </c>
      <c r="J48" t="n">
        <v>4</v>
      </c>
      <c r="K48" t="n">
        <v>3</v>
      </c>
      <c r="L48" t="n">
        <v>3</v>
      </c>
      <c r="M48" t="n">
        <v>4</v>
      </c>
      <c r="N48" t="n">
        <v>5</v>
      </c>
      <c r="O48" t="n">
        <v>3</v>
      </c>
      <c r="P48" t="n">
        <v>3</v>
      </c>
      <c r="Q48" t="n">
        <v>1</v>
      </c>
      <c r="R48" t="n">
        <v>3</v>
      </c>
      <c r="S48" t="n">
        <v>3</v>
      </c>
      <c r="T48" t="n">
        <v>5</v>
      </c>
      <c r="U48">
        <f>(AVERAGE(B48:D48)-1)/4</f>
        <v/>
      </c>
      <c r="V48">
        <f>(AVERAGE(E48:F48)-1)/4</f>
        <v/>
      </c>
      <c r="W48">
        <f>(AVERAGE(G48:I48)-1)/4</f>
        <v/>
      </c>
      <c r="X48">
        <f>(AVERAGE(J48:L48)-1)/4</f>
        <v/>
      </c>
      <c r="Y48">
        <f>(AVERAGE(M48:O48)-1)/4</f>
        <v/>
      </c>
      <c r="Z48">
        <f>(AVERAGE(P48:R48)-1)/4</f>
        <v/>
      </c>
      <c r="AA48">
        <f>(AVERAGE(S48:T48)-1)/4</f>
        <v/>
      </c>
      <c r="AB48">
        <f>AVERAGE(U48:Y48)</f>
        <v/>
      </c>
      <c r="AC48">
        <f>MIN(U48:Y48)</f>
        <v/>
      </c>
      <c r="AD48">
        <f>1-alpha*MAX(0,delta-AC48)</f>
        <v/>
      </c>
      <c r="AE48">
        <f>AB48*AD48</f>
        <v/>
      </c>
      <c r="AF48">
        <f>1+COUNTIF(bounds,"&lt;"&amp;ROUND(AB48,12))</f>
        <v/>
      </c>
      <c r="AG48">
        <f>1+COUNTIF(bounds,"&lt;"&amp;ROUND(AE48,12))</f>
        <v/>
      </c>
      <c r="AH48">
        <f>IF(AD48&lt;1,1,0)</f>
        <v/>
      </c>
      <c r="AI48">
        <f>IF(AF48&lt;&gt;AG48,1,0)</f>
        <v/>
      </c>
      <c r="AJ48">
        <f>IF(AND(AG48&gt;=3,Z48&lt;=0.2),1,0)</f>
        <v/>
      </c>
      <c r="AK48">
        <f>AVERAGE(U48:Z48)</f>
        <v/>
      </c>
      <c r="AL48">
        <f>1+COUNTIF(bounds,"&lt;"&amp;ROUND(AK48,12))</f>
        <v/>
      </c>
      <c r="AM48">
        <f>IF(AI48=1,AB48,NA())</f>
        <v/>
      </c>
      <c r="AN48">
        <f>IF(AI48=0,AB48,NA())</f>
        <v/>
      </c>
    </row>
    <row r="49">
      <c r="A49" t="n">
        <v>41</v>
      </c>
      <c r="B49" t="n">
        <v>4</v>
      </c>
      <c r="C49" t="n">
        <v>5</v>
      </c>
      <c r="D49" t="n">
        <v>2</v>
      </c>
      <c r="E49" t="n">
        <v>3</v>
      </c>
      <c r="F49" t="n">
        <v>5</v>
      </c>
      <c r="G49" t="n">
        <v>2</v>
      </c>
      <c r="H49" t="n">
        <v>2</v>
      </c>
      <c r="I49" t="n">
        <v>5</v>
      </c>
      <c r="J49" t="n">
        <v>5</v>
      </c>
      <c r="K49" t="n">
        <v>1</v>
      </c>
      <c r="L49" t="n">
        <v>1</v>
      </c>
      <c r="M49" t="n">
        <v>3</v>
      </c>
      <c r="N49" t="n">
        <v>4</v>
      </c>
      <c r="O49" t="n">
        <v>1</v>
      </c>
      <c r="P49" t="n">
        <v>4</v>
      </c>
      <c r="Q49" t="n">
        <v>3</v>
      </c>
      <c r="R49" t="n">
        <v>4</v>
      </c>
      <c r="S49" t="n">
        <v>3</v>
      </c>
      <c r="T49" t="n">
        <v>3</v>
      </c>
      <c r="U49">
        <f>(AVERAGE(B49:D49)-1)/4</f>
        <v/>
      </c>
      <c r="V49">
        <f>(AVERAGE(E49:F49)-1)/4</f>
        <v/>
      </c>
      <c r="W49">
        <f>(AVERAGE(G49:I49)-1)/4</f>
        <v/>
      </c>
      <c r="X49">
        <f>(AVERAGE(J49:L49)-1)/4</f>
        <v/>
      </c>
      <c r="Y49">
        <f>(AVERAGE(M49:O49)-1)/4</f>
        <v/>
      </c>
      <c r="Z49">
        <f>(AVERAGE(P49:R49)-1)/4</f>
        <v/>
      </c>
      <c r="AA49">
        <f>(AVERAGE(S49:T49)-1)/4</f>
        <v/>
      </c>
      <c r="AB49">
        <f>AVERAGE(U49:Y49)</f>
        <v/>
      </c>
      <c r="AC49">
        <f>MIN(U49:Y49)</f>
        <v/>
      </c>
      <c r="AD49">
        <f>1-alpha*MAX(0,delta-AC49)</f>
        <v/>
      </c>
      <c r="AE49">
        <f>AB49*AD49</f>
        <v/>
      </c>
      <c r="AF49">
        <f>1+COUNTIF(bounds,"&lt;"&amp;ROUND(AB49,12))</f>
        <v/>
      </c>
      <c r="AG49">
        <f>1+COUNTIF(bounds,"&lt;"&amp;ROUND(AE49,12))</f>
        <v/>
      </c>
      <c r="AH49">
        <f>IF(AD49&lt;1,1,0)</f>
        <v/>
      </c>
      <c r="AI49">
        <f>IF(AF49&lt;&gt;AG49,1,0)</f>
        <v/>
      </c>
      <c r="AJ49">
        <f>IF(AND(AG49&gt;=3,Z49&lt;=0.2),1,0)</f>
        <v/>
      </c>
      <c r="AK49">
        <f>AVERAGE(U49:Z49)</f>
        <v/>
      </c>
      <c r="AL49">
        <f>1+COUNTIF(bounds,"&lt;"&amp;ROUND(AK49,12))</f>
        <v/>
      </c>
      <c r="AM49">
        <f>IF(AI49=1,AB49,NA())</f>
        <v/>
      </c>
      <c r="AN49">
        <f>IF(AI49=0,AB49,NA())</f>
        <v/>
      </c>
    </row>
    <row r="50">
      <c r="A50" t="n">
        <v>42</v>
      </c>
      <c r="B50" t="n">
        <v>2</v>
      </c>
      <c r="C50" t="n">
        <v>2</v>
      </c>
      <c r="D50" t="n">
        <v>1</v>
      </c>
      <c r="E50" t="n">
        <v>1</v>
      </c>
      <c r="F50" t="n">
        <v>4</v>
      </c>
      <c r="G50" t="n">
        <v>2</v>
      </c>
      <c r="H50" t="n">
        <v>3</v>
      </c>
      <c r="I50" t="n">
        <v>4</v>
      </c>
      <c r="J50" t="n">
        <v>4</v>
      </c>
      <c r="K50" t="n">
        <v>5</v>
      </c>
      <c r="L50" t="n">
        <v>4</v>
      </c>
      <c r="M50" t="n">
        <v>4</v>
      </c>
      <c r="N50" t="n">
        <v>4</v>
      </c>
      <c r="O50" t="n">
        <v>3</v>
      </c>
      <c r="P50" t="n">
        <v>2</v>
      </c>
      <c r="Q50" t="n">
        <v>3</v>
      </c>
      <c r="R50" t="n">
        <v>4</v>
      </c>
      <c r="S50" t="n">
        <v>4</v>
      </c>
      <c r="T50" t="n">
        <v>2</v>
      </c>
      <c r="U50">
        <f>(AVERAGE(B50:D50)-1)/4</f>
        <v/>
      </c>
      <c r="V50">
        <f>(AVERAGE(E50:F50)-1)/4</f>
        <v/>
      </c>
      <c r="W50">
        <f>(AVERAGE(G50:I50)-1)/4</f>
        <v/>
      </c>
      <c r="X50">
        <f>(AVERAGE(J50:L50)-1)/4</f>
        <v/>
      </c>
      <c r="Y50">
        <f>(AVERAGE(M50:O50)-1)/4</f>
        <v/>
      </c>
      <c r="Z50">
        <f>(AVERAGE(P50:R50)-1)/4</f>
        <v/>
      </c>
      <c r="AA50">
        <f>(AVERAGE(S50:T50)-1)/4</f>
        <v/>
      </c>
      <c r="AB50">
        <f>AVERAGE(U50:Y50)</f>
        <v/>
      </c>
      <c r="AC50">
        <f>MIN(U50:Y50)</f>
        <v/>
      </c>
      <c r="AD50">
        <f>1-alpha*MAX(0,delta-AC50)</f>
        <v/>
      </c>
      <c r="AE50">
        <f>AB50*AD50</f>
        <v/>
      </c>
      <c r="AF50">
        <f>1+COUNTIF(bounds,"&lt;"&amp;ROUND(AB50,12))</f>
        <v/>
      </c>
      <c r="AG50">
        <f>1+COUNTIF(bounds,"&lt;"&amp;ROUND(AE50,12))</f>
        <v/>
      </c>
      <c r="AH50">
        <f>IF(AD50&lt;1,1,0)</f>
        <v/>
      </c>
      <c r="AI50">
        <f>IF(AF50&lt;&gt;AG50,1,0)</f>
        <v/>
      </c>
      <c r="AJ50">
        <f>IF(AND(AG50&gt;=3,Z50&lt;=0.2),1,0)</f>
        <v/>
      </c>
      <c r="AK50">
        <f>AVERAGE(U50:Z50)</f>
        <v/>
      </c>
      <c r="AL50">
        <f>1+COUNTIF(bounds,"&lt;"&amp;ROUND(AK50,12))</f>
        <v/>
      </c>
      <c r="AM50">
        <f>IF(AI50=1,AB50,NA())</f>
        <v/>
      </c>
      <c r="AN50">
        <f>IF(AI50=0,AB50,NA())</f>
        <v/>
      </c>
    </row>
    <row r="51">
      <c r="A51" t="n">
        <v>43</v>
      </c>
      <c r="B51" t="n">
        <v>4</v>
      </c>
      <c r="C51" t="n">
        <v>5</v>
      </c>
      <c r="D51" t="n">
        <v>3</v>
      </c>
      <c r="E51" t="n">
        <v>5</v>
      </c>
      <c r="F51" t="n">
        <v>4</v>
      </c>
      <c r="G51" t="n">
        <v>5</v>
      </c>
      <c r="H51" t="n">
        <v>4</v>
      </c>
      <c r="I51" t="n">
        <v>1</v>
      </c>
      <c r="J51" t="n">
        <v>4</v>
      </c>
      <c r="K51" t="n">
        <v>3</v>
      </c>
      <c r="L51" t="n">
        <v>4</v>
      </c>
      <c r="M51" t="n">
        <v>5</v>
      </c>
      <c r="N51" t="n">
        <v>5</v>
      </c>
      <c r="O51" t="n">
        <v>3</v>
      </c>
      <c r="P51" t="n">
        <v>1</v>
      </c>
      <c r="Q51" t="n">
        <v>3</v>
      </c>
      <c r="R51" t="n">
        <v>5</v>
      </c>
      <c r="S51" t="n">
        <v>3</v>
      </c>
      <c r="T51" t="n">
        <v>2</v>
      </c>
      <c r="U51">
        <f>(AVERAGE(B51:D51)-1)/4</f>
        <v/>
      </c>
      <c r="V51">
        <f>(AVERAGE(E51:F51)-1)/4</f>
        <v/>
      </c>
      <c r="W51">
        <f>(AVERAGE(G51:I51)-1)/4</f>
        <v/>
      </c>
      <c r="X51">
        <f>(AVERAGE(J51:L51)-1)/4</f>
        <v/>
      </c>
      <c r="Y51">
        <f>(AVERAGE(M51:O51)-1)/4</f>
        <v/>
      </c>
      <c r="Z51">
        <f>(AVERAGE(P51:R51)-1)/4</f>
        <v/>
      </c>
      <c r="AA51">
        <f>(AVERAGE(S51:T51)-1)/4</f>
        <v/>
      </c>
      <c r="AB51">
        <f>AVERAGE(U51:Y51)</f>
        <v/>
      </c>
      <c r="AC51">
        <f>MIN(U51:Y51)</f>
        <v/>
      </c>
      <c r="AD51">
        <f>1-alpha*MAX(0,delta-AC51)</f>
        <v/>
      </c>
      <c r="AE51">
        <f>AB51*AD51</f>
        <v/>
      </c>
      <c r="AF51">
        <f>1+COUNTIF(bounds,"&lt;"&amp;ROUND(AB51,12))</f>
        <v/>
      </c>
      <c r="AG51">
        <f>1+COUNTIF(bounds,"&lt;"&amp;ROUND(AE51,12))</f>
        <v/>
      </c>
      <c r="AH51">
        <f>IF(AD51&lt;1,1,0)</f>
        <v/>
      </c>
      <c r="AI51">
        <f>IF(AF51&lt;&gt;AG51,1,0)</f>
        <v/>
      </c>
      <c r="AJ51">
        <f>IF(AND(AG51&gt;=3,Z51&lt;=0.2),1,0)</f>
        <v/>
      </c>
      <c r="AK51">
        <f>AVERAGE(U51:Z51)</f>
        <v/>
      </c>
      <c r="AL51">
        <f>1+COUNTIF(bounds,"&lt;"&amp;ROUND(AK51,12))</f>
        <v/>
      </c>
      <c r="AM51">
        <f>IF(AI51=1,AB51,NA())</f>
        <v/>
      </c>
      <c r="AN51">
        <f>IF(AI51=0,AB51,NA())</f>
        <v/>
      </c>
    </row>
    <row r="52">
      <c r="A52" t="n">
        <v>44</v>
      </c>
      <c r="B52" t="n">
        <v>3</v>
      </c>
      <c r="C52" t="n">
        <v>5</v>
      </c>
      <c r="D52" t="n">
        <v>4</v>
      </c>
      <c r="E52" t="n">
        <v>2</v>
      </c>
      <c r="F52" t="n">
        <v>3</v>
      </c>
      <c r="G52" t="n">
        <v>3</v>
      </c>
      <c r="H52" t="n">
        <v>2</v>
      </c>
      <c r="I52" t="n">
        <v>1</v>
      </c>
      <c r="J52" t="n">
        <v>5</v>
      </c>
      <c r="K52" t="n">
        <v>1</v>
      </c>
      <c r="L52" t="n">
        <v>3</v>
      </c>
      <c r="M52" t="n">
        <v>4</v>
      </c>
      <c r="N52" t="n">
        <v>3</v>
      </c>
      <c r="O52" t="n">
        <v>3</v>
      </c>
      <c r="P52" t="n">
        <v>3</v>
      </c>
      <c r="Q52" t="n">
        <v>2</v>
      </c>
      <c r="R52" t="n">
        <v>4</v>
      </c>
      <c r="S52" t="n">
        <v>4</v>
      </c>
      <c r="T52" t="n">
        <v>3</v>
      </c>
      <c r="U52">
        <f>(AVERAGE(B52:D52)-1)/4</f>
        <v/>
      </c>
      <c r="V52">
        <f>(AVERAGE(E52:F52)-1)/4</f>
        <v/>
      </c>
      <c r="W52">
        <f>(AVERAGE(G52:I52)-1)/4</f>
        <v/>
      </c>
      <c r="X52">
        <f>(AVERAGE(J52:L52)-1)/4</f>
        <v/>
      </c>
      <c r="Y52">
        <f>(AVERAGE(M52:O52)-1)/4</f>
        <v/>
      </c>
      <c r="Z52">
        <f>(AVERAGE(P52:R52)-1)/4</f>
        <v/>
      </c>
      <c r="AA52">
        <f>(AVERAGE(S52:T52)-1)/4</f>
        <v/>
      </c>
      <c r="AB52">
        <f>AVERAGE(U52:Y52)</f>
        <v/>
      </c>
      <c r="AC52">
        <f>MIN(U52:Y52)</f>
        <v/>
      </c>
      <c r="AD52">
        <f>1-alpha*MAX(0,delta-AC52)</f>
        <v/>
      </c>
      <c r="AE52">
        <f>AB52*AD52</f>
        <v/>
      </c>
      <c r="AF52">
        <f>1+COUNTIF(bounds,"&lt;"&amp;ROUND(AB52,12))</f>
        <v/>
      </c>
      <c r="AG52">
        <f>1+COUNTIF(bounds,"&lt;"&amp;ROUND(AE52,12))</f>
        <v/>
      </c>
      <c r="AH52">
        <f>IF(AD52&lt;1,1,0)</f>
        <v/>
      </c>
      <c r="AI52">
        <f>IF(AF52&lt;&gt;AG52,1,0)</f>
        <v/>
      </c>
      <c r="AJ52">
        <f>IF(AND(AG52&gt;=3,Z52&lt;=0.2),1,0)</f>
        <v/>
      </c>
      <c r="AK52">
        <f>AVERAGE(U52:Z52)</f>
        <v/>
      </c>
      <c r="AL52">
        <f>1+COUNTIF(bounds,"&lt;"&amp;ROUND(AK52,12))</f>
        <v/>
      </c>
      <c r="AM52">
        <f>IF(AI52=1,AB52,NA())</f>
        <v/>
      </c>
      <c r="AN52">
        <f>IF(AI52=0,AB52,NA())</f>
        <v/>
      </c>
    </row>
    <row r="53">
      <c r="A53" t="n">
        <v>45</v>
      </c>
      <c r="B53" t="n">
        <v>4</v>
      </c>
      <c r="C53" t="n">
        <v>5</v>
      </c>
      <c r="D53" t="n">
        <v>2</v>
      </c>
      <c r="E53" t="n">
        <v>4</v>
      </c>
      <c r="F53" t="n">
        <v>4</v>
      </c>
      <c r="G53" t="n">
        <v>4</v>
      </c>
      <c r="H53" t="n">
        <v>2</v>
      </c>
      <c r="I53" t="n">
        <v>1</v>
      </c>
      <c r="J53" t="n">
        <v>2</v>
      </c>
      <c r="K53" t="n">
        <v>3</v>
      </c>
      <c r="L53" t="n">
        <v>5</v>
      </c>
      <c r="M53" t="n">
        <v>1</v>
      </c>
      <c r="N53" t="n">
        <v>2</v>
      </c>
      <c r="O53" t="n">
        <v>1</v>
      </c>
      <c r="P53" t="n">
        <v>5</v>
      </c>
      <c r="Q53" t="n">
        <v>1</v>
      </c>
      <c r="R53" t="n">
        <v>3</v>
      </c>
      <c r="S53" t="n">
        <v>5</v>
      </c>
      <c r="T53" t="n">
        <v>4</v>
      </c>
      <c r="U53">
        <f>(AVERAGE(B53:D53)-1)/4</f>
        <v/>
      </c>
      <c r="V53">
        <f>(AVERAGE(E53:F53)-1)/4</f>
        <v/>
      </c>
      <c r="W53">
        <f>(AVERAGE(G53:I53)-1)/4</f>
        <v/>
      </c>
      <c r="X53">
        <f>(AVERAGE(J53:L53)-1)/4</f>
        <v/>
      </c>
      <c r="Y53">
        <f>(AVERAGE(M53:O53)-1)/4</f>
        <v/>
      </c>
      <c r="Z53">
        <f>(AVERAGE(P53:R53)-1)/4</f>
        <v/>
      </c>
      <c r="AA53">
        <f>(AVERAGE(S53:T53)-1)/4</f>
        <v/>
      </c>
      <c r="AB53">
        <f>AVERAGE(U53:Y53)</f>
        <v/>
      </c>
      <c r="AC53">
        <f>MIN(U53:Y53)</f>
        <v/>
      </c>
      <c r="AD53">
        <f>1-alpha*MAX(0,delta-AC53)</f>
        <v/>
      </c>
      <c r="AE53">
        <f>AB53*AD53</f>
        <v/>
      </c>
      <c r="AF53">
        <f>1+COUNTIF(bounds,"&lt;"&amp;ROUND(AB53,12))</f>
        <v/>
      </c>
      <c r="AG53">
        <f>1+COUNTIF(bounds,"&lt;"&amp;ROUND(AE53,12))</f>
        <v/>
      </c>
      <c r="AH53">
        <f>IF(AD53&lt;1,1,0)</f>
        <v/>
      </c>
      <c r="AI53">
        <f>IF(AF53&lt;&gt;AG53,1,0)</f>
        <v/>
      </c>
      <c r="AJ53">
        <f>IF(AND(AG53&gt;=3,Z53&lt;=0.2),1,0)</f>
        <v/>
      </c>
      <c r="AK53">
        <f>AVERAGE(U53:Z53)</f>
        <v/>
      </c>
      <c r="AL53">
        <f>1+COUNTIF(bounds,"&lt;"&amp;ROUND(AK53,12))</f>
        <v/>
      </c>
      <c r="AM53">
        <f>IF(AI53=1,AB53,NA())</f>
        <v/>
      </c>
      <c r="AN53">
        <f>IF(AI53=0,AB53,NA())</f>
        <v/>
      </c>
    </row>
    <row r="54">
      <c r="A54" t="n">
        <v>46</v>
      </c>
      <c r="B54" t="n">
        <v>4</v>
      </c>
      <c r="C54" t="n">
        <v>4</v>
      </c>
      <c r="D54" t="n">
        <v>5</v>
      </c>
      <c r="E54" t="n">
        <v>1</v>
      </c>
      <c r="F54" t="n">
        <v>2</v>
      </c>
      <c r="G54" t="n">
        <v>5</v>
      </c>
      <c r="H54" t="n">
        <v>3</v>
      </c>
      <c r="I54" t="n">
        <v>5</v>
      </c>
      <c r="J54" t="n">
        <v>3</v>
      </c>
      <c r="K54" t="n">
        <v>5</v>
      </c>
      <c r="L54" t="n">
        <v>5</v>
      </c>
      <c r="M54" t="n">
        <v>3</v>
      </c>
      <c r="N54" t="n">
        <v>3</v>
      </c>
      <c r="O54" t="n">
        <v>4</v>
      </c>
      <c r="P54" t="n">
        <v>4</v>
      </c>
      <c r="Q54" t="n">
        <v>5</v>
      </c>
      <c r="R54" t="n">
        <v>2</v>
      </c>
      <c r="S54" t="n">
        <v>4</v>
      </c>
      <c r="T54" t="n">
        <v>1</v>
      </c>
      <c r="U54">
        <f>(AVERAGE(B54:D54)-1)/4</f>
        <v/>
      </c>
      <c r="V54">
        <f>(AVERAGE(E54:F54)-1)/4</f>
        <v/>
      </c>
      <c r="W54">
        <f>(AVERAGE(G54:I54)-1)/4</f>
        <v/>
      </c>
      <c r="X54">
        <f>(AVERAGE(J54:L54)-1)/4</f>
        <v/>
      </c>
      <c r="Y54">
        <f>(AVERAGE(M54:O54)-1)/4</f>
        <v/>
      </c>
      <c r="Z54">
        <f>(AVERAGE(P54:R54)-1)/4</f>
        <v/>
      </c>
      <c r="AA54">
        <f>(AVERAGE(S54:T54)-1)/4</f>
        <v/>
      </c>
      <c r="AB54">
        <f>AVERAGE(U54:Y54)</f>
        <v/>
      </c>
      <c r="AC54">
        <f>MIN(U54:Y54)</f>
        <v/>
      </c>
      <c r="AD54">
        <f>1-alpha*MAX(0,delta-AC54)</f>
        <v/>
      </c>
      <c r="AE54">
        <f>AB54*AD54</f>
        <v/>
      </c>
      <c r="AF54">
        <f>1+COUNTIF(bounds,"&lt;"&amp;ROUND(AB54,12))</f>
        <v/>
      </c>
      <c r="AG54">
        <f>1+COUNTIF(bounds,"&lt;"&amp;ROUND(AE54,12))</f>
        <v/>
      </c>
      <c r="AH54">
        <f>IF(AD54&lt;1,1,0)</f>
        <v/>
      </c>
      <c r="AI54">
        <f>IF(AF54&lt;&gt;AG54,1,0)</f>
        <v/>
      </c>
      <c r="AJ54">
        <f>IF(AND(AG54&gt;=3,Z54&lt;=0.2),1,0)</f>
        <v/>
      </c>
      <c r="AK54">
        <f>AVERAGE(U54:Z54)</f>
        <v/>
      </c>
      <c r="AL54">
        <f>1+COUNTIF(bounds,"&lt;"&amp;ROUND(AK54,12))</f>
        <v/>
      </c>
      <c r="AM54">
        <f>IF(AI54=1,AB54,NA())</f>
        <v/>
      </c>
      <c r="AN54">
        <f>IF(AI54=0,AB54,NA())</f>
        <v/>
      </c>
    </row>
    <row r="55">
      <c r="A55" t="n">
        <v>47</v>
      </c>
      <c r="B55" t="n">
        <v>2</v>
      </c>
      <c r="C55" t="n">
        <v>4</v>
      </c>
      <c r="D55" t="n">
        <v>4</v>
      </c>
      <c r="E55" t="n">
        <v>3</v>
      </c>
      <c r="F55" t="n">
        <v>1</v>
      </c>
      <c r="G55" t="n">
        <v>5</v>
      </c>
      <c r="H55" t="n">
        <v>1</v>
      </c>
      <c r="I55" t="n">
        <v>2</v>
      </c>
      <c r="J55" t="n">
        <v>5</v>
      </c>
      <c r="K55" t="n">
        <v>5</v>
      </c>
      <c r="L55" t="n">
        <v>4</v>
      </c>
      <c r="M55" t="n">
        <v>4</v>
      </c>
      <c r="N55" t="n">
        <v>5</v>
      </c>
      <c r="O55" t="n">
        <v>4</v>
      </c>
      <c r="P55" t="n">
        <v>3</v>
      </c>
      <c r="Q55" t="n">
        <v>2</v>
      </c>
      <c r="R55" t="n">
        <v>2</v>
      </c>
      <c r="S55" t="n">
        <v>5</v>
      </c>
      <c r="T55" t="n">
        <v>5</v>
      </c>
      <c r="U55">
        <f>(AVERAGE(B55:D55)-1)/4</f>
        <v/>
      </c>
      <c r="V55">
        <f>(AVERAGE(E55:F55)-1)/4</f>
        <v/>
      </c>
      <c r="W55">
        <f>(AVERAGE(G55:I55)-1)/4</f>
        <v/>
      </c>
      <c r="X55">
        <f>(AVERAGE(J55:L55)-1)/4</f>
        <v/>
      </c>
      <c r="Y55">
        <f>(AVERAGE(M55:O55)-1)/4</f>
        <v/>
      </c>
      <c r="Z55">
        <f>(AVERAGE(P55:R55)-1)/4</f>
        <v/>
      </c>
      <c r="AA55">
        <f>(AVERAGE(S55:T55)-1)/4</f>
        <v/>
      </c>
      <c r="AB55">
        <f>AVERAGE(U55:Y55)</f>
        <v/>
      </c>
      <c r="AC55">
        <f>MIN(U55:Y55)</f>
        <v/>
      </c>
      <c r="AD55">
        <f>1-alpha*MAX(0,delta-AC55)</f>
        <v/>
      </c>
      <c r="AE55">
        <f>AB55*AD55</f>
        <v/>
      </c>
      <c r="AF55">
        <f>1+COUNTIF(bounds,"&lt;"&amp;ROUND(AB55,12))</f>
        <v/>
      </c>
      <c r="AG55">
        <f>1+COUNTIF(bounds,"&lt;"&amp;ROUND(AE55,12))</f>
        <v/>
      </c>
      <c r="AH55">
        <f>IF(AD55&lt;1,1,0)</f>
        <v/>
      </c>
      <c r="AI55">
        <f>IF(AF55&lt;&gt;AG55,1,0)</f>
        <v/>
      </c>
      <c r="AJ55">
        <f>IF(AND(AG55&gt;=3,Z55&lt;=0.2),1,0)</f>
        <v/>
      </c>
      <c r="AK55">
        <f>AVERAGE(U55:Z55)</f>
        <v/>
      </c>
      <c r="AL55">
        <f>1+COUNTIF(bounds,"&lt;"&amp;ROUND(AK55,12))</f>
        <v/>
      </c>
      <c r="AM55">
        <f>IF(AI55=1,AB55,NA())</f>
        <v/>
      </c>
      <c r="AN55">
        <f>IF(AI55=0,AB55,NA())</f>
        <v/>
      </c>
    </row>
    <row r="56">
      <c r="A56" t="n">
        <v>48</v>
      </c>
      <c r="B56" t="n">
        <v>3</v>
      </c>
      <c r="C56" t="n">
        <v>1</v>
      </c>
      <c r="D56" t="n">
        <v>2</v>
      </c>
      <c r="E56" t="n">
        <v>4</v>
      </c>
      <c r="F56" t="n">
        <v>5</v>
      </c>
      <c r="G56" t="n">
        <v>4</v>
      </c>
      <c r="H56" t="n">
        <v>1</v>
      </c>
      <c r="I56" t="n">
        <v>5</v>
      </c>
      <c r="J56" t="n">
        <v>3</v>
      </c>
      <c r="K56" t="n">
        <v>1</v>
      </c>
      <c r="L56" t="n">
        <v>1</v>
      </c>
      <c r="M56" t="n">
        <v>5</v>
      </c>
      <c r="N56" t="n">
        <v>1</v>
      </c>
      <c r="O56" t="n">
        <v>2</v>
      </c>
      <c r="P56" t="n">
        <v>1</v>
      </c>
      <c r="Q56" t="n">
        <v>4</v>
      </c>
      <c r="R56" t="n">
        <v>3</v>
      </c>
      <c r="S56" t="n">
        <v>3</v>
      </c>
      <c r="T56" t="n">
        <v>2</v>
      </c>
      <c r="U56">
        <f>(AVERAGE(B56:D56)-1)/4</f>
        <v/>
      </c>
      <c r="V56">
        <f>(AVERAGE(E56:F56)-1)/4</f>
        <v/>
      </c>
      <c r="W56">
        <f>(AVERAGE(G56:I56)-1)/4</f>
        <v/>
      </c>
      <c r="X56">
        <f>(AVERAGE(J56:L56)-1)/4</f>
        <v/>
      </c>
      <c r="Y56">
        <f>(AVERAGE(M56:O56)-1)/4</f>
        <v/>
      </c>
      <c r="Z56">
        <f>(AVERAGE(P56:R56)-1)/4</f>
        <v/>
      </c>
      <c r="AA56">
        <f>(AVERAGE(S56:T56)-1)/4</f>
        <v/>
      </c>
      <c r="AB56">
        <f>AVERAGE(U56:Y56)</f>
        <v/>
      </c>
      <c r="AC56">
        <f>MIN(U56:Y56)</f>
        <v/>
      </c>
      <c r="AD56">
        <f>1-alpha*MAX(0,delta-AC56)</f>
        <v/>
      </c>
      <c r="AE56">
        <f>AB56*AD56</f>
        <v/>
      </c>
      <c r="AF56">
        <f>1+COUNTIF(bounds,"&lt;"&amp;ROUND(AB56,12))</f>
        <v/>
      </c>
      <c r="AG56">
        <f>1+COUNTIF(bounds,"&lt;"&amp;ROUND(AE56,12))</f>
        <v/>
      </c>
      <c r="AH56">
        <f>IF(AD56&lt;1,1,0)</f>
        <v/>
      </c>
      <c r="AI56">
        <f>IF(AF56&lt;&gt;AG56,1,0)</f>
        <v/>
      </c>
      <c r="AJ56">
        <f>IF(AND(AG56&gt;=3,Z56&lt;=0.2),1,0)</f>
        <v/>
      </c>
      <c r="AK56">
        <f>AVERAGE(U56:Z56)</f>
        <v/>
      </c>
      <c r="AL56">
        <f>1+COUNTIF(bounds,"&lt;"&amp;ROUND(AK56,12))</f>
        <v/>
      </c>
      <c r="AM56">
        <f>IF(AI56=1,AB56,NA())</f>
        <v/>
      </c>
      <c r="AN56">
        <f>IF(AI56=0,AB56,NA())</f>
        <v/>
      </c>
    </row>
    <row r="57">
      <c r="A57" t="n">
        <v>49</v>
      </c>
      <c r="B57" t="n">
        <v>5</v>
      </c>
      <c r="C57" t="n">
        <v>2</v>
      </c>
      <c r="D57" t="n">
        <v>1</v>
      </c>
      <c r="E57" t="n">
        <v>2</v>
      </c>
      <c r="F57" t="n">
        <v>1</v>
      </c>
      <c r="G57" t="n">
        <v>4</v>
      </c>
      <c r="H57" t="n">
        <v>3</v>
      </c>
      <c r="I57" t="n">
        <v>2</v>
      </c>
      <c r="J57" t="n">
        <v>2</v>
      </c>
      <c r="K57" t="n">
        <v>1</v>
      </c>
      <c r="L57" t="n">
        <v>4</v>
      </c>
      <c r="M57" t="n">
        <v>2</v>
      </c>
      <c r="N57" t="n">
        <v>5</v>
      </c>
      <c r="O57" t="n">
        <v>4</v>
      </c>
      <c r="P57" t="n">
        <v>2</v>
      </c>
      <c r="Q57" t="n">
        <v>5</v>
      </c>
      <c r="R57" t="n">
        <v>3</v>
      </c>
      <c r="S57" t="n">
        <v>3</v>
      </c>
      <c r="T57" t="n">
        <v>3</v>
      </c>
      <c r="U57">
        <f>(AVERAGE(B57:D57)-1)/4</f>
        <v/>
      </c>
      <c r="V57">
        <f>(AVERAGE(E57:F57)-1)/4</f>
        <v/>
      </c>
      <c r="W57">
        <f>(AVERAGE(G57:I57)-1)/4</f>
        <v/>
      </c>
      <c r="X57">
        <f>(AVERAGE(J57:L57)-1)/4</f>
        <v/>
      </c>
      <c r="Y57">
        <f>(AVERAGE(M57:O57)-1)/4</f>
        <v/>
      </c>
      <c r="Z57">
        <f>(AVERAGE(P57:R57)-1)/4</f>
        <v/>
      </c>
      <c r="AA57">
        <f>(AVERAGE(S57:T57)-1)/4</f>
        <v/>
      </c>
      <c r="AB57">
        <f>AVERAGE(U57:Y57)</f>
        <v/>
      </c>
      <c r="AC57">
        <f>MIN(U57:Y57)</f>
        <v/>
      </c>
      <c r="AD57">
        <f>1-alpha*MAX(0,delta-AC57)</f>
        <v/>
      </c>
      <c r="AE57">
        <f>AB57*AD57</f>
        <v/>
      </c>
      <c r="AF57">
        <f>1+COUNTIF(bounds,"&lt;"&amp;ROUND(AB57,12))</f>
        <v/>
      </c>
      <c r="AG57">
        <f>1+COUNTIF(bounds,"&lt;"&amp;ROUND(AE57,12))</f>
        <v/>
      </c>
      <c r="AH57">
        <f>IF(AD57&lt;1,1,0)</f>
        <v/>
      </c>
      <c r="AI57">
        <f>IF(AF57&lt;&gt;AG57,1,0)</f>
        <v/>
      </c>
      <c r="AJ57">
        <f>IF(AND(AG57&gt;=3,Z57&lt;=0.2),1,0)</f>
        <v/>
      </c>
      <c r="AK57">
        <f>AVERAGE(U57:Z57)</f>
        <v/>
      </c>
      <c r="AL57">
        <f>1+COUNTIF(bounds,"&lt;"&amp;ROUND(AK57,12))</f>
        <v/>
      </c>
      <c r="AM57">
        <f>IF(AI57=1,AB57,NA())</f>
        <v/>
      </c>
      <c r="AN57">
        <f>IF(AI57=0,AB57,NA())</f>
        <v/>
      </c>
    </row>
    <row r="58">
      <c r="A58" t="n">
        <v>50</v>
      </c>
      <c r="B58" t="n">
        <v>2</v>
      </c>
      <c r="C58" t="n">
        <v>1</v>
      </c>
      <c r="D58" t="n">
        <v>2</v>
      </c>
      <c r="E58" t="n">
        <v>5</v>
      </c>
      <c r="F58" t="n">
        <v>3</v>
      </c>
      <c r="G58" t="n">
        <v>2</v>
      </c>
      <c r="H58" t="n">
        <v>4</v>
      </c>
      <c r="I58" t="n">
        <v>1</v>
      </c>
      <c r="J58" t="n">
        <v>5</v>
      </c>
      <c r="K58" t="n">
        <v>4</v>
      </c>
      <c r="L58" t="n">
        <v>5</v>
      </c>
      <c r="M58" t="n">
        <v>2</v>
      </c>
      <c r="N58" t="n">
        <v>1</v>
      </c>
      <c r="O58" t="n">
        <v>2</v>
      </c>
      <c r="P58" t="n">
        <v>5</v>
      </c>
      <c r="Q58" t="n">
        <v>4</v>
      </c>
      <c r="R58" t="n">
        <v>3</v>
      </c>
      <c r="S58" t="n">
        <v>5</v>
      </c>
      <c r="T58" t="n">
        <v>3</v>
      </c>
      <c r="U58">
        <f>(AVERAGE(B58:D58)-1)/4</f>
        <v/>
      </c>
      <c r="V58">
        <f>(AVERAGE(E58:F58)-1)/4</f>
        <v/>
      </c>
      <c r="W58">
        <f>(AVERAGE(G58:I58)-1)/4</f>
        <v/>
      </c>
      <c r="X58">
        <f>(AVERAGE(J58:L58)-1)/4</f>
        <v/>
      </c>
      <c r="Y58">
        <f>(AVERAGE(M58:O58)-1)/4</f>
        <v/>
      </c>
      <c r="Z58">
        <f>(AVERAGE(P58:R58)-1)/4</f>
        <v/>
      </c>
      <c r="AA58">
        <f>(AVERAGE(S58:T58)-1)/4</f>
        <v/>
      </c>
      <c r="AB58">
        <f>AVERAGE(U58:Y58)</f>
        <v/>
      </c>
      <c r="AC58">
        <f>MIN(U58:Y58)</f>
        <v/>
      </c>
      <c r="AD58">
        <f>1-alpha*MAX(0,delta-AC58)</f>
        <v/>
      </c>
      <c r="AE58">
        <f>AB58*AD58</f>
        <v/>
      </c>
      <c r="AF58">
        <f>1+COUNTIF(bounds,"&lt;"&amp;ROUND(AB58,12))</f>
        <v/>
      </c>
      <c r="AG58">
        <f>1+COUNTIF(bounds,"&lt;"&amp;ROUND(AE58,12))</f>
        <v/>
      </c>
      <c r="AH58">
        <f>IF(AD58&lt;1,1,0)</f>
        <v/>
      </c>
      <c r="AI58">
        <f>IF(AF58&lt;&gt;AG58,1,0)</f>
        <v/>
      </c>
      <c r="AJ58">
        <f>IF(AND(AG58&gt;=3,Z58&lt;=0.2),1,0)</f>
        <v/>
      </c>
      <c r="AK58">
        <f>AVERAGE(U58:Z58)</f>
        <v/>
      </c>
      <c r="AL58">
        <f>1+COUNTIF(bounds,"&lt;"&amp;ROUND(AK58,12))</f>
        <v/>
      </c>
      <c r="AM58">
        <f>IF(AI58=1,AB58,NA())</f>
        <v/>
      </c>
      <c r="AN58">
        <f>IF(AI58=0,AB58,NA())</f>
        <v/>
      </c>
    </row>
    <row r="59">
      <c r="A59" t="n">
        <v>51</v>
      </c>
      <c r="B59" t="n">
        <v>5</v>
      </c>
      <c r="C59" t="n">
        <v>2</v>
      </c>
      <c r="D59" t="n">
        <v>3</v>
      </c>
      <c r="E59" t="n">
        <v>2</v>
      </c>
      <c r="F59" t="n">
        <v>3</v>
      </c>
      <c r="G59" t="n">
        <v>1</v>
      </c>
      <c r="H59" t="n">
        <v>4</v>
      </c>
      <c r="I59" t="n">
        <v>1</v>
      </c>
      <c r="J59" t="n">
        <v>1</v>
      </c>
      <c r="K59" t="n">
        <v>1</v>
      </c>
      <c r="L59" t="n">
        <v>5</v>
      </c>
      <c r="M59" t="n">
        <v>5</v>
      </c>
      <c r="N59" t="n">
        <v>5</v>
      </c>
      <c r="O59" t="n">
        <v>4</v>
      </c>
      <c r="P59" t="n">
        <v>5</v>
      </c>
      <c r="Q59" t="n">
        <v>3</v>
      </c>
      <c r="R59" t="n">
        <v>4</v>
      </c>
      <c r="S59" t="n">
        <v>2</v>
      </c>
      <c r="T59" t="n">
        <v>5</v>
      </c>
      <c r="U59">
        <f>(AVERAGE(B59:D59)-1)/4</f>
        <v/>
      </c>
      <c r="V59">
        <f>(AVERAGE(E59:F59)-1)/4</f>
        <v/>
      </c>
      <c r="W59">
        <f>(AVERAGE(G59:I59)-1)/4</f>
        <v/>
      </c>
      <c r="X59">
        <f>(AVERAGE(J59:L59)-1)/4</f>
        <v/>
      </c>
      <c r="Y59">
        <f>(AVERAGE(M59:O59)-1)/4</f>
        <v/>
      </c>
      <c r="Z59">
        <f>(AVERAGE(P59:R59)-1)/4</f>
        <v/>
      </c>
      <c r="AA59">
        <f>(AVERAGE(S59:T59)-1)/4</f>
        <v/>
      </c>
      <c r="AB59">
        <f>AVERAGE(U59:Y59)</f>
        <v/>
      </c>
      <c r="AC59">
        <f>MIN(U59:Y59)</f>
        <v/>
      </c>
      <c r="AD59">
        <f>1-alpha*MAX(0,delta-AC59)</f>
        <v/>
      </c>
      <c r="AE59">
        <f>AB59*AD59</f>
        <v/>
      </c>
      <c r="AF59">
        <f>1+COUNTIF(bounds,"&lt;"&amp;ROUND(AB59,12))</f>
        <v/>
      </c>
      <c r="AG59">
        <f>1+COUNTIF(bounds,"&lt;"&amp;ROUND(AE59,12))</f>
        <v/>
      </c>
      <c r="AH59">
        <f>IF(AD59&lt;1,1,0)</f>
        <v/>
      </c>
      <c r="AI59">
        <f>IF(AF59&lt;&gt;AG59,1,0)</f>
        <v/>
      </c>
      <c r="AJ59">
        <f>IF(AND(AG59&gt;=3,Z59&lt;=0.2),1,0)</f>
        <v/>
      </c>
      <c r="AK59">
        <f>AVERAGE(U59:Z59)</f>
        <v/>
      </c>
      <c r="AL59">
        <f>1+COUNTIF(bounds,"&lt;"&amp;ROUND(AK59,12))</f>
        <v/>
      </c>
      <c r="AM59">
        <f>IF(AI59=1,AB59,NA())</f>
        <v/>
      </c>
      <c r="AN59">
        <f>IF(AI59=0,AB59,NA())</f>
        <v/>
      </c>
    </row>
    <row r="60">
      <c r="A60" t="n">
        <v>52</v>
      </c>
      <c r="B60" t="n">
        <v>2</v>
      </c>
      <c r="C60" t="n">
        <v>4</v>
      </c>
      <c r="D60" t="n">
        <v>1</v>
      </c>
      <c r="E60" t="n">
        <v>2</v>
      </c>
      <c r="F60" t="n">
        <v>5</v>
      </c>
      <c r="G60" t="n">
        <v>4</v>
      </c>
      <c r="H60" t="n">
        <v>1</v>
      </c>
      <c r="I60" t="n">
        <v>3</v>
      </c>
      <c r="J60" t="n">
        <v>5</v>
      </c>
      <c r="K60" t="n">
        <v>1</v>
      </c>
      <c r="L60" t="n">
        <v>2</v>
      </c>
      <c r="M60" t="n">
        <v>3</v>
      </c>
      <c r="N60" t="n">
        <v>5</v>
      </c>
      <c r="O60" t="n">
        <v>3</v>
      </c>
      <c r="P60" t="n">
        <v>1</v>
      </c>
      <c r="Q60" t="n">
        <v>1</v>
      </c>
      <c r="R60" t="n">
        <v>2</v>
      </c>
      <c r="S60" t="n">
        <v>5</v>
      </c>
      <c r="T60" t="n">
        <v>2</v>
      </c>
      <c r="U60">
        <f>(AVERAGE(B60:D60)-1)/4</f>
        <v/>
      </c>
      <c r="V60">
        <f>(AVERAGE(E60:F60)-1)/4</f>
        <v/>
      </c>
      <c r="W60">
        <f>(AVERAGE(G60:I60)-1)/4</f>
        <v/>
      </c>
      <c r="X60">
        <f>(AVERAGE(J60:L60)-1)/4</f>
        <v/>
      </c>
      <c r="Y60">
        <f>(AVERAGE(M60:O60)-1)/4</f>
        <v/>
      </c>
      <c r="Z60">
        <f>(AVERAGE(P60:R60)-1)/4</f>
        <v/>
      </c>
      <c r="AA60">
        <f>(AVERAGE(S60:T60)-1)/4</f>
        <v/>
      </c>
      <c r="AB60">
        <f>AVERAGE(U60:Y60)</f>
        <v/>
      </c>
      <c r="AC60">
        <f>MIN(U60:Y60)</f>
        <v/>
      </c>
      <c r="AD60">
        <f>1-alpha*MAX(0,delta-AC60)</f>
        <v/>
      </c>
      <c r="AE60">
        <f>AB60*AD60</f>
        <v/>
      </c>
      <c r="AF60">
        <f>1+COUNTIF(bounds,"&lt;"&amp;ROUND(AB60,12))</f>
        <v/>
      </c>
      <c r="AG60">
        <f>1+COUNTIF(bounds,"&lt;"&amp;ROUND(AE60,12))</f>
        <v/>
      </c>
      <c r="AH60">
        <f>IF(AD60&lt;1,1,0)</f>
        <v/>
      </c>
      <c r="AI60">
        <f>IF(AF60&lt;&gt;AG60,1,0)</f>
        <v/>
      </c>
      <c r="AJ60">
        <f>IF(AND(AG60&gt;=3,Z60&lt;=0.2),1,0)</f>
        <v/>
      </c>
      <c r="AK60">
        <f>AVERAGE(U60:Z60)</f>
        <v/>
      </c>
      <c r="AL60">
        <f>1+COUNTIF(bounds,"&lt;"&amp;ROUND(AK60,12))</f>
        <v/>
      </c>
      <c r="AM60">
        <f>IF(AI60=1,AB60,NA())</f>
        <v/>
      </c>
      <c r="AN60">
        <f>IF(AI60=0,AB60,NA())</f>
        <v/>
      </c>
    </row>
    <row r="61">
      <c r="A61" t="n">
        <v>53</v>
      </c>
      <c r="B61" t="n">
        <v>4</v>
      </c>
      <c r="C61" t="n">
        <v>3</v>
      </c>
      <c r="D61" t="n">
        <v>1</v>
      </c>
      <c r="E61" t="n">
        <v>4</v>
      </c>
      <c r="F61" t="n">
        <v>4</v>
      </c>
      <c r="G61" t="n">
        <v>3</v>
      </c>
      <c r="H61" t="n">
        <v>3</v>
      </c>
      <c r="I61" t="n">
        <v>4</v>
      </c>
      <c r="J61" t="n">
        <v>1</v>
      </c>
      <c r="K61" t="n">
        <v>4</v>
      </c>
      <c r="L61" t="n">
        <v>3</v>
      </c>
      <c r="M61" t="n">
        <v>3</v>
      </c>
      <c r="N61" t="n">
        <v>4</v>
      </c>
      <c r="O61" t="n">
        <v>3</v>
      </c>
      <c r="P61" t="n">
        <v>1</v>
      </c>
      <c r="Q61" t="n">
        <v>3</v>
      </c>
      <c r="R61" t="n">
        <v>4</v>
      </c>
      <c r="S61" t="n">
        <v>4</v>
      </c>
      <c r="T61" t="n">
        <v>4</v>
      </c>
      <c r="U61">
        <f>(AVERAGE(B61:D61)-1)/4</f>
        <v/>
      </c>
      <c r="V61">
        <f>(AVERAGE(E61:F61)-1)/4</f>
        <v/>
      </c>
      <c r="W61">
        <f>(AVERAGE(G61:I61)-1)/4</f>
        <v/>
      </c>
      <c r="X61">
        <f>(AVERAGE(J61:L61)-1)/4</f>
        <v/>
      </c>
      <c r="Y61">
        <f>(AVERAGE(M61:O61)-1)/4</f>
        <v/>
      </c>
      <c r="Z61">
        <f>(AVERAGE(P61:R61)-1)/4</f>
        <v/>
      </c>
      <c r="AA61">
        <f>(AVERAGE(S61:T61)-1)/4</f>
        <v/>
      </c>
      <c r="AB61">
        <f>AVERAGE(U61:Y61)</f>
        <v/>
      </c>
      <c r="AC61">
        <f>MIN(U61:Y61)</f>
        <v/>
      </c>
      <c r="AD61">
        <f>1-alpha*MAX(0,delta-AC61)</f>
        <v/>
      </c>
      <c r="AE61">
        <f>AB61*AD61</f>
        <v/>
      </c>
      <c r="AF61">
        <f>1+COUNTIF(bounds,"&lt;"&amp;ROUND(AB61,12))</f>
        <v/>
      </c>
      <c r="AG61">
        <f>1+COUNTIF(bounds,"&lt;"&amp;ROUND(AE61,12))</f>
        <v/>
      </c>
      <c r="AH61">
        <f>IF(AD61&lt;1,1,0)</f>
        <v/>
      </c>
      <c r="AI61">
        <f>IF(AF61&lt;&gt;AG61,1,0)</f>
        <v/>
      </c>
      <c r="AJ61">
        <f>IF(AND(AG61&gt;=3,Z61&lt;=0.2),1,0)</f>
        <v/>
      </c>
      <c r="AK61">
        <f>AVERAGE(U61:Z61)</f>
        <v/>
      </c>
      <c r="AL61">
        <f>1+COUNTIF(bounds,"&lt;"&amp;ROUND(AK61,12))</f>
        <v/>
      </c>
      <c r="AM61">
        <f>IF(AI61=1,AB61,NA())</f>
        <v/>
      </c>
      <c r="AN61">
        <f>IF(AI61=0,AB61,NA())</f>
        <v/>
      </c>
    </row>
    <row r="62">
      <c r="A62" t="n">
        <v>54</v>
      </c>
      <c r="B62" t="n">
        <v>4</v>
      </c>
      <c r="C62" t="n">
        <v>3</v>
      </c>
      <c r="D62" t="n">
        <v>3</v>
      </c>
      <c r="E62" t="n">
        <v>3</v>
      </c>
      <c r="F62" t="n">
        <v>2</v>
      </c>
      <c r="G62" t="n">
        <v>2</v>
      </c>
      <c r="H62" t="n">
        <v>5</v>
      </c>
      <c r="I62" t="n">
        <v>4</v>
      </c>
      <c r="J62" t="n">
        <v>4</v>
      </c>
      <c r="K62" t="n">
        <v>4</v>
      </c>
      <c r="L62" t="n">
        <v>5</v>
      </c>
      <c r="M62" t="n">
        <v>1</v>
      </c>
      <c r="N62" t="n">
        <v>2</v>
      </c>
      <c r="O62" t="n">
        <v>4</v>
      </c>
      <c r="P62" t="n">
        <v>1</v>
      </c>
      <c r="Q62" t="n">
        <v>2</v>
      </c>
      <c r="R62" t="n">
        <v>3</v>
      </c>
      <c r="S62" t="n">
        <v>5</v>
      </c>
      <c r="T62" t="n">
        <v>3</v>
      </c>
      <c r="U62">
        <f>(AVERAGE(B62:D62)-1)/4</f>
        <v/>
      </c>
      <c r="V62">
        <f>(AVERAGE(E62:F62)-1)/4</f>
        <v/>
      </c>
      <c r="W62">
        <f>(AVERAGE(G62:I62)-1)/4</f>
        <v/>
      </c>
      <c r="X62">
        <f>(AVERAGE(J62:L62)-1)/4</f>
        <v/>
      </c>
      <c r="Y62">
        <f>(AVERAGE(M62:O62)-1)/4</f>
        <v/>
      </c>
      <c r="Z62">
        <f>(AVERAGE(P62:R62)-1)/4</f>
        <v/>
      </c>
      <c r="AA62">
        <f>(AVERAGE(S62:T62)-1)/4</f>
        <v/>
      </c>
      <c r="AB62">
        <f>AVERAGE(U62:Y62)</f>
        <v/>
      </c>
      <c r="AC62">
        <f>MIN(U62:Y62)</f>
        <v/>
      </c>
      <c r="AD62">
        <f>1-alpha*MAX(0,delta-AC62)</f>
        <v/>
      </c>
      <c r="AE62">
        <f>AB62*AD62</f>
        <v/>
      </c>
      <c r="AF62">
        <f>1+COUNTIF(bounds,"&lt;"&amp;ROUND(AB62,12))</f>
        <v/>
      </c>
      <c r="AG62">
        <f>1+COUNTIF(bounds,"&lt;"&amp;ROUND(AE62,12))</f>
        <v/>
      </c>
      <c r="AH62">
        <f>IF(AD62&lt;1,1,0)</f>
        <v/>
      </c>
      <c r="AI62">
        <f>IF(AF62&lt;&gt;AG62,1,0)</f>
        <v/>
      </c>
      <c r="AJ62">
        <f>IF(AND(AG62&gt;=3,Z62&lt;=0.2),1,0)</f>
        <v/>
      </c>
      <c r="AK62">
        <f>AVERAGE(U62:Z62)</f>
        <v/>
      </c>
      <c r="AL62">
        <f>1+COUNTIF(bounds,"&lt;"&amp;ROUND(AK62,12))</f>
        <v/>
      </c>
      <c r="AM62">
        <f>IF(AI62=1,AB62,NA())</f>
        <v/>
      </c>
      <c r="AN62">
        <f>IF(AI62=0,AB62,NA())</f>
        <v/>
      </c>
    </row>
    <row r="63">
      <c r="A63" t="n">
        <v>55</v>
      </c>
      <c r="B63" t="n">
        <v>2</v>
      </c>
      <c r="C63" t="n">
        <v>4</v>
      </c>
      <c r="D63" t="n">
        <v>2</v>
      </c>
      <c r="E63" t="n">
        <v>5</v>
      </c>
      <c r="F63" t="n">
        <v>2</v>
      </c>
      <c r="G63" t="n">
        <v>3</v>
      </c>
      <c r="H63" t="n">
        <v>4</v>
      </c>
      <c r="I63" t="n">
        <v>2</v>
      </c>
      <c r="J63" t="n">
        <v>3</v>
      </c>
      <c r="K63" t="n">
        <v>2</v>
      </c>
      <c r="L63" t="n">
        <v>2</v>
      </c>
      <c r="M63" t="n">
        <v>4</v>
      </c>
      <c r="N63" t="n">
        <v>3</v>
      </c>
      <c r="O63" t="n">
        <v>1</v>
      </c>
      <c r="P63" t="n">
        <v>5</v>
      </c>
      <c r="Q63" t="n">
        <v>3</v>
      </c>
      <c r="R63" t="n">
        <v>1</v>
      </c>
      <c r="S63" t="n">
        <v>3</v>
      </c>
      <c r="T63" t="n">
        <v>4</v>
      </c>
      <c r="U63">
        <f>(AVERAGE(B63:D63)-1)/4</f>
        <v/>
      </c>
      <c r="V63">
        <f>(AVERAGE(E63:F63)-1)/4</f>
        <v/>
      </c>
      <c r="W63">
        <f>(AVERAGE(G63:I63)-1)/4</f>
        <v/>
      </c>
      <c r="X63">
        <f>(AVERAGE(J63:L63)-1)/4</f>
        <v/>
      </c>
      <c r="Y63">
        <f>(AVERAGE(M63:O63)-1)/4</f>
        <v/>
      </c>
      <c r="Z63">
        <f>(AVERAGE(P63:R63)-1)/4</f>
        <v/>
      </c>
      <c r="AA63">
        <f>(AVERAGE(S63:T63)-1)/4</f>
        <v/>
      </c>
      <c r="AB63">
        <f>AVERAGE(U63:Y63)</f>
        <v/>
      </c>
      <c r="AC63">
        <f>MIN(U63:Y63)</f>
        <v/>
      </c>
      <c r="AD63">
        <f>1-alpha*MAX(0,delta-AC63)</f>
        <v/>
      </c>
      <c r="AE63">
        <f>AB63*AD63</f>
        <v/>
      </c>
      <c r="AF63">
        <f>1+COUNTIF(bounds,"&lt;"&amp;ROUND(AB63,12))</f>
        <v/>
      </c>
      <c r="AG63">
        <f>1+COUNTIF(bounds,"&lt;"&amp;ROUND(AE63,12))</f>
        <v/>
      </c>
      <c r="AH63">
        <f>IF(AD63&lt;1,1,0)</f>
        <v/>
      </c>
      <c r="AI63">
        <f>IF(AF63&lt;&gt;AG63,1,0)</f>
        <v/>
      </c>
      <c r="AJ63">
        <f>IF(AND(AG63&gt;=3,Z63&lt;=0.2),1,0)</f>
        <v/>
      </c>
      <c r="AK63">
        <f>AVERAGE(U63:Z63)</f>
        <v/>
      </c>
      <c r="AL63">
        <f>1+COUNTIF(bounds,"&lt;"&amp;ROUND(AK63,12))</f>
        <v/>
      </c>
      <c r="AM63">
        <f>IF(AI63=1,AB63,NA())</f>
        <v/>
      </c>
      <c r="AN63">
        <f>IF(AI63=0,AB63,NA())</f>
        <v/>
      </c>
    </row>
    <row r="64">
      <c r="A64" t="n">
        <v>56</v>
      </c>
      <c r="B64" t="n">
        <v>1</v>
      </c>
      <c r="C64" t="n">
        <v>5</v>
      </c>
      <c r="D64" t="n">
        <v>1</v>
      </c>
      <c r="E64" t="n">
        <v>2</v>
      </c>
      <c r="F64" t="n">
        <v>4</v>
      </c>
      <c r="G64" t="n">
        <v>3</v>
      </c>
      <c r="H64" t="n">
        <v>4</v>
      </c>
      <c r="I64" t="n">
        <v>5</v>
      </c>
      <c r="J64" t="n">
        <v>5</v>
      </c>
      <c r="K64" t="n">
        <v>5</v>
      </c>
      <c r="L64" t="n">
        <v>5</v>
      </c>
      <c r="M64" t="n">
        <v>2</v>
      </c>
      <c r="N64" t="n">
        <v>1</v>
      </c>
      <c r="O64" t="n">
        <v>1</v>
      </c>
      <c r="P64" t="n">
        <v>5</v>
      </c>
      <c r="Q64" t="n">
        <v>4</v>
      </c>
      <c r="R64" t="n">
        <v>1</v>
      </c>
      <c r="S64" t="n">
        <v>5</v>
      </c>
      <c r="T64" t="n">
        <v>2</v>
      </c>
      <c r="U64">
        <f>(AVERAGE(B64:D64)-1)/4</f>
        <v/>
      </c>
      <c r="V64">
        <f>(AVERAGE(E64:F64)-1)/4</f>
        <v/>
      </c>
      <c r="W64">
        <f>(AVERAGE(G64:I64)-1)/4</f>
        <v/>
      </c>
      <c r="X64">
        <f>(AVERAGE(J64:L64)-1)/4</f>
        <v/>
      </c>
      <c r="Y64">
        <f>(AVERAGE(M64:O64)-1)/4</f>
        <v/>
      </c>
      <c r="Z64">
        <f>(AVERAGE(P64:R64)-1)/4</f>
        <v/>
      </c>
      <c r="AA64">
        <f>(AVERAGE(S64:T64)-1)/4</f>
        <v/>
      </c>
      <c r="AB64">
        <f>AVERAGE(U64:Y64)</f>
        <v/>
      </c>
      <c r="AC64">
        <f>MIN(U64:Y64)</f>
        <v/>
      </c>
      <c r="AD64">
        <f>1-alpha*MAX(0,delta-AC64)</f>
        <v/>
      </c>
      <c r="AE64">
        <f>AB64*AD64</f>
        <v/>
      </c>
      <c r="AF64">
        <f>1+COUNTIF(bounds,"&lt;"&amp;ROUND(AB64,12))</f>
        <v/>
      </c>
      <c r="AG64">
        <f>1+COUNTIF(bounds,"&lt;"&amp;ROUND(AE64,12))</f>
        <v/>
      </c>
      <c r="AH64">
        <f>IF(AD64&lt;1,1,0)</f>
        <v/>
      </c>
      <c r="AI64">
        <f>IF(AF64&lt;&gt;AG64,1,0)</f>
        <v/>
      </c>
      <c r="AJ64">
        <f>IF(AND(AG64&gt;=3,Z64&lt;=0.2),1,0)</f>
        <v/>
      </c>
      <c r="AK64">
        <f>AVERAGE(U64:Z64)</f>
        <v/>
      </c>
      <c r="AL64">
        <f>1+COUNTIF(bounds,"&lt;"&amp;ROUND(AK64,12))</f>
        <v/>
      </c>
      <c r="AM64">
        <f>IF(AI64=1,AB64,NA())</f>
        <v/>
      </c>
      <c r="AN64">
        <f>IF(AI64=0,AB64,NA())</f>
        <v/>
      </c>
    </row>
    <row r="65">
      <c r="A65" t="n">
        <v>57</v>
      </c>
      <c r="B65" t="n">
        <v>1</v>
      </c>
      <c r="C65" t="n">
        <v>3</v>
      </c>
      <c r="D65" t="n">
        <v>2</v>
      </c>
      <c r="E65" t="n">
        <v>4</v>
      </c>
      <c r="F65" t="n">
        <v>1</v>
      </c>
      <c r="G65" t="n">
        <v>2</v>
      </c>
      <c r="H65" t="n">
        <v>3</v>
      </c>
      <c r="I65" t="n">
        <v>1</v>
      </c>
      <c r="J65" t="n">
        <v>1</v>
      </c>
      <c r="K65" t="n">
        <v>4</v>
      </c>
      <c r="L65" t="n">
        <v>3</v>
      </c>
      <c r="M65" t="n">
        <v>1</v>
      </c>
      <c r="N65" t="n">
        <v>3</v>
      </c>
      <c r="O65" t="n">
        <v>3</v>
      </c>
      <c r="P65" t="n">
        <v>5</v>
      </c>
      <c r="Q65" t="n">
        <v>2</v>
      </c>
      <c r="R65" t="n">
        <v>2</v>
      </c>
      <c r="S65" t="n">
        <v>2</v>
      </c>
      <c r="T65" t="n">
        <v>1</v>
      </c>
      <c r="U65">
        <f>(AVERAGE(B65:D65)-1)/4</f>
        <v/>
      </c>
      <c r="V65">
        <f>(AVERAGE(E65:F65)-1)/4</f>
        <v/>
      </c>
      <c r="W65">
        <f>(AVERAGE(G65:I65)-1)/4</f>
        <v/>
      </c>
      <c r="X65">
        <f>(AVERAGE(J65:L65)-1)/4</f>
        <v/>
      </c>
      <c r="Y65">
        <f>(AVERAGE(M65:O65)-1)/4</f>
        <v/>
      </c>
      <c r="Z65">
        <f>(AVERAGE(P65:R65)-1)/4</f>
        <v/>
      </c>
      <c r="AA65">
        <f>(AVERAGE(S65:T65)-1)/4</f>
        <v/>
      </c>
      <c r="AB65">
        <f>AVERAGE(U65:Y65)</f>
        <v/>
      </c>
      <c r="AC65">
        <f>MIN(U65:Y65)</f>
        <v/>
      </c>
      <c r="AD65">
        <f>1-alpha*MAX(0,delta-AC65)</f>
        <v/>
      </c>
      <c r="AE65">
        <f>AB65*AD65</f>
        <v/>
      </c>
      <c r="AF65">
        <f>1+COUNTIF(bounds,"&lt;"&amp;ROUND(AB65,12))</f>
        <v/>
      </c>
      <c r="AG65">
        <f>1+COUNTIF(bounds,"&lt;"&amp;ROUND(AE65,12))</f>
        <v/>
      </c>
      <c r="AH65">
        <f>IF(AD65&lt;1,1,0)</f>
        <v/>
      </c>
      <c r="AI65">
        <f>IF(AF65&lt;&gt;AG65,1,0)</f>
        <v/>
      </c>
      <c r="AJ65">
        <f>IF(AND(AG65&gt;=3,Z65&lt;=0.2),1,0)</f>
        <v/>
      </c>
      <c r="AK65">
        <f>AVERAGE(U65:Z65)</f>
        <v/>
      </c>
      <c r="AL65">
        <f>1+COUNTIF(bounds,"&lt;"&amp;ROUND(AK65,12))</f>
        <v/>
      </c>
      <c r="AM65">
        <f>IF(AI65=1,AB65,NA())</f>
        <v/>
      </c>
      <c r="AN65">
        <f>IF(AI65=0,AB65,NA())</f>
        <v/>
      </c>
    </row>
    <row r="66">
      <c r="A66" t="n">
        <v>58</v>
      </c>
      <c r="B66" t="n">
        <v>2</v>
      </c>
      <c r="C66" t="n">
        <v>3</v>
      </c>
      <c r="D66" t="n">
        <v>5</v>
      </c>
      <c r="E66" t="n">
        <v>4</v>
      </c>
      <c r="F66" t="n">
        <v>1</v>
      </c>
      <c r="G66" t="n">
        <v>5</v>
      </c>
      <c r="H66" t="n">
        <v>5</v>
      </c>
      <c r="I66" t="n">
        <v>2</v>
      </c>
      <c r="J66" t="n">
        <v>4</v>
      </c>
      <c r="K66" t="n">
        <v>2</v>
      </c>
      <c r="L66" t="n">
        <v>5</v>
      </c>
      <c r="M66" t="n">
        <v>3</v>
      </c>
      <c r="N66" t="n">
        <v>3</v>
      </c>
      <c r="O66" t="n">
        <v>1</v>
      </c>
      <c r="P66" t="n">
        <v>1</v>
      </c>
      <c r="Q66" t="n">
        <v>1</v>
      </c>
      <c r="R66" t="n">
        <v>5</v>
      </c>
      <c r="S66" t="n">
        <v>4</v>
      </c>
      <c r="T66" t="n">
        <v>4</v>
      </c>
      <c r="U66">
        <f>(AVERAGE(B66:D66)-1)/4</f>
        <v/>
      </c>
      <c r="V66">
        <f>(AVERAGE(E66:F66)-1)/4</f>
        <v/>
      </c>
      <c r="W66">
        <f>(AVERAGE(G66:I66)-1)/4</f>
        <v/>
      </c>
      <c r="X66">
        <f>(AVERAGE(J66:L66)-1)/4</f>
        <v/>
      </c>
      <c r="Y66">
        <f>(AVERAGE(M66:O66)-1)/4</f>
        <v/>
      </c>
      <c r="Z66">
        <f>(AVERAGE(P66:R66)-1)/4</f>
        <v/>
      </c>
      <c r="AA66">
        <f>(AVERAGE(S66:T66)-1)/4</f>
        <v/>
      </c>
      <c r="AB66">
        <f>AVERAGE(U66:Y66)</f>
        <v/>
      </c>
      <c r="AC66">
        <f>MIN(U66:Y66)</f>
        <v/>
      </c>
      <c r="AD66">
        <f>1-alpha*MAX(0,delta-AC66)</f>
        <v/>
      </c>
      <c r="AE66">
        <f>AB66*AD66</f>
        <v/>
      </c>
      <c r="AF66">
        <f>1+COUNTIF(bounds,"&lt;"&amp;ROUND(AB66,12))</f>
        <v/>
      </c>
      <c r="AG66">
        <f>1+COUNTIF(bounds,"&lt;"&amp;ROUND(AE66,12))</f>
        <v/>
      </c>
      <c r="AH66">
        <f>IF(AD66&lt;1,1,0)</f>
        <v/>
      </c>
      <c r="AI66">
        <f>IF(AF66&lt;&gt;AG66,1,0)</f>
        <v/>
      </c>
      <c r="AJ66">
        <f>IF(AND(AG66&gt;=3,Z66&lt;=0.2),1,0)</f>
        <v/>
      </c>
      <c r="AK66">
        <f>AVERAGE(U66:Z66)</f>
        <v/>
      </c>
      <c r="AL66">
        <f>1+COUNTIF(bounds,"&lt;"&amp;ROUND(AK66,12))</f>
        <v/>
      </c>
      <c r="AM66">
        <f>IF(AI66=1,AB66,NA())</f>
        <v/>
      </c>
      <c r="AN66">
        <f>IF(AI66=0,AB66,NA())</f>
        <v/>
      </c>
    </row>
    <row r="67">
      <c r="A67" t="n">
        <v>59</v>
      </c>
      <c r="B67" t="n">
        <v>5</v>
      </c>
      <c r="C67" t="n">
        <v>1</v>
      </c>
      <c r="D67" t="n">
        <v>5</v>
      </c>
      <c r="E67" t="n">
        <v>1</v>
      </c>
      <c r="F67" t="n">
        <v>3</v>
      </c>
      <c r="G67" t="n">
        <v>4</v>
      </c>
      <c r="H67" t="n">
        <v>3</v>
      </c>
      <c r="I67" t="n">
        <v>3</v>
      </c>
      <c r="J67" t="n">
        <v>5</v>
      </c>
      <c r="K67" t="n">
        <v>5</v>
      </c>
      <c r="L67" t="n">
        <v>4</v>
      </c>
      <c r="M67" t="n">
        <v>1</v>
      </c>
      <c r="N67" t="n">
        <v>2</v>
      </c>
      <c r="O67" t="n">
        <v>3</v>
      </c>
      <c r="P67" t="n">
        <v>1</v>
      </c>
      <c r="Q67" t="n">
        <v>1</v>
      </c>
      <c r="R67" t="n">
        <v>1</v>
      </c>
      <c r="S67" t="n">
        <v>1</v>
      </c>
      <c r="T67" t="n">
        <v>1</v>
      </c>
      <c r="U67">
        <f>(AVERAGE(B67:D67)-1)/4</f>
        <v/>
      </c>
      <c r="V67">
        <f>(AVERAGE(E67:F67)-1)/4</f>
        <v/>
      </c>
      <c r="W67">
        <f>(AVERAGE(G67:I67)-1)/4</f>
        <v/>
      </c>
      <c r="X67">
        <f>(AVERAGE(J67:L67)-1)/4</f>
        <v/>
      </c>
      <c r="Y67">
        <f>(AVERAGE(M67:O67)-1)/4</f>
        <v/>
      </c>
      <c r="Z67">
        <f>(AVERAGE(P67:R67)-1)/4</f>
        <v/>
      </c>
      <c r="AA67">
        <f>(AVERAGE(S67:T67)-1)/4</f>
        <v/>
      </c>
      <c r="AB67">
        <f>AVERAGE(U67:Y67)</f>
        <v/>
      </c>
      <c r="AC67">
        <f>MIN(U67:Y67)</f>
        <v/>
      </c>
      <c r="AD67">
        <f>1-alpha*MAX(0,delta-AC67)</f>
        <v/>
      </c>
      <c r="AE67">
        <f>AB67*AD67</f>
        <v/>
      </c>
      <c r="AF67">
        <f>1+COUNTIF(bounds,"&lt;"&amp;ROUND(AB67,12))</f>
        <v/>
      </c>
      <c r="AG67">
        <f>1+COUNTIF(bounds,"&lt;"&amp;ROUND(AE67,12))</f>
        <v/>
      </c>
      <c r="AH67">
        <f>IF(AD67&lt;1,1,0)</f>
        <v/>
      </c>
      <c r="AI67">
        <f>IF(AF67&lt;&gt;AG67,1,0)</f>
        <v/>
      </c>
      <c r="AJ67">
        <f>IF(AND(AG67&gt;=3,Z67&lt;=0.2),1,0)</f>
        <v/>
      </c>
      <c r="AK67">
        <f>AVERAGE(U67:Z67)</f>
        <v/>
      </c>
      <c r="AL67">
        <f>1+COUNTIF(bounds,"&lt;"&amp;ROUND(AK67,12))</f>
        <v/>
      </c>
      <c r="AM67">
        <f>IF(AI67=1,AB67,NA())</f>
        <v/>
      </c>
      <c r="AN67">
        <f>IF(AI67=0,AB67,NA())</f>
        <v/>
      </c>
    </row>
    <row r="68">
      <c r="A68" t="n">
        <v>60</v>
      </c>
      <c r="B68" t="n">
        <v>1</v>
      </c>
      <c r="C68" t="n">
        <v>5</v>
      </c>
      <c r="D68" t="n">
        <v>2</v>
      </c>
      <c r="E68" t="n">
        <v>1</v>
      </c>
      <c r="F68" t="n">
        <v>5</v>
      </c>
      <c r="G68" t="n">
        <v>5</v>
      </c>
      <c r="H68" t="n">
        <v>3</v>
      </c>
      <c r="I68" t="n">
        <v>2</v>
      </c>
      <c r="J68" t="n">
        <v>5</v>
      </c>
      <c r="K68" t="n">
        <v>4</v>
      </c>
      <c r="L68" t="n">
        <v>4</v>
      </c>
      <c r="M68" t="n">
        <v>2</v>
      </c>
      <c r="N68" t="n">
        <v>2</v>
      </c>
      <c r="O68" t="n">
        <v>4</v>
      </c>
      <c r="P68" t="n">
        <v>5</v>
      </c>
      <c r="Q68" t="n">
        <v>2</v>
      </c>
      <c r="R68" t="n">
        <v>4</v>
      </c>
      <c r="S68" t="n">
        <v>2</v>
      </c>
      <c r="T68" t="n">
        <v>2</v>
      </c>
      <c r="U68">
        <f>(AVERAGE(B68:D68)-1)/4</f>
        <v/>
      </c>
      <c r="V68">
        <f>(AVERAGE(E68:F68)-1)/4</f>
        <v/>
      </c>
      <c r="W68">
        <f>(AVERAGE(G68:I68)-1)/4</f>
        <v/>
      </c>
      <c r="X68">
        <f>(AVERAGE(J68:L68)-1)/4</f>
        <v/>
      </c>
      <c r="Y68">
        <f>(AVERAGE(M68:O68)-1)/4</f>
        <v/>
      </c>
      <c r="Z68">
        <f>(AVERAGE(P68:R68)-1)/4</f>
        <v/>
      </c>
      <c r="AA68">
        <f>(AVERAGE(S68:T68)-1)/4</f>
        <v/>
      </c>
      <c r="AB68">
        <f>AVERAGE(U68:Y68)</f>
        <v/>
      </c>
      <c r="AC68">
        <f>MIN(U68:Y68)</f>
        <v/>
      </c>
      <c r="AD68">
        <f>1-alpha*MAX(0,delta-AC68)</f>
        <v/>
      </c>
      <c r="AE68">
        <f>AB68*AD68</f>
        <v/>
      </c>
      <c r="AF68">
        <f>1+COUNTIF(bounds,"&lt;"&amp;ROUND(AB68,12))</f>
        <v/>
      </c>
      <c r="AG68">
        <f>1+COUNTIF(bounds,"&lt;"&amp;ROUND(AE68,12))</f>
        <v/>
      </c>
      <c r="AH68">
        <f>IF(AD68&lt;1,1,0)</f>
        <v/>
      </c>
      <c r="AI68">
        <f>IF(AF68&lt;&gt;AG68,1,0)</f>
        <v/>
      </c>
      <c r="AJ68">
        <f>IF(AND(AG68&gt;=3,Z68&lt;=0.2),1,0)</f>
        <v/>
      </c>
      <c r="AK68">
        <f>AVERAGE(U68:Z68)</f>
        <v/>
      </c>
      <c r="AL68">
        <f>1+COUNTIF(bounds,"&lt;"&amp;ROUND(AK68,12))</f>
        <v/>
      </c>
      <c r="AM68">
        <f>IF(AI68=1,AB68,NA())</f>
        <v/>
      </c>
      <c r="AN68">
        <f>IF(AI68=0,AB68,NA())</f>
        <v/>
      </c>
    </row>
    <row r="69">
      <c r="A69" t="n">
        <v>61</v>
      </c>
      <c r="B69" t="n">
        <v>4</v>
      </c>
      <c r="C69" t="n">
        <v>4</v>
      </c>
      <c r="D69" t="n">
        <v>5</v>
      </c>
      <c r="E69" t="n">
        <v>2</v>
      </c>
      <c r="F69" t="n">
        <v>2</v>
      </c>
      <c r="G69" t="n">
        <v>4</v>
      </c>
      <c r="H69" t="n">
        <v>4</v>
      </c>
      <c r="I69" t="n">
        <v>1</v>
      </c>
      <c r="J69" t="n">
        <v>1</v>
      </c>
      <c r="K69" t="n">
        <v>4</v>
      </c>
      <c r="L69" t="n">
        <v>5</v>
      </c>
      <c r="M69" t="n">
        <v>3</v>
      </c>
      <c r="N69" t="n">
        <v>3</v>
      </c>
      <c r="O69" t="n">
        <v>5</v>
      </c>
      <c r="P69" t="n">
        <v>3</v>
      </c>
      <c r="Q69" t="n">
        <v>1</v>
      </c>
      <c r="R69" t="n">
        <v>1</v>
      </c>
      <c r="S69" t="n">
        <v>3</v>
      </c>
      <c r="T69" t="n">
        <v>1</v>
      </c>
      <c r="U69">
        <f>(AVERAGE(B69:D69)-1)/4</f>
        <v/>
      </c>
      <c r="V69">
        <f>(AVERAGE(E69:F69)-1)/4</f>
        <v/>
      </c>
      <c r="W69">
        <f>(AVERAGE(G69:I69)-1)/4</f>
        <v/>
      </c>
      <c r="X69">
        <f>(AVERAGE(J69:L69)-1)/4</f>
        <v/>
      </c>
      <c r="Y69">
        <f>(AVERAGE(M69:O69)-1)/4</f>
        <v/>
      </c>
      <c r="Z69">
        <f>(AVERAGE(P69:R69)-1)/4</f>
        <v/>
      </c>
      <c r="AA69">
        <f>(AVERAGE(S69:T69)-1)/4</f>
        <v/>
      </c>
      <c r="AB69">
        <f>AVERAGE(U69:Y69)</f>
        <v/>
      </c>
      <c r="AC69">
        <f>MIN(U69:Y69)</f>
        <v/>
      </c>
      <c r="AD69">
        <f>1-alpha*MAX(0,delta-AC69)</f>
        <v/>
      </c>
      <c r="AE69">
        <f>AB69*AD69</f>
        <v/>
      </c>
      <c r="AF69">
        <f>1+COUNTIF(bounds,"&lt;"&amp;ROUND(AB69,12))</f>
        <v/>
      </c>
      <c r="AG69">
        <f>1+COUNTIF(bounds,"&lt;"&amp;ROUND(AE69,12))</f>
        <v/>
      </c>
      <c r="AH69">
        <f>IF(AD69&lt;1,1,0)</f>
        <v/>
      </c>
      <c r="AI69">
        <f>IF(AF69&lt;&gt;AG69,1,0)</f>
        <v/>
      </c>
      <c r="AJ69">
        <f>IF(AND(AG69&gt;=3,Z69&lt;=0.2),1,0)</f>
        <v/>
      </c>
      <c r="AK69">
        <f>AVERAGE(U69:Z69)</f>
        <v/>
      </c>
      <c r="AL69">
        <f>1+COUNTIF(bounds,"&lt;"&amp;ROUND(AK69,12))</f>
        <v/>
      </c>
      <c r="AM69">
        <f>IF(AI69=1,AB69,NA())</f>
        <v/>
      </c>
      <c r="AN69">
        <f>IF(AI69=0,AB69,NA())</f>
        <v/>
      </c>
    </row>
    <row r="70">
      <c r="A70" t="n">
        <v>62</v>
      </c>
      <c r="B70" t="n">
        <v>5</v>
      </c>
      <c r="C70" t="n">
        <v>2</v>
      </c>
      <c r="D70" t="n">
        <v>4</v>
      </c>
      <c r="E70" t="n">
        <v>4</v>
      </c>
      <c r="F70" t="n">
        <v>3</v>
      </c>
      <c r="G70" t="n">
        <v>5</v>
      </c>
      <c r="H70" t="n">
        <v>5</v>
      </c>
      <c r="I70" t="n">
        <v>5</v>
      </c>
      <c r="J70" t="n">
        <v>3</v>
      </c>
      <c r="K70" t="n">
        <v>1</v>
      </c>
      <c r="L70" t="n">
        <v>5</v>
      </c>
      <c r="M70" t="n">
        <v>1</v>
      </c>
      <c r="N70" t="n">
        <v>1</v>
      </c>
      <c r="O70" t="n">
        <v>4</v>
      </c>
      <c r="P70" t="n">
        <v>2</v>
      </c>
      <c r="Q70" t="n">
        <v>1</v>
      </c>
      <c r="R70" t="n">
        <v>3</v>
      </c>
      <c r="S70" t="n">
        <v>3</v>
      </c>
      <c r="T70" t="n">
        <v>2</v>
      </c>
      <c r="U70">
        <f>(AVERAGE(B70:D70)-1)/4</f>
        <v/>
      </c>
      <c r="V70">
        <f>(AVERAGE(E70:F70)-1)/4</f>
        <v/>
      </c>
      <c r="W70">
        <f>(AVERAGE(G70:I70)-1)/4</f>
        <v/>
      </c>
      <c r="X70">
        <f>(AVERAGE(J70:L70)-1)/4</f>
        <v/>
      </c>
      <c r="Y70">
        <f>(AVERAGE(M70:O70)-1)/4</f>
        <v/>
      </c>
      <c r="Z70">
        <f>(AVERAGE(P70:R70)-1)/4</f>
        <v/>
      </c>
      <c r="AA70">
        <f>(AVERAGE(S70:T70)-1)/4</f>
        <v/>
      </c>
      <c r="AB70">
        <f>AVERAGE(U70:Y70)</f>
        <v/>
      </c>
      <c r="AC70">
        <f>MIN(U70:Y70)</f>
        <v/>
      </c>
      <c r="AD70">
        <f>1-alpha*MAX(0,delta-AC70)</f>
        <v/>
      </c>
      <c r="AE70">
        <f>AB70*AD70</f>
        <v/>
      </c>
      <c r="AF70">
        <f>1+COUNTIF(bounds,"&lt;"&amp;ROUND(AB70,12))</f>
        <v/>
      </c>
      <c r="AG70">
        <f>1+COUNTIF(bounds,"&lt;"&amp;ROUND(AE70,12))</f>
        <v/>
      </c>
      <c r="AH70">
        <f>IF(AD70&lt;1,1,0)</f>
        <v/>
      </c>
      <c r="AI70">
        <f>IF(AF70&lt;&gt;AG70,1,0)</f>
        <v/>
      </c>
      <c r="AJ70">
        <f>IF(AND(AG70&gt;=3,Z70&lt;=0.2),1,0)</f>
        <v/>
      </c>
      <c r="AK70">
        <f>AVERAGE(U70:Z70)</f>
        <v/>
      </c>
      <c r="AL70">
        <f>1+COUNTIF(bounds,"&lt;"&amp;ROUND(AK70,12))</f>
        <v/>
      </c>
      <c r="AM70">
        <f>IF(AI70=1,AB70,NA())</f>
        <v/>
      </c>
      <c r="AN70">
        <f>IF(AI70=0,AB70,NA())</f>
        <v/>
      </c>
    </row>
    <row r="71">
      <c r="A71" t="n">
        <v>63</v>
      </c>
      <c r="B71" t="n">
        <v>4</v>
      </c>
      <c r="C71" t="n">
        <v>1</v>
      </c>
      <c r="D71" t="n">
        <v>4</v>
      </c>
      <c r="E71" t="n">
        <v>1</v>
      </c>
      <c r="F71" t="n">
        <v>3</v>
      </c>
      <c r="G71" t="n">
        <v>2</v>
      </c>
      <c r="H71" t="n">
        <v>1</v>
      </c>
      <c r="I71" t="n">
        <v>1</v>
      </c>
      <c r="J71" t="n">
        <v>3</v>
      </c>
      <c r="K71" t="n">
        <v>3</v>
      </c>
      <c r="L71" t="n">
        <v>3</v>
      </c>
      <c r="M71" t="n">
        <v>2</v>
      </c>
      <c r="N71" t="n">
        <v>1</v>
      </c>
      <c r="O71" t="n">
        <v>3</v>
      </c>
      <c r="P71" t="n">
        <v>5</v>
      </c>
      <c r="Q71" t="n">
        <v>3</v>
      </c>
      <c r="R71" t="n">
        <v>5</v>
      </c>
      <c r="S71" t="n">
        <v>4</v>
      </c>
      <c r="T71" t="n">
        <v>4</v>
      </c>
      <c r="U71">
        <f>(AVERAGE(B71:D71)-1)/4</f>
        <v/>
      </c>
      <c r="V71">
        <f>(AVERAGE(E71:F71)-1)/4</f>
        <v/>
      </c>
      <c r="W71">
        <f>(AVERAGE(G71:I71)-1)/4</f>
        <v/>
      </c>
      <c r="X71">
        <f>(AVERAGE(J71:L71)-1)/4</f>
        <v/>
      </c>
      <c r="Y71">
        <f>(AVERAGE(M71:O71)-1)/4</f>
        <v/>
      </c>
      <c r="Z71">
        <f>(AVERAGE(P71:R71)-1)/4</f>
        <v/>
      </c>
      <c r="AA71">
        <f>(AVERAGE(S71:T71)-1)/4</f>
        <v/>
      </c>
      <c r="AB71">
        <f>AVERAGE(U71:Y71)</f>
        <v/>
      </c>
      <c r="AC71">
        <f>MIN(U71:Y71)</f>
        <v/>
      </c>
      <c r="AD71">
        <f>1-alpha*MAX(0,delta-AC71)</f>
        <v/>
      </c>
      <c r="AE71">
        <f>AB71*AD71</f>
        <v/>
      </c>
      <c r="AF71">
        <f>1+COUNTIF(bounds,"&lt;"&amp;ROUND(AB71,12))</f>
        <v/>
      </c>
      <c r="AG71">
        <f>1+COUNTIF(bounds,"&lt;"&amp;ROUND(AE71,12))</f>
        <v/>
      </c>
      <c r="AH71">
        <f>IF(AD71&lt;1,1,0)</f>
        <v/>
      </c>
      <c r="AI71">
        <f>IF(AF71&lt;&gt;AG71,1,0)</f>
        <v/>
      </c>
      <c r="AJ71">
        <f>IF(AND(AG71&gt;=3,Z71&lt;=0.2),1,0)</f>
        <v/>
      </c>
      <c r="AK71">
        <f>AVERAGE(U71:Z71)</f>
        <v/>
      </c>
      <c r="AL71">
        <f>1+COUNTIF(bounds,"&lt;"&amp;ROUND(AK71,12))</f>
        <v/>
      </c>
      <c r="AM71">
        <f>IF(AI71=1,AB71,NA())</f>
        <v/>
      </c>
      <c r="AN71">
        <f>IF(AI71=0,AB71,NA())</f>
        <v/>
      </c>
    </row>
    <row r="72">
      <c r="A72" t="n">
        <v>64</v>
      </c>
      <c r="B72" t="n">
        <v>2</v>
      </c>
      <c r="C72" t="n">
        <v>1</v>
      </c>
      <c r="D72" t="n">
        <v>3</v>
      </c>
      <c r="E72" t="n">
        <v>2</v>
      </c>
      <c r="F72" t="n">
        <v>4</v>
      </c>
      <c r="G72" t="n">
        <v>2</v>
      </c>
      <c r="H72" t="n">
        <v>4</v>
      </c>
      <c r="I72" t="n">
        <v>1</v>
      </c>
      <c r="J72" t="n">
        <v>1</v>
      </c>
      <c r="K72" t="n">
        <v>3</v>
      </c>
      <c r="L72" t="n">
        <v>1</v>
      </c>
      <c r="M72" t="n">
        <v>4</v>
      </c>
      <c r="N72" t="n">
        <v>4</v>
      </c>
      <c r="O72" t="n">
        <v>3</v>
      </c>
      <c r="P72" t="n">
        <v>2</v>
      </c>
      <c r="Q72" t="n">
        <v>2</v>
      </c>
      <c r="R72" t="n">
        <v>2</v>
      </c>
      <c r="S72" t="n">
        <v>1</v>
      </c>
      <c r="T72" t="n">
        <v>3</v>
      </c>
      <c r="U72">
        <f>(AVERAGE(B72:D72)-1)/4</f>
        <v/>
      </c>
      <c r="V72">
        <f>(AVERAGE(E72:F72)-1)/4</f>
        <v/>
      </c>
      <c r="W72">
        <f>(AVERAGE(G72:I72)-1)/4</f>
        <v/>
      </c>
      <c r="X72">
        <f>(AVERAGE(J72:L72)-1)/4</f>
        <v/>
      </c>
      <c r="Y72">
        <f>(AVERAGE(M72:O72)-1)/4</f>
        <v/>
      </c>
      <c r="Z72">
        <f>(AVERAGE(P72:R72)-1)/4</f>
        <v/>
      </c>
      <c r="AA72">
        <f>(AVERAGE(S72:T72)-1)/4</f>
        <v/>
      </c>
      <c r="AB72">
        <f>AVERAGE(U72:Y72)</f>
        <v/>
      </c>
      <c r="AC72">
        <f>MIN(U72:Y72)</f>
        <v/>
      </c>
      <c r="AD72">
        <f>1-alpha*MAX(0,delta-AC72)</f>
        <v/>
      </c>
      <c r="AE72">
        <f>AB72*AD72</f>
        <v/>
      </c>
      <c r="AF72">
        <f>1+COUNTIF(bounds,"&lt;"&amp;ROUND(AB72,12))</f>
        <v/>
      </c>
      <c r="AG72">
        <f>1+COUNTIF(bounds,"&lt;"&amp;ROUND(AE72,12))</f>
        <v/>
      </c>
      <c r="AH72">
        <f>IF(AD72&lt;1,1,0)</f>
        <v/>
      </c>
      <c r="AI72">
        <f>IF(AF72&lt;&gt;AG72,1,0)</f>
        <v/>
      </c>
      <c r="AJ72">
        <f>IF(AND(AG72&gt;=3,Z72&lt;=0.2),1,0)</f>
        <v/>
      </c>
      <c r="AK72">
        <f>AVERAGE(U72:Z72)</f>
        <v/>
      </c>
      <c r="AL72">
        <f>1+COUNTIF(bounds,"&lt;"&amp;ROUND(AK72,12))</f>
        <v/>
      </c>
      <c r="AM72">
        <f>IF(AI72=1,AB72,NA())</f>
        <v/>
      </c>
      <c r="AN72">
        <f>IF(AI72=0,AB72,NA())</f>
        <v/>
      </c>
    </row>
    <row r="73">
      <c r="A73" t="n">
        <v>65</v>
      </c>
      <c r="B73" t="n">
        <v>3</v>
      </c>
      <c r="C73" t="n">
        <v>3</v>
      </c>
      <c r="D73" t="n">
        <v>4</v>
      </c>
      <c r="E73" t="n">
        <v>4</v>
      </c>
      <c r="F73" t="n">
        <v>4</v>
      </c>
      <c r="G73" t="n">
        <v>4</v>
      </c>
      <c r="H73" t="n">
        <v>5</v>
      </c>
      <c r="I73" t="n">
        <v>5</v>
      </c>
      <c r="J73" t="n">
        <v>3</v>
      </c>
      <c r="K73" t="n">
        <v>1</v>
      </c>
      <c r="L73" t="n">
        <v>3</v>
      </c>
      <c r="M73" t="n">
        <v>4</v>
      </c>
      <c r="N73" t="n">
        <v>4</v>
      </c>
      <c r="O73" t="n">
        <v>5</v>
      </c>
      <c r="P73" t="n">
        <v>4</v>
      </c>
      <c r="Q73" t="n">
        <v>3</v>
      </c>
      <c r="R73" t="n">
        <v>4</v>
      </c>
      <c r="S73" t="n">
        <v>1</v>
      </c>
      <c r="T73" t="n">
        <v>5</v>
      </c>
      <c r="U73">
        <f>(AVERAGE(B73:D73)-1)/4</f>
        <v/>
      </c>
      <c r="V73">
        <f>(AVERAGE(E73:F73)-1)/4</f>
        <v/>
      </c>
      <c r="W73">
        <f>(AVERAGE(G73:I73)-1)/4</f>
        <v/>
      </c>
      <c r="X73">
        <f>(AVERAGE(J73:L73)-1)/4</f>
        <v/>
      </c>
      <c r="Y73">
        <f>(AVERAGE(M73:O73)-1)/4</f>
        <v/>
      </c>
      <c r="Z73">
        <f>(AVERAGE(P73:R73)-1)/4</f>
        <v/>
      </c>
      <c r="AA73">
        <f>(AVERAGE(S73:T73)-1)/4</f>
        <v/>
      </c>
      <c r="AB73">
        <f>AVERAGE(U73:Y73)</f>
        <v/>
      </c>
      <c r="AC73">
        <f>MIN(U73:Y73)</f>
        <v/>
      </c>
      <c r="AD73">
        <f>1-alpha*MAX(0,delta-AC73)</f>
        <v/>
      </c>
      <c r="AE73">
        <f>AB73*AD73</f>
        <v/>
      </c>
      <c r="AF73">
        <f>1+COUNTIF(bounds,"&lt;"&amp;ROUND(AB73,12))</f>
        <v/>
      </c>
      <c r="AG73">
        <f>1+COUNTIF(bounds,"&lt;"&amp;ROUND(AE73,12))</f>
        <v/>
      </c>
      <c r="AH73">
        <f>IF(AD73&lt;1,1,0)</f>
        <v/>
      </c>
      <c r="AI73">
        <f>IF(AF73&lt;&gt;AG73,1,0)</f>
        <v/>
      </c>
      <c r="AJ73">
        <f>IF(AND(AG73&gt;=3,Z73&lt;=0.2),1,0)</f>
        <v/>
      </c>
      <c r="AK73">
        <f>AVERAGE(U73:Z73)</f>
        <v/>
      </c>
      <c r="AL73">
        <f>1+COUNTIF(bounds,"&lt;"&amp;ROUND(AK73,12))</f>
        <v/>
      </c>
      <c r="AM73">
        <f>IF(AI73=1,AB73,NA())</f>
        <v/>
      </c>
      <c r="AN73">
        <f>IF(AI73=0,AB73,NA())</f>
        <v/>
      </c>
    </row>
    <row r="74">
      <c r="A74" t="n">
        <v>66</v>
      </c>
      <c r="B74" t="n">
        <v>3</v>
      </c>
      <c r="C74" t="n">
        <v>5</v>
      </c>
      <c r="D74" t="n">
        <v>1</v>
      </c>
      <c r="E74" t="n">
        <v>5</v>
      </c>
      <c r="F74" t="n">
        <v>3</v>
      </c>
      <c r="G74" t="n">
        <v>3</v>
      </c>
      <c r="H74" t="n">
        <v>2</v>
      </c>
      <c r="I74" t="n">
        <v>3</v>
      </c>
      <c r="J74" t="n">
        <v>5</v>
      </c>
      <c r="K74" t="n">
        <v>2</v>
      </c>
      <c r="L74" t="n">
        <v>2</v>
      </c>
      <c r="M74" t="n">
        <v>4</v>
      </c>
      <c r="N74" t="n">
        <v>5</v>
      </c>
      <c r="O74" t="n">
        <v>2</v>
      </c>
      <c r="P74" t="n">
        <v>3</v>
      </c>
      <c r="Q74" t="n">
        <v>2</v>
      </c>
      <c r="R74" t="n">
        <v>3</v>
      </c>
      <c r="S74" t="n">
        <v>3</v>
      </c>
      <c r="T74" t="n">
        <v>3</v>
      </c>
      <c r="U74">
        <f>(AVERAGE(B74:D74)-1)/4</f>
        <v/>
      </c>
      <c r="V74">
        <f>(AVERAGE(E74:F74)-1)/4</f>
        <v/>
      </c>
      <c r="W74">
        <f>(AVERAGE(G74:I74)-1)/4</f>
        <v/>
      </c>
      <c r="X74">
        <f>(AVERAGE(J74:L74)-1)/4</f>
        <v/>
      </c>
      <c r="Y74">
        <f>(AVERAGE(M74:O74)-1)/4</f>
        <v/>
      </c>
      <c r="Z74">
        <f>(AVERAGE(P74:R74)-1)/4</f>
        <v/>
      </c>
      <c r="AA74">
        <f>(AVERAGE(S74:T74)-1)/4</f>
        <v/>
      </c>
      <c r="AB74">
        <f>AVERAGE(U74:Y74)</f>
        <v/>
      </c>
      <c r="AC74">
        <f>MIN(U74:Y74)</f>
        <v/>
      </c>
      <c r="AD74">
        <f>1-alpha*MAX(0,delta-AC74)</f>
        <v/>
      </c>
      <c r="AE74">
        <f>AB74*AD74</f>
        <v/>
      </c>
      <c r="AF74">
        <f>1+COUNTIF(bounds,"&lt;"&amp;ROUND(AB74,12))</f>
        <v/>
      </c>
      <c r="AG74">
        <f>1+COUNTIF(bounds,"&lt;"&amp;ROUND(AE74,12))</f>
        <v/>
      </c>
      <c r="AH74">
        <f>IF(AD74&lt;1,1,0)</f>
        <v/>
      </c>
      <c r="AI74">
        <f>IF(AF74&lt;&gt;AG74,1,0)</f>
        <v/>
      </c>
      <c r="AJ74">
        <f>IF(AND(AG74&gt;=3,Z74&lt;=0.2),1,0)</f>
        <v/>
      </c>
      <c r="AK74">
        <f>AVERAGE(U74:Z74)</f>
        <v/>
      </c>
      <c r="AL74">
        <f>1+COUNTIF(bounds,"&lt;"&amp;ROUND(AK74,12))</f>
        <v/>
      </c>
      <c r="AM74">
        <f>IF(AI74=1,AB74,NA())</f>
        <v/>
      </c>
      <c r="AN74">
        <f>IF(AI74=0,AB74,NA())</f>
        <v/>
      </c>
    </row>
    <row r="75">
      <c r="A75" t="n">
        <v>67</v>
      </c>
      <c r="B75" t="n">
        <v>2</v>
      </c>
      <c r="C75" t="n">
        <v>2</v>
      </c>
      <c r="D75" t="n">
        <v>4</v>
      </c>
      <c r="E75" t="n">
        <v>3</v>
      </c>
      <c r="F75" t="n">
        <v>2</v>
      </c>
      <c r="G75" t="n">
        <v>1</v>
      </c>
      <c r="H75" t="n">
        <v>5</v>
      </c>
      <c r="I75" t="n">
        <v>1</v>
      </c>
      <c r="J75" t="n">
        <v>5</v>
      </c>
      <c r="K75" t="n">
        <v>3</v>
      </c>
      <c r="L75" t="n">
        <v>5</v>
      </c>
      <c r="M75" t="n">
        <v>1</v>
      </c>
      <c r="N75" t="n">
        <v>2</v>
      </c>
      <c r="O75" t="n">
        <v>3</v>
      </c>
      <c r="P75" t="n">
        <v>2</v>
      </c>
      <c r="Q75" t="n">
        <v>2</v>
      </c>
      <c r="R75" t="n">
        <v>3</v>
      </c>
      <c r="S75" t="n">
        <v>1</v>
      </c>
      <c r="T75" t="n">
        <v>3</v>
      </c>
      <c r="U75">
        <f>(AVERAGE(B75:D75)-1)/4</f>
        <v/>
      </c>
      <c r="V75">
        <f>(AVERAGE(E75:F75)-1)/4</f>
        <v/>
      </c>
      <c r="W75">
        <f>(AVERAGE(G75:I75)-1)/4</f>
        <v/>
      </c>
      <c r="X75">
        <f>(AVERAGE(J75:L75)-1)/4</f>
        <v/>
      </c>
      <c r="Y75">
        <f>(AVERAGE(M75:O75)-1)/4</f>
        <v/>
      </c>
      <c r="Z75">
        <f>(AVERAGE(P75:R75)-1)/4</f>
        <v/>
      </c>
      <c r="AA75">
        <f>(AVERAGE(S75:T75)-1)/4</f>
        <v/>
      </c>
      <c r="AB75">
        <f>AVERAGE(U75:Y75)</f>
        <v/>
      </c>
      <c r="AC75">
        <f>MIN(U75:Y75)</f>
        <v/>
      </c>
      <c r="AD75">
        <f>1-alpha*MAX(0,delta-AC75)</f>
        <v/>
      </c>
      <c r="AE75">
        <f>AB75*AD75</f>
        <v/>
      </c>
      <c r="AF75">
        <f>1+COUNTIF(bounds,"&lt;"&amp;ROUND(AB75,12))</f>
        <v/>
      </c>
      <c r="AG75">
        <f>1+COUNTIF(bounds,"&lt;"&amp;ROUND(AE75,12))</f>
        <v/>
      </c>
      <c r="AH75">
        <f>IF(AD75&lt;1,1,0)</f>
        <v/>
      </c>
      <c r="AI75">
        <f>IF(AF75&lt;&gt;AG75,1,0)</f>
        <v/>
      </c>
      <c r="AJ75">
        <f>IF(AND(AG75&gt;=3,Z75&lt;=0.2),1,0)</f>
        <v/>
      </c>
      <c r="AK75">
        <f>AVERAGE(U75:Z75)</f>
        <v/>
      </c>
      <c r="AL75">
        <f>1+COUNTIF(bounds,"&lt;"&amp;ROUND(AK75,12))</f>
        <v/>
      </c>
      <c r="AM75">
        <f>IF(AI75=1,AB75,NA())</f>
        <v/>
      </c>
      <c r="AN75">
        <f>IF(AI75=0,AB75,NA())</f>
        <v/>
      </c>
    </row>
    <row r="76">
      <c r="A76" t="n">
        <v>68</v>
      </c>
      <c r="B76" t="n">
        <v>4</v>
      </c>
      <c r="C76" t="n">
        <v>2</v>
      </c>
      <c r="D76" t="n">
        <v>4</v>
      </c>
      <c r="E76" t="n">
        <v>3</v>
      </c>
      <c r="F76" t="n">
        <v>5</v>
      </c>
      <c r="G76" t="n">
        <v>3</v>
      </c>
      <c r="H76" t="n">
        <v>1</v>
      </c>
      <c r="I76" t="n">
        <v>2</v>
      </c>
      <c r="J76" t="n">
        <v>4</v>
      </c>
      <c r="K76" t="n">
        <v>4</v>
      </c>
      <c r="L76" t="n">
        <v>3</v>
      </c>
      <c r="M76" t="n">
        <v>5</v>
      </c>
      <c r="N76" t="n">
        <v>1</v>
      </c>
      <c r="O76" t="n">
        <v>5</v>
      </c>
      <c r="P76" t="n">
        <v>5</v>
      </c>
      <c r="Q76" t="n">
        <v>3</v>
      </c>
      <c r="R76" t="n">
        <v>2</v>
      </c>
      <c r="S76" t="n">
        <v>4</v>
      </c>
      <c r="T76" t="n">
        <v>2</v>
      </c>
      <c r="U76">
        <f>(AVERAGE(B76:D76)-1)/4</f>
        <v/>
      </c>
      <c r="V76">
        <f>(AVERAGE(E76:F76)-1)/4</f>
        <v/>
      </c>
      <c r="W76">
        <f>(AVERAGE(G76:I76)-1)/4</f>
        <v/>
      </c>
      <c r="X76">
        <f>(AVERAGE(J76:L76)-1)/4</f>
        <v/>
      </c>
      <c r="Y76">
        <f>(AVERAGE(M76:O76)-1)/4</f>
        <v/>
      </c>
      <c r="Z76">
        <f>(AVERAGE(P76:R76)-1)/4</f>
        <v/>
      </c>
      <c r="AA76">
        <f>(AVERAGE(S76:T76)-1)/4</f>
        <v/>
      </c>
      <c r="AB76">
        <f>AVERAGE(U76:Y76)</f>
        <v/>
      </c>
      <c r="AC76">
        <f>MIN(U76:Y76)</f>
        <v/>
      </c>
      <c r="AD76">
        <f>1-alpha*MAX(0,delta-AC76)</f>
        <v/>
      </c>
      <c r="AE76">
        <f>AB76*AD76</f>
        <v/>
      </c>
      <c r="AF76">
        <f>1+COUNTIF(bounds,"&lt;"&amp;ROUND(AB76,12))</f>
        <v/>
      </c>
      <c r="AG76">
        <f>1+COUNTIF(bounds,"&lt;"&amp;ROUND(AE76,12))</f>
        <v/>
      </c>
      <c r="AH76">
        <f>IF(AD76&lt;1,1,0)</f>
        <v/>
      </c>
      <c r="AI76">
        <f>IF(AF76&lt;&gt;AG76,1,0)</f>
        <v/>
      </c>
      <c r="AJ76">
        <f>IF(AND(AG76&gt;=3,Z76&lt;=0.2),1,0)</f>
        <v/>
      </c>
      <c r="AK76">
        <f>AVERAGE(U76:Z76)</f>
        <v/>
      </c>
      <c r="AL76">
        <f>1+COUNTIF(bounds,"&lt;"&amp;ROUND(AK76,12))</f>
        <v/>
      </c>
      <c r="AM76">
        <f>IF(AI76=1,AB76,NA())</f>
        <v/>
      </c>
      <c r="AN76">
        <f>IF(AI76=0,AB76,NA())</f>
        <v/>
      </c>
    </row>
    <row r="77">
      <c r="A77" t="n">
        <v>69</v>
      </c>
      <c r="B77" t="n">
        <v>4</v>
      </c>
      <c r="C77" t="n">
        <v>4</v>
      </c>
      <c r="D77" t="n">
        <v>1</v>
      </c>
      <c r="E77" t="n">
        <v>2</v>
      </c>
      <c r="F77" t="n">
        <v>1</v>
      </c>
      <c r="G77" t="n">
        <v>4</v>
      </c>
      <c r="H77" t="n">
        <v>5</v>
      </c>
      <c r="I77" t="n">
        <v>5</v>
      </c>
      <c r="J77" t="n">
        <v>4</v>
      </c>
      <c r="K77" t="n">
        <v>4</v>
      </c>
      <c r="L77" t="n">
        <v>1</v>
      </c>
      <c r="M77" t="n">
        <v>2</v>
      </c>
      <c r="N77" t="n">
        <v>5</v>
      </c>
      <c r="O77" t="n">
        <v>1</v>
      </c>
      <c r="P77" t="n">
        <v>4</v>
      </c>
      <c r="Q77" t="n">
        <v>3</v>
      </c>
      <c r="R77" t="n">
        <v>2</v>
      </c>
      <c r="S77" t="n">
        <v>4</v>
      </c>
      <c r="T77" t="n">
        <v>3</v>
      </c>
      <c r="U77">
        <f>(AVERAGE(B77:D77)-1)/4</f>
        <v/>
      </c>
      <c r="V77">
        <f>(AVERAGE(E77:F77)-1)/4</f>
        <v/>
      </c>
      <c r="W77">
        <f>(AVERAGE(G77:I77)-1)/4</f>
        <v/>
      </c>
      <c r="X77">
        <f>(AVERAGE(J77:L77)-1)/4</f>
        <v/>
      </c>
      <c r="Y77">
        <f>(AVERAGE(M77:O77)-1)/4</f>
        <v/>
      </c>
      <c r="Z77">
        <f>(AVERAGE(P77:R77)-1)/4</f>
        <v/>
      </c>
      <c r="AA77">
        <f>(AVERAGE(S77:T77)-1)/4</f>
        <v/>
      </c>
      <c r="AB77">
        <f>AVERAGE(U77:Y77)</f>
        <v/>
      </c>
      <c r="AC77">
        <f>MIN(U77:Y77)</f>
        <v/>
      </c>
      <c r="AD77">
        <f>1-alpha*MAX(0,delta-AC77)</f>
        <v/>
      </c>
      <c r="AE77">
        <f>AB77*AD77</f>
        <v/>
      </c>
      <c r="AF77">
        <f>1+COUNTIF(bounds,"&lt;"&amp;ROUND(AB77,12))</f>
        <v/>
      </c>
      <c r="AG77">
        <f>1+COUNTIF(bounds,"&lt;"&amp;ROUND(AE77,12))</f>
        <v/>
      </c>
      <c r="AH77">
        <f>IF(AD77&lt;1,1,0)</f>
        <v/>
      </c>
      <c r="AI77">
        <f>IF(AF77&lt;&gt;AG77,1,0)</f>
        <v/>
      </c>
      <c r="AJ77">
        <f>IF(AND(AG77&gt;=3,Z77&lt;=0.2),1,0)</f>
        <v/>
      </c>
      <c r="AK77">
        <f>AVERAGE(U77:Z77)</f>
        <v/>
      </c>
      <c r="AL77">
        <f>1+COUNTIF(bounds,"&lt;"&amp;ROUND(AK77,12))</f>
        <v/>
      </c>
      <c r="AM77">
        <f>IF(AI77=1,AB77,NA())</f>
        <v/>
      </c>
      <c r="AN77">
        <f>IF(AI77=0,AB77,NA())</f>
        <v/>
      </c>
    </row>
    <row r="78">
      <c r="A78" t="n">
        <v>70</v>
      </c>
      <c r="B78" t="n">
        <v>2</v>
      </c>
      <c r="C78" t="n">
        <v>5</v>
      </c>
      <c r="D78" t="n">
        <v>5</v>
      </c>
      <c r="E78" t="n">
        <v>2</v>
      </c>
      <c r="F78" t="n">
        <v>4</v>
      </c>
      <c r="G78" t="n">
        <v>2</v>
      </c>
      <c r="H78" t="n">
        <v>3</v>
      </c>
      <c r="I78" t="n">
        <v>4</v>
      </c>
      <c r="J78" t="n">
        <v>3</v>
      </c>
      <c r="K78" t="n">
        <v>2</v>
      </c>
      <c r="L78" t="n">
        <v>3</v>
      </c>
      <c r="M78" t="n">
        <v>5</v>
      </c>
      <c r="N78" t="n">
        <v>5</v>
      </c>
      <c r="O78" t="n">
        <v>5</v>
      </c>
      <c r="P78" t="n">
        <v>3</v>
      </c>
      <c r="Q78" t="n">
        <v>1</v>
      </c>
      <c r="R78" t="n">
        <v>4</v>
      </c>
      <c r="S78" t="n">
        <v>2</v>
      </c>
      <c r="T78" t="n">
        <v>4</v>
      </c>
      <c r="U78">
        <f>(AVERAGE(B78:D78)-1)/4</f>
        <v/>
      </c>
      <c r="V78">
        <f>(AVERAGE(E78:F78)-1)/4</f>
        <v/>
      </c>
      <c r="W78">
        <f>(AVERAGE(G78:I78)-1)/4</f>
        <v/>
      </c>
      <c r="X78">
        <f>(AVERAGE(J78:L78)-1)/4</f>
        <v/>
      </c>
      <c r="Y78">
        <f>(AVERAGE(M78:O78)-1)/4</f>
        <v/>
      </c>
      <c r="Z78">
        <f>(AVERAGE(P78:R78)-1)/4</f>
        <v/>
      </c>
      <c r="AA78">
        <f>(AVERAGE(S78:T78)-1)/4</f>
        <v/>
      </c>
      <c r="AB78">
        <f>AVERAGE(U78:Y78)</f>
        <v/>
      </c>
      <c r="AC78">
        <f>MIN(U78:Y78)</f>
        <v/>
      </c>
      <c r="AD78">
        <f>1-alpha*MAX(0,delta-AC78)</f>
        <v/>
      </c>
      <c r="AE78">
        <f>AB78*AD78</f>
        <v/>
      </c>
      <c r="AF78">
        <f>1+COUNTIF(bounds,"&lt;"&amp;ROUND(AB78,12))</f>
        <v/>
      </c>
      <c r="AG78">
        <f>1+COUNTIF(bounds,"&lt;"&amp;ROUND(AE78,12))</f>
        <v/>
      </c>
      <c r="AH78">
        <f>IF(AD78&lt;1,1,0)</f>
        <v/>
      </c>
      <c r="AI78">
        <f>IF(AF78&lt;&gt;AG78,1,0)</f>
        <v/>
      </c>
      <c r="AJ78">
        <f>IF(AND(AG78&gt;=3,Z78&lt;=0.2),1,0)</f>
        <v/>
      </c>
      <c r="AK78">
        <f>AVERAGE(U78:Z78)</f>
        <v/>
      </c>
      <c r="AL78">
        <f>1+COUNTIF(bounds,"&lt;"&amp;ROUND(AK78,12))</f>
        <v/>
      </c>
      <c r="AM78">
        <f>IF(AI78=1,AB78,NA())</f>
        <v/>
      </c>
      <c r="AN78">
        <f>IF(AI78=0,AB78,NA())</f>
        <v/>
      </c>
    </row>
    <row r="79">
      <c r="A79" t="n">
        <v>71</v>
      </c>
      <c r="B79" t="n">
        <v>2</v>
      </c>
      <c r="C79" t="n">
        <v>3</v>
      </c>
      <c r="D79" t="n">
        <v>2</v>
      </c>
      <c r="E79" t="n">
        <v>4</v>
      </c>
      <c r="F79" t="n">
        <v>4</v>
      </c>
      <c r="G79" t="n">
        <v>1</v>
      </c>
      <c r="H79" t="n">
        <v>4</v>
      </c>
      <c r="I79" t="n">
        <v>2</v>
      </c>
      <c r="J79" t="n">
        <v>4</v>
      </c>
      <c r="K79" t="n">
        <v>4</v>
      </c>
      <c r="L79" t="n">
        <v>3</v>
      </c>
      <c r="M79" t="n">
        <v>4</v>
      </c>
      <c r="N79" t="n">
        <v>5</v>
      </c>
      <c r="O79" t="n">
        <v>5</v>
      </c>
      <c r="P79" t="n">
        <v>5</v>
      </c>
      <c r="Q79" t="n">
        <v>1</v>
      </c>
      <c r="R79" t="n">
        <v>2</v>
      </c>
      <c r="S79" t="n">
        <v>3</v>
      </c>
      <c r="T79" t="n">
        <v>5</v>
      </c>
      <c r="U79">
        <f>(AVERAGE(B79:D79)-1)/4</f>
        <v/>
      </c>
      <c r="V79">
        <f>(AVERAGE(E79:F79)-1)/4</f>
        <v/>
      </c>
      <c r="W79">
        <f>(AVERAGE(G79:I79)-1)/4</f>
        <v/>
      </c>
      <c r="X79">
        <f>(AVERAGE(J79:L79)-1)/4</f>
        <v/>
      </c>
      <c r="Y79">
        <f>(AVERAGE(M79:O79)-1)/4</f>
        <v/>
      </c>
      <c r="Z79">
        <f>(AVERAGE(P79:R79)-1)/4</f>
        <v/>
      </c>
      <c r="AA79">
        <f>(AVERAGE(S79:T79)-1)/4</f>
        <v/>
      </c>
      <c r="AB79">
        <f>AVERAGE(U79:Y79)</f>
        <v/>
      </c>
      <c r="AC79">
        <f>MIN(U79:Y79)</f>
        <v/>
      </c>
      <c r="AD79">
        <f>1-alpha*MAX(0,delta-AC79)</f>
        <v/>
      </c>
      <c r="AE79">
        <f>AB79*AD79</f>
        <v/>
      </c>
      <c r="AF79">
        <f>1+COUNTIF(bounds,"&lt;"&amp;ROUND(AB79,12))</f>
        <v/>
      </c>
      <c r="AG79">
        <f>1+COUNTIF(bounds,"&lt;"&amp;ROUND(AE79,12))</f>
        <v/>
      </c>
      <c r="AH79">
        <f>IF(AD79&lt;1,1,0)</f>
        <v/>
      </c>
      <c r="AI79">
        <f>IF(AF79&lt;&gt;AG79,1,0)</f>
        <v/>
      </c>
      <c r="AJ79">
        <f>IF(AND(AG79&gt;=3,Z79&lt;=0.2),1,0)</f>
        <v/>
      </c>
      <c r="AK79">
        <f>AVERAGE(U79:Z79)</f>
        <v/>
      </c>
      <c r="AL79">
        <f>1+COUNTIF(bounds,"&lt;"&amp;ROUND(AK79,12))</f>
        <v/>
      </c>
      <c r="AM79">
        <f>IF(AI79=1,AB79,NA())</f>
        <v/>
      </c>
      <c r="AN79">
        <f>IF(AI79=0,AB79,NA())</f>
        <v/>
      </c>
    </row>
    <row r="80">
      <c r="A80" t="n">
        <v>72</v>
      </c>
      <c r="B80" t="n">
        <v>3</v>
      </c>
      <c r="C80" t="n">
        <v>1</v>
      </c>
      <c r="D80" t="n">
        <v>2</v>
      </c>
      <c r="E80" t="n">
        <v>4</v>
      </c>
      <c r="F80" t="n">
        <v>4</v>
      </c>
      <c r="G80" t="n">
        <v>4</v>
      </c>
      <c r="H80" t="n">
        <v>5</v>
      </c>
      <c r="I80" t="n">
        <v>2</v>
      </c>
      <c r="J80" t="n">
        <v>1</v>
      </c>
      <c r="K80" t="n">
        <v>4</v>
      </c>
      <c r="L80" t="n">
        <v>5</v>
      </c>
      <c r="M80" t="n">
        <v>4</v>
      </c>
      <c r="N80" t="n">
        <v>5</v>
      </c>
      <c r="O80" t="n">
        <v>2</v>
      </c>
      <c r="P80" t="n">
        <v>4</v>
      </c>
      <c r="Q80" t="n">
        <v>4</v>
      </c>
      <c r="R80" t="n">
        <v>2</v>
      </c>
      <c r="S80" t="n">
        <v>1</v>
      </c>
      <c r="T80" t="n">
        <v>3</v>
      </c>
      <c r="U80">
        <f>(AVERAGE(B80:D80)-1)/4</f>
        <v/>
      </c>
      <c r="V80">
        <f>(AVERAGE(E80:F80)-1)/4</f>
        <v/>
      </c>
      <c r="W80">
        <f>(AVERAGE(G80:I80)-1)/4</f>
        <v/>
      </c>
      <c r="X80">
        <f>(AVERAGE(J80:L80)-1)/4</f>
        <v/>
      </c>
      <c r="Y80">
        <f>(AVERAGE(M80:O80)-1)/4</f>
        <v/>
      </c>
      <c r="Z80">
        <f>(AVERAGE(P80:R80)-1)/4</f>
        <v/>
      </c>
      <c r="AA80">
        <f>(AVERAGE(S80:T80)-1)/4</f>
        <v/>
      </c>
      <c r="AB80">
        <f>AVERAGE(U80:Y80)</f>
        <v/>
      </c>
      <c r="AC80">
        <f>MIN(U80:Y80)</f>
        <v/>
      </c>
      <c r="AD80">
        <f>1-alpha*MAX(0,delta-AC80)</f>
        <v/>
      </c>
      <c r="AE80">
        <f>AB80*AD80</f>
        <v/>
      </c>
      <c r="AF80">
        <f>1+COUNTIF(bounds,"&lt;"&amp;ROUND(AB80,12))</f>
        <v/>
      </c>
      <c r="AG80">
        <f>1+COUNTIF(bounds,"&lt;"&amp;ROUND(AE80,12))</f>
        <v/>
      </c>
      <c r="AH80">
        <f>IF(AD80&lt;1,1,0)</f>
        <v/>
      </c>
      <c r="AI80">
        <f>IF(AF80&lt;&gt;AG80,1,0)</f>
        <v/>
      </c>
      <c r="AJ80">
        <f>IF(AND(AG80&gt;=3,Z80&lt;=0.2),1,0)</f>
        <v/>
      </c>
      <c r="AK80">
        <f>AVERAGE(U80:Z80)</f>
        <v/>
      </c>
      <c r="AL80">
        <f>1+COUNTIF(bounds,"&lt;"&amp;ROUND(AK80,12))</f>
        <v/>
      </c>
      <c r="AM80">
        <f>IF(AI80=1,AB80,NA())</f>
        <v/>
      </c>
      <c r="AN80">
        <f>IF(AI80=0,AB80,NA())</f>
        <v/>
      </c>
    </row>
    <row r="81">
      <c r="A81" t="n">
        <v>73</v>
      </c>
      <c r="B81" t="n">
        <v>2</v>
      </c>
      <c r="C81" t="n">
        <v>5</v>
      </c>
      <c r="D81" t="n">
        <v>3</v>
      </c>
      <c r="E81" t="n">
        <v>2</v>
      </c>
      <c r="F81" t="n">
        <v>1</v>
      </c>
      <c r="G81" t="n">
        <v>4</v>
      </c>
      <c r="H81" t="n">
        <v>2</v>
      </c>
      <c r="I81" t="n">
        <v>1</v>
      </c>
      <c r="J81" t="n">
        <v>3</v>
      </c>
      <c r="K81" t="n">
        <v>1</v>
      </c>
      <c r="L81" t="n">
        <v>5</v>
      </c>
      <c r="M81" t="n">
        <v>3</v>
      </c>
      <c r="N81" t="n">
        <v>4</v>
      </c>
      <c r="O81" t="n">
        <v>3</v>
      </c>
      <c r="P81" t="n">
        <v>2</v>
      </c>
      <c r="Q81" t="n">
        <v>4</v>
      </c>
      <c r="R81" t="n">
        <v>1</v>
      </c>
      <c r="S81" t="n">
        <v>3</v>
      </c>
      <c r="T81" t="n">
        <v>5</v>
      </c>
      <c r="U81">
        <f>(AVERAGE(B81:D81)-1)/4</f>
        <v/>
      </c>
      <c r="V81">
        <f>(AVERAGE(E81:F81)-1)/4</f>
        <v/>
      </c>
      <c r="W81">
        <f>(AVERAGE(G81:I81)-1)/4</f>
        <v/>
      </c>
      <c r="X81">
        <f>(AVERAGE(J81:L81)-1)/4</f>
        <v/>
      </c>
      <c r="Y81">
        <f>(AVERAGE(M81:O81)-1)/4</f>
        <v/>
      </c>
      <c r="Z81">
        <f>(AVERAGE(P81:R81)-1)/4</f>
        <v/>
      </c>
      <c r="AA81">
        <f>(AVERAGE(S81:T81)-1)/4</f>
        <v/>
      </c>
      <c r="AB81">
        <f>AVERAGE(U81:Y81)</f>
        <v/>
      </c>
      <c r="AC81">
        <f>MIN(U81:Y81)</f>
        <v/>
      </c>
      <c r="AD81">
        <f>1-alpha*MAX(0,delta-AC81)</f>
        <v/>
      </c>
      <c r="AE81">
        <f>AB81*AD81</f>
        <v/>
      </c>
      <c r="AF81">
        <f>1+COUNTIF(bounds,"&lt;"&amp;ROUND(AB81,12))</f>
        <v/>
      </c>
      <c r="AG81">
        <f>1+COUNTIF(bounds,"&lt;"&amp;ROUND(AE81,12))</f>
        <v/>
      </c>
      <c r="AH81">
        <f>IF(AD81&lt;1,1,0)</f>
        <v/>
      </c>
      <c r="AI81">
        <f>IF(AF81&lt;&gt;AG81,1,0)</f>
        <v/>
      </c>
      <c r="AJ81">
        <f>IF(AND(AG81&gt;=3,Z81&lt;=0.2),1,0)</f>
        <v/>
      </c>
      <c r="AK81">
        <f>AVERAGE(U81:Z81)</f>
        <v/>
      </c>
      <c r="AL81">
        <f>1+COUNTIF(bounds,"&lt;"&amp;ROUND(AK81,12))</f>
        <v/>
      </c>
      <c r="AM81">
        <f>IF(AI81=1,AB81,NA())</f>
        <v/>
      </c>
      <c r="AN81">
        <f>IF(AI81=0,AB81,NA())</f>
        <v/>
      </c>
    </row>
    <row r="82">
      <c r="A82" t="n">
        <v>74</v>
      </c>
      <c r="B82" t="n">
        <v>1</v>
      </c>
      <c r="C82" t="n">
        <v>3</v>
      </c>
      <c r="D82" t="n">
        <v>3</v>
      </c>
      <c r="E82" t="n">
        <v>1</v>
      </c>
      <c r="F82" t="n">
        <v>5</v>
      </c>
      <c r="G82" t="n">
        <v>4</v>
      </c>
      <c r="H82" t="n">
        <v>4</v>
      </c>
      <c r="I82" t="n">
        <v>5</v>
      </c>
      <c r="J82" t="n">
        <v>2</v>
      </c>
      <c r="K82" t="n">
        <v>1</v>
      </c>
      <c r="L82" t="n">
        <v>1</v>
      </c>
      <c r="M82" t="n">
        <v>2</v>
      </c>
      <c r="N82" t="n">
        <v>5</v>
      </c>
      <c r="O82" t="n">
        <v>3</v>
      </c>
      <c r="P82" t="n">
        <v>2</v>
      </c>
      <c r="Q82" t="n">
        <v>4</v>
      </c>
      <c r="R82" t="n">
        <v>4</v>
      </c>
      <c r="S82" t="n">
        <v>4</v>
      </c>
      <c r="T82" t="n">
        <v>3</v>
      </c>
      <c r="U82">
        <f>(AVERAGE(B82:D82)-1)/4</f>
        <v/>
      </c>
      <c r="V82">
        <f>(AVERAGE(E82:F82)-1)/4</f>
        <v/>
      </c>
      <c r="W82">
        <f>(AVERAGE(G82:I82)-1)/4</f>
        <v/>
      </c>
      <c r="X82">
        <f>(AVERAGE(J82:L82)-1)/4</f>
        <v/>
      </c>
      <c r="Y82">
        <f>(AVERAGE(M82:O82)-1)/4</f>
        <v/>
      </c>
      <c r="Z82">
        <f>(AVERAGE(P82:R82)-1)/4</f>
        <v/>
      </c>
      <c r="AA82">
        <f>(AVERAGE(S82:T82)-1)/4</f>
        <v/>
      </c>
      <c r="AB82">
        <f>AVERAGE(U82:Y82)</f>
        <v/>
      </c>
      <c r="AC82">
        <f>MIN(U82:Y82)</f>
        <v/>
      </c>
      <c r="AD82">
        <f>1-alpha*MAX(0,delta-AC82)</f>
        <v/>
      </c>
      <c r="AE82">
        <f>AB82*AD82</f>
        <v/>
      </c>
      <c r="AF82">
        <f>1+COUNTIF(bounds,"&lt;"&amp;ROUND(AB82,12))</f>
        <v/>
      </c>
      <c r="AG82">
        <f>1+COUNTIF(bounds,"&lt;"&amp;ROUND(AE82,12))</f>
        <v/>
      </c>
      <c r="AH82">
        <f>IF(AD82&lt;1,1,0)</f>
        <v/>
      </c>
      <c r="AI82">
        <f>IF(AF82&lt;&gt;AG82,1,0)</f>
        <v/>
      </c>
      <c r="AJ82">
        <f>IF(AND(AG82&gt;=3,Z82&lt;=0.2),1,0)</f>
        <v/>
      </c>
      <c r="AK82">
        <f>AVERAGE(U82:Z82)</f>
        <v/>
      </c>
      <c r="AL82">
        <f>1+COUNTIF(bounds,"&lt;"&amp;ROUND(AK82,12))</f>
        <v/>
      </c>
      <c r="AM82">
        <f>IF(AI82=1,AB82,NA())</f>
        <v/>
      </c>
      <c r="AN82">
        <f>IF(AI82=0,AB82,NA())</f>
        <v/>
      </c>
    </row>
    <row r="83">
      <c r="A83" t="n">
        <v>75</v>
      </c>
      <c r="B83" t="n">
        <v>4</v>
      </c>
      <c r="C83" t="n">
        <v>3</v>
      </c>
      <c r="D83" t="n">
        <v>3</v>
      </c>
      <c r="E83" t="n">
        <v>2</v>
      </c>
      <c r="F83" t="n">
        <v>5</v>
      </c>
      <c r="G83" t="n">
        <v>1</v>
      </c>
      <c r="H83" t="n">
        <v>2</v>
      </c>
      <c r="I83" t="n">
        <v>2</v>
      </c>
      <c r="J83" t="n">
        <v>5</v>
      </c>
      <c r="K83" t="n">
        <v>3</v>
      </c>
      <c r="L83" t="n">
        <v>1</v>
      </c>
      <c r="M83" t="n">
        <v>1</v>
      </c>
      <c r="N83" t="n">
        <v>5</v>
      </c>
      <c r="O83" t="n">
        <v>3</v>
      </c>
      <c r="P83" t="n">
        <v>4</v>
      </c>
      <c r="Q83" t="n">
        <v>1</v>
      </c>
      <c r="R83" t="n">
        <v>5</v>
      </c>
      <c r="S83" t="n">
        <v>4</v>
      </c>
      <c r="T83" t="n">
        <v>4</v>
      </c>
      <c r="U83">
        <f>(AVERAGE(B83:D83)-1)/4</f>
        <v/>
      </c>
      <c r="V83">
        <f>(AVERAGE(E83:F83)-1)/4</f>
        <v/>
      </c>
      <c r="W83">
        <f>(AVERAGE(G83:I83)-1)/4</f>
        <v/>
      </c>
      <c r="X83">
        <f>(AVERAGE(J83:L83)-1)/4</f>
        <v/>
      </c>
      <c r="Y83">
        <f>(AVERAGE(M83:O83)-1)/4</f>
        <v/>
      </c>
      <c r="Z83">
        <f>(AVERAGE(P83:R83)-1)/4</f>
        <v/>
      </c>
      <c r="AA83">
        <f>(AVERAGE(S83:T83)-1)/4</f>
        <v/>
      </c>
      <c r="AB83">
        <f>AVERAGE(U83:Y83)</f>
        <v/>
      </c>
      <c r="AC83">
        <f>MIN(U83:Y83)</f>
        <v/>
      </c>
      <c r="AD83">
        <f>1-alpha*MAX(0,delta-AC83)</f>
        <v/>
      </c>
      <c r="AE83">
        <f>AB83*AD83</f>
        <v/>
      </c>
      <c r="AF83">
        <f>1+COUNTIF(bounds,"&lt;"&amp;ROUND(AB83,12))</f>
        <v/>
      </c>
      <c r="AG83">
        <f>1+COUNTIF(bounds,"&lt;"&amp;ROUND(AE83,12))</f>
        <v/>
      </c>
      <c r="AH83">
        <f>IF(AD83&lt;1,1,0)</f>
        <v/>
      </c>
      <c r="AI83">
        <f>IF(AF83&lt;&gt;AG83,1,0)</f>
        <v/>
      </c>
      <c r="AJ83">
        <f>IF(AND(AG83&gt;=3,Z83&lt;=0.2),1,0)</f>
        <v/>
      </c>
      <c r="AK83">
        <f>AVERAGE(U83:Z83)</f>
        <v/>
      </c>
      <c r="AL83">
        <f>1+COUNTIF(bounds,"&lt;"&amp;ROUND(AK83,12))</f>
        <v/>
      </c>
      <c r="AM83">
        <f>IF(AI83=1,AB83,NA())</f>
        <v/>
      </c>
      <c r="AN83">
        <f>IF(AI83=0,AB83,NA())</f>
        <v/>
      </c>
    </row>
    <row r="84">
      <c r="A84" t="n">
        <v>76</v>
      </c>
      <c r="B84" t="n">
        <v>2</v>
      </c>
      <c r="C84" t="n">
        <v>3</v>
      </c>
      <c r="D84" t="n">
        <v>5</v>
      </c>
      <c r="E84" t="n">
        <v>5</v>
      </c>
      <c r="F84" t="n">
        <v>5</v>
      </c>
      <c r="G84" t="n">
        <v>3</v>
      </c>
      <c r="H84" t="n">
        <v>4</v>
      </c>
      <c r="I84" t="n">
        <v>1</v>
      </c>
      <c r="J84" t="n">
        <v>1</v>
      </c>
      <c r="K84" t="n">
        <v>2</v>
      </c>
      <c r="L84" t="n">
        <v>2</v>
      </c>
      <c r="M84" t="n">
        <v>1</v>
      </c>
      <c r="N84" t="n">
        <v>2</v>
      </c>
      <c r="O84" t="n">
        <v>4</v>
      </c>
      <c r="P84" t="n">
        <v>5</v>
      </c>
      <c r="Q84" t="n">
        <v>2</v>
      </c>
      <c r="R84" t="n">
        <v>2</v>
      </c>
      <c r="S84" t="n">
        <v>1</v>
      </c>
      <c r="T84" t="n">
        <v>1</v>
      </c>
      <c r="U84">
        <f>(AVERAGE(B84:D84)-1)/4</f>
        <v/>
      </c>
      <c r="V84">
        <f>(AVERAGE(E84:F84)-1)/4</f>
        <v/>
      </c>
      <c r="W84">
        <f>(AVERAGE(G84:I84)-1)/4</f>
        <v/>
      </c>
      <c r="X84">
        <f>(AVERAGE(J84:L84)-1)/4</f>
        <v/>
      </c>
      <c r="Y84">
        <f>(AVERAGE(M84:O84)-1)/4</f>
        <v/>
      </c>
      <c r="Z84">
        <f>(AVERAGE(P84:R84)-1)/4</f>
        <v/>
      </c>
      <c r="AA84">
        <f>(AVERAGE(S84:T84)-1)/4</f>
        <v/>
      </c>
      <c r="AB84">
        <f>AVERAGE(U84:Y84)</f>
        <v/>
      </c>
      <c r="AC84">
        <f>MIN(U84:Y84)</f>
        <v/>
      </c>
      <c r="AD84">
        <f>1-alpha*MAX(0,delta-AC84)</f>
        <v/>
      </c>
      <c r="AE84">
        <f>AB84*AD84</f>
        <v/>
      </c>
      <c r="AF84">
        <f>1+COUNTIF(bounds,"&lt;"&amp;ROUND(AB84,12))</f>
        <v/>
      </c>
      <c r="AG84">
        <f>1+COUNTIF(bounds,"&lt;"&amp;ROUND(AE84,12))</f>
        <v/>
      </c>
      <c r="AH84">
        <f>IF(AD84&lt;1,1,0)</f>
        <v/>
      </c>
      <c r="AI84">
        <f>IF(AF84&lt;&gt;AG84,1,0)</f>
        <v/>
      </c>
      <c r="AJ84">
        <f>IF(AND(AG84&gt;=3,Z84&lt;=0.2),1,0)</f>
        <v/>
      </c>
      <c r="AK84">
        <f>AVERAGE(U84:Z84)</f>
        <v/>
      </c>
      <c r="AL84">
        <f>1+COUNTIF(bounds,"&lt;"&amp;ROUND(AK84,12))</f>
        <v/>
      </c>
      <c r="AM84">
        <f>IF(AI84=1,AB84,NA())</f>
        <v/>
      </c>
      <c r="AN84">
        <f>IF(AI84=0,AB84,NA())</f>
        <v/>
      </c>
    </row>
    <row r="85">
      <c r="A85" t="n">
        <v>77</v>
      </c>
      <c r="B85" t="n">
        <v>3</v>
      </c>
      <c r="C85" t="n">
        <v>5</v>
      </c>
      <c r="D85" t="n">
        <v>1</v>
      </c>
      <c r="E85" t="n">
        <v>1</v>
      </c>
      <c r="F85" t="n">
        <v>1</v>
      </c>
      <c r="G85" t="n">
        <v>4</v>
      </c>
      <c r="H85" t="n">
        <v>1</v>
      </c>
      <c r="I85" t="n">
        <v>5</v>
      </c>
      <c r="J85" t="n">
        <v>3</v>
      </c>
      <c r="K85" t="n">
        <v>2</v>
      </c>
      <c r="L85" t="n">
        <v>5</v>
      </c>
      <c r="M85" t="n">
        <v>3</v>
      </c>
      <c r="N85" t="n">
        <v>5</v>
      </c>
      <c r="O85" t="n">
        <v>2</v>
      </c>
      <c r="P85" t="n">
        <v>5</v>
      </c>
      <c r="Q85" t="n">
        <v>5</v>
      </c>
      <c r="R85" t="n">
        <v>4</v>
      </c>
      <c r="S85" t="n">
        <v>3</v>
      </c>
      <c r="T85" t="n">
        <v>4</v>
      </c>
      <c r="U85">
        <f>(AVERAGE(B85:D85)-1)/4</f>
        <v/>
      </c>
      <c r="V85">
        <f>(AVERAGE(E85:F85)-1)/4</f>
        <v/>
      </c>
      <c r="W85">
        <f>(AVERAGE(G85:I85)-1)/4</f>
        <v/>
      </c>
      <c r="X85">
        <f>(AVERAGE(J85:L85)-1)/4</f>
        <v/>
      </c>
      <c r="Y85">
        <f>(AVERAGE(M85:O85)-1)/4</f>
        <v/>
      </c>
      <c r="Z85">
        <f>(AVERAGE(P85:R85)-1)/4</f>
        <v/>
      </c>
      <c r="AA85">
        <f>(AVERAGE(S85:T85)-1)/4</f>
        <v/>
      </c>
      <c r="AB85">
        <f>AVERAGE(U85:Y85)</f>
        <v/>
      </c>
      <c r="AC85">
        <f>MIN(U85:Y85)</f>
        <v/>
      </c>
      <c r="AD85">
        <f>1-alpha*MAX(0,delta-AC85)</f>
        <v/>
      </c>
      <c r="AE85">
        <f>AB85*AD85</f>
        <v/>
      </c>
      <c r="AF85">
        <f>1+COUNTIF(bounds,"&lt;"&amp;ROUND(AB85,12))</f>
        <v/>
      </c>
      <c r="AG85">
        <f>1+COUNTIF(bounds,"&lt;"&amp;ROUND(AE85,12))</f>
        <v/>
      </c>
      <c r="AH85">
        <f>IF(AD85&lt;1,1,0)</f>
        <v/>
      </c>
      <c r="AI85">
        <f>IF(AF85&lt;&gt;AG85,1,0)</f>
        <v/>
      </c>
      <c r="AJ85">
        <f>IF(AND(AG85&gt;=3,Z85&lt;=0.2),1,0)</f>
        <v/>
      </c>
      <c r="AK85">
        <f>AVERAGE(U85:Z85)</f>
        <v/>
      </c>
      <c r="AL85">
        <f>1+COUNTIF(bounds,"&lt;"&amp;ROUND(AK85,12))</f>
        <v/>
      </c>
      <c r="AM85">
        <f>IF(AI85=1,AB85,NA())</f>
        <v/>
      </c>
      <c r="AN85">
        <f>IF(AI85=0,AB85,NA())</f>
        <v/>
      </c>
    </row>
    <row r="86">
      <c r="A86" t="n">
        <v>78</v>
      </c>
      <c r="B86" t="n">
        <v>2</v>
      </c>
      <c r="C86" t="n">
        <v>5</v>
      </c>
      <c r="D86" t="n">
        <v>3</v>
      </c>
      <c r="E86" t="n">
        <v>5</v>
      </c>
      <c r="F86" t="n">
        <v>2</v>
      </c>
      <c r="G86" t="n">
        <v>4</v>
      </c>
      <c r="H86" t="n">
        <v>5</v>
      </c>
      <c r="I86" t="n">
        <v>4</v>
      </c>
      <c r="J86" t="n">
        <v>4</v>
      </c>
      <c r="K86" t="n">
        <v>4</v>
      </c>
      <c r="L86" t="n">
        <v>1</v>
      </c>
      <c r="M86" t="n">
        <v>2</v>
      </c>
      <c r="N86" t="n">
        <v>2</v>
      </c>
      <c r="O86" t="n">
        <v>5</v>
      </c>
      <c r="P86" t="n">
        <v>5</v>
      </c>
      <c r="Q86" t="n">
        <v>4</v>
      </c>
      <c r="R86" t="n">
        <v>5</v>
      </c>
      <c r="S86" t="n">
        <v>5</v>
      </c>
      <c r="T86" t="n">
        <v>2</v>
      </c>
      <c r="U86">
        <f>(AVERAGE(B86:D86)-1)/4</f>
        <v/>
      </c>
      <c r="V86">
        <f>(AVERAGE(E86:F86)-1)/4</f>
        <v/>
      </c>
      <c r="W86">
        <f>(AVERAGE(G86:I86)-1)/4</f>
        <v/>
      </c>
      <c r="X86">
        <f>(AVERAGE(J86:L86)-1)/4</f>
        <v/>
      </c>
      <c r="Y86">
        <f>(AVERAGE(M86:O86)-1)/4</f>
        <v/>
      </c>
      <c r="Z86">
        <f>(AVERAGE(P86:R86)-1)/4</f>
        <v/>
      </c>
      <c r="AA86">
        <f>(AVERAGE(S86:T86)-1)/4</f>
        <v/>
      </c>
      <c r="AB86">
        <f>AVERAGE(U86:Y86)</f>
        <v/>
      </c>
      <c r="AC86">
        <f>MIN(U86:Y86)</f>
        <v/>
      </c>
      <c r="AD86">
        <f>1-alpha*MAX(0,delta-AC86)</f>
        <v/>
      </c>
      <c r="AE86">
        <f>AB86*AD86</f>
        <v/>
      </c>
      <c r="AF86">
        <f>1+COUNTIF(bounds,"&lt;"&amp;ROUND(AB86,12))</f>
        <v/>
      </c>
      <c r="AG86">
        <f>1+COUNTIF(bounds,"&lt;"&amp;ROUND(AE86,12))</f>
        <v/>
      </c>
      <c r="AH86">
        <f>IF(AD86&lt;1,1,0)</f>
        <v/>
      </c>
      <c r="AI86">
        <f>IF(AF86&lt;&gt;AG86,1,0)</f>
        <v/>
      </c>
      <c r="AJ86">
        <f>IF(AND(AG86&gt;=3,Z86&lt;=0.2),1,0)</f>
        <v/>
      </c>
      <c r="AK86">
        <f>AVERAGE(U86:Z86)</f>
        <v/>
      </c>
      <c r="AL86">
        <f>1+COUNTIF(bounds,"&lt;"&amp;ROUND(AK86,12))</f>
        <v/>
      </c>
      <c r="AM86">
        <f>IF(AI86=1,AB86,NA())</f>
        <v/>
      </c>
      <c r="AN86">
        <f>IF(AI86=0,AB86,NA())</f>
        <v/>
      </c>
    </row>
    <row r="87">
      <c r="A87" t="n">
        <v>79</v>
      </c>
      <c r="B87" t="n">
        <v>3</v>
      </c>
      <c r="C87" t="n">
        <v>2</v>
      </c>
      <c r="D87" t="n">
        <v>2</v>
      </c>
      <c r="E87" t="n">
        <v>2</v>
      </c>
      <c r="F87" t="n">
        <v>4</v>
      </c>
      <c r="G87" t="n">
        <v>4</v>
      </c>
      <c r="H87" t="n">
        <v>3</v>
      </c>
      <c r="I87" t="n">
        <v>5</v>
      </c>
      <c r="J87" t="n">
        <v>5</v>
      </c>
      <c r="K87" t="n">
        <v>3</v>
      </c>
      <c r="L87" t="n">
        <v>3</v>
      </c>
      <c r="M87" t="n">
        <v>2</v>
      </c>
      <c r="N87" t="n">
        <v>3</v>
      </c>
      <c r="O87" t="n">
        <v>2</v>
      </c>
      <c r="P87" t="n">
        <v>1</v>
      </c>
      <c r="Q87" t="n">
        <v>1</v>
      </c>
      <c r="R87" t="n">
        <v>3</v>
      </c>
      <c r="S87" t="n">
        <v>5</v>
      </c>
      <c r="T87" t="n">
        <v>5</v>
      </c>
      <c r="U87">
        <f>(AVERAGE(B87:D87)-1)/4</f>
        <v/>
      </c>
      <c r="V87">
        <f>(AVERAGE(E87:F87)-1)/4</f>
        <v/>
      </c>
      <c r="W87">
        <f>(AVERAGE(G87:I87)-1)/4</f>
        <v/>
      </c>
      <c r="X87">
        <f>(AVERAGE(J87:L87)-1)/4</f>
        <v/>
      </c>
      <c r="Y87">
        <f>(AVERAGE(M87:O87)-1)/4</f>
        <v/>
      </c>
      <c r="Z87">
        <f>(AVERAGE(P87:R87)-1)/4</f>
        <v/>
      </c>
      <c r="AA87">
        <f>(AVERAGE(S87:T87)-1)/4</f>
        <v/>
      </c>
      <c r="AB87">
        <f>AVERAGE(U87:Y87)</f>
        <v/>
      </c>
      <c r="AC87">
        <f>MIN(U87:Y87)</f>
        <v/>
      </c>
      <c r="AD87">
        <f>1-alpha*MAX(0,delta-AC87)</f>
        <v/>
      </c>
      <c r="AE87">
        <f>AB87*AD87</f>
        <v/>
      </c>
      <c r="AF87">
        <f>1+COUNTIF(bounds,"&lt;"&amp;ROUND(AB87,12))</f>
        <v/>
      </c>
      <c r="AG87">
        <f>1+COUNTIF(bounds,"&lt;"&amp;ROUND(AE87,12))</f>
        <v/>
      </c>
      <c r="AH87">
        <f>IF(AD87&lt;1,1,0)</f>
        <v/>
      </c>
      <c r="AI87">
        <f>IF(AF87&lt;&gt;AG87,1,0)</f>
        <v/>
      </c>
      <c r="AJ87">
        <f>IF(AND(AG87&gt;=3,Z87&lt;=0.2),1,0)</f>
        <v/>
      </c>
      <c r="AK87">
        <f>AVERAGE(U87:Z87)</f>
        <v/>
      </c>
      <c r="AL87">
        <f>1+COUNTIF(bounds,"&lt;"&amp;ROUND(AK87,12))</f>
        <v/>
      </c>
      <c r="AM87">
        <f>IF(AI87=1,AB87,NA())</f>
        <v/>
      </c>
      <c r="AN87">
        <f>IF(AI87=0,AB87,NA())</f>
        <v/>
      </c>
    </row>
    <row r="88">
      <c r="A88" t="n">
        <v>80</v>
      </c>
      <c r="B88" t="n">
        <v>4</v>
      </c>
      <c r="C88" t="n">
        <v>2</v>
      </c>
      <c r="D88" t="n">
        <v>3</v>
      </c>
      <c r="E88" t="n">
        <v>1</v>
      </c>
      <c r="F88" t="n">
        <v>4</v>
      </c>
      <c r="G88" t="n">
        <v>1</v>
      </c>
      <c r="H88" t="n">
        <v>2</v>
      </c>
      <c r="I88" t="n">
        <v>1</v>
      </c>
      <c r="J88" t="n">
        <v>3</v>
      </c>
      <c r="K88" t="n">
        <v>4</v>
      </c>
      <c r="L88" t="n">
        <v>3</v>
      </c>
      <c r="M88" t="n">
        <v>3</v>
      </c>
      <c r="N88" t="n">
        <v>1</v>
      </c>
      <c r="O88" t="n">
        <v>2</v>
      </c>
      <c r="P88" t="n">
        <v>4</v>
      </c>
      <c r="Q88" t="n">
        <v>3</v>
      </c>
      <c r="R88" t="n">
        <v>3</v>
      </c>
      <c r="S88" t="n">
        <v>3</v>
      </c>
      <c r="T88" t="n">
        <v>3</v>
      </c>
      <c r="U88">
        <f>(AVERAGE(B88:D88)-1)/4</f>
        <v/>
      </c>
      <c r="V88">
        <f>(AVERAGE(E88:F88)-1)/4</f>
        <v/>
      </c>
      <c r="W88">
        <f>(AVERAGE(G88:I88)-1)/4</f>
        <v/>
      </c>
      <c r="X88">
        <f>(AVERAGE(J88:L88)-1)/4</f>
        <v/>
      </c>
      <c r="Y88">
        <f>(AVERAGE(M88:O88)-1)/4</f>
        <v/>
      </c>
      <c r="Z88">
        <f>(AVERAGE(P88:R88)-1)/4</f>
        <v/>
      </c>
      <c r="AA88">
        <f>(AVERAGE(S88:T88)-1)/4</f>
        <v/>
      </c>
      <c r="AB88">
        <f>AVERAGE(U88:Y88)</f>
        <v/>
      </c>
      <c r="AC88">
        <f>MIN(U88:Y88)</f>
        <v/>
      </c>
      <c r="AD88">
        <f>1-alpha*MAX(0,delta-AC88)</f>
        <v/>
      </c>
      <c r="AE88">
        <f>AB88*AD88</f>
        <v/>
      </c>
      <c r="AF88">
        <f>1+COUNTIF(bounds,"&lt;"&amp;ROUND(AB88,12))</f>
        <v/>
      </c>
      <c r="AG88">
        <f>1+COUNTIF(bounds,"&lt;"&amp;ROUND(AE88,12))</f>
        <v/>
      </c>
      <c r="AH88">
        <f>IF(AD88&lt;1,1,0)</f>
        <v/>
      </c>
      <c r="AI88">
        <f>IF(AF88&lt;&gt;AG88,1,0)</f>
        <v/>
      </c>
      <c r="AJ88">
        <f>IF(AND(AG88&gt;=3,Z88&lt;=0.2),1,0)</f>
        <v/>
      </c>
      <c r="AK88">
        <f>AVERAGE(U88:Z88)</f>
        <v/>
      </c>
      <c r="AL88">
        <f>1+COUNTIF(bounds,"&lt;"&amp;ROUND(AK88,12))</f>
        <v/>
      </c>
      <c r="AM88">
        <f>IF(AI88=1,AB88,NA())</f>
        <v/>
      </c>
      <c r="AN88">
        <f>IF(AI88=0,AB88,NA())</f>
        <v/>
      </c>
    </row>
    <row r="89">
      <c r="A89" t="n">
        <v>81</v>
      </c>
      <c r="B89" t="n">
        <v>4</v>
      </c>
      <c r="C89" t="n">
        <v>5</v>
      </c>
      <c r="D89" t="n">
        <v>5</v>
      </c>
      <c r="E89" t="n">
        <v>5</v>
      </c>
      <c r="F89" t="n">
        <v>1</v>
      </c>
      <c r="G89" t="n">
        <v>5</v>
      </c>
      <c r="H89" t="n">
        <v>2</v>
      </c>
      <c r="I89" t="n">
        <v>2</v>
      </c>
      <c r="J89" t="n">
        <v>1</v>
      </c>
      <c r="K89" t="n">
        <v>4</v>
      </c>
      <c r="L89" t="n">
        <v>2</v>
      </c>
      <c r="M89" t="n">
        <v>3</v>
      </c>
      <c r="N89" t="n">
        <v>4</v>
      </c>
      <c r="O89" t="n">
        <v>4</v>
      </c>
      <c r="P89" t="n">
        <v>4</v>
      </c>
      <c r="Q89" t="n">
        <v>3</v>
      </c>
      <c r="R89" t="n">
        <v>4</v>
      </c>
      <c r="S89" t="n">
        <v>4</v>
      </c>
      <c r="T89" t="n">
        <v>3</v>
      </c>
      <c r="U89">
        <f>(AVERAGE(B89:D89)-1)/4</f>
        <v/>
      </c>
      <c r="V89">
        <f>(AVERAGE(E89:F89)-1)/4</f>
        <v/>
      </c>
      <c r="W89">
        <f>(AVERAGE(G89:I89)-1)/4</f>
        <v/>
      </c>
      <c r="X89">
        <f>(AVERAGE(J89:L89)-1)/4</f>
        <v/>
      </c>
      <c r="Y89">
        <f>(AVERAGE(M89:O89)-1)/4</f>
        <v/>
      </c>
      <c r="Z89">
        <f>(AVERAGE(P89:R89)-1)/4</f>
        <v/>
      </c>
      <c r="AA89">
        <f>(AVERAGE(S89:T89)-1)/4</f>
        <v/>
      </c>
      <c r="AB89">
        <f>AVERAGE(U89:Y89)</f>
        <v/>
      </c>
      <c r="AC89">
        <f>MIN(U89:Y89)</f>
        <v/>
      </c>
      <c r="AD89">
        <f>1-alpha*MAX(0,delta-AC89)</f>
        <v/>
      </c>
      <c r="AE89">
        <f>AB89*AD89</f>
        <v/>
      </c>
      <c r="AF89">
        <f>1+COUNTIF(bounds,"&lt;"&amp;ROUND(AB89,12))</f>
        <v/>
      </c>
      <c r="AG89">
        <f>1+COUNTIF(bounds,"&lt;"&amp;ROUND(AE89,12))</f>
        <v/>
      </c>
      <c r="AH89">
        <f>IF(AD89&lt;1,1,0)</f>
        <v/>
      </c>
      <c r="AI89">
        <f>IF(AF89&lt;&gt;AG89,1,0)</f>
        <v/>
      </c>
      <c r="AJ89">
        <f>IF(AND(AG89&gt;=3,Z89&lt;=0.2),1,0)</f>
        <v/>
      </c>
      <c r="AK89">
        <f>AVERAGE(U89:Z89)</f>
        <v/>
      </c>
      <c r="AL89">
        <f>1+COUNTIF(bounds,"&lt;"&amp;ROUND(AK89,12))</f>
        <v/>
      </c>
      <c r="AM89">
        <f>IF(AI89=1,AB89,NA())</f>
        <v/>
      </c>
      <c r="AN89">
        <f>IF(AI89=0,AB89,NA())</f>
        <v/>
      </c>
    </row>
    <row r="90">
      <c r="A90" t="n">
        <v>82</v>
      </c>
      <c r="B90" t="n">
        <v>3</v>
      </c>
      <c r="C90" t="n">
        <v>1</v>
      </c>
      <c r="D90" t="n">
        <v>1</v>
      </c>
      <c r="E90" t="n">
        <v>5</v>
      </c>
      <c r="F90" t="n">
        <v>1</v>
      </c>
      <c r="G90" t="n">
        <v>1</v>
      </c>
      <c r="H90" t="n">
        <v>5</v>
      </c>
      <c r="I90" t="n">
        <v>5</v>
      </c>
      <c r="J90" t="n">
        <v>1</v>
      </c>
      <c r="K90" t="n">
        <v>4</v>
      </c>
      <c r="L90" t="n">
        <v>3</v>
      </c>
      <c r="M90" t="n">
        <v>2</v>
      </c>
      <c r="N90" t="n">
        <v>5</v>
      </c>
      <c r="O90" t="n">
        <v>4</v>
      </c>
      <c r="P90" t="n">
        <v>4</v>
      </c>
      <c r="Q90" t="n">
        <v>5</v>
      </c>
      <c r="R90" t="n">
        <v>1</v>
      </c>
      <c r="S90" t="n">
        <v>4</v>
      </c>
      <c r="T90" t="n">
        <v>2</v>
      </c>
      <c r="U90">
        <f>(AVERAGE(B90:D90)-1)/4</f>
        <v/>
      </c>
      <c r="V90">
        <f>(AVERAGE(E90:F90)-1)/4</f>
        <v/>
      </c>
      <c r="W90">
        <f>(AVERAGE(G90:I90)-1)/4</f>
        <v/>
      </c>
      <c r="X90">
        <f>(AVERAGE(J90:L90)-1)/4</f>
        <v/>
      </c>
      <c r="Y90">
        <f>(AVERAGE(M90:O90)-1)/4</f>
        <v/>
      </c>
      <c r="Z90">
        <f>(AVERAGE(P90:R90)-1)/4</f>
        <v/>
      </c>
      <c r="AA90">
        <f>(AVERAGE(S90:T90)-1)/4</f>
        <v/>
      </c>
      <c r="AB90">
        <f>AVERAGE(U90:Y90)</f>
        <v/>
      </c>
      <c r="AC90">
        <f>MIN(U90:Y90)</f>
        <v/>
      </c>
      <c r="AD90">
        <f>1-alpha*MAX(0,delta-AC90)</f>
        <v/>
      </c>
      <c r="AE90">
        <f>AB90*AD90</f>
        <v/>
      </c>
      <c r="AF90">
        <f>1+COUNTIF(bounds,"&lt;"&amp;ROUND(AB90,12))</f>
        <v/>
      </c>
      <c r="AG90">
        <f>1+COUNTIF(bounds,"&lt;"&amp;ROUND(AE90,12))</f>
        <v/>
      </c>
      <c r="AH90">
        <f>IF(AD90&lt;1,1,0)</f>
        <v/>
      </c>
      <c r="AI90">
        <f>IF(AF90&lt;&gt;AG90,1,0)</f>
        <v/>
      </c>
      <c r="AJ90">
        <f>IF(AND(AG90&gt;=3,Z90&lt;=0.2),1,0)</f>
        <v/>
      </c>
      <c r="AK90">
        <f>AVERAGE(U90:Z90)</f>
        <v/>
      </c>
      <c r="AL90">
        <f>1+COUNTIF(bounds,"&lt;"&amp;ROUND(AK90,12))</f>
        <v/>
      </c>
      <c r="AM90">
        <f>IF(AI90=1,AB90,NA())</f>
        <v/>
      </c>
      <c r="AN90">
        <f>IF(AI90=0,AB90,NA())</f>
        <v/>
      </c>
    </row>
    <row r="91">
      <c r="A91" t="n">
        <v>83</v>
      </c>
      <c r="B91" t="n">
        <v>3</v>
      </c>
      <c r="C91" t="n">
        <v>1</v>
      </c>
      <c r="D91" t="n">
        <v>1</v>
      </c>
      <c r="E91" t="n">
        <v>5</v>
      </c>
      <c r="F91" t="n">
        <v>1</v>
      </c>
      <c r="G91" t="n">
        <v>3</v>
      </c>
      <c r="H91" t="n">
        <v>2</v>
      </c>
      <c r="I91" t="n">
        <v>4</v>
      </c>
      <c r="J91" t="n">
        <v>5</v>
      </c>
      <c r="K91" t="n">
        <v>3</v>
      </c>
      <c r="L91" t="n">
        <v>3</v>
      </c>
      <c r="M91" t="n">
        <v>4</v>
      </c>
      <c r="N91" t="n">
        <v>3</v>
      </c>
      <c r="O91" t="n">
        <v>4</v>
      </c>
      <c r="P91" t="n">
        <v>4</v>
      </c>
      <c r="Q91" t="n">
        <v>2</v>
      </c>
      <c r="R91" t="n">
        <v>5</v>
      </c>
      <c r="S91" t="n">
        <v>2</v>
      </c>
      <c r="T91" t="n">
        <v>5</v>
      </c>
      <c r="U91">
        <f>(AVERAGE(B91:D91)-1)/4</f>
        <v/>
      </c>
      <c r="V91">
        <f>(AVERAGE(E91:F91)-1)/4</f>
        <v/>
      </c>
      <c r="W91">
        <f>(AVERAGE(G91:I91)-1)/4</f>
        <v/>
      </c>
      <c r="X91">
        <f>(AVERAGE(J91:L91)-1)/4</f>
        <v/>
      </c>
      <c r="Y91">
        <f>(AVERAGE(M91:O91)-1)/4</f>
        <v/>
      </c>
      <c r="Z91">
        <f>(AVERAGE(P91:R91)-1)/4</f>
        <v/>
      </c>
      <c r="AA91">
        <f>(AVERAGE(S91:T91)-1)/4</f>
        <v/>
      </c>
      <c r="AB91">
        <f>AVERAGE(U91:Y91)</f>
        <v/>
      </c>
      <c r="AC91">
        <f>MIN(U91:Y91)</f>
        <v/>
      </c>
      <c r="AD91">
        <f>1-alpha*MAX(0,delta-AC91)</f>
        <v/>
      </c>
      <c r="AE91">
        <f>AB91*AD91</f>
        <v/>
      </c>
      <c r="AF91">
        <f>1+COUNTIF(bounds,"&lt;"&amp;ROUND(AB91,12))</f>
        <v/>
      </c>
      <c r="AG91">
        <f>1+COUNTIF(bounds,"&lt;"&amp;ROUND(AE91,12))</f>
        <v/>
      </c>
      <c r="AH91">
        <f>IF(AD91&lt;1,1,0)</f>
        <v/>
      </c>
      <c r="AI91">
        <f>IF(AF91&lt;&gt;AG91,1,0)</f>
        <v/>
      </c>
      <c r="AJ91">
        <f>IF(AND(AG91&gt;=3,Z91&lt;=0.2),1,0)</f>
        <v/>
      </c>
      <c r="AK91">
        <f>AVERAGE(U91:Z91)</f>
        <v/>
      </c>
      <c r="AL91">
        <f>1+COUNTIF(bounds,"&lt;"&amp;ROUND(AK91,12))</f>
        <v/>
      </c>
      <c r="AM91">
        <f>IF(AI91=1,AB91,NA())</f>
        <v/>
      </c>
      <c r="AN91">
        <f>IF(AI91=0,AB91,NA())</f>
        <v/>
      </c>
    </row>
    <row r="92">
      <c r="A92" t="n">
        <v>84</v>
      </c>
      <c r="B92" t="n">
        <v>2</v>
      </c>
      <c r="C92" t="n">
        <v>5</v>
      </c>
      <c r="D92" t="n">
        <v>1</v>
      </c>
      <c r="E92" t="n">
        <v>2</v>
      </c>
      <c r="F92" t="n">
        <v>2</v>
      </c>
      <c r="G92" t="n">
        <v>4</v>
      </c>
      <c r="H92" t="n">
        <v>4</v>
      </c>
      <c r="I92" t="n">
        <v>4</v>
      </c>
      <c r="J92" t="n">
        <v>1</v>
      </c>
      <c r="K92" t="n">
        <v>4</v>
      </c>
      <c r="L92" t="n">
        <v>3</v>
      </c>
      <c r="M92" t="n">
        <v>4</v>
      </c>
      <c r="N92" t="n">
        <v>1</v>
      </c>
      <c r="O92" t="n">
        <v>1</v>
      </c>
      <c r="P92" t="n">
        <v>3</v>
      </c>
      <c r="Q92" t="n">
        <v>2</v>
      </c>
      <c r="R92" t="n">
        <v>4</v>
      </c>
      <c r="S92" t="n">
        <v>1</v>
      </c>
      <c r="T92" t="n">
        <v>2</v>
      </c>
      <c r="U92">
        <f>(AVERAGE(B92:D92)-1)/4</f>
        <v/>
      </c>
      <c r="V92">
        <f>(AVERAGE(E92:F92)-1)/4</f>
        <v/>
      </c>
      <c r="W92">
        <f>(AVERAGE(G92:I92)-1)/4</f>
        <v/>
      </c>
      <c r="X92">
        <f>(AVERAGE(J92:L92)-1)/4</f>
        <v/>
      </c>
      <c r="Y92">
        <f>(AVERAGE(M92:O92)-1)/4</f>
        <v/>
      </c>
      <c r="Z92">
        <f>(AVERAGE(P92:R92)-1)/4</f>
        <v/>
      </c>
      <c r="AA92">
        <f>(AVERAGE(S92:T92)-1)/4</f>
        <v/>
      </c>
      <c r="AB92">
        <f>AVERAGE(U92:Y92)</f>
        <v/>
      </c>
      <c r="AC92">
        <f>MIN(U92:Y92)</f>
        <v/>
      </c>
      <c r="AD92">
        <f>1-alpha*MAX(0,delta-AC92)</f>
        <v/>
      </c>
      <c r="AE92">
        <f>AB92*AD92</f>
        <v/>
      </c>
      <c r="AF92">
        <f>1+COUNTIF(bounds,"&lt;"&amp;ROUND(AB92,12))</f>
        <v/>
      </c>
      <c r="AG92">
        <f>1+COUNTIF(bounds,"&lt;"&amp;ROUND(AE92,12))</f>
        <v/>
      </c>
      <c r="AH92">
        <f>IF(AD92&lt;1,1,0)</f>
        <v/>
      </c>
      <c r="AI92">
        <f>IF(AF92&lt;&gt;AG92,1,0)</f>
        <v/>
      </c>
      <c r="AJ92">
        <f>IF(AND(AG92&gt;=3,Z92&lt;=0.2),1,0)</f>
        <v/>
      </c>
      <c r="AK92">
        <f>AVERAGE(U92:Z92)</f>
        <v/>
      </c>
      <c r="AL92">
        <f>1+COUNTIF(bounds,"&lt;"&amp;ROUND(AK92,12))</f>
        <v/>
      </c>
      <c r="AM92">
        <f>IF(AI92=1,AB92,NA())</f>
        <v/>
      </c>
      <c r="AN92">
        <f>IF(AI92=0,AB92,NA())</f>
        <v/>
      </c>
    </row>
    <row r="93">
      <c r="A93" t="n">
        <v>85</v>
      </c>
      <c r="B93" t="n">
        <v>1</v>
      </c>
      <c r="C93" t="n">
        <v>5</v>
      </c>
      <c r="D93" t="n">
        <v>4</v>
      </c>
      <c r="E93" t="n">
        <v>4</v>
      </c>
      <c r="F93" t="n">
        <v>4</v>
      </c>
      <c r="G93" t="n">
        <v>1</v>
      </c>
      <c r="H93" t="n">
        <v>2</v>
      </c>
      <c r="I93" t="n">
        <v>1</v>
      </c>
      <c r="J93" t="n">
        <v>5</v>
      </c>
      <c r="K93" t="n">
        <v>1</v>
      </c>
      <c r="L93" t="n">
        <v>4</v>
      </c>
      <c r="M93" t="n">
        <v>4</v>
      </c>
      <c r="N93" t="n">
        <v>2</v>
      </c>
      <c r="O93" t="n">
        <v>3</v>
      </c>
      <c r="P93" t="n">
        <v>2</v>
      </c>
      <c r="Q93" t="n">
        <v>1</v>
      </c>
      <c r="R93" t="n">
        <v>5</v>
      </c>
      <c r="S93" t="n">
        <v>3</v>
      </c>
      <c r="T93" t="n">
        <v>3</v>
      </c>
      <c r="U93">
        <f>(AVERAGE(B93:D93)-1)/4</f>
        <v/>
      </c>
      <c r="V93">
        <f>(AVERAGE(E93:F93)-1)/4</f>
        <v/>
      </c>
      <c r="W93">
        <f>(AVERAGE(G93:I93)-1)/4</f>
        <v/>
      </c>
      <c r="X93">
        <f>(AVERAGE(J93:L93)-1)/4</f>
        <v/>
      </c>
      <c r="Y93">
        <f>(AVERAGE(M93:O93)-1)/4</f>
        <v/>
      </c>
      <c r="Z93">
        <f>(AVERAGE(P93:R93)-1)/4</f>
        <v/>
      </c>
      <c r="AA93">
        <f>(AVERAGE(S93:T93)-1)/4</f>
        <v/>
      </c>
      <c r="AB93">
        <f>AVERAGE(U93:Y93)</f>
        <v/>
      </c>
      <c r="AC93">
        <f>MIN(U93:Y93)</f>
        <v/>
      </c>
      <c r="AD93">
        <f>1-alpha*MAX(0,delta-AC93)</f>
        <v/>
      </c>
      <c r="AE93">
        <f>AB93*AD93</f>
        <v/>
      </c>
      <c r="AF93">
        <f>1+COUNTIF(bounds,"&lt;"&amp;ROUND(AB93,12))</f>
        <v/>
      </c>
      <c r="AG93">
        <f>1+COUNTIF(bounds,"&lt;"&amp;ROUND(AE93,12))</f>
        <v/>
      </c>
      <c r="AH93">
        <f>IF(AD93&lt;1,1,0)</f>
        <v/>
      </c>
      <c r="AI93">
        <f>IF(AF93&lt;&gt;AG93,1,0)</f>
        <v/>
      </c>
      <c r="AJ93">
        <f>IF(AND(AG93&gt;=3,Z93&lt;=0.2),1,0)</f>
        <v/>
      </c>
      <c r="AK93">
        <f>AVERAGE(U93:Z93)</f>
        <v/>
      </c>
      <c r="AL93">
        <f>1+COUNTIF(bounds,"&lt;"&amp;ROUND(AK93,12))</f>
        <v/>
      </c>
      <c r="AM93">
        <f>IF(AI93=1,AB93,NA())</f>
        <v/>
      </c>
      <c r="AN93">
        <f>IF(AI93=0,AB93,NA())</f>
        <v/>
      </c>
    </row>
    <row r="94">
      <c r="A94" t="n">
        <v>86</v>
      </c>
      <c r="B94" t="n">
        <v>4</v>
      </c>
      <c r="C94" t="n">
        <v>2</v>
      </c>
      <c r="D94" t="n">
        <v>5</v>
      </c>
      <c r="E94" t="n">
        <v>3</v>
      </c>
      <c r="F94" t="n">
        <v>3</v>
      </c>
      <c r="G94" t="n">
        <v>3</v>
      </c>
      <c r="H94" t="n">
        <v>1</v>
      </c>
      <c r="I94" t="n">
        <v>4</v>
      </c>
      <c r="J94" t="n">
        <v>1</v>
      </c>
      <c r="K94" t="n">
        <v>5</v>
      </c>
      <c r="L94" t="n">
        <v>4</v>
      </c>
      <c r="M94" t="n">
        <v>2</v>
      </c>
      <c r="N94" t="n">
        <v>4</v>
      </c>
      <c r="O94" t="n">
        <v>1</v>
      </c>
      <c r="P94" t="n">
        <v>2</v>
      </c>
      <c r="Q94" t="n">
        <v>3</v>
      </c>
      <c r="R94" t="n">
        <v>2</v>
      </c>
      <c r="S94" t="n">
        <v>4</v>
      </c>
      <c r="T94" t="n">
        <v>4</v>
      </c>
      <c r="U94">
        <f>(AVERAGE(B94:D94)-1)/4</f>
        <v/>
      </c>
      <c r="V94">
        <f>(AVERAGE(E94:F94)-1)/4</f>
        <v/>
      </c>
      <c r="W94">
        <f>(AVERAGE(G94:I94)-1)/4</f>
        <v/>
      </c>
      <c r="X94">
        <f>(AVERAGE(J94:L94)-1)/4</f>
        <v/>
      </c>
      <c r="Y94">
        <f>(AVERAGE(M94:O94)-1)/4</f>
        <v/>
      </c>
      <c r="Z94">
        <f>(AVERAGE(P94:R94)-1)/4</f>
        <v/>
      </c>
      <c r="AA94">
        <f>(AVERAGE(S94:T94)-1)/4</f>
        <v/>
      </c>
      <c r="AB94">
        <f>AVERAGE(U94:Y94)</f>
        <v/>
      </c>
      <c r="AC94">
        <f>MIN(U94:Y94)</f>
        <v/>
      </c>
      <c r="AD94">
        <f>1-alpha*MAX(0,delta-AC94)</f>
        <v/>
      </c>
      <c r="AE94">
        <f>AB94*AD94</f>
        <v/>
      </c>
      <c r="AF94">
        <f>1+COUNTIF(bounds,"&lt;"&amp;ROUND(AB94,12))</f>
        <v/>
      </c>
      <c r="AG94">
        <f>1+COUNTIF(bounds,"&lt;"&amp;ROUND(AE94,12))</f>
        <v/>
      </c>
      <c r="AH94">
        <f>IF(AD94&lt;1,1,0)</f>
        <v/>
      </c>
      <c r="AI94">
        <f>IF(AF94&lt;&gt;AG94,1,0)</f>
        <v/>
      </c>
      <c r="AJ94">
        <f>IF(AND(AG94&gt;=3,Z94&lt;=0.2),1,0)</f>
        <v/>
      </c>
      <c r="AK94">
        <f>AVERAGE(U94:Z94)</f>
        <v/>
      </c>
      <c r="AL94">
        <f>1+COUNTIF(bounds,"&lt;"&amp;ROUND(AK94,12))</f>
        <v/>
      </c>
      <c r="AM94">
        <f>IF(AI94=1,AB94,NA())</f>
        <v/>
      </c>
      <c r="AN94">
        <f>IF(AI94=0,AB94,NA())</f>
        <v/>
      </c>
    </row>
    <row r="95">
      <c r="A95" t="n">
        <v>87</v>
      </c>
      <c r="B95" t="n">
        <v>5</v>
      </c>
      <c r="C95" t="n">
        <v>3</v>
      </c>
      <c r="D95" t="n">
        <v>5</v>
      </c>
      <c r="E95" t="n">
        <v>2</v>
      </c>
      <c r="F95" t="n">
        <v>3</v>
      </c>
      <c r="G95" t="n">
        <v>5</v>
      </c>
      <c r="H95" t="n">
        <v>4</v>
      </c>
      <c r="I95" t="n">
        <v>5</v>
      </c>
      <c r="J95" t="n">
        <v>5</v>
      </c>
      <c r="K95" t="n">
        <v>2</v>
      </c>
      <c r="L95" t="n">
        <v>5</v>
      </c>
      <c r="M95" t="n">
        <v>5</v>
      </c>
      <c r="N95" t="n">
        <v>5</v>
      </c>
      <c r="O95" t="n">
        <v>1</v>
      </c>
      <c r="P95" t="n">
        <v>1</v>
      </c>
      <c r="Q95" t="n">
        <v>2</v>
      </c>
      <c r="R95" t="n">
        <v>4</v>
      </c>
      <c r="S95" t="n">
        <v>3</v>
      </c>
      <c r="T95" t="n">
        <v>5</v>
      </c>
      <c r="U95">
        <f>(AVERAGE(B95:D95)-1)/4</f>
        <v/>
      </c>
      <c r="V95">
        <f>(AVERAGE(E95:F95)-1)/4</f>
        <v/>
      </c>
      <c r="W95">
        <f>(AVERAGE(G95:I95)-1)/4</f>
        <v/>
      </c>
      <c r="X95">
        <f>(AVERAGE(J95:L95)-1)/4</f>
        <v/>
      </c>
      <c r="Y95">
        <f>(AVERAGE(M95:O95)-1)/4</f>
        <v/>
      </c>
      <c r="Z95">
        <f>(AVERAGE(P95:R95)-1)/4</f>
        <v/>
      </c>
      <c r="AA95">
        <f>(AVERAGE(S95:T95)-1)/4</f>
        <v/>
      </c>
      <c r="AB95">
        <f>AVERAGE(U95:Y95)</f>
        <v/>
      </c>
      <c r="AC95">
        <f>MIN(U95:Y95)</f>
        <v/>
      </c>
      <c r="AD95">
        <f>1-alpha*MAX(0,delta-AC95)</f>
        <v/>
      </c>
      <c r="AE95">
        <f>AB95*AD95</f>
        <v/>
      </c>
      <c r="AF95">
        <f>1+COUNTIF(bounds,"&lt;"&amp;ROUND(AB95,12))</f>
        <v/>
      </c>
      <c r="AG95">
        <f>1+COUNTIF(bounds,"&lt;"&amp;ROUND(AE95,12))</f>
        <v/>
      </c>
      <c r="AH95">
        <f>IF(AD95&lt;1,1,0)</f>
        <v/>
      </c>
      <c r="AI95">
        <f>IF(AF95&lt;&gt;AG95,1,0)</f>
        <v/>
      </c>
      <c r="AJ95">
        <f>IF(AND(AG95&gt;=3,Z95&lt;=0.2),1,0)</f>
        <v/>
      </c>
      <c r="AK95">
        <f>AVERAGE(U95:Z95)</f>
        <v/>
      </c>
      <c r="AL95">
        <f>1+COUNTIF(bounds,"&lt;"&amp;ROUND(AK95,12))</f>
        <v/>
      </c>
      <c r="AM95">
        <f>IF(AI95=1,AB95,NA())</f>
        <v/>
      </c>
      <c r="AN95">
        <f>IF(AI95=0,AB95,NA())</f>
        <v/>
      </c>
    </row>
    <row r="96">
      <c r="A96" t="n">
        <v>88</v>
      </c>
      <c r="B96" t="n">
        <v>3</v>
      </c>
      <c r="C96" t="n">
        <v>3</v>
      </c>
      <c r="D96" t="n">
        <v>4</v>
      </c>
      <c r="E96" t="n">
        <v>3</v>
      </c>
      <c r="F96" t="n">
        <v>3</v>
      </c>
      <c r="G96" t="n">
        <v>4</v>
      </c>
      <c r="H96" t="n">
        <v>4</v>
      </c>
      <c r="I96" t="n">
        <v>2</v>
      </c>
      <c r="J96" t="n">
        <v>2</v>
      </c>
      <c r="K96" t="n">
        <v>3</v>
      </c>
      <c r="L96" t="n">
        <v>2</v>
      </c>
      <c r="M96" t="n">
        <v>4</v>
      </c>
      <c r="N96" t="n">
        <v>5</v>
      </c>
      <c r="O96" t="n">
        <v>5</v>
      </c>
      <c r="P96" t="n">
        <v>2</v>
      </c>
      <c r="Q96" t="n">
        <v>3</v>
      </c>
      <c r="R96" t="n">
        <v>2</v>
      </c>
      <c r="S96" t="n">
        <v>5</v>
      </c>
      <c r="T96" t="n">
        <v>4</v>
      </c>
      <c r="U96">
        <f>(AVERAGE(B96:D96)-1)/4</f>
        <v/>
      </c>
      <c r="V96">
        <f>(AVERAGE(E96:F96)-1)/4</f>
        <v/>
      </c>
      <c r="W96">
        <f>(AVERAGE(G96:I96)-1)/4</f>
        <v/>
      </c>
      <c r="X96">
        <f>(AVERAGE(J96:L96)-1)/4</f>
        <v/>
      </c>
      <c r="Y96">
        <f>(AVERAGE(M96:O96)-1)/4</f>
        <v/>
      </c>
      <c r="Z96">
        <f>(AVERAGE(P96:R96)-1)/4</f>
        <v/>
      </c>
      <c r="AA96">
        <f>(AVERAGE(S96:T96)-1)/4</f>
        <v/>
      </c>
      <c r="AB96">
        <f>AVERAGE(U96:Y96)</f>
        <v/>
      </c>
      <c r="AC96">
        <f>MIN(U96:Y96)</f>
        <v/>
      </c>
      <c r="AD96">
        <f>1-alpha*MAX(0,delta-AC96)</f>
        <v/>
      </c>
      <c r="AE96">
        <f>AB96*AD96</f>
        <v/>
      </c>
      <c r="AF96">
        <f>1+COUNTIF(bounds,"&lt;"&amp;ROUND(AB96,12))</f>
        <v/>
      </c>
      <c r="AG96">
        <f>1+COUNTIF(bounds,"&lt;"&amp;ROUND(AE96,12))</f>
        <v/>
      </c>
      <c r="AH96">
        <f>IF(AD96&lt;1,1,0)</f>
        <v/>
      </c>
      <c r="AI96">
        <f>IF(AF96&lt;&gt;AG96,1,0)</f>
        <v/>
      </c>
      <c r="AJ96">
        <f>IF(AND(AG96&gt;=3,Z96&lt;=0.2),1,0)</f>
        <v/>
      </c>
      <c r="AK96">
        <f>AVERAGE(U96:Z96)</f>
        <v/>
      </c>
      <c r="AL96">
        <f>1+COUNTIF(bounds,"&lt;"&amp;ROUND(AK96,12))</f>
        <v/>
      </c>
      <c r="AM96">
        <f>IF(AI96=1,AB96,NA())</f>
        <v/>
      </c>
      <c r="AN96">
        <f>IF(AI96=0,AB96,NA())</f>
        <v/>
      </c>
    </row>
    <row r="97">
      <c r="A97" t="n">
        <v>89</v>
      </c>
      <c r="B97" t="n">
        <v>4</v>
      </c>
      <c r="C97" t="n">
        <v>2</v>
      </c>
      <c r="D97" t="n">
        <v>3</v>
      </c>
      <c r="E97" t="n">
        <v>4</v>
      </c>
      <c r="F97" t="n">
        <v>2</v>
      </c>
      <c r="G97" t="n">
        <v>1</v>
      </c>
      <c r="H97" t="n">
        <v>1</v>
      </c>
      <c r="I97" t="n">
        <v>2</v>
      </c>
      <c r="J97" t="n">
        <v>3</v>
      </c>
      <c r="K97" t="n">
        <v>4</v>
      </c>
      <c r="L97" t="n">
        <v>5</v>
      </c>
      <c r="M97" t="n">
        <v>1</v>
      </c>
      <c r="N97" t="n">
        <v>2</v>
      </c>
      <c r="O97" t="n">
        <v>2</v>
      </c>
      <c r="P97" t="n">
        <v>3</v>
      </c>
      <c r="Q97" t="n">
        <v>4</v>
      </c>
      <c r="R97" t="n">
        <v>4</v>
      </c>
      <c r="S97" t="n">
        <v>5</v>
      </c>
      <c r="T97" t="n">
        <v>5</v>
      </c>
      <c r="U97">
        <f>(AVERAGE(B97:D97)-1)/4</f>
        <v/>
      </c>
      <c r="V97">
        <f>(AVERAGE(E97:F97)-1)/4</f>
        <v/>
      </c>
      <c r="W97">
        <f>(AVERAGE(G97:I97)-1)/4</f>
        <v/>
      </c>
      <c r="X97">
        <f>(AVERAGE(J97:L97)-1)/4</f>
        <v/>
      </c>
      <c r="Y97">
        <f>(AVERAGE(M97:O97)-1)/4</f>
        <v/>
      </c>
      <c r="Z97">
        <f>(AVERAGE(P97:R97)-1)/4</f>
        <v/>
      </c>
      <c r="AA97">
        <f>(AVERAGE(S97:T97)-1)/4</f>
        <v/>
      </c>
      <c r="AB97">
        <f>AVERAGE(U97:Y97)</f>
        <v/>
      </c>
      <c r="AC97">
        <f>MIN(U97:Y97)</f>
        <v/>
      </c>
      <c r="AD97">
        <f>1-alpha*MAX(0,delta-AC97)</f>
        <v/>
      </c>
      <c r="AE97">
        <f>AB97*AD97</f>
        <v/>
      </c>
      <c r="AF97">
        <f>1+COUNTIF(bounds,"&lt;"&amp;ROUND(AB97,12))</f>
        <v/>
      </c>
      <c r="AG97">
        <f>1+COUNTIF(bounds,"&lt;"&amp;ROUND(AE97,12))</f>
        <v/>
      </c>
      <c r="AH97">
        <f>IF(AD97&lt;1,1,0)</f>
        <v/>
      </c>
      <c r="AI97">
        <f>IF(AF97&lt;&gt;AG97,1,0)</f>
        <v/>
      </c>
      <c r="AJ97">
        <f>IF(AND(AG97&gt;=3,Z97&lt;=0.2),1,0)</f>
        <v/>
      </c>
      <c r="AK97">
        <f>AVERAGE(U97:Z97)</f>
        <v/>
      </c>
      <c r="AL97">
        <f>1+COUNTIF(bounds,"&lt;"&amp;ROUND(AK97,12))</f>
        <v/>
      </c>
      <c r="AM97">
        <f>IF(AI97=1,AB97,NA())</f>
        <v/>
      </c>
      <c r="AN97">
        <f>IF(AI97=0,AB97,NA())</f>
        <v/>
      </c>
    </row>
    <row r="98">
      <c r="A98" t="n">
        <v>90</v>
      </c>
      <c r="B98" t="n">
        <v>1</v>
      </c>
      <c r="C98" t="n">
        <v>5</v>
      </c>
      <c r="D98" t="n">
        <v>3</v>
      </c>
      <c r="E98" t="n">
        <v>3</v>
      </c>
      <c r="F98" t="n">
        <v>3</v>
      </c>
      <c r="G98" t="n">
        <v>1</v>
      </c>
      <c r="H98" t="n">
        <v>5</v>
      </c>
      <c r="I98" t="n">
        <v>2</v>
      </c>
      <c r="J98" t="n">
        <v>3</v>
      </c>
      <c r="K98" t="n">
        <v>3</v>
      </c>
      <c r="L98" t="n">
        <v>5</v>
      </c>
      <c r="M98" t="n">
        <v>2</v>
      </c>
      <c r="N98" t="n">
        <v>5</v>
      </c>
      <c r="O98" t="n">
        <v>3</v>
      </c>
      <c r="P98" t="n">
        <v>5</v>
      </c>
      <c r="Q98" t="n">
        <v>4</v>
      </c>
      <c r="R98" t="n">
        <v>2</v>
      </c>
      <c r="S98" t="n">
        <v>1</v>
      </c>
      <c r="T98" t="n">
        <v>3</v>
      </c>
      <c r="U98">
        <f>(AVERAGE(B98:D98)-1)/4</f>
        <v/>
      </c>
      <c r="V98">
        <f>(AVERAGE(E98:F98)-1)/4</f>
        <v/>
      </c>
      <c r="W98">
        <f>(AVERAGE(G98:I98)-1)/4</f>
        <v/>
      </c>
      <c r="X98">
        <f>(AVERAGE(J98:L98)-1)/4</f>
        <v/>
      </c>
      <c r="Y98">
        <f>(AVERAGE(M98:O98)-1)/4</f>
        <v/>
      </c>
      <c r="Z98">
        <f>(AVERAGE(P98:R98)-1)/4</f>
        <v/>
      </c>
      <c r="AA98">
        <f>(AVERAGE(S98:T98)-1)/4</f>
        <v/>
      </c>
      <c r="AB98">
        <f>AVERAGE(U98:Y98)</f>
        <v/>
      </c>
      <c r="AC98">
        <f>MIN(U98:Y98)</f>
        <v/>
      </c>
      <c r="AD98">
        <f>1-alpha*MAX(0,delta-AC98)</f>
        <v/>
      </c>
      <c r="AE98">
        <f>AB98*AD98</f>
        <v/>
      </c>
      <c r="AF98">
        <f>1+COUNTIF(bounds,"&lt;"&amp;ROUND(AB98,12))</f>
        <v/>
      </c>
      <c r="AG98">
        <f>1+COUNTIF(bounds,"&lt;"&amp;ROUND(AE98,12))</f>
        <v/>
      </c>
      <c r="AH98">
        <f>IF(AD98&lt;1,1,0)</f>
        <v/>
      </c>
      <c r="AI98">
        <f>IF(AF98&lt;&gt;AG98,1,0)</f>
        <v/>
      </c>
      <c r="AJ98">
        <f>IF(AND(AG98&gt;=3,Z98&lt;=0.2),1,0)</f>
        <v/>
      </c>
      <c r="AK98">
        <f>AVERAGE(U98:Z98)</f>
        <v/>
      </c>
      <c r="AL98">
        <f>1+COUNTIF(bounds,"&lt;"&amp;ROUND(AK98,12))</f>
        <v/>
      </c>
      <c r="AM98">
        <f>IF(AI98=1,AB98,NA())</f>
        <v/>
      </c>
      <c r="AN98">
        <f>IF(AI98=0,AB98,NA())</f>
        <v/>
      </c>
    </row>
    <row r="99">
      <c r="A99" t="n">
        <v>91</v>
      </c>
      <c r="B99" t="n">
        <v>1</v>
      </c>
      <c r="C99" t="n">
        <v>5</v>
      </c>
      <c r="D99" t="n">
        <v>5</v>
      </c>
      <c r="E99" t="n">
        <v>4</v>
      </c>
      <c r="F99" t="n">
        <v>4</v>
      </c>
      <c r="G99" t="n">
        <v>5</v>
      </c>
      <c r="H99" t="n">
        <v>5</v>
      </c>
      <c r="I99" t="n">
        <v>1</v>
      </c>
      <c r="J99" t="n">
        <v>2</v>
      </c>
      <c r="K99" t="n">
        <v>1</v>
      </c>
      <c r="L99" t="n">
        <v>3</v>
      </c>
      <c r="M99" t="n">
        <v>5</v>
      </c>
      <c r="N99" t="n">
        <v>5</v>
      </c>
      <c r="O99" t="n">
        <v>3</v>
      </c>
      <c r="P99" t="n">
        <v>5</v>
      </c>
      <c r="Q99" t="n">
        <v>3</v>
      </c>
      <c r="R99" t="n">
        <v>2</v>
      </c>
      <c r="S99" t="n">
        <v>5</v>
      </c>
      <c r="T99" t="n">
        <v>1</v>
      </c>
      <c r="U99">
        <f>(AVERAGE(B99:D99)-1)/4</f>
        <v/>
      </c>
      <c r="V99">
        <f>(AVERAGE(E99:F99)-1)/4</f>
        <v/>
      </c>
      <c r="W99">
        <f>(AVERAGE(G99:I99)-1)/4</f>
        <v/>
      </c>
      <c r="X99">
        <f>(AVERAGE(J99:L99)-1)/4</f>
        <v/>
      </c>
      <c r="Y99">
        <f>(AVERAGE(M99:O99)-1)/4</f>
        <v/>
      </c>
      <c r="Z99">
        <f>(AVERAGE(P99:R99)-1)/4</f>
        <v/>
      </c>
      <c r="AA99">
        <f>(AVERAGE(S99:T99)-1)/4</f>
        <v/>
      </c>
      <c r="AB99">
        <f>AVERAGE(U99:Y99)</f>
        <v/>
      </c>
      <c r="AC99">
        <f>MIN(U99:Y99)</f>
        <v/>
      </c>
      <c r="AD99">
        <f>1-alpha*MAX(0,delta-AC99)</f>
        <v/>
      </c>
      <c r="AE99">
        <f>AB99*AD99</f>
        <v/>
      </c>
      <c r="AF99">
        <f>1+COUNTIF(bounds,"&lt;"&amp;ROUND(AB99,12))</f>
        <v/>
      </c>
      <c r="AG99">
        <f>1+COUNTIF(bounds,"&lt;"&amp;ROUND(AE99,12))</f>
        <v/>
      </c>
      <c r="AH99">
        <f>IF(AD99&lt;1,1,0)</f>
        <v/>
      </c>
      <c r="AI99">
        <f>IF(AF99&lt;&gt;AG99,1,0)</f>
        <v/>
      </c>
      <c r="AJ99">
        <f>IF(AND(AG99&gt;=3,Z99&lt;=0.2),1,0)</f>
        <v/>
      </c>
      <c r="AK99">
        <f>AVERAGE(U99:Z99)</f>
        <v/>
      </c>
      <c r="AL99">
        <f>1+COUNTIF(bounds,"&lt;"&amp;ROUND(AK99,12))</f>
        <v/>
      </c>
      <c r="AM99">
        <f>IF(AI99=1,AB99,NA())</f>
        <v/>
      </c>
      <c r="AN99">
        <f>IF(AI99=0,AB99,NA())</f>
        <v/>
      </c>
    </row>
    <row r="100">
      <c r="A100" t="n">
        <v>92</v>
      </c>
      <c r="B100" t="n">
        <v>4</v>
      </c>
      <c r="C100" t="n">
        <v>3</v>
      </c>
      <c r="D100" t="n">
        <v>3</v>
      </c>
      <c r="E100" t="n">
        <v>4</v>
      </c>
      <c r="F100" t="n">
        <v>1</v>
      </c>
      <c r="G100" t="n">
        <v>4</v>
      </c>
      <c r="H100" t="n">
        <v>5</v>
      </c>
      <c r="I100" t="n">
        <v>2</v>
      </c>
      <c r="J100" t="n">
        <v>1</v>
      </c>
      <c r="K100" t="n">
        <v>5</v>
      </c>
      <c r="L100" t="n">
        <v>2</v>
      </c>
      <c r="M100" t="n">
        <v>1</v>
      </c>
      <c r="N100" t="n">
        <v>1</v>
      </c>
      <c r="O100" t="n">
        <v>5</v>
      </c>
      <c r="P100" t="n">
        <v>1</v>
      </c>
      <c r="Q100" t="n">
        <v>5</v>
      </c>
      <c r="R100" t="n">
        <v>2</v>
      </c>
      <c r="S100" t="n">
        <v>2</v>
      </c>
      <c r="T100" t="n">
        <v>3</v>
      </c>
      <c r="U100">
        <f>(AVERAGE(B100:D100)-1)/4</f>
        <v/>
      </c>
      <c r="V100">
        <f>(AVERAGE(E100:F100)-1)/4</f>
        <v/>
      </c>
      <c r="W100">
        <f>(AVERAGE(G100:I100)-1)/4</f>
        <v/>
      </c>
      <c r="X100">
        <f>(AVERAGE(J100:L100)-1)/4</f>
        <v/>
      </c>
      <c r="Y100">
        <f>(AVERAGE(M100:O100)-1)/4</f>
        <v/>
      </c>
      <c r="Z100">
        <f>(AVERAGE(P100:R100)-1)/4</f>
        <v/>
      </c>
      <c r="AA100">
        <f>(AVERAGE(S100:T100)-1)/4</f>
        <v/>
      </c>
      <c r="AB100">
        <f>AVERAGE(U100:Y100)</f>
        <v/>
      </c>
      <c r="AC100">
        <f>MIN(U100:Y100)</f>
        <v/>
      </c>
      <c r="AD100">
        <f>1-alpha*MAX(0,delta-AC100)</f>
        <v/>
      </c>
      <c r="AE100">
        <f>AB100*AD100</f>
        <v/>
      </c>
      <c r="AF100">
        <f>1+COUNTIF(bounds,"&lt;"&amp;ROUND(AB100,12))</f>
        <v/>
      </c>
      <c r="AG100">
        <f>1+COUNTIF(bounds,"&lt;"&amp;ROUND(AE100,12))</f>
        <v/>
      </c>
      <c r="AH100">
        <f>IF(AD100&lt;1,1,0)</f>
        <v/>
      </c>
      <c r="AI100">
        <f>IF(AF100&lt;&gt;AG100,1,0)</f>
        <v/>
      </c>
      <c r="AJ100">
        <f>IF(AND(AG100&gt;=3,Z100&lt;=0.2),1,0)</f>
        <v/>
      </c>
      <c r="AK100">
        <f>AVERAGE(U100:Z100)</f>
        <v/>
      </c>
      <c r="AL100">
        <f>1+COUNTIF(bounds,"&lt;"&amp;ROUND(AK100,12))</f>
        <v/>
      </c>
      <c r="AM100">
        <f>IF(AI100=1,AB100,NA())</f>
        <v/>
      </c>
      <c r="AN100">
        <f>IF(AI100=0,AB100,NA())</f>
        <v/>
      </c>
    </row>
    <row r="101">
      <c r="A101" t="n">
        <v>93</v>
      </c>
      <c r="B101" t="n">
        <v>1</v>
      </c>
      <c r="C101" t="n">
        <v>1</v>
      </c>
      <c r="D101" t="n">
        <v>2</v>
      </c>
      <c r="E101" t="n">
        <v>5</v>
      </c>
      <c r="F101" t="n">
        <v>3</v>
      </c>
      <c r="G101" t="n">
        <v>5</v>
      </c>
      <c r="H101" t="n">
        <v>1</v>
      </c>
      <c r="I101" t="n">
        <v>3</v>
      </c>
      <c r="J101" t="n">
        <v>3</v>
      </c>
      <c r="K101" t="n">
        <v>4</v>
      </c>
      <c r="L101" t="n">
        <v>1</v>
      </c>
      <c r="M101" t="n">
        <v>4</v>
      </c>
      <c r="N101" t="n">
        <v>3</v>
      </c>
      <c r="O101" t="n">
        <v>2</v>
      </c>
      <c r="P101" t="n">
        <v>3</v>
      </c>
      <c r="Q101" t="n">
        <v>3</v>
      </c>
      <c r="R101" t="n">
        <v>1</v>
      </c>
      <c r="S101" t="n">
        <v>4</v>
      </c>
      <c r="T101" t="n">
        <v>3</v>
      </c>
      <c r="U101">
        <f>(AVERAGE(B101:D101)-1)/4</f>
        <v/>
      </c>
      <c r="V101">
        <f>(AVERAGE(E101:F101)-1)/4</f>
        <v/>
      </c>
      <c r="W101">
        <f>(AVERAGE(G101:I101)-1)/4</f>
        <v/>
      </c>
      <c r="X101">
        <f>(AVERAGE(J101:L101)-1)/4</f>
        <v/>
      </c>
      <c r="Y101">
        <f>(AVERAGE(M101:O101)-1)/4</f>
        <v/>
      </c>
      <c r="Z101">
        <f>(AVERAGE(P101:R101)-1)/4</f>
        <v/>
      </c>
      <c r="AA101">
        <f>(AVERAGE(S101:T101)-1)/4</f>
        <v/>
      </c>
      <c r="AB101">
        <f>AVERAGE(U101:Y101)</f>
        <v/>
      </c>
      <c r="AC101">
        <f>MIN(U101:Y101)</f>
        <v/>
      </c>
      <c r="AD101">
        <f>1-alpha*MAX(0,delta-AC101)</f>
        <v/>
      </c>
      <c r="AE101">
        <f>AB101*AD101</f>
        <v/>
      </c>
      <c r="AF101">
        <f>1+COUNTIF(bounds,"&lt;"&amp;ROUND(AB101,12))</f>
        <v/>
      </c>
      <c r="AG101">
        <f>1+COUNTIF(bounds,"&lt;"&amp;ROUND(AE101,12))</f>
        <v/>
      </c>
      <c r="AH101">
        <f>IF(AD101&lt;1,1,0)</f>
        <v/>
      </c>
      <c r="AI101">
        <f>IF(AF101&lt;&gt;AG101,1,0)</f>
        <v/>
      </c>
      <c r="AJ101">
        <f>IF(AND(AG101&gt;=3,Z101&lt;=0.2),1,0)</f>
        <v/>
      </c>
      <c r="AK101">
        <f>AVERAGE(U101:Z101)</f>
        <v/>
      </c>
      <c r="AL101">
        <f>1+COUNTIF(bounds,"&lt;"&amp;ROUND(AK101,12))</f>
        <v/>
      </c>
      <c r="AM101">
        <f>IF(AI101=1,AB101,NA())</f>
        <v/>
      </c>
      <c r="AN101">
        <f>IF(AI101=0,AB101,NA())</f>
        <v/>
      </c>
    </row>
    <row r="102">
      <c r="A102" t="n">
        <v>94</v>
      </c>
      <c r="B102" t="n">
        <v>3</v>
      </c>
      <c r="C102" t="n">
        <v>4</v>
      </c>
      <c r="D102" t="n">
        <v>1</v>
      </c>
      <c r="E102" t="n">
        <v>5</v>
      </c>
      <c r="F102" t="n">
        <v>4</v>
      </c>
      <c r="G102" t="n">
        <v>1</v>
      </c>
      <c r="H102" t="n">
        <v>4</v>
      </c>
      <c r="I102" t="n">
        <v>3</v>
      </c>
      <c r="J102" t="n">
        <v>5</v>
      </c>
      <c r="K102" t="n">
        <v>5</v>
      </c>
      <c r="L102" t="n">
        <v>5</v>
      </c>
      <c r="M102" t="n">
        <v>2</v>
      </c>
      <c r="N102" t="n">
        <v>5</v>
      </c>
      <c r="O102" t="n">
        <v>3</v>
      </c>
      <c r="P102" t="n">
        <v>5</v>
      </c>
      <c r="Q102" t="n">
        <v>3</v>
      </c>
      <c r="R102" t="n">
        <v>4</v>
      </c>
      <c r="S102" t="n">
        <v>3</v>
      </c>
      <c r="T102" t="n">
        <v>3</v>
      </c>
      <c r="U102">
        <f>(AVERAGE(B102:D102)-1)/4</f>
        <v/>
      </c>
      <c r="V102">
        <f>(AVERAGE(E102:F102)-1)/4</f>
        <v/>
      </c>
      <c r="W102">
        <f>(AVERAGE(G102:I102)-1)/4</f>
        <v/>
      </c>
      <c r="X102">
        <f>(AVERAGE(J102:L102)-1)/4</f>
        <v/>
      </c>
      <c r="Y102">
        <f>(AVERAGE(M102:O102)-1)/4</f>
        <v/>
      </c>
      <c r="Z102">
        <f>(AVERAGE(P102:R102)-1)/4</f>
        <v/>
      </c>
      <c r="AA102">
        <f>(AVERAGE(S102:T102)-1)/4</f>
        <v/>
      </c>
      <c r="AB102">
        <f>AVERAGE(U102:Y102)</f>
        <v/>
      </c>
      <c r="AC102">
        <f>MIN(U102:Y102)</f>
        <v/>
      </c>
      <c r="AD102">
        <f>1-alpha*MAX(0,delta-AC102)</f>
        <v/>
      </c>
      <c r="AE102">
        <f>AB102*AD102</f>
        <v/>
      </c>
      <c r="AF102">
        <f>1+COUNTIF(bounds,"&lt;"&amp;ROUND(AB102,12))</f>
        <v/>
      </c>
      <c r="AG102">
        <f>1+COUNTIF(bounds,"&lt;"&amp;ROUND(AE102,12))</f>
        <v/>
      </c>
      <c r="AH102">
        <f>IF(AD102&lt;1,1,0)</f>
        <v/>
      </c>
      <c r="AI102">
        <f>IF(AF102&lt;&gt;AG102,1,0)</f>
        <v/>
      </c>
      <c r="AJ102">
        <f>IF(AND(AG102&gt;=3,Z102&lt;=0.2),1,0)</f>
        <v/>
      </c>
      <c r="AK102">
        <f>AVERAGE(U102:Z102)</f>
        <v/>
      </c>
      <c r="AL102">
        <f>1+COUNTIF(bounds,"&lt;"&amp;ROUND(AK102,12))</f>
        <v/>
      </c>
      <c r="AM102">
        <f>IF(AI102=1,AB102,NA())</f>
        <v/>
      </c>
      <c r="AN102">
        <f>IF(AI102=0,AB102,NA())</f>
        <v/>
      </c>
    </row>
    <row r="103">
      <c r="A103" t="n">
        <v>95</v>
      </c>
      <c r="B103" t="n">
        <v>1</v>
      </c>
      <c r="C103" t="n">
        <v>4</v>
      </c>
      <c r="D103" t="n">
        <v>5</v>
      </c>
      <c r="E103" t="n">
        <v>2</v>
      </c>
      <c r="F103" t="n">
        <v>3</v>
      </c>
      <c r="G103" t="n">
        <v>5</v>
      </c>
      <c r="H103" t="n">
        <v>5</v>
      </c>
      <c r="I103" t="n">
        <v>1</v>
      </c>
      <c r="J103" t="n">
        <v>2</v>
      </c>
      <c r="K103" t="n">
        <v>1</v>
      </c>
      <c r="L103" t="n">
        <v>5</v>
      </c>
      <c r="M103" t="n">
        <v>5</v>
      </c>
      <c r="N103" t="n">
        <v>3</v>
      </c>
      <c r="O103" t="n">
        <v>4</v>
      </c>
      <c r="P103" t="n">
        <v>4</v>
      </c>
      <c r="Q103" t="n">
        <v>5</v>
      </c>
      <c r="R103" t="n">
        <v>5</v>
      </c>
      <c r="S103" t="n">
        <v>5</v>
      </c>
      <c r="T103" t="n">
        <v>3</v>
      </c>
      <c r="U103">
        <f>(AVERAGE(B103:D103)-1)/4</f>
        <v/>
      </c>
      <c r="V103">
        <f>(AVERAGE(E103:F103)-1)/4</f>
        <v/>
      </c>
      <c r="W103">
        <f>(AVERAGE(G103:I103)-1)/4</f>
        <v/>
      </c>
      <c r="X103">
        <f>(AVERAGE(J103:L103)-1)/4</f>
        <v/>
      </c>
      <c r="Y103">
        <f>(AVERAGE(M103:O103)-1)/4</f>
        <v/>
      </c>
      <c r="Z103">
        <f>(AVERAGE(P103:R103)-1)/4</f>
        <v/>
      </c>
      <c r="AA103">
        <f>(AVERAGE(S103:T103)-1)/4</f>
        <v/>
      </c>
      <c r="AB103">
        <f>AVERAGE(U103:Y103)</f>
        <v/>
      </c>
      <c r="AC103">
        <f>MIN(U103:Y103)</f>
        <v/>
      </c>
      <c r="AD103">
        <f>1-alpha*MAX(0,delta-AC103)</f>
        <v/>
      </c>
      <c r="AE103">
        <f>AB103*AD103</f>
        <v/>
      </c>
      <c r="AF103">
        <f>1+COUNTIF(bounds,"&lt;"&amp;ROUND(AB103,12))</f>
        <v/>
      </c>
      <c r="AG103">
        <f>1+COUNTIF(bounds,"&lt;"&amp;ROUND(AE103,12))</f>
        <v/>
      </c>
      <c r="AH103">
        <f>IF(AD103&lt;1,1,0)</f>
        <v/>
      </c>
      <c r="AI103">
        <f>IF(AF103&lt;&gt;AG103,1,0)</f>
        <v/>
      </c>
      <c r="AJ103">
        <f>IF(AND(AG103&gt;=3,Z103&lt;=0.2),1,0)</f>
        <v/>
      </c>
      <c r="AK103">
        <f>AVERAGE(U103:Z103)</f>
        <v/>
      </c>
      <c r="AL103">
        <f>1+COUNTIF(bounds,"&lt;"&amp;ROUND(AK103,12))</f>
        <v/>
      </c>
      <c r="AM103">
        <f>IF(AI103=1,AB103,NA())</f>
        <v/>
      </c>
      <c r="AN103">
        <f>IF(AI103=0,AB103,NA())</f>
        <v/>
      </c>
    </row>
    <row r="104">
      <c r="A104" t="n">
        <v>96</v>
      </c>
      <c r="B104" t="n">
        <v>5</v>
      </c>
      <c r="C104" t="n">
        <v>4</v>
      </c>
      <c r="D104" t="n">
        <v>5</v>
      </c>
      <c r="E104" t="n">
        <v>4</v>
      </c>
      <c r="F104" t="n">
        <v>3</v>
      </c>
      <c r="G104" t="n">
        <v>5</v>
      </c>
      <c r="H104" t="n">
        <v>4</v>
      </c>
      <c r="I104" t="n">
        <v>1</v>
      </c>
      <c r="J104" t="n">
        <v>2</v>
      </c>
      <c r="K104" t="n">
        <v>4</v>
      </c>
      <c r="L104" t="n">
        <v>2</v>
      </c>
      <c r="M104" t="n">
        <v>3</v>
      </c>
      <c r="N104" t="n">
        <v>5</v>
      </c>
      <c r="O104" t="n">
        <v>5</v>
      </c>
      <c r="P104" t="n">
        <v>2</v>
      </c>
      <c r="Q104" t="n">
        <v>3</v>
      </c>
      <c r="R104" t="n">
        <v>1</v>
      </c>
      <c r="S104" t="n">
        <v>3</v>
      </c>
      <c r="T104" t="n">
        <v>3</v>
      </c>
      <c r="U104">
        <f>(AVERAGE(B104:D104)-1)/4</f>
        <v/>
      </c>
      <c r="V104">
        <f>(AVERAGE(E104:F104)-1)/4</f>
        <v/>
      </c>
      <c r="W104">
        <f>(AVERAGE(G104:I104)-1)/4</f>
        <v/>
      </c>
      <c r="X104">
        <f>(AVERAGE(J104:L104)-1)/4</f>
        <v/>
      </c>
      <c r="Y104">
        <f>(AVERAGE(M104:O104)-1)/4</f>
        <v/>
      </c>
      <c r="Z104">
        <f>(AVERAGE(P104:R104)-1)/4</f>
        <v/>
      </c>
      <c r="AA104">
        <f>(AVERAGE(S104:T104)-1)/4</f>
        <v/>
      </c>
      <c r="AB104">
        <f>AVERAGE(U104:Y104)</f>
        <v/>
      </c>
      <c r="AC104">
        <f>MIN(U104:Y104)</f>
        <v/>
      </c>
      <c r="AD104">
        <f>1-alpha*MAX(0,delta-AC104)</f>
        <v/>
      </c>
      <c r="AE104">
        <f>AB104*AD104</f>
        <v/>
      </c>
      <c r="AF104">
        <f>1+COUNTIF(bounds,"&lt;"&amp;ROUND(AB104,12))</f>
        <v/>
      </c>
      <c r="AG104">
        <f>1+COUNTIF(bounds,"&lt;"&amp;ROUND(AE104,12))</f>
        <v/>
      </c>
      <c r="AH104">
        <f>IF(AD104&lt;1,1,0)</f>
        <v/>
      </c>
      <c r="AI104">
        <f>IF(AF104&lt;&gt;AG104,1,0)</f>
        <v/>
      </c>
      <c r="AJ104">
        <f>IF(AND(AG104&gt;=3,Z104&lt;=0.2),1,0)</f>
        <v/>
      </c>
      <c r="AK104">
        <f>AVERAGE(U104:Z104)</f>
        <v/>
      </c>
      <c r="AL104">
        <f>1+COUNTIF(bounds,"&lt;"&amp;ROUND(AK104,12))</f>
        <v/>
      </c>
      <c r="AM104">
        <f>IF(AI104=1,AB104,NA())</f>
        <v/>
      </c>
      <c r="AN104">
        <f>IF(AI104=0,AB104,NA())</f>
        <v/>
      </c>
    </row>
    <row r="105">
      <c r="A105" t="n">
        <v>97</v>
      </c>
      <c r="B105" t="n">
        <v>3</v>
      </c>
      <c r="C105" t="n">
        <v>4</v>
      </c>
      <c r="D105" t="n">
        <v>3</v>
      </c>
      <c r="E105" t="n">
        <v>4</v>
      </c>
      <c r="F105" t="n">
        <v>5</v>
      </c>
      <c r="G105" t="n">
        <v>4</v>
      </c>
      <c r="H105" t="n">
        <v>3</v>
      </c>
      <c r="I105" t="n">
        <v>5</v>
      </c>
      <c r="J105" t="n">
        <v>5</v>
      </c>
      <c r="K105" t="n">
        <v>5</v>
      </c>
      <c r="L105" t="n">
        <v>1</v>
      </c>
      <c r="M105" t="n">
        <v>5</v>
      </c>
      <c r="N105" t="n">
        <v>5</v>
      </c>
      <c r="O105" t="n">
        <v>5</v>
      </c>
      <c r="P105" t="n">
        <v>2</v>
      </c>
      <c r="Q105" t="n">
        <v>2</v>
      </c>
      <c r="R105" t="n">
        <v>1</v>
      </c>
      <c r="S105" t="n">
        <v>1</v>
      </c>
      <c r="T105" t="n">
        <v>1</v>
      </c>
      <c r="U105">
        <f>(AVERAGE(B105:D105)-1)/4</f>
        <v/>
      </c>
      <c r="V105">
        <f>(AVERAGE(E105:F105)-1)/4</f>
        <v/>
      </c>
      <c r="W105">
        <f>(AVERAGE(G105:I105)-1)/4</f>
        <v/>
      </c>
      <c r="X105">
        <f>(AVERAGE(J105:L105)-1)/4</f>
        <v/>
      </c>
      <c r="Y105">
        <f>(AVERAGE(M105:O105)-1)/4</f>
        <v/>
      </c>
      <c r="Z105">
        <f>(AVERAGE(P105:R105)-1)/4</f>
        <v/>
      </c>
      <c r="AA105">
        <f>(AVERAGE(S105:T105)-1)/4</f>
        <v/>
      </c>
      <c r="AB105">
        <f>AVERAGE(U105:Y105)</f>
        <v/>
      </c>
      <c r="AC105">
        <f>MIN(U105:Y105)</f>
        <v/>
      </c>
      <c r="AD105">
        <f>1-alpha*MAX(0,delta-AC105)</f>
        <v/>
      </c>
      <c r="AE105">
        <f>AB105*AD105</f>
        <v/>
      </c>
      <c r="AF105">
        <f>1+COUNTIF(bounds,"&lt;"&amp;ROUND(AB105,12))</f>
        <v/>
      </c>
      <c r="AG105">
        <f>1+COUNTIF(bounds,"&lt;"&amp;ROUND(AE105,12))</f>
        <v/>
      </c>
      <c r="AH105">
        <f>IF(AD105&lt;1,1,0)</f>
        <v/>
      </c>
      <c r="AI105">
        <f>IF(AF105&lt;&gt;AG105,1,0)</f>
        <v/>
      </c>
      <c r="AJ105">
        <f>IF(AND(AG105&gt;=3,Z105&lt;=0.2),1,0)</f>
        <v/>
      </c>
      <c r="AK105">
        <f>AVERAGE(U105:Z105)</f>
        <v/>
      </c>
      <c r="AL105">
        <f>1+COUNTIF(bounds,"&lt;"&amp;ROUND(AK105,12))</f>
        <v/>
      </c>
      <c r="AM105">
        <f>IF(AI105=1,AB105,NA())</f>
        <v/>
      </c>
      <c r="AN105">
        <f>IF(AI105=0,AB105,NA())</f>
        <v/>
      </c>
    </row>
    <row r="106">
      <c r="A106" t="n">
        <v>98</v>
      </c>
      <c r="B106" t="n">
        <v>2</v>
      </c>
      <c r="C106" t="n">
        <v>5</v>
      </c>
      <c r="D106" t="n">
        <v>3</v>
      </c>
      <c r="E106" t="n">
        <v>2</v>
      </c>
      <c r="F106" t="n">
        <v>5</v>
      </c>
      <c r="G106" t="n">
        <v>5</v>
      </c>
      <c r="H106" t="n">
        <v>2</v>
      </c>
      <c r="I106" t="n">
        <v>3</v>
      </c>
      <c r="J106" t="n">
        <v>1</v>
      </c>
      <c r="K106" t="n">
        <v>5</v>
      </c>
      <c r="L106" t="n">
        <v>2</v>
      </c>
      <c r="M106" t="n">
        <v>4</v>
      </c>
      <c r="N106" t="n">
        <v>3</v>
      </c>
      <c r="O106" t="n">
        <v>5</v>
      </c>
      <c r="P106" t="n">
        <v>5</v>
      </c>
      <c r="Q106" t="n">
        <v>4</v>
      </c>
      <c r="R106" t="n">
        <v>3</v>
      </c>
      <c r="S106" t="n">
        <v>3</v>
      </c>
      <c r="T106" t="n">
        <v>2</v>
      </c>
      <c r="U106">
        <f>(AVERAGE(B106:D106)-1)/4</f>
        <v/>
      </c>
      <c r="V106">
        <f>(AVERAGE(E106:F106)-1)/4</f>
        <v/>
      </c>
      <c r="W106">
        <f>(AVERAGE(G106:I106)-1)/4</f>
        <v/>
      </c>
      <c r="X106">
        <f>(AVERAGE(J106:L106)-1)/4</f>
        <v/>
      </c>
      <c r="Y106">
        <f>(AVERAGE(M106:O106)-1)/4</f>
        <v/>
      </c>
      <c r="Z106">
        <f>(AVERAGE(P106:R106)-1)/4</f>
        <v/>
      </c>
      <c r="AA106">
        <f>(AVERAGE(S106:T106)-1)/4</f>
        <v/>
      </c>
      <c r="AB106">
        <f>AVERAGE(U106:Y106)</f>
        <v/>
      </c>
      <c r="AC106">
        <f>MIN(U106:Y106)</f>
        <v/>
      </c>
      <c r="AD106">
        <f>1-alpha*MAX(0,delta-AC106)</f>
        <v/>
      </c>
      <c r="AE106">
        <f>AB106*AD106</f>
        <v/>
      </c>
      <c r="AF106">
        <f>1+COUNTIF(bounds,"&lt;"&amp;ROUND(AB106,12))</f>
        <v/>
      </c>
      <c r="AG106">
        <f>1+COUNTIF(bounds,"&lt;"&amp;ROUND(AE106,12))</f>
        <v/>
      </c>
      <c r="AH106">
        <f>IF(AD106&lt;1,1,0)</f>
        <v/>
      </c>
      <c r="AI106">
        <f>IF(AF106&lt;&gt;AG106,1,0)</f>
        <v/>
      </c>
      <c r="AJ106">
        <f>IF(AND(AG106&gt;=3,Z106&lt;=0.2),1,0)</f>
        <v/>
      </c>
      <c r="AK106">
        <f>AVERAGE(U106:Z106)</f>
        <v/>
      </c>
      <c r="AL106">
        <f>1+COUNTIF(bounds,"&lt;"&amp;ROUND(AK106,12))</f>
        <v/>
      </c>
      <c r="AM106">
        <f>IF(AI106=1,AB106,NA())</f>
        <v/>
      </c>
      <c r="AN106">
        <f>IF(AI106=0,AB106,NA())</f>
        <v/>
      </c>
    </row>
    <row r="107">
      <c r="A107" t="n">
        <v>99</v>
      </c>
      <c r="B107" t="n">
        <v>4</v>
      </c>
      <c r="C107" t="n">
        <v>3</v>
      </c>
      <c r="D107" t="n">
        <v>1</v>
      </c>
      <c r="E107" t="n">
        <v>1</v>
      </c>
      <c r="F107" t="n">
        <v>4</v>
      </c>
      <c r="G107" t="n">
        <v>5</v>
      </c>
      <c r="H107" t="n">
        <v>1</v>
      </c>
      <c r="I107" t="n">
        <v>4</v>
      </c>
      <c r="J107" t="n">
        <v>4</v>
      </c>
      <c r="K107" t="n">
        <v>3</v>
      </c>
      <c r="L107" t="n">
        <v>2</v>
      </c>
      <c r="M107" t="n">
        <v>3</v>
      </c>
      <c r="N107" t="n">
        <v>1</v>
      </c>
      <c r="O107" t="n">
        <v>1</v>
      </c>
      <c r="P107" t="n">
        <v>3</v>
      </c>
      <c r="Q107" t="n">
        <v>3</v>
      </c>
      <c r="R107" t="n">
        <v>4</v>
      </c>
      <c r="S107" t="n">
        <v>3</v>
      </c>
      <c r="T107" t="n">
        <v>4</v>
      </c>
      <c r="U107">
        <f>(AVERAGE(B107:D107)-1)/4</f>
        <v/>
      </c>
      <c r="V107">
        <f>(AVERAGE(E107:F107)-1)/4</f>
        <v/>
      </c>
      <c r="W107">
        <f>(AVERAGE(G107:I107)-1)/4</f>
        <v/>
      </c>
      <c r="X107">
        <f>(AVERAGE(J107:L107)-1)/4</f>
        <v/>
      </c>
      <c r="Y107">
        <f>(AVERAGE(M107:O107)-1)/4</f>
        <v/>
      </c>
      <c r="Z107">
        <f>(AVERAGE(P107:R107)-1)/4</f>
        <v/>
      </c>
      <c r="AA107">
        <f>(AVERAGE(S107:T107)-1)/4</f>
        <v/>
      </c>
      <c r="AB107">
        <f>AVERAGE(U107:Y107)</f>
        <v/>
      </c>
      <c r="AC107">
        <f>MIN(U107:Y107)</f>
        <v/>
      </c>
      <c r="AD107">
        <f>1-alpha*MAX(0,delta-AC107)</f>
        <v/>
      </c>
      <c r="AE107">
        <f>AB107*AD107</f>
        <v/>
      </c>
      <c r="AF107">
        <f>1+COUNTIF(bounds,"&lt;"&amp;ROUND(AB107,12))</f>
        <v/>
      </c>
      <c r="AG107">
        <f>1+COUNTIF(bounds,"&lt;"&amp;ROUND(AE107,12))</f>
        <v/>
      </c>
      <c r="AH107">
        <f>IF(AD107&lt;1,1,0)</f>
        <v/>
      </c>
      <c r="AI107">
        <f>IF(AF107&lt;&gt;AG107,1,0)</f>
        <v/>
      </c>
      <c r="AJ107">
        <f>IF(AND(AG107&gt;=3,Z107&lt;=0.2),1,0)</f>
        <v/>
      </c>
      <c r="AK107">
        <f>AVERAGE(U107:Z107)</f>
        <v/>
      </c>
      <c r="AL107">
        <f>1+COUNTIF(bounds,"&lt;"&amp;ROUND(AK107,12))</f>
        <v/>
      </c>
      <c r="AM107">
        <f>IF(AI107=1,AB107,NA())</f>
        <v/>
      </c>
      <c r="AN107">
        <f>IF(AI107=0,AB107,NA())</f>
        <v/>
      </c>
    </row>
    <row r="108">
      <c r="A108" t="n">
        <v>100</v>
      </c>
      <c r="B108" t="n">
        <v>1</v>
      </c>
      <c r="C108" t="n">
        <v>3</v>
      </c>
      <c r="D108" t="n">
        <v>4</v>
      </c>
      <c r="E108" t="n">
        <v>1</v>
      </c>
      <c r="F108" t="n">
        <v>1</v>
      </c>
      <c r="G108" t="n">
        <v>3</v>
      </c>
      <c r="H108" t="n">
        <v>5</v>
      </c>
      <c r="I108" t="n">
        <v>3</v>
      </c>
      <c r="J108" t="n">
        <v>4</v>
      </c>
      <c r="K108" t="n">
        <v>1</v>
      </c>
      <c r="L108" t="n">
        <v>5</v>
      </c>
      <c r="M108" t="n">
        <v>1</v>
      </c>
      <c r="N108" t="n">
        <v>2</v>
      </c>
      <c r="O108" t="n">
        <v>2</v>
      </c>
      <c r="P108" t="n">
        <v>4</v>
      </c>
      <c r="Q108" t="n">
        <v>3</v>
      </c>
      <c r="R108" t="n">
        <v>4</v>
      </c>
      <c r="S108" t="n">
        <v>3</v>
      </c>
      <c r="T108" t="n">
        <v>5</v>
      </c>
      <c r="U108">
        <f>(AVERAGE(B108:D108)-1)/4</f>
        <v/>
      </c>
      <c r="V108">
        <f>(AVERAGE(E108:F108)-1)/4</f>
        <v/>
      </c>
      <c r="W108">
        <f>(AVERAGE(G108:I108)-1)/4</f>
        <v/>
      </c>
      <c r="X108">
        <f>(AVERAGE(J108:L108)-1)/4</f>
        <v/>
      </c>
      <c r="Y108">
        <f>(AVERAGE(M108:O108)-1)/4</f>
        <v/>
      </c>
      <c r="Z108">
        <f>(AVERAGE(P108:R108)-1)/4</f>
        <v/>
      </c>
      <c r="AA108">
        <f>(AVERAGE(S108:T108)-1)/4</f>
        <v/>
      </c>
      <c r="AB108">
        <f>AVERAGE(U108:Y108)</f>
        <v/>
      </c>
      <c r="AC108">
        <f>MIN(U108:Y108)</f>
        <v/>
      </c>
      <c r="AD108">
        <f>1-alpha*MAX(0,delta-AC108)</f>
        <v/>
      </c>
      <c r="AE108">
        <f>AB108*AD108</f>
        <v/>
      </c>
      <c r="AF108">
        <f>1+COUNTIF(bounds,"&lt;"&amp;ROUND(AB108,12))</f>
        <v/>
      </c>
      <c r="AG108">
        <f>1+COUNTIF(bounds,"&lt;"&amp;ROUND(AE108,12))</f>
        <v/>
      </c>
      <c r="AH108">
        <f>IF(AD108&lt;1,1,0)</f>
        <v/>
      </c>
      <c r="AI108">
        <f>IF(AF108&lt;&gt;AG108,1,0)</f>
        <v/>
      </c>
      <c r="AJ108">
        <f>IF(AND(AG108&gt;=3,Z108&lt;=0.2),1,0)</f>
        <v/>
      </c>
      <c r="AK108">
        <f>AVERAGE(U108:Z108)</f>
        <v/>
      </c>
      <c r="AL108">
        <f>1+COUNTIF(bounds,"&lt;"&amp;ROUND(AK108,12))</f>
        <v/>
      </c>
      <c r="AM108">
        <f>IF(AI108=1,AB108,NA())</f>
        <v/>
      </c>
      <c r="AN108">
        <f>IF(AI108=0,AB108,NA())</f>
        <v/>
      </c>
    </row>
    <row r="109">
      <c r="A109" t="n">
        <v>101</v>
      </c>
      <c r="B109" t="n">
        <v>4</v>
      </c>
      <c r="C109" t="n">
        <v>2</v>
      </c>
      <c r="D109" t="n">
        <v>1</v>
      </c>
      <c r="E109" t="n">
        <v>2</v>
      </c>
      <c r="F109" t="n">
        <v>5</v>
      </c>
      <c r="G109" t="n">
        <v>5</v>
      </c>
      <c r="H109" t="n">
        <v>4</v>
      </c>
      <c r="I109" t="n">
        <v>1</v>
      </c>
      <c r="J109" t="n">
        <v>5</v>
      </c>
      <c r="K109" t="n">
        <v>4</v>
      </c>
      <c r="L109" t="n">
        <v>3</v>
      </c>
      <c r="M109" t="n">
        <v>4</v>
      </c>
      <c r="N109" t="n">
        <v>4</v>
      </c>
      <c r="O109" t="n">
        <v>3</v>
      </c>
      <c r="P109" t="n">
        <v>1</v>
      </c>
      <c r="Q109" t="n">
        <v>1</v>
      </c>
      <c r="R109" t="n">
        <v>2</v>
      </c>
      <c r="S109" t="n">
        <v>4</v>
      </c>
      <c r="T109" t="n">
        <v>5</v>
      </c>
      <c r="U109">
        <f>(AVERAGE(B109:D109)-1)/4</f>
        <v/>
      </c>
      <c r="V109">
        <f>(AVERAGE(E109:F109)-1)/4</f>
        <v/>
      </c>
      <c r="W109">
        <f>(AVERAGE(G109:I109)-1)/4</f>
        <v/>
      </c>
      <c r="X109">
        <f>(AVERAGE(J109:L109)-1)/4</f>
        <v/>
      </c>
      <c r="Y109">
        <f>(AVERAGE(M109:O109)-1)/4</f>
        <v/>
      </c>
      <c r="Z109">
        <f>(AVERAGE(P109:R109)-1)/4</f>
        <v/>
      </c>
      <c r="AA109">
        <f>(AVERAGE(S109:T109)-1)/4</f>
        <v/>
      </c>
      <c r="AB109">
        <f>AVERAGE(U109:Y109)</f>
        <v/>
      </c>
      <c r="AC109">
        <f>MIN(U109:Y109)</f>
        <v/>
      </c>
      <c r="AD109">
        <f>1-alpha*MAX(0,delta-AC109)</f>
        <v/>
      </c>
      <c r="AE109">
        <f>AB109*AD109</f>
        <v/>
      </c>
      <c r="AF109">
        <f>1+COUNTIF(bounds,"&lt;"&amp;ROUND(AB109,12))</f>
        <v/>
      </c>
      <c r="AG109">
        <f>1+COUNTIF(bounds,"&lt;"&amp;ROUND(AE109,12))</f>
        <v/>
      </c>
      <c r="AH109">
        <f>IF(AD109&lt;1,1,0)</f>
        <v/>
      </c>
      <c r="AI109">
        <f>IF(AF109&lt;&gt;AG109,1,0)</f>
        <v/>
      </c>
      <c r="AJ109">
        <f>IF(AND(AG109&gt;=3,Z109&lt;=0.2),1,0)</f>
        <v/>
      </c>
      <c r="AK109">
        <f>AVERAGE(U109:Z109)</f>
        <v/>
      </c>
      <c r="AL109">
        <f>1+COUNTIF(bounds,"&lt;"&amp;ROUND(AK109,12))</f>
        <v/>
      </c>
      <c r="AM109">
        <f>IF(AI109=1,AB109,NA())</f>
        <v/>
      </c>
      <c r="AN109">
        <f>IF(AI109=0,AB109,NA())</f>
        <v/>
      </c>
    </row>
    <row r="110">
      <c r="A110" t="n">
        <v>102</v>
      </c>
      <c r="B110" t="n">
        <v>3</v>
      </c>
      <c r="C110" t="n">
        <v>1</v>
      </c>
      <c r="D110" t="n">
        <v>2</v>
      </c>
      <c r="E110" t="n">
        <v>2</v>
      </c>
      <c r="F110" t="n">
        <v>1</v>
      </c>
      <c r="G110" t="n">
        <v>3</v>
      </c>
      <c r="H110" t="n">
        <v>1</v>
      </c>
      <c r="I110" t="n">
        <v>2</v>
      </c>
      <c r="J110" t="n">
        <v>2</v>
      </c>
      <c r="K110" t="n">
        <v>1</v>
      </c>
      <c r="L110" t="n">
        <v>3</v>
      </c>
      <c r="M110" t="n">
        <v>4</v>
      </c>
      <c r="N110" t="n">
        <v>5</v>
      </c>
      <c r="O110" t="n">
        <v>5</v>
      </c>
      <c r="P110" t="n">
        <v>4</v>
      </c>
      <c r="Q110" t="n">
        <v>2</v>
      </c>
      <c r="R110" t="n">
        <v>1</v>
      </c>
      <c r="S110" t="n">
        <v>2</v>
      </c>
      <c r="T110" t="n">
        <v>3</v>
      </c>
      <c r="U110">
        <f>(AVERAGE(B110:D110)-1)/4</f>
        <v/>
      </c>
      <c r="V110">
        <f>(AVERAGE(E110:F110)-1)/4</f>
        <v/>
      </c>
      <c r="W110">
        <f>(AVERAGE(G110:I110)-1)/4</f>
        <v/>
      </c>
      <c r="X110">
        <f>(AVERAGE(J110:L110)-1)/4</f>
        <v/>
      </c>
      <c r="Y110">
        <f>(AVERAGE(M110:O110)-1)/4</f>
        <v/>
      </c>
      <c r="Z110">
        <f>(AVERAGE(P110:R110)-1)/4</f>
        <v/>
      </c>
      <c r="AA110">
        <f>(AVERAGE(S110:T110)-1)/4</f>
        <v/>
      </c>
      <c r="AB110">
        <f>AVERAGE(U110:Y110)</f>
        <v/>
      </c>
      <c r="AC110">
        <f>MIN(U110:Y110)</f>
        <v/>
      </c>
      <c r="AD110">
        <f>1-alpha*MAX(0,delta-AC110)</f>
        <v/>
      </c>
      <c r="AE110">
        <f>AB110*AD110</f>
        <v/>
      </c>
      <c r="AF110">
        <f>1+COUNTIF(bounds,"&lt;"&amp;ROUND(AB110,12))</f>
        <v/>
      </c>
      <c r="AG110">
        <f>1+COUNTIF(bounds,"&lt;"&amp;ROUND(AE110,12))</f>
        <v/>
      </c>
      <c r="AH110">
        <f>IF(AD110&lt;1,1,0)</f>
        <v/>
      </c>
      <c r="AI110">
        <f>IF(AF110&lt;&gt;AG110,1,0)</f>
        <v/>
      </c>
      <c r="AJ110">
        <f>IF(AND(AG110&gt;=3,Z110&lt;=0.2),1,0)</f>
        <v/>
      </c>
      <c r="AK110">
        <f>AVERAGE(U110:Z110)</f>
        <v/>
      </c>
      <c r="AL110">
        <f>1+COUNTIF(bounds,"&lt;"&amp;ROUND(AK110,12))</f>
        <v/>
      </c>
      <c r="AM110">
        <f>IF(AI110=1,AB110,NA())</f>
        <v/>
      </c>
      <c r="AN110">
        <f>IF(AI110=0,AB110,NA())</f>
        <v/>
      </c>
    </row>
    <row r="111">
      <c r="A111" t="n">
        <v>103</v>
      </c>
      <c r="B111" t="n">
        <v>3</v>
      </c>
      <c r="C111" t="n">
        <v>2</v>
      </c>
      <c r="D111" t="n">
        <v>3</v>
      </c>
      <c r="E111" t="n">
        <v>4</v>
      </c>
      <c r="F111" t="n">
        <v>3</v>
      </c>
      <c r="G111" t="n">
        <v>3</v>
      </c>
      <c r="H111" t="n">
        <v>2</v>
      </c>
      <c r="I111" t="n">
        <v>3</v>
      </c>
      <c r="J111" t="n">
        <v>3</v>
      </c>
      <c r="K111" t="n">
        <v>5</v>
      </c>
      <c r="L111" t="n">
        <v>1</v>
      </c>
      <c r="M111" t="n">
        <v>1</v>
      </c>
      <c r="N111" t="n">
        <v>1</v>
      </c>
      <c r="O111" t="n">
        <v>4</v>
      </c>
      <c r="P111" t="n">
        <v>5</v>
      </c>
      <c r="Q111" t="n">
        <v>2</v>
      </c>
      <c r="R111" t="n">
        <v>5</v>
      </c>
      <c r="S111" t="n">
        <v>3</v>
      </c>
      <c r="T111" t="n">
        <v>5</v>
      </c>
      <c r="U111">
        <f>(AVERAGE(B111:D111)-1)/4</f>
        <v/>
      </c>
      <c r="V111">
        <f>(AVERAGE(E111:F111)-1)/4</f>
        <v/>
      </c>
      <c r="W111">
        <f>(AVERAGE(G111:I111)-1)/4</f>
        <v/>
      </c>
      <c r="X111">
        <f>(AVERAGE(J111:L111)-1)/4</f>
        <v/>
      </c>
      <c r="Y111">
        <f>(AVERAGE(M111:O111)-1)/4</f>
        <v/>
      </c>
      <c r="Z111">
        <f>(AVERAGE(P111:R111)-1)/4</f>
        <v/>
      </c>
      <c r="AA111">
        <f>(AVERAGE(S111:T111)-1)/4</f>
        <v/>
      </c>
      <c r="AB111">
        <f>AVERAGE(U111:Y111)</f>
        <v/>
      </c>
      <c r="AC111">
        <f>MIN(U111:Y111)</f>
        <v/>
      </c>
      <c r="AD111">
        <f>1-alpha*MAX(0,delta-AC111)</f>
        <v/>
      </c>
      <c r="AE111">
        <f>AB111*AD111</f>
        <v/>
      </c>
      <c r="AF111">
        <f>1+COUNTIF(bounds,"&lt;"&amp;ROUND(AB111,12))</f>
        <v/>
      </c>
      <c r="AG111">
        <f>1+COUNTIF(bounds,"&lt;"&amp;ROUND(AE111,12))</f>
        <v/>
      </c>
      <c r="AH111">
        <f>IF(AD111&lt;1,1,0)</f>
        <v/>
      </c>
      <c r="AI111">
        <f>IF(AF111&lt;&gt;AG111,1,0)</f>
        <v/>
      </c>
      <c r="AJ111">
        <f>IF(AND(AG111&gt;=3,Z111&lt;=0.2),1,0)</f>
        <v/>
      </c>
      <c r="AK111">
        <f>AVERAGE(U111:Z111)</f>
        <v/>
      </c>
      <c r="AL111">
        <f>1+COUNTIF(bounds,"&lt;"&amp;ROUND(AK111,12))</f>
        <v/>
      </c>
      <c r="AM111">
        <f>IF(AI111=1,AB111,NA())</f>
        <v/>
      </c>
      <c r="AN111">
        <f>IF(AI111=0,AB111,NA())</f>
        <v/>
      </c>
    </row>
    <row r="112">
      <c r="A112" t="n">
        <v>104</v>
      </c>
      <c r="B112" t="n">
        <v>1</v>
      </c>
      <c r="C112" t="n">
        <v>1</v>
      </c>
      <c r="D112" t="n">
        <v>5</v>
      </c>
      <c r="E112" t="n">
        <v>1</v>
      </c>
      <c r="F112" t="n">
        <v>1</v>
      </c>
      <c r="G112" t="n">
        <v>4</v>
      </c>
      <c r="H112" t="n">
        <v>5</v>
      </c>
      <c r="I112" t="n">
        <v>4</v>
      </c>
      <c r="J112" t="n">
        <v>2</v>
      </c>
      <c r="K112" t="n">
        <v>4</v>
      </c>
      <c r="L112" t="n">
        <v>2</v>
      </c>
      <c r="M112" t="n">
        <v>2</v>
      </c>
      <c r="N112" t="n">
        <v>4</v>
      </c>
      <c r="O112" t="n">
        <v>5</v>
      </c>
      <c r="P112" t="n">
        <v>1</v>
      </c>
      <c r="Q112" t="n">
        <v>5</v>
      </c>
      <c r="R112" t="n">
        <v>2</v>
      </c>
      <c r="S112" t="n">
        <v>4</v>
      </c>
      <c r="T112" t="n">
        <v>4</v>
      </c>
      <c r="U112">
        <f>(AVERAGE(B112:D112)-1)/4</f>
        <v/>
      </c>
      <c r="V112">
        <f>(AVERAGE(E112:F112)-1)/4</f>
        <v/>
      </c>
      <c r="W112">
        <f>(AVERAGE(G112:I112)-1)/4</f>
        <v/>
      </c>
      <c r="X112">
        <f>(AVERAGE(J112:L112)-1)/4</f>
        <v/>
      </c>
      <c r="Y112">
        <f>(AVERAGE(M112:O112)-1)/4</f>
        <v/>
      </c>
      <c r="Z112">
        <f>(AVERAGE(P112:R112)-1)/4</f>
        <v/>
      </c>
      <c r="AA112">
        <f>(AVERAGE(S112:T112)-1)/4</f>
        <v/>
      </c>
      <c r="AB112">
        <f>AVERAGE(U112:Y112)</f>
        <v/>
      </c>
      <c r="AC112">
        <f>MIN(U112:Y112)</f>
        <v/>
      </c>
      <c r="AD112">
        <f>1-alpha*MAX(0,delta-AC112)</f>
        <v/>
      </c>
      <c r="AE112">
        <f>AB112*AD112</f>
        <v/>
      </c>
      <c r="AF112">
        <f>1+COUNTIF(bounds,"&lt;"&amp;ROUND(AB112,12))</f>
        <v/>
      </c>
      <c r="AG112">
        <f>1+COUNTIF(bounds,"&lt;"&amp;ROUND(AE112,12))</f>
        <v/>
      </c>
      <c r="AH112">
        <f>IF(AD112&lt;1,1,0)</f>
        <v/>
      </c>
      <c r="AI112">
        <f>IF(AF112&lt;&gt;AG112,1,0)</f>
        <v/>
      </c>
      <c r="AJ112">
        <f>IF(AND(AG112&gt;=3,Z112&lt;=0.2),1,0)</f>
        <v/>
      </c>
      <c r="AK112">
        <f>AVERAGE(U112:Z112)</f>
        <v/>
      </c>
      <c r="AL112">
        <f>1+COUNTIF(bounds,"&lt;"&amp;ROUND(AK112,12))</f>
        <v/>
      </c>
      <c r="AM112">
        <f>IF(AI112=1,AB112,NA())</f>
        <v/>
      </c>
      <c r="AN112">
        <f>IF(AI112=0,AB112,NA())</f>
        <v/>
      </c>
    </row>
    <row r="113">
      <c r="A113" t="n">
        <v>105</v>
      </c>
      <c r="B113" t="n">
        <v>3</v>
      </c>
      <c r="C113" t="n">
        <v>5</v>
      </c>
      <c r="D113" t="n">
        <v>5</v>
      </c>
      <c r="E113" t="n">
        <v>4</v>
      </c>
      <c r="F113" t="n">
        <v>4</v>
      </c>
      <c r="G113" t="n">
        <v>1</v>
      </c>
      <c r="H113" t="n">
        <v>1</v>
      </c>
      <c r="I113" t="n">
        <v>4</v>
      </c>
      <c r="J113" t="n">
        <v>4</v>
      </c>
      <c r="K113" t="n">
        <v>5</v>
      </c>
      <c r="L113" t="n">
        <v>4</v>
      </c>
      <c r="M113" t="n">
        <v>1</v>
      </c>
      <c r="N113" t="n">
        <v>2</v>
      </c>
      <c r="O113" t="n">
        <v>5</v>
      </c>
      <c r="P113" t="n">
        <v>1</v>
      </c>
      <c r="Q113" t="n">
        <v>1</v>
      </c>
      <c r="R113" t="n">
        <v>4</v>
      </c>
      <c r="S113" t="n">
        <v>1</v>
      </c>
      <c r="T113" t="n">
        <v>1</v>
      </c>
      <c r="U113">
        <f>(AVERAGE(B113:D113)-1)/4</f>
        <v/>
      </c>
      <c r="V113">
        <f>(AVERAGE(E113:F113)-1)/4</f>
        <v/>
      </c>
      <c r="W113">
        <f>(AVERAGE(G113:I113)-1)/4</f>
        <v/>
      </c>
      <c r="X113">
        <f>(AVERAGE(J113:L113)-1)/4</f>
        <v/>
      </c>
      <c r="Y113">
        <f>(AVERAGE(M113:O113)-1)/4</f>
        <v/>
      </c>
      <c r="Z113">
        <f>(AVERAGE(P113:R113)-1)/4</f>
        <v/>
      </c>
      <c r="AA113">
        <f>(AVERAGE(S113:T113)-1)/4</f>
        <v/>
      </c>
      <c r="AB113">
        <f>AVERAGE(U113:Y113)</f>
        <v/>
      </c>
      <c r="AC113">
        <f>MIN(U113:Y113)</f>
        <v/>
      </c>
      <c r="AD113">
        <f>1-alpha*MAX(0,delta-AC113)</f>
        <v/>
      </c>
      <c r="AE113">
        <f>AB113*AD113</f>
        <v/>
      </c>
      <c r="AF113">
        <f>1+COUNTIF(bounds,"&lt;"&amp;ROUND(AB113,12))</f>
        <v/>
      </c>
      <c r="AG113">
        <f>1+COUNTIF(bounds,"&lt;"&amp;ROUND(AE113,12))</f>
        <v/>
      </c>
      <c r="AH113">
        <f>IF(AD113&lt;1,1,0)</f>
        <v/>
      </c>
      <c r="AI113">
        <f>IF(AF113&lt;&gt;AG113,1,0)</f>
        <v/>
      </c>
      <c r="AJ113">
        <f>IF(AND(AG113&gt;=3,Z113&lt;=0.2),1,0)</f>
        <v/>
      </c>
      <c r="AK113">
        <f>AVERAGE(U113:Z113)</f>
        <v/>
      </c>
      <c r="AL113">
        <f>1+COUNTIF(bounds,"&lt;"&amp;ROUND(AK113,12))</f>
        <v/>
      </c>
      <c r="AM113">
        <f>IF(AI113=1,AB113,NA())</f>
        <v/>
      </c>
      <c r="AN113">
        <f>IF(AI113=0,AB113,NA())</f>
        <v/>
      </c>
    </row>
    <row r="114">
      <c r="A114" t="n">
        <v>106</v>
      </c>
      <c r="B114" t="n">
        <v>1</v>
      </c>
      <c r="C114" t="n">
        <v>2</v>
      </c>
      <c r="D114" t="n">
        <v>3</v>
      </c>
      <c r="E114" t="n">
        <v>3</v>
      </c>
      <c r="F114" t="n">
        <v>3</v>
      </c>
      <c r="G114" t="n">
        <v>4</v>
      </c>
      <c r="H114" t="n">
        <v>4</v>
      </c>
      <c r="I114" t="n">
        <v>2</v>
      </c>
      <c r="J114" t="n">
        <v>3</v>
      </c>
      <c r="K114" t="n">
        <v>3</v>
      </c>
      <c r="L114" t="n">
        <v>4</v>
      </c>
      <c r="M114" t="n">
        <v>3</v>
      </c>
      <c r="N114" t="n">
        <v>5</v>
      </c>
      <c r="O114" t="n">
        <v>3</v>
      </c>
      <c r="P114" t="n">
        <v>5</v>
      </c>
      <c r="Q114" t="n">
        <v>5</v>
      </c>
      <c r="R114" t="n">
        <v>2</v>
      </c>
      <c r="S114" t="n">
        <v>5</v>
      </c>
      <c r="T114" t="n">
        <v>1</v>
      </c>
      <c r="U114">
        <f>(AVERAGE(B114:D114)-1)/4</f>
        <v/>
      </c>
      <c r="V114">
        <f>(AVERAGE(E114:F114)-1)/4</f>
        <v/>
      </c>
      <c r="W114">
        <f>(AVERAGE(G114:I114)-1)/4</f>
        <v/>
      </c>
      <c r="X114">
        <f>(AVERAGE(J114:L114)-1)/4</f>
        <v/>
      </c>
      <c r="Y114">
        <f>(AVERAGE(M114:O114)-1)/4</f>
        <v/>
      </c>
      <c r="Z114">
        <f>(AVERAGE(P114:R114)-1)/4</f>
        <v/>
      </c>
      <c r="AA114">
        <f>(AVERAGE(S114:T114)-1)/4</f>
        <v/>
      </c>
      <c r="AB114">
        <f>AVERAGE(U114:Y114)</f>
        <v/>
      </c>
      <c r="AC114">
        <f>MIN(U114:Y114)</f>
        <v/>
      </c>
      <c r="AD114">
        <f>1-alpha*MAX(0,delta-AC114)</f>
        <v/>
      </c>
      <c r="AE114">
        <f>AB114*AD114</f>
        <v/>
      </c>
      <c r="AF114">
        <f>1+COUNTIF(bounds,"&lt;"&amp;ROUND(AB114,12))</f>
        <v/>
      </c>
      <c r="AG114">
        <f>1+COUNTIF(bounds,"&lt;"&amp;ROUND(AE114,12))</f>
        <v/>
      </c>
      <c r="AH114">
        <f>IF(AD114&lt;1,1,0)</f>
        <v/>
      </c>
      <c r="AI114">
        <f>IF(AF114&lt;&gt;AG114,1,0)</f>
        <v/>
      </c>
      <c r="AJ114">
        <f>IF(AND(AG114&gt;=3,Z114&lt;=0.2),1,0)</f>
        <v/>
      </c>
      <c r="AK114">
        <f>AVERAGE(U114:Z114)</f>
        <v/>
      </c>
      <c r="AL114">
        <f>1+COUNTIF(bounds,"&lt;"&amp;ROUND(AK114,12))</f>
        <v/>
      </c>
      <c r="AM114">
        <f>IF(AI114=1,AB114,NA())</f>
        <v/>
      </c>
      <c r="AN114">
        <f>IF(AI114=0,AB114,NA())</f>
        <v/>
      </c>
    </row>
    <row r="115">
      <c r="A115" t="n">
        <v>107</v>
      </c>
      <c r="B115" t="n">
        <v>1</v>
      </c>
      <c r="C115" t="n">
        <v>1</v>
      </c>
      <c r="D115" t="n">
        <v>5</v>
      </c>
      <c r="E115" t="n">
        <v>2</v>
      </c>
      <c r="F115" t="n">
        <v>5</v>
      </c>
      <c r="G115" t="n">
        <v>1</v>
      </c>
      <c r="H115" t="n">
        <v>5</v>
      </c>
      <c r="I115" t="n">
        <v>1</v>
      </c>
      <c r="J115" t="n">
        <v>1</v>
      </c>
      <c r="K115" t="n">
        <v>2</v>
      </c>
      <c r="L115" t="n">
        <v>3</v>
      </c>
      <c r="M115" t="n">
        <v>1</v>
      </c>
      <c r="N115" t="n">
        <v>1</v>
      </c>
      <c r="O115" t="n">
        <v>3</v>
      </c>
      <c r="P115" t="n">
        <v>4</v>
      </c>
      <c r="Q115" t="n">
        <v>4</v>
      </c>
      <c r="R115" t="n">
        <v>1</v>
      </c>
      <c r="S115" t="n">
        <v>5</v>
      </c>
      <c r="T115" t="n">
        <v>2</v>
      </c>
      <c r="U115">
        <f>(AVERAGE(B115:D115)-1)/4</f>
        <v/>
      </c>
      <c r="V115">
        <f>(AVERAGE(E115:F115)-1)/4</f>
        <v/>
      </c>
      <c r="W115">
        <f>(AVERAGE(G115:I115)-1)/4</f>
        <v/>
      </c>
      <c r="X115">
        <f>(AVERAGE(J115:L115)-1)/4</f>
        <v/>
      </c>
      <c r="Y115">
        <f>(AVERAGE(M115:O115)-1)/4</f>
        <v/>
      </c>
      <c r="Z115">
        <f>(AVERAGE(P115:R115)-1)/4</f>
        <v/>
      </c>
      <c r="AA115">
        <f>(AVERAGE(S115:T115)-1)/4</f>
        <v/>
      </c>
      <c r="AB115">
        <f>AVERAGE(U115:Y115)</f>
        <v/>
      </c>
      <c r="AC115">
        <f>MIN(U115:Y115)</f>
        <v/>
      </c>
      <c r="AD115">
        <f>1-alpha*MAX(0,delta-AC115)</f>
        <v/>
      </c>
      <c r="AE115">
        <f>AB115*AD115</f>
        <v/>
      </c>
      <c r="AF115">
        <f>1+COUNTIF(bounds,"&lt;"&amp;ROUND(AB115,12))</f>
        <v/>
      </c>
      <c r="AG115">
        <f>1+COUNTIF(bounds,"&lt;"&amp;ROUND(AE115,12))</f>
        <v/>
      </c>
      <c r="AH115">
        <f>IF(AD115&lt;1,1,0)</f>
        <v/>
      </c>
      <c r="AI115">
        <f>IF(AF115&lt;&gt;AG115,1,0)</f>
        <v/>
      </c>
      <c r="AJ115">
        <f>IF(AND(AG115&gt;=3,Z115&lt;=0.2),1,0)</f>
        <v/>
      </c>
      <c r="AK115">
        <f>AVERAGE(U115:Z115)</f>
        <v/>
      </c>
      <c r="AL115">
        <f>1+COUNTIF(bounds,"&lt;"&amp;ROUND(AK115,12))</f>
        <v/>
      </c>
      <c r="AM115">
        <f>IF(AI115=1,AB115,NA())</f>
        <v/>
      </c>
      <c r="AN115">
        <f>IF(AI115=0,AB115,NA())</f>
        <v/>
      </c>
    </row>
    <row r="116">
      <c r="A116" t="n">
        <v>108</v>
      </c>
      <c r="B116" t="n">
        <v>5</v>
      </c>
      <c r="C116" t="n">
        <v>2</v>
      </c>
      <c r="D116" t="n">
        <v>4</v>
      </c>
      <c r="E116" t="n">
        <v>1</v>
      </c>
      <c r="F116" t="n">
        <v>4</v>
      </c>
      <c r="G116" t="n">
        <v>3</v>
      </c>
      <c r="H116" t="n">
        <v>2</v>
      </c>
      <c r="I116" t="n">
        <v>4</v>
      </c>
      <c r="J116" t="n">
        <v>1</v>
      </c>
      <c r="K116" t="n">
        <v>4</v>
      </c>
      <c r="L116" t="n">
        <v>5</v>
      </c>
      <c r="M116" t="n">
        <v>1</v>
      </c>
      <c r="N116" t="n">
        <v>1</v>
      </c>
      <c r="O116" t="n">
        <v>4</v>
      </c>
      <c r="P116" t="n">
        <v>1</v>
      </c>
      <c r="Q116" t="n">
        <v>2</v>
      </c>
      <c r="R116" t="n">
        <v>5</v>
      </c>
      <c r="S116" t="n">
        <v>4</v>
      </c>
      <c r="T116" t="n">
        <v>5</v>
      </c>
      <c r="U116">
        <f>(AVERAGE(B116:D116)-1)/4</f>
        <v/>
      </c>
      <c r="V116">
        <f>(AVERAGE(E116:F116)-1)/4</f>
        <v/>
      </c>
      <c r="W116">
        <f>(AVERAGE(G116:I116)-1)/4</f>
        <v/>
      </c>
      <c r="X116">
        <f>(AVERAGE(J116:L116)-1)/4</f>
        <v/>
      </c>
      <c r="Y116">
        <f>(AVERAGE(M116:O116)-1)/4</f>
        <v/>
      </c>
      <c r="Z116">
        <f>(AVERAGE(P116:R116)-1)/4</f>
        <v/>
      </c>
      <c r="AA116">
        <f>(AVERAGE(S116:T116)-1)/4</f>
        <v/>
      </c>
      <c r="AB116">
        <f>AVERAGE(U116:Y116)</f>
        <v/>
      </c>
      <c r="AC116">
        <f>MIN(U116:Y116)</f>
        <v/>
      </c>
      <c r="AD116">
        <f>1-alpha*MAX(0,delta-AC116)</f>
        <v/>
      </c>
      <c r="AE116">
        <f>AB116*AD116</f>
        <v/>
      </c>
      <c r="AF116">
        <f>1+COUNTIF(bounds,"&lt;"&amp;ROUND(AB116,12))</f>
        <v/>
      </c>
      <c r="AG116">
        <f>1+COUNTIF(bounds,"&lt;"&amp;ROUND(AE116,12))</f>
        <v/>
      </c>
      <c r="AH116">
        <f>IF(AD116&lt;1,1,0)</f>
        <v/>
      </c>
      <c r="AI116">
        <f>IF(AF116&lt;&gt;AG116,1,0)</f>
        <v/>
      </c>
      <c r="AJ116">
        <f>IF(AND(AG116&gt;=3,Z116&lt;=0.2),1,0)</f>
        <v/>
      </c>
      <c r="AK116">
        <f>AVERAGE(U116:Z116)</f>
        <v/>
      </c>
      <c r="AL116">
        <f>1+COUNTIF(bounds,"&lt;"&amp;ROUND(AK116,12))</f>
        <v/>
      </c>
      <c r="AM116">
        <f>IF(AI116=1,AB116,NA())</f>
        <v/>
      </c>
      <c r="AN116">
        <f>IF(AI116=0,AB116,NA())</f>
        <v/>
      </c>
    </row>
    <row r="117">
      <c r="A117" t="n">
        <v>109</v>
      </c>
      <c r="B117" t="n">
        <v>3</v>
      </c>
      <c r="C117" t="n">
        <v>4</v>
      </c>
      <c r="D117" t="n">
        <v>2</v>
      </c>
      <c r="E117" t="n">
        <v>5</v>
      </c>
      <c r="F117" t="n">
        <v>5</v>
      </c>
      <c r="G117" t="n">
        <v>5</v>
      </c>
      <c r="H117" t="n">
        <v>1</v>
      </c>
      <c r="I117" t="n">
        <v>1</v>
      </c>
      <c r="J117" t="n">
        <v>5</v>
      </c>
      <c r="K117" t="n">
        <v>1</v>
      </c>
      <c r="L117" t="n">
        <v>2</v>
      </c>
      <c r="M117" t="n">
        <v>3</v>
      </c>
      <c r="N117" t="n">
        <v>4</v>
      </c>
      <c r="O117" t="n">
        <v>5</v>
      </c>
      <c r="P117" t="n">
        <v>3</v>
      </c>
      <c r="Q117" t="n">
        <v>5</v>
      </c>
      <c r="R117" t="n">
        <v>1</v>
      </c>
      <c r="S117" t="n">
        <v>2</v>
      </c>
      <c r="T117" t="n">
        <v>4</v>
      </c>
      <c r="U117">
        <f>(AVERAGE(B117:D117)-1)/4</f>
        <v/>
      </c>
      <c r="V117">
        <f>(AVERAGE(E117:F117)-1)/4</f>
        <v/>
      </c>
      <c r="W117">
        <f>(AVERAGE(G117:I117)-1)/4</f>
        <v/>
      </c>
      <c r="X117">
        <f>(AVERAGE(J117:L117)-1)/4</f>
        <v/>
      </c>
      <c r="Y117">
        <f>(AVERAGE(M117:O117)-1)/4</f>
        <v/>
      </c>
      <c r="Z117">
        <f>(AVERAGE(P117:R117)-1)/4</f>
        <v/>
      </c>
      <c r="AA117">
        <f>(AVERAGE(S117:T117)-1)/4</f>
        <v/>
      </c>
      <c r="AB117">
        <f>AVERAGE(U117:Y117)</f>
        <v/>
      </c>
      <c r="AC117">
        <f>MIN(U117:Y117)</f>
        <v/>
      </c>
      <c r="AD117">
        <f>1-alpha*MAX(0,delta-AC117)</f>
        <v/>
      </c>
      <c r="AE117">
        <f>AB117*AD117</f>
        <v/>
      </c>
      <c r="AF117">
        <f>1+COUNTIF(bounds,"&lt;"&amp;ROUND(AB117,12))</f>
        <v/>
      </c>
      <c r="AG117">
        <f>1+COUNTIF(bounds,"&lt;"&amp;ROUND(AE117,12))</f>
        <v/>
      </c>
      <c r="AH117">
        <f>IF(AD117&lt;1,1,0)</f>
        <v/>
      </c>
      <c r="AI117">
        <f>IF(AF117&lt;&gt;AG117,1,0)</f>
        <v/>
      </c>
      <c r="AJ117">
        <f>IF(AND(AG117&gt;=3,Z117&lt;=0.2),1,0)</f>
        <v/>
      </c>
      <c r="AK117">
        <f>AVERAGE(U117:Z117)</f>
        <v/>
      </c>
      <c r="AL117">
        <f>1+COUNTIF(bounds,"&lt;"&amp;ROUND(AK117,12))</f>
        <v/>
      </c>
      <c r="AM117">
        <f>IF(AI117=1,AB117,NA())</f>
        <v/>
      </c>
      <c r="AN117">
        <f>IF(AI117=0,AB117,NA())</f>
        <v/>
      </c>
    </row>
    <row r="118">
      <c r="A118" t="n">
        <v>110</v>
      </c>
      <c r="B118" t="n">
        <v>3</v>
      </c>
      <c r="C118" t="n">
        <v>5</v>
      </c>
      <c r="D118" t="n">
        <v>5</v>
      </c>
      <c r="E118" t="n">
        <v>4</v>
      </c>
      <c r="F118" t="n">
        <v>4</v>
      </c>
      <c r="G118" t="n">
        <v>5</v>
      </c>
      <c r="H118" t="n">
        <v>3</v>
      </c>
      <c r="I118" t="n">
        <v>4</v>
      </c>
      <c r="J118" t="n">
        <v>3</v>
      </c>
      <c r="K118" t="n">
        <v>5</v>
      </c>
      <c r="L118" t="n">
        <v>2</v>
      </c>
      <c r="M118" t="n">
        <v>2</v>
      </c>
      <c r="N118" t="n">
        <v>1</v>
      </c>
      <c r="O118" t="n">
        <v>2</v>
      </c>
      <c r="P118" t="n">
        <v>4</v>
      </c>
      <c r="Q118" t="n">
        <v>2</v>
      </c>
      <c r="R118" t="n">
        <v>1</v>
      </c>
      <c r="S118" t="n">
        <v>3</v>
      </c>
      <c r="T118" t="n">
        <v>1</v>
      </c>
      <c r="U118">
        <f>(AVERAGE(B118:D118)-1)/4</f>
        <v/>
      </c>
      <c r="V118">
        <f>(AVERAGE(E118:F118)-1)/4</f>
        <v/>
      </c>
      <c r="W118">
        <f>(AVERAGE(G118:I118)-1)/4</f>
        <v/>
      </c>
      <c r="X118">
        <f>(AVERAGE(J118:L118)-1)/4</f>
        <v/>
      </c>
      <c r="Y118">
        <f>(AVERAGE(M118:O118)-1)/4</f>
        <v/>
      </c>
      <c r="Z118">
        <f>(AVERAGE(P118:R118)-1)/4</f>
        <v/>
      </c>
      <c r="AA118">
        <f>(AVERAGE(S118:T118)-1)/4</f>
        <v/>
      </c>
      <c r="AB118">
        <f>AVERAGE(U118:Y118)</f>
        <v/>
      </c>
      <c r="AC118">
        <f>MIN(U118:Y118)</f>
        <v/>
      </c>
      <c r="AD118">
        <f>1-alpha*MAX(0,delta-AC118)</f>
        <v/>
      </c>
      <c r="AE118">
        <f>AB118*AD118</f>
        <v/>
      </c>
      <c r="AF118">
        <f>1+COUNTIF(bounds,"&lt;"&amp;ROUND(AB118,12))</f>
        <v/>
      </c>
      <c r="AG118">
        <f>1+COUNTIF(bounds,"&lt;"&amp;ROUND(AE118,12))</f>
        <v/>
      </c>
      <c r="AH118">
        <f>IF(AD118&lt;1,1,0)</f>
        <v/>
      </c>
      <c r="AI118">
        <f>IF(AF118&lt;&gt;AG118,1,0)</f>
        <v/>
      </c>
      <c r="AJ118">
        <f>IF(AND(AG118&gt;=3,Z118&lt;=0.2),1,0)</f>
        <v/>
      </c>
      <c r="AK118">
        <f>AVERAGE(U118:Z118)</f>
        <v/>
      </c>
      <c r="AL118">
        <f>1+COUNTIF(bounds,"&lt;"&amp;ROUND(AK118,12))</f>
        <v/>
      </c>
      <c r="AM118">
        <f>IF(AI118=1,AB118,NA())</f>
        <v/>
      </c>
      <c r="AN118">
        <f>IF(AI118=0,AB118,NA())</f>
        <v/>
      </c>
    </row>
    <row r="119">
      <c r="A119" t="n">
        <v>111</v>
      </c>
      <c r="B119" t="n">
        <v>2</v>
      </c>
      <c r="C119" t="n">
        <v>5</v>
      </c>
      <c r="D119" t="n">
        <v>2</v>
      </c>
      <c r="E119" t="n">
        <v>5</v>
      </c>
      <c r="F119" t="n">
        <v>3</v>
      </c>
      <c r="G119" t="n">
        <v>4</v>
      </c>
      <c r="H119" t="n">
        <v>2</v>
      </c>
      <c r="I119" t="n">
        <v>1</v>
      </c>
      <c r="J119" t="n">
        <v>4</v>
      </c>
      <c r="K119" t="n">
        <v>1</v>
      </c>
      <c r="L119" t="n">
        <v>4</v>
      </c>
      <c r="M119" t="n">
        <v>1</v>
      </c>
      <c r="N119" t="n">
        <v>1</v>
      </c>
      <c r="O119" t="n">
        <v>2</v>
      </c>
      <c r="P119" t="n">
        <v>5</v>
      </c>
      <c r="Q119" t="n">
        <v>5</v>
      </c>
      <c r="R119" t="n">
        <v>3</v>
      </c>
      <c r="S119" t="n">
        <v>4</v>
      </c>
      <c r="T119" t="n">
        <v>4</v>
      </c>
      <c r="U119">
        <f>(AVERAGE(B119:D119)-1)/4</f>
        <v/>
      </c>
      <c r="V119">
        <f>(AVERAGE(E119:F119)-1)/4</f>
        <v/>
      </c>
      <c r="W119">
        <f>(AVERAGE(G119:I119)-1)/4</f>
        <v/>
      </c>
      <c r="X119">
        <f>(AVERAGE(J119:L119)-1)/4</f>
        <v/>
      </c>
      <c r="Y119">
        <f>(AVERAGE(M119:O119)-1)/4</f>
        <v/>
      </c>
      <c r="Z119">
        <f>(AVERAGE(P119:R119)-1)/4</f>
        <v/>
      </c>
      <c r="AA119">
        <f>(AVERAGE(S119:T119)-1)/4</f>
        <v/>
      </c>
      <c r="AB119">
        <f>AVERAGE(U119:Y119)</f>
        <v/>
      </c>
      <c r="AC119">
        <f>MIN(U119:Y119)</f>
        <v/>
      </c>
      <c r="AD119">
        <f>1-alpha*MAX(0,delta-AC119)</f>
        <v/>
      </c>
      <c r="AE119">
        <f>AB119*AD119</f>
        <v/>
      </c>
      <c r="AF119">
        <f>1+COUNTIF(bounds,"&lt;"&amp;ROUND(AB119,12))</f>
        <v/>
      </c>
      <c r="AG119">
        <f>1+COUNTIF(bounds,"&lt;"&amp;ROUND(AE119,12))</f>
        <v/>
      </c>
      <c r="AH119">
        <f>IF(AD119&lt;1,1,0)</f>
        <v/>
      </c>
      <c r="AI119">
        <f>IF(AF119&lt;&gt;AG119,1,0)</f>
        <v/>
      </c>
      <c r="AJ119">
        <f>IF(AND(AG119&gt;=3,Z119&lt;=0.2),1,0)</f>
        <v/>
      </c>
      <c r="AK119">
        <f>AVERAGE(U119:Z119)</f>
        <v/>
      </c>
      <c r="AL119">
        <f>1+COUNTIF(bounds,"&lt;"&amp;ROUND(AK119,12))</f>
        <v/>
      </c>
      <c r="AM119">
        <f>IF(AI119=1,AB119,NA())</f>
        <v/>
      </c>
      <c r="AN119">
        <f>IF(AI119=0,AB119,NA())</f>
        <v/>
      </c>
    </row>
    <row r="120">
      <c r="A120" t="n">
        <v>112</v>
      </c>
      <c r="B120" t="n">
        <v>4</v>
      </c>
      <c r="C120" t="n">
        <v>4</v>
      </c>
      <c r="D120" t="n">
        <v>3</v>
      </c>
      <c r="E120" t="n">
        <v>5</v>
      </c>
      <c r="F120" t="n">
        <v>2</v>
      </c>
      <c r="G120" t="n">
        <v>4</v>
      </c>
      <c r="H120" t="n">
        <v>2</v>
      </c>
      <c r="I120" t="n">
        <v>2</v>
      </c>
      <c r="J120" t="n">
        <v>3</v>
      </c>
      <c r="K120" t="n">
        <v>3</v>
      </c>
      <c r="L120" t="n">
        <v>1</v>
      </c>
      <c r="M120" t="n">
        <v>5</v>
      </c>
      <c r="N120" t="n">
        <v>5</v>
      </c>
      <c r="O120" t="n">
        <v>1</v>
      </c>
      <c r="P120" t="n">
        <v>1</v>
      </c>
      <c r="Q120" t="n">
        <v>5</v>
      </c>
      <c r="R120" t="n">
        <v>4</v>
      </c>
      <c r="S120" t="n">
        <v>5</v>
      </c>
      <c r="T120" t="n">
        <v>1</v>
      </c>
      <c r="U120">
        <f>(AVERAGE(B120:D120)-1)/4</f>
        <v/>
      </c>
      <c r="V120">
        <f>(AVERAGE(E120:F120)-1)/4</f>
        <v/>
      </c>
      <c r="W120">
        <f>(AVERAGE(G120:I120)-1)/4</f>
        <v/>
      </c>
      <c r="X120">
        <f>(AVERAGE(J120:L120)-1)/4</f>
        <v/>
      </c>
      <c r="Y120">
        <f>(AVERAGE(M120:O120)-1)/4</f>
        <v/>
      </c>
      <c r="Z120">
        <f>(AVERAGE(P120:R120)-1)/4</f>
        <v/>
      </c>
      <c r="AA120">
        <f>(AVERAGE(S120:T120)-1)/4</f>
        <v/>
      </c>
      <c r="AB120">
        <f>AVERAGE(U120:Y120)</f>
        <v/>
      </c>
      <c r="AC120">
        <f>MIN(U120:Y120)</f>
        <v/>
      </c>
      <c r="AD120">
        <f>1-alpha*MAX(0,delta-AC120)</f>
        <v/>
      </c>
      <c r="AE120">
        <f>AB120*AD120</f>
        <v/>
      </c>
      <c r="AF120">
        <f>1+COUNTIF(bounds,"&lt;"&amp;ROUND(AB120,12))</f>
        <v/>
      </c>
      <c r="AG120">
        <f>1+COUNTIF(bounds,"&lt;"&amp;ROUND(AE120,12))</f>
        <v/>
      </c>
      <c r="AH120">
        <f>IF(AD120&lt;1,1,0)</f>
        <v/>
      </c>
      <c r="AI120">
        <f>IF(AF120&lt;&gt;AG120,1,0)</f>
        <v/>
      </c>
      <c r="AJ120">
        <f>IF(AND(AG120&gt;=3,Z120&lt;=0.2),1,0)</f>
        <v/>
      </c>
      <c r="AK120">
        <f>AVERAGE(U120:Z120)</f>
        <v/>
      </c>
      <c r="AL120">
        <f>1+COUNTIF(bounds,"&lt;"&amp;ROUND(AK120,12))</f>
        <v/>
      </c>
      <c r="AM120">
        <f>IF(AI120=1,AB120,NA())</f>
        <v/>
      </c>
      <c r="AN120">
        <f>IF(AI120=0,AB120,NA())</f>
        <v/>
      </c>
    </row>
    <row r="121">
      <c r="A121" t="n">
        <v>113</v>
      </c>
      <c r="B121" t="n">
        <v>5</v>
      </c>
      <c r="C121" t="n">
        <v>3</v>
      </c>
      <c r="D121" t="n">
        <v>5</v>
      </c>
      <c r="E121" t="n">
        <v>1</v>
      </c>
      <c r="F121" t="n">
        <v>1</v>
      </c>
      <c r="G121" t="n">
        <v>1</v>
      </c>
      <c r="H121" t="n">
        <v>3</v>
      </c>
      <c r="I121" t="n">
        <v>2</v>
      </c>
      <c r="J121" t="n">
        <v>1</v>
      </c>
      <c r="K121" t="n">
        <v>1</v>
      </c>
      <c r="L121" t="n">
        <v>2</v>
      </c>
      <c r="M121" t="n">
        <v>1</v>
      </c>
      <c r="N121" t="n">
        <v>5</v>
      </c>
      <c r="O121" t="n">
        <v>2</v>
      </c>
      <c r="P121" t="n">
        <v>2</v>
      </c>
      <c r="Q121" t="n">
        <v>1</v>
      </c>
      <c r="R121" t="n">
        <v>4</v>
      </c>
      <c r="S121" t="n">
        <v>3</v>
      </c>
      <c r="T121" t="n">
        <v>3</v>
      </c>
      <c r="U121">
        <f>(AVERAGE(B121:D121)-1)/4</f>
        <v/>
      </c>
      <c r="V121">
        <f>(AVERAGE(E121:F121)-1)/4</f>
        <v/>
      </c>
      <c r="W121">
        <f>(AVERAGE(G121:I121)-1)/4</f>
        <v/>
      </c>
      <c r="X121">
        <f>(AVERAGE(J121:L121)-1)/4</f>
        <v/>
      </c>
      <c r="Y121">
        <f>(AVERAGE(M121:O121)-1)/4</f>
        <v/>
      </c>
      <c r="Z121">
        <f>(AVERAGE(P121:R121)-1)/4</f>
        <v/>
      </c>
      <c r="AA121">
        <f>(AVERAGE(S121:T121)-1)/4</f>
        <v/>
      </c>
      <c r="AB121">
        <f>AVERAGE(U121:Y121)</f>
        <v/>
      </c>
      <c r="AC121">
        <f>MIN(U121:Y121)</f>
        <v/>
      </c>
      <c r="AD121">
        <f>1-alpha*MAX(0,delta-AC121)</f>
        <v/>
      </c>
      <c r="AE121">
        <f>AB121*AD121</f>
        <v/>
      </c>
      <c r="AF121">
        <f>1+COUNTIF(bounds,"&lt;"&amp;ROUND(AB121,12))</f>
        <v/>
      </c>
      <c r="AG121">
        <f>1+COUNTIF(bounds,"&lt;"&amp;ROUND(AE121,12))</f>
        <v/>
      </c>
      <c r="AH121">
        <f>IF(AD121&lt;1,1,0)</f>
        <v/>
      </c>
      <c r="AI121">
        <f>IF(AF121&lt;&gt;AG121,1,0)</f>
        <v/>
      </c>
      <c r="AJ121">
        <f>IF(AND(AG121&gt;=3,Z121&lt;=0.2),1,0)</f>
        <v/>
      </c>
      <c r="AK121">
        <f>AVERAGE(U121:Z121)</f>
        <v/>
      </c>
      <c r="AL121">
        <f>1+COUNTIF(bounds,"&lt;"&amp;ROUND(AK121,12))</f>
        <v/>
      </c>
      <c r="AM121">
        <f>IF(AI121=1,AB121,NA())</f>
        <v/>
      </c>
      <c r="AN121">
        <f>IF(AI121=0,AB121,NA())</f>
        <v/>
      </c>
    </row>
    <row r="122">
      <c r="A122" t="n">
        <v>114</v>
      </c>
      <c r="B122" t="n">
        <v>5</v>
      </c>
      <c r="C122" t="n">
        <v>5</v>
      </c>
      <c r="D122" t="n">
        <v>5</v>
      </c>
      <c r="E122" t="n">
        <v>2</v>
      </c>
      <c r="F122" t="n">
        <v>4</v>
      </c>
      <c r="G122" t="n">
        <v>1</v>
      </c>
      <c r="H122" t="n">
        <v>1</v>
      </c>
      <c r="I122" t="n">
        <v>4</v>
      </c>
      <c r="J122" t="n">
        <v>2</v>
      </c>
      <c r="K122" t="n">
        <v>2</v>
      </c>
      <c r="L122" t="n">
        <v>1</v>
      </c>
      <c r="M122" t="n">
        <v>4</v>
      </c>
      <c r="N122" t="n">
        <v>5</v>
      </c>
      <c r="O122" t="n">
        <v>3</v>
      </c>
      <c r="P122" t="n">
        <v>1</v>
      </c>
      <c r="Q122" t="n">
        <v>4</v>
      </c>
      <c r="R122" t="n">
        <v>5</v>
      </c>
      <c r="S122" t="n">
        <v>4</v>
      </c>
      <c r="T122" t="n">
        <v>3</v>
      </c>
      <c r="U122">
        <f>(AVERAGE(B122:D122)-1)/4</f>
        <v/>
      </c>
      <c r="V122">
        <f>(AVERAGE(E122:F122)-1)/4</f>
        <v/>
      </c>
      <c r="W122">
        <f>(AVERAGE(G122:I122)-1)/4</f>
        <v/>
      </c>
      <c r="X122">
        <f>(AVERAGE(J122:L122)-1)/4</f>
        <v/>
      </c>
      <c r="Y122">
        <f>(AVERAGE(M122:O122)-1)/4</f>
        <v/>
      </c>
      <c r="Z122">
        <f>(AVERAGE(P122:R122)-1)/4</f>
        <v/>
      </c>
      <c r="AA122">
        <f>(AVERAGE(S122:T122)-1)/4</f>
        <v/>
      </c>
      <c r="AB122">
        <f>AVERAGE(U122:Y122)</f>
        <v/>
      </c>
      <c r="AC122">
        <f>MIN(U122:Y122)</f>
        <v/>
      </c>
      <c r="AD122">
        <f>1-alpha*MAX(0,delta-AC122)</f>
        <v/>
      </c>
      <c r="AE122">
        <f>AB122*AD122</f>
        <v/>
      </c>
      <c r="AF122">
        <f>1+COUNTIF(bounds,"&lt;"&amp;ROUND(AB122,12))</f>
        <v/>
      </c>
      <c r="AG122">
        <f>1+COUNTIF(bounds,"&lt;"&amp;ROUND(AE122,12))</f>
        <v/>
      </c>
      <c r="AH122">
        <f>IF(AD122&lt;1,1,0)</f>
        <v/>
      </c>
      <c r="AI122">
        <f>IF(AF122&lt;&gt;AG122,1,0)</f>
        <v/>
      </c>
      <c r="AJ122">
        <f>IF(AND(AG122&gt;=3,Z122&lt;=0.2),1,0)</f>
        <v/>
      </c>
      <c r="AK122">
        <f>AVERAGE(U122:Z122)</f>
        <v/>
      </c>
      <c r="AL122">
        <f>1+COUNTIF(bounds,"&lt;"&amp;ROUND(AK122,12))</f>
        <v/>
      </c>
      <c r="AM122">
        <f>IF(AI122=1,AB122,NA())</f>
        <v/>
      </c>
      <c r="AN122">
        <f>IF(AI122=0,AB122,NA())</f>
        <v/>
      </c>
    </row>
    <row r="123">
      <c r="A123" t="n">
        <v>115</v>
      </c>
      <c r="B123" t="n">
        <v>1</v>
      </c>
      <c r="C123" t="n">
        <v>4</v>
      </c>
      <c r="D123" t="n">
        <v>4</v>
      </c>
      <c r="E123" t="n">
        <v>2</v>
      </c>
      <c r="F123" t="n">
        <v>1</v>
      </c>
      <c r="G123" t="n">
        <v>5</v>
      </c>
      <c r="H123" t="n">
        <v>2</v>
      </c>
      <c r="I123" t="n">
        <v>4</v>
      </c>
      <c r="J123" t="n">
        <v>4</v>
      </c>
      <c r="K123" t="n">
        <v>3</v>
      </c>
      <c r="L123" t="n">
        <v>1</v>
      </c>
      <c r="M123" t="n">
        <v>2</v>
      </c>
      <c r="N123" t="n">
        <v>3</v>
      </c>
      <c r="O123" t="n">
        <v>1</v>
      </c>
      <c r="P123" t="n">
        <v>4</v>
      </c>
      <c r="Q123" t="n">
        <v>4</v>
      </c>
      <c r="R123" t="n">
        <v>4</v>
      </c>
      <c r="S123" t="n">
        <v>5</v>
      </c>
      <c r="T123" t="n">
        <v>2</v>
      </c>
      <c r="U123">
        <f>(AVERAGE(B123:D123)-1)/4</f>
        <v/>
      </c>
      <c r="V123">
        <f>(AVERAGE(E123:F123)-1)/4</f>
        <v/>
      </c>
      <c r="W123">
        <f>(AVERAGE(G123:I123)-1)/4</f>
        <v/>
      </c>
      <c r="X123">
        <f>(AVERAGE(J123:L123)-1)/4</f>
        <v/>
      </c>
      <c r="Y123">
        <f>(AVERAGE(M123:O123)-1)/4</f>
        <v/>
      </c>
      <c r="Z123">
        <f>(AVERAGE(P123:R123)-1)/4</f>
        <v/>
      </c>
      <c r="AA123">
        <f>(AVERAGE(S123:T123)-1)/4</f>
        <v/>
      </c>
      <c r="AB123">
        <f>AVERAGE(U123:Y123)</f>
        <v/>
      </c>
      <c r="AC123">
        <f>MIN(U123:Y123)</f>
        <v/>
      </c>
      <c r="AD123">
        <f>1-alpha*MAX(0,delta-AC123)</f>
        <v/>
      </c>
      <c r="AE123">
        <f>AB123*AD123</f>
        <v/>
      </c>
      <c r="AF123">
        <f>1+COUNTIF(bounds,"&lt;"&amp;ROUND(AB123,12))</f>
        <v/>
      </c>
      <c r="AG123">
        <f>1+COUNTIF(bounds,"&lt;"&amp;ROUND(AE123,12))</f>
        <v/>
      </c>
      <c r="AH123">
        <f>IF(AD123&lt;1,1,0)</f>
        <v/>
      </c>
      <c r="AI123">
        <f>IF(AF123&lt;&gt;AG123,1,0)</f>
        <v/>
      </c>
      <c r="AJ123">
        <f>IF(AND(AG123&gt;=3,Z123&lt;=0.2),1,0)</f>
        <v/>
      </c>
      <c r="AK123">
        <f>AVERAGE(U123:Z123)</f>
        <v/>
      </c>
      <c r="AL123">
        <f>1+COUNTIF(bounds,"&lt;"&amp;ROUND(AK123,12))</f>
        <v/>
      </c>
      <c r="AM123">
        <f>IF(AI123=1,AB123,NA())</f>
        <v/>
      </c>
      <c r="AN123">
        <f>IF(AI123=0,AB123,NA())</f>
        <v/>
      </c>
    </row>
    <row r="124">
      <c r="A124" t="n">
        <v>116</v>
      </c>
      <c r="B124" t="n">
        <v>3</v>
      </c>
      <c r="C124" t="n">
        <v>3</v>
      </c>
      <c r="D124" t="n">
        <v>2</v>
      </c>
      <c r="E124" t="n">
        <v>2</v>
      </c>
      <c r="F124" t="n">
        <v>5</v>
      </c>
      <c r="G124" t="n">
        <v>4</v>
      </c>
      <c r="H124" t="n">
        <v>3</v>
      </c>
      <c r="I124" t="n">
        <v>2</v>
      </c>
      <c r="J124" t="n">
        <v>4</v>
      </c>
      <c r="K124" t="n">
        <v>1</v>
      </c>
      <c r="L124" t="n">
        <v>5</v>
      </c>
      <c r="M124" t="n">
        <v>3</v>
      </c>
      <c r="N124" t="n">
        <v>1</v>
      </c>
      <c r="O124" t="n">
        <v>3</v>
      </c>
      <c r="P124" t="n">
        <v>3</v>
      </c>
      <c r="Q124" t="n">
        <v>5</v>
      </c>
      <c r="R124" t="n">
        <v>2</v>
      </c>
      <c r="S124" t="n">
        <v>5</v>
      </c>
      <c r="T124" t="n">
        <v>3</v>
      </c>
      <c r="U124">
        <f>(AVERAGE(B124:D124)-1)/4</f>
        <v/>
      </c>
      <c r="V124">
        <f>(AVERAGE(E124:F124)-1)/4</f>
        <v/>
      </c>
      <c r="W124">
        <f>(AVERAGE(G124:I124)-1)/4</f>
        <v/>
      </c>
      <c r="X124">
        <f>(AVERAGE(J124:L124)-1)/4</f>
        <v/>
      </c>
      <c r="Y124">
        <f>(AVERAGE(M124:O124)-1)/4</f>
        <v/>
      </c>
      <c r="Z124">
        <f>(AVERAGE(P124:R124)-1)/4</f>
        <v/>
      </c>
      <c r="AA124">
        <f>(AVERAGE(S124:T124)-1)/4</f>
        <v/>
      </c>
      <c r="AB124">
        <f>AVERAGE(U124:Y124)</f>
        <v/>
      </c>
      <c r="AC124">
        <f>MIN(U124:Y124)</f>
        <v/>
      </c>
      <c r="AD124">
        <f>1-alpha*MAX(0,delta-AC124)</f>
        <v/>
      </c>
      <c r="AE124">
        <f>AB124*AD124</f>
        <v/>
      </c>
      <c r="AF124">
        <f>1+COUNTIF(bounds,"&lt;"&amp;ROUND(AB124,12))</f>
        <v/>
      </c>
      <c r="AG124">
        <f>1+COUNTIF(bounds,"&lt;"&amp;ROUND(AE124,12))</f>
        <v/>
      </c>
      <c r="AH124">
        <f>IF(AD124&lt;1,1,0)</f>
        <v/>
      </c>
      <c r="AI124">
        <f>IF(AF124&lt;&gt;AG124,1,0)</f>
        <v/>
      </c>
      <c r="AJ124">
        <f>IF(AND(AG124&gt;=3,Z124&lt;=0.2),1,0)</f>
        <v/>
      </c>
      <c r="AK124">
        <f>AVERAGE(U124:Z124)</f>
        <v/>
      </c>
      <c r="AL124">
        <f>1+COUNTIF(bounds,"&lt;"&amp;ROUND(AK124,12))</f>
        <v/>
      </c>
      <c r="AM124">
        <f>IF(AI124=1,AB124,NA())</f>
        <v/>
      </c>
      <c r="AN124">
        <f>IF(AI124=0,AB124,NA())</f>
        <v/>
      </c>
    </row>
    <row r="125">
      <c r="A125" t="n">
        <v>117</v>
      </c>
      <c r="B125" t="n">
        <v>1</v>
      </c>
      <c r="C125" t="n">
        <v>4</v>
      </c>
      <c r="D125" t="n">
        <v>1</v>
      </c>
      <c r="E125" t="n">
        <v>2</v>
      </c>
      <c r="F125" t="n">
        <v>3</v>
      </c>
      <c r="G125" t="n">
        <v>4</v>
      </c>
      <c r="H125" t="n">
        <v>3</v>
      </c>
      <c r="I125" t="n">
        <v>5</v>
      </c>
      <c r="J125" t="n">
        <v>2</v>
      </c>
      <c r="K125" t="n">
        <v>2</v>
      </c>
      <c r="L125" t="n">
        <v>2</v>
      </c>
      <c r="M125" t="n">
        <v>5</v>
      </c>
      <c r="N125" t="n">
        <v>3</v>
      </c>
      <c r="O125" t="n">
        <v>4</v>
      </c>
      <c r="P125" t="n">
        <v>3</v>
      </c>
      <c r="Q125" t="n">
        <v>1</v>
      </c>
      <c r="R125" t="n">
        <v>2</v>
      </c>
      <c r="S125" t="n">
        <v>3</v>
      </c>
      <c r="T125" t="n">
        <v>3</v>
      </c>
      <c r="U125">
        <f>(AVERAGE(B125:D125)-1)/4</f>
        <v/>
      </c>
      <c r="V125">
        <f>(AVERAGE(E125:F125)-1)/4</f>
        <v/>
      </c>
      <c r="W125">
        <f>(AVERAGE(G125:I125)-1)/4</f>
        <v/>
      </c>
      <c r="X125">
        <f>(AVERAGE(J125:L125)-1)/4</f>
        <v/>
      </c>
      <c r="Y125">
        <f>(AVERAGE(M125:O125)-1)/4</f>
        <v/>
      </c>
      <c r="Z125">
        <f>(AVERAGE(P125:R125)-1)/4</f>
        <v/>
      </c>
      <c r="AA125">
        <f>(AVERAGE(S125:T125)-1)/4</f>
        <v/>
      </c>
      <c r="AB125">
        <f>AVERAGE(U125:Y125)</f>
        <v/>
      </c>
      <c r="AC125">
        <f>MIN(U125:Y125)</f>
        <v/>
      </c>
      <c r="AD125">
        <f>1-alpha*MAX(0,delta-AC125)</f>
        <v/>
      </c>
      <c r="AE125">
        <f>AB125*AD125</f>
        <v/>
      </c>
      <c r="AF125">
        <f>1+COUNTIF(bounds,"&lt;"&amp;ROUND(AB125,12))</f>
        <v/>
      </c>
      <c r="AG125">
        <f>1+COUNTIF(bounds,"&lt;"&amp;ROUND(AE125,12))</f>
        <v/>
      </c>
      <c r="AH125">
        <f>IF(AD125&lt;1,1,0)</f>
        <v/>
      </c>
      <c r="AI125">
        <f>IF(AF125&lt;&gt;AG125,1,0)</f>
        <v/>
      </c>
      <c r="AJ125">
        <f>IF(AND(AG125&gt;=3,Z125&lt;=0.2),1,0)</f>
        <v/>
      </c>
      <c r="AK125">
        <f>AVERAGE(U125:Z125)</f>
        <v/>
      </c>
      <c r="AL125">
        <f>1+COUNTIF(bounds,"&lt;"&amp;ROUND(AK125,12))</f>
        <v/>
      </c>
      <c r="AM125">
        <f>IF(AI125=1,AB125,NA())</f>
        <v/>
      </c>
      <c r="AN125">
        <f>IF(AI125=0,AB125,NA())</f>
        <v/>
      </c>
    </row>
    <row r="126">
      <c r="A126" t="n">
        <v>118</v>
      </c>
      <c r="B126" t="n">
        <v>4</v>
      </c>
      <c r="C126" t="n">
        <v>1</v>
      </c>
      <c r="D126" t="n">
        <v>3</v>
      </c>
      <c r="E126" t="n">
        <v>4</v>
      </c>
      <c r="F126" t="n">
        <v>1</v>
      </c>
      <c r="G126" t="n">
        <v>1</v>
      </c>
      <c r="H126" t="n">
        <v>4</v>
      </c>
      <c r="I126" t="n">
        <v>3</v>
      </c>
      <c r="J126" t="n">
        <v>5</v>
      </c>
      <c r="K126" t="n">
        <v>2</v>
      </c>
      <c r="L126" t="n">
        <v>4</v>
      </c>
      <c r="M126" t="n">
        <v>3</v>
      </c>
      <c r="N126" t="n">
        <v>2</v>
      </c>
      <c r="O126" t="n">
        <v>5</v>
      </c>
      <c r="P126" t="n">
        <v>1</v>
      </c>
      <c r="Q126" t="n">
        <v>4</v>
      </c>
      <c r="R126" t="n">
        <v>5</v>
      </c>
      <c r="S126" t="n">
        <v>5</v>
      </c>
      <c r="T126" t="n">
        <v>3</v>
      </c>
      <c r="U126">
        <f>(AVERAGE(B126:D126)-1)/4</f>
        <v/>
      </c>
      <c r="V126">
        <f>(AVERAGE(E126:F126)-1)/4</f>
        <v/>
      </c>
      <c r="W126">
        <f>(AVERAGE(G126:I126)-1)/4</f>
        <v/>
      </c>
      <c r="X126">
        <f>(AVERAGE(J126:L126)-1)/4</f>
        <v/>
      </c>
      <c r="Y126">
        <f>(AVERAGE(M126:O126)-1)/4</f>
        <v/>
      </c>
      <c r="Z126">
        <f>(AVERAGE(P126:R126)-1)/4</f>
        <v/>
      </c>
      <c r="AA126">
        <f>(AVERAGE(S126:T126)-1)/4</f>
        <v/>
      </c>
      <c r="AB126">
        <f>AVERAGE(U126:Y126)</f>
        <v/>
      </c>
      <c r="AC126">
        <f>MIN(U126:Y126)</f>
        <v/>
      </c>
      <c r="AD126">
        <f>1-alpha*MAX(0,delta-AC126)</f>
        <v/>
      </c>
      <c r="AE126">
        <f>AB126*AD126</f>
        <v/>
      </c>
      <c r="AF126">
        <f>1+COUNTIF(bounds,"&lt;"&amp;ROUND(AB126,12))</f>
        <v/>
      </c>
      <c r="AG126">
        <f>1+COUNTIF(bounds,"&lt;"&amp;ROUND(AE126,12))</f>
        <v/>
      </c>
      <c r="AH126">
        <f>IF(AD126&lt;1,1,0)</f>
        <v/>
      </c>
      <c r="AI126">
        <f>IF(AF126&lt;&gt;AG126,1,0)</f>
        <v/>
      </c>
      <c r="AJ126">
        <f>IF(AND(AG126&gt;=3,Z126&lt;=0.2),1,0)</f>
        <v/>
      </c>
      <c r="AK126">
        <f>AVERAGE(U126:Z126)</f>
        <v/>
      </c>
      <c r="AL126">
        <f>1+COUNTIF(bounds,"&lt;"&amp;ROUND(AK126,12))</f>
        <v/>
      </c>
      <c r="AM126">
        <f>IF(AI126=1,AB126,NA())</f>
        <v/>
      </c>
      <c r="AN126">
        <f>IF(AI126=0,AB126,NA())</f>
        <v/>
      </c>
    </row>
    <row r="127">
      <c r="A127" t="n">
        <v>119</v>
      </c>
      <c r="B127" t="n">
        <v>1</v>
      </c>
      <c r="C127" t="n">
        <v>4</v>
      </c>
      <c r="D127" t="n">
        <v>2</v>
      </c>
      <c r="E127" t="n">
        <v>3</v>
      </c>
      <c r="F127" t="n">
        <v>2</v>
      </c>
      <c r="G127" t="n">
        <v>4</v>
      </c>
      <c r="H127" t="n">
        <v>3</v>
      </c>
      <c r="I127" t="n">
        <v>3</v>
      </c>
      <c r="J127" t="n">
        <v>4</v>
      </c>
      <c r="K127" t="n">
        <v>2</v>
      </c>
      <c r="L127" t="n">
        <v>5</v>
      </c>
      <c r="M127" t="n">
        <v>4</v>
      </c>
      <c r="N127" t="n">
        <v>2</v>
      </c>
      <c r="O127" t="n">
        <v>5</v>
      </c>
      <c r="P127" t="n">
        <v>3</v>
      </c>
      <c r="Q127" t="n">
        <v>5</v>
      </c>
      <c r="R127" t="n">
        <v>2</v>
      </c>
      <c r="S127" t="n">
        <v>2</v>
      </c>
      <c r="T127" t="n">
        <v>3</v>
      </c>
      <c r="U127">
        <f>(AVERAGE(B127:D127)-1)/4</f>
        <v/>
      </c>
      <c r="V127">
        <f>(AVERAGE(E127:F127)-1)/4</f>
        <v/>
      </c>
      <c r="W127">
        <f>(AVERAGE(G127:I127)-1)/4</f>
        <v/>
      </c>
      <c r="X127">
        <f>(AVERAGE(J127:L127)-1)/4</f>
        <v/>
      </c>
      <c r="Y127">
        <f>(AVERAGE(M127:O127)-1)/4</f>
        <v/>
      </c>
      <c r="Z127">
        <f>(AVERAGE(P127:R127)-1)/4</f>
        <v/>
      </c>
      <c r="AA127">
        <f>(AVERAGE(S127:T127)-1)/4</f>
        <v/>
      </c>
      <c r="AB127">
        <f>AVERAGE(U127:Y127)</f>
        <v/>
      </c>
      <c r="AC127">
        <f>MIN(U127:Y127)</f>
        <v/>
      </c>
      <c r="AD127">
        <f>1-alpha*MAX(0,delta-AC127)</f>
        <v/>
      </c>
      <c r="AE127">
        <f>AB127*AD127</f>
        <v/>
      </c>
      <c r="AF127">
        <f>1+COUNTIF(bounds,"&lt;"&amp;ROUND(AB127,12))</f>
        <v/>
      </c>
      <c r="AG127">
        <f>1+COUNTIF(bounds,"&lt;"&amp;ROUND(AE127,12))</f>
        <v/>
      </c>
      <c r="AH127">
        <f>IF(AD127&lt;1,1,0)</f>
        <v/>
      </c>
      <c r="AI127">
        <f>IF(AF127&lt;&gt;AG127,1,0)</f>
        <v/>
      </c>
      <c r="AJ127">
        <f>IF(AND(AG127&gt;=3,Z127&lt;=0.2),1,0)</f>
        <v/>
      </c>
      <c r="AK127">
        <f>AVERAGE(U127:Z127)</f>
        <v/>
      </c>
      <c r="AL127">
        <f>1+COUNTIF(bounds,"&lt;"&amp;ROUND(AK127,12))</f>
        <v/>
      </c>
      <c r="AM127">
        <f>IF(AI127=1,AB127,NA())</f>
        <v/>
      </c>
      <c r="AN127">
        <f>IF(AI127=0,AB127,NA())</f>
        <v/>
      </c>
    </row>
    <row r="128">
      <c r="A128" t="n">
        <v>120</v>
      </c>
      <c r="B128" t="n">
        <v>3</v>
      </c>
      <c r="C128" t="n">
        <v>2</v>
      </c>
      <c r="D128" t="n">
        <v>3</v>
      </c>
      <c r="E128" t="n">
        <v>1</v>
      </c>
      <c r="F128" t="n">
        <v>5</v>
      </c>
      <c r="G128" t="n">
        <v>5</v>
      </c>
      <c r="H128" t="n">
        <v>4</v>
      </c>
      <c r="I128" t="n">
        <v>2</v>
      </c>
      <c r="J128" t="n">
        <v>3</v>
      </c>
      <c r="K128" t="n">
        <v>5</v>
      </c>
      <c r="L128" t="n">
        <v>2</v>
      </c>
      <c r="M128" t="n">
        <v>5</v>
      </c>
      <c r="N128" t="n">
        <v>1</v>
      </c>
      <c r="O128" t="n">
        <v>5</v>
      </c>
      <c r="P128" t="n">
        <v>2</v>
      </c>
      <c r="Q128" t="n">
        <v>4</v>
      </c>
      <c r="R128" t="n">
        <v>1</v>
      </c>
      <c r="S128" t="n">
        <v>3</v>
      </c>
      <c r="T128" t="n">
        <v>1</v>
      </c>
      <c r="U128">
        <f>(AVERAGE(B128:D128)-1)/4</f>
        <v/>
      </c>
      <c r="V128">
        <f>(AVERAGE(E128:F128)-1)/4</f>
        <v/>
      </c>
      <c r="W128">
        <f>(AVERAGE(G128:I128)-1)/4</f>
        <v/>
      </c>
      <c r="X128">
        <f>(AVERAGE(J128:L128)-1)/4</f>
        <v/>
      </c>
      <c r="Y128">
        <f>(AVERAGE(M128:O128)-1)/4</f>
        <v/>
      </c>
      <c r="Z128">
        <f>(AVERAGE(P128:R128)-1)/4</f>
        <v/>
      </c>
      <c r="AA128">
        <f>(AVERAGE(S128:T128)-1)/4</f>
        <v/>
      </c>
      <c r="AB128">
        <f>AVERAGE(U128:Y128)</f>
        <v/>
      </c>
      <c r="AC128">
        <f>MIN(U128:Y128)</f>
        <v/>
      </c>
      <c r="AD128">
        <f>1-alpha*MAX(0,delta-AC128)</f>
        <v/>
      </c>
      <c r="AE128">
        <f>AB128*AD128</f>
        <v/>
      </c>
      <c r="AF128">
        <f>1+COUNTIF(bounds,"&lt;"&amp;ROUND(AB128,12))</f>
        <v/>
      </c>
      <c r="AG128">
        <f>1+COUNTIF(bounds,"&lt;"&amp;ROUND(AE128,12))</f>
        <v/>
      </c>
      <c r="AH128">
        <f>IF(AD128&lt;1,1,0)</f>
        <v/>
      </c>
      <c r="AI128">
        <f>IF(AF128&lt;&gt;AG128,1,0)</f>
        <v/>
      </c>
      <c r="AJ128">
        <f>IF(AND(AG128&gt;=3,Z128&lt;=0.2),1,0)</f>
        <v/>
      </c>
      <c r="AK128">
        <f>AVERAGE(U128:Z128)</f>
        <v/>
      </c>
      <c r="AL128">
        <f>1+COUNTIF(bounds,"&lt;"&amp;ROUND(AK128,12))</f>
        <v/>
      </c>
      <c r="AM128">
        <f>IF(AI128=1,AB128,NA())</f>
        <v/>
      </c>
      <c r="AN128">
        <f>IF(AI128=0,AB128,NA())</f>
        <v/>
      </c>
    </row>
    <row r="129">
      <c r="A129" t="n">
        <v>121</v>
      </c>
      <c r="B129" t="n">
        <v>4</v>
      </c>
      <c r="C129" t="n">
        <v>1</v>
      </c>
      <c r="D129" t="n">
        <v>4</v>
      </c>
      <c r="E129" t="n">
        <v>1</v>
      </c>
      <c r="F129" t="n">
        <v>5</v>
      </c>
      <c r="G129" t="n">
        <v>5</v>
      </c>
      <c r="H129" t="n">
        <v>1</v>
      </c>
      <c r="I129" t="n">
        <v>1</v>
      </c>
      <c r="J129" t="n">
        <v>5</v>
      </c>
      <c r="K129" t="n">
        <v>5</v>
      </c>
      <c r="L129" t="n">
        <v>4</v>
      </c>
      <c r="M129" t="n">
        <v>4</v>
      </c>
      <c r="N129" t="n">
        <v>1</v>
      </c>
      <c r="O129" t="n">
        <v>1</v>
      </c>
      <c r="P129" t="n">
        <v>5</v>
      </c>
      <c r="Q129" t="n">
        <v>5</v>
      </c>
      <c r="R129" t="n">
        <v>5</v>
      </c>
      <c r="S129" t="n">
        <v>1</v>
      </c>
      <c r="T129" t="n">
        <v>4</v>
      </c>
      <c r="U129">
        <f>(AVERAGE(B129:D129)-1)/4</f>
        <v/>
      </c>
      <c r="V129">
        <f>(AVERAGE(E129:F129)-1)/4</f>
        <v/>
      </c>
      <c r="W129">
        <f>(AVERAGE(G129:I129)-1)/4</f>
        <v/>
      </c>
      <c r="X129">
        <f>(AVERAGE(J129:L129)-1)/4</f>
        <v/>
      </c>
      <c r="Y129">
        <f>(AVERAGE(M129:O129)-1)/4</f>
        <v/>
      </c>
      <c r="Z129">
        <f>(AVERAGE(P129:R129)-1)/4</f>
        <v/>
      </c>
      <c r="AA129">
        <f>(AVERAGE(S129:T129)-1)/4</f>
        <v/>
      </c>
      <c r="AB129">
        <f>AVERAGE(U129:Y129)</f>
        <v/>
      </c>
      <c r="AC129">
        <f>MIN(U129:Y129)</f>
        <v/>
      </c>
      <c r="AD129">
        <f>1-alpha*MAX(0,delta-AC129)</f>
        <v/>
      </c>
      <c r="AE129">
        <f>AB129*AD129</f>
        <v/>
      </c>
      <c r="AF129">
        <f>1+COUNTIF(bounds,"&lt;"&amp;ROUND(AB129,12))</f>
        <v/>
      </c>
      <c r="AG129">
        <f>1+COUNTIF(bounds,"&lt;"&amp;ROUND(AE129,12))</f>
        <v/>
      </c>
      <c r="AH129">
        <f>IF(AD129&lt;1,1,0)</f>
        <v/>
      </c>
      <c r="AI129">
        <f>IF(AF129&lt;&gt;AG129,1,0)</f>
        <v/>
      </c>
      <c r="AJ129">
        <f>IF(AND(AG129&gt;=3,Z129&lt;=0.2),1,0)</f>
        <v/>
      </c>
      <c r="AK129">
        <f>AVERAGE(U129:Z129)</f>
        <v/>
      </c>
      <c r="AL129">
        <f>1+COUNTIF(bounds,"&lt;"&amp;ROUND(AK129,12))</f>
        <v/>
      </c>
      <c r="AM129">
        <f>IF(AI129=1,AB129,NA())</f>
        <v/>
      </c>
      <c r="AN129">
        <f>IF(AI129=0,AB129,NA())</f>
        <v/>
      </c>
    </row>
    <row r="130">
      <c r="A130" t="n">
        <v>122</v>
      </c>
      <c r="B130" t="n">
        <v>4</v>
      </c>
      <c r="C130" t="n">
        <v>5</v>
      </c>
      <c r="D130" t="n">
        <v>2</v>
      </c>
      <c r="E130" t="n">
        <v>5</v>
      </c>
      <c r="F130" t="n">
        <v>4</v>
      </c>
      <c r="G130" t="n">
        <v>4</v>
      </c>
      <c r="H130" t="n">
        <v>3</v>
      </c>
      <c r="I130" t="n">
        <v>4</v>
      </c>
      <c r="J130" t="n">
        <v>4</v>
      </c>
      <c r="K130" t="n">
        <v>4</v>
      </c>
      <c r="L130" t="n">
        <v>4</v>
      </c>
      <c r="M130" t="n">
        <v>1</v>
      </c>
      <c r="N130" t="n">
        <v>5</v>
      </c>
      <c r="O130" t="n">
        <v>5</v>
      </c>
      <c r="P130" t="n">
        <v>4</v>
      </c>
      <c r="Q130" t="n">
        <v>3</v>
      </c>
      <c r="R130" t="n">
        <v>1</v>
      </c>
      <c r="S130" t="n">
        <v>3</v>
      </c>
      <c r="T130" t="n">
        <v>4</v>
      </c>
      <c r="U130">
        <f>(AVERAGE(B130:D130)-1)/4</f>
        <v/>
      </c>
      <c r="V130">
        <f>(AVERAGE(E130:F130)-1)/4</f>
        <v/>
      </c>
      <c r="W130">
        <f>(AVERAGE(G130:I130)-1)/4</f>
        <v/>
      </c>
      <c r="X130">
        <f>(AVERAGE(J130:L130)-1)/4</f>
        <v/>
      </c>
      <c r="Y130">
        <f>(AVERAGE(M130:O130)-1)/4</f>
        <v/>
      </c>
      <c r="Z130">
        <f>(AVERAGE(P130:R130)-1)/4</f>
        <v/>
      </c>
      <c r="AA130">
        <f>(AVERAGE(S130:T130)-1)/4</f>
        <v/>
      </c>
      <c r="AB130">
        <f>AVERAGE(U130:Y130)</f>
        <v/>
      </c>
      <c r="AC130">
        <f>MIN(U130:Y130)</f>
        <v/>
      </c>
      <c r="AD130">
        <f>1-alpha*MAX(0,delta-AC130)</f>
        <v/>
      </c>
      <c r="AE130">
        <f>AB130*AD130</f>
        <v/>
      </c>
      <c r="AF130">
        <f>1+COUNTIF(bounds,"&lt;"&amp;ROUND(AB130,12))</f>
        <v/>
      </c>
      <c r="AG130">
        <f>1+COUNTIF(bounds,"&lt;"&amp;ROUND(AE130,12))</f>
        <v/>
      </c>
      <c r="AH130">
        <f>IF(AD130&lt;1,1,0)</f>
        <v/>
      </c>
      <c r="AI130">
        <f>IF(AF130&lt;&gt;AG130,1,0)</f>
        <v/>
      </c>
      <c r="AJ130">
        <f>IF(AND(AG130&gt;=3,Z130&lt;=0.2),1,0)</f>
        <v/>
      </c>
      <c r="AK130">
        <f>AVERAGE(U130:Z130)</f>
        <v/>
      </c>
      <c r="AL130">
        <f>1+COUNTIF(bounds,"&lt;"&amp;ROUND(AK130,12))</f>
        <v/>
      </c>
      <c r="AM130">
        <f>IF(AI130=1,AB130,NA())</f>
        <v/>
      </c>
      <c r="AN130">
        <f>IF(AI130=0,AB130,NA())</f>
        <v/>
      </c>
    </row>
    <row r="131">
      <c r="A131" t="n">
        <v>123</v>
      </c>
      <c r="B131" t="n">
        <v>5</v>
      </c>
      <c r="C131" t="n">
        <v>1</v>
      </c>
      <c r="D131" t="n">
        <v>5</v>
      </c>
      <c r="E131" t="n">
        <v>4</v>
      </c>
      <c r="F131" t="n">
        <v>4</v>
      </c>
      <c r="G131" t="n">
        <v>1</v>
      </c>
      <c r="H131" t="n">
        <v>4</v>
      </c>
      <c r="I131" t="n">
        <v>5</v>
      </c>
      <c r="J131" t="n">
        <v>4</v>
      </c>
      <c r="K131" t="n">
        <v>3</v>
      </c>
      <c r="L131" t="n">
        <v>4</v>
      </c>
      <c r="M131" t="n">
        <v>4</v>
      </c>
      <c r="N131" t="n">
        <v>2</v>
      </c>
      <c r="O131" t="n">
        <v>4</v>
      </c>
      <c r="P131" t="n">
        <v>1</v>
      </c>
      <c r="Q131" t="n">
        <v>1</v>
      </c>
      <c r="R131" t="n">
        <v>3</v>
      </c>
      <c r="S131" t="n">
        <v>5</v>
      </c>
      <c r="T131" t="n">
        <v>3</v>
      </c>
      <c r="U131">
        <f>(AVERAGE(B131:D131)-1)/4</f>
        <v/>
      </c>
      <c r="V131">
        <f>(AVERAGE(E131:F131)-1)/4</f>
        <v/>
      </c>
      <c r="W131">
        <f>(AVERAGE(G131:I131)-1)/4</f>
        <v/>
      </c>
      <c r="X131">
        <f>(AVERAGE(J131:L131)-1)/4</f>
        <v/>
      </c>
      <c r="Y131">
        <f>(AVERAGE(M131:O131)-1)/4</f>
        <v/>
      </c>
      <c r="Z131">
        <f>(AVERAGE(P131:R131)-1)/4</f>
        <v/>
      </c>
      <c r="AA131">
        <f>(AVERAGE(S131:T131)-1)/4</f>
        <v/>
      </c>
      <c r="AB131">
        <f>AVERAGE(U131:Y131)</f>
        <v/>
      </c>
      <c r="AC131">
        <f>MIN(U131:Y131)</f>
        <v/>
      </c>
      <c r="AD131">
        <f>1-alpha*MAX(0,delta-AC131)</f>
        <v/>
      </c>
      <c r="AE131">
        <f>AB131*AD131</f>
        <v/>
      </c>
      <c r="AF131">
        <f>1+COUNTIF(bounds,"&lt;"&amp;ROUND(AB131,12))</f>
        <v/>
      </c>
      <c r="AG131">
        <f>1+COUNTIF(bounds,"&lt;"&amp;ROUND(AE131,12))</f>
        <v/>
      </c>
      <c r="AH131">
        <f>IF(AD131&lt;1,1,0)</f>
        <v/>
      </c>
      <c r="AI131">
        <f>IF(AF131&lt;&gt;AG131,1,0)</f>
        <v/>
      </c>
      <c r="AJ131">
        <f>IF(AND(AG131&gt;=3,Z131&lt;=0.2),1,0)</f>
        <v/>
      </c>
      <c r="AK131">
        <f>AVERAGE(U131:Z131)</f>
        <v/>
      </c>
      <c r="AL131">
        <f>1+COUNTIF(bounds,"&lt;"&amp;ROUND(AK131,12))</f>
        <v/>
      </c>
      <c r="AM131">
        <f>IF(AI131=1,AB131,NA())</f>
        <v/>
      </c>
      <c r="AN131">
        <f>IF(AI131=0,AB131,NA())</f>
        <v/>
      </c>
    </row>
    <row r="132">
      <c r="A132" t="n">
        <v>124</v>
      </c>
      <c r="B132" t="n">
        <v>2</v>
      </c>
      <c r="C132" t="n">
        <v>2</v>
      </c>
      <c r="D132" t="n">
        <v>1</v>
      </c>
      <c r="E132" t="n">
        <v>4</v>
      </c>
      <c r="F132" t="n">
        <v>3</v>
      </c>
      <c r="G132" t="n">
        <v>4</v>
      </c>
      <c r="H132" t="n">
        <v>3</v>
      </c>
      <c r="I132" t="n">
        <v>3</v>
      </c>
      <c r="J132" t="n">
        <v>2</v>
      </c>
      <c r="K132" t="n">
        <v>3</v>
      </c>
      <c r="L132" t="n">
        <v>5</v>
      </c>
      <c r="M132" t="n">
        <v>1</v>
      </c>
      <c r="N132" t="n">
        <v>3</v>
      </c>
      <c r="O132" t="n">
        <v>4</v>
      </c>
      <c r="P132" t="n">
        <v>3</v>
      </c>
      <c r="Q132" t="n">
        <v>1</v>
      </c>
      <c r="R132" t="n">
        <v>2</v>
      </c>
      <c r="S132" t="n">
        <v>1</v>
      </c>
      <c r="T132" t="n">
        <v>1</v>
      </c>
      <c r="U132">
        <f>(AVERAGE(B132:D132)-1)/4</f>
        <v/>
      </c>
      <c r="V132">
        <f>(AVERAGE(E132:F132)-1)/4</f>
        <v/>
      </c>
      <c r="W132">
        <f>(AVERAGE(G132:I132)-1)/4</f>
        <v/>
      </c>
      <c r="X132">
        <f>(AVERAGE(J132:L132)-1)/4</f>
        <v/>
      </c>
      <c r="Y132">
        <f>(AVERAGE(M132:O132)-1)/4</f>
        <v/>
      </c>
      <c r="Z132">
        <f>(AVERAGE(P132:R132)-1)/4</f>
        <v/>
      </c>
      <c r="AA132">
        <f>(AVERAGE(S132:T132)-1)/4</f>
        <v/>
      </c>
      <c r="AB132">
        <f>AVERAGE(U132:Y132)</f>
        <v/>
      </c>
      <c r="AC132">
        <f>MIN(U132:Y132)</f>
        <v/>
      </c>
      <c r="AD132">
        <f>1-alpha*MAX(0,delta-AC132)</f>
        <v/>
      </c>
      <c r="AE132">
        <f>AB132*AD132</f>
        <v/>
      </c>
      <c r="AF132">
        <f>1+COUNTIF(bounds,"&lt;"&amp;ROUND(AB132,12))</f>
        <v/>
      </c>
      <c r="AG132">
        <f>1+COUNTIF(bounds,"&lt;"&amp;ROUND(AE132,12))</f>
        <v/>
      </c>
      <c r="AH132">
        <f>IF(AD132&lt;1,1,0)</f>
        <v/>
      </c>
      <c r="AI132">
        <f>IF(AF132&lt;&gt;AG132,1,0)</f>
        <v/>
      </c>
      <c r="AJ132">
        <f>IF(AND(AG132&gt;=3,Z132&lt;=0.2),1,0)</f>
        <v/>
      </c>
      <c r="AK132">
        <f>AVERAGE(U132:Z132)</f>
        <v/>
      </c>
      <c r="AL132">
        <f>1+COUNTIF(bounds,"&lt;"&amp;ROUND(AK132,12))</f>
        <v/>
      </c>
      <c r="AM132">
        <f>IF(AI132=1,AB132,NA())</f>
        <v/>
      </c>
      <c r="AN132">
        <f>IF(AI132=0,AB132,NA())</f>
        <v/>
      </c>
    </row>
    <row r="133">
      <c r="A133" t="n">
        <v>125</v>
      </c>
      <c r="B133" t="n">
        <v>5</v>
      </c>
      <c r="C133" t="n">
        <v>3</v>
      </c>
      <c r="D133" t="n">
        <v>5</v>
      </c>
      <c r="E133" t="n">
        <v>5</v>
      </c>
      <c r="F133" t="n">
        <v>5</v>
      </c>
      <c r="G133" t="n">
        <v>4</v>
      </c>
      <c r="H133" t="n">
        <v>3</v>
      </c>
      <c r="I133" t="n">
        <v>4</v>
      </c>
      <c r="J133" t="n">
        <v>3</v>
      </c>
      <c r="K133" t="n">
        <v>3</v>
      </c>
      <c r="L133" t="n">
        <v>2</v>
      </c>
      <c r="M133" t="n">
        <v>1</v>
      </c>
      <c r="N133" t="n">
        <v>3</v>
      </c>
      <c r="O133" t="n">
        <v>4</v>
      </c>
      <c r="P133" t="n">
        <v>1</v>
      </c>
      <c r="Q133" t="n">
        <v>1</v>
      </c>
      <c r="R133" t="n">
        <v>3</v>
      </c>
      <c r="S133" t="n">
        <v>1</v>
      </c>
      <c r="T133" t="n">
        <v>4</v>
      </c>
      <c r="U133">
        <f>(AVERAGE(B133:D133)-1)/4</f>
        <v/>
      </c>
      <c r="V133">
        <f>(AVERAGE(E133:F133)-1)/4</f>
        <v/>
      </c>
      <c r="W133">
        <f>(AVERAGE(G133:I133)-1)/4</f>
        <v/>
      </c>
      <c r="X133">
        <f>(AVERAGE(J133:L133)-1)/4</f>
        <v/>
      </c>
      <c r="Y133">
        <f>(AVERAGE(M133:O133)-1)/4</f>
        <v/>
      </c>
      <c r="Z133">
        <f>(AVERAGE(P133:R133)-1)/4</f>
        <v/>
      </c>
      <c r="AA133">
        <f>(AVERAGE(S133:T133)-1)/4</f>
        <v/>
      </c>
      <c r="AB133">
        <f>AVERAGE(U133:Y133)</f>
        <v/>
      </c>
      <c r="AC133">
        <f>MIN(U133:Y133)</f>
        <v/>
      </c>
      <c r="AD133">
        <f>1-alpha*MAX(0,delta-AC133)</f>
        <v/>
      </c>
      <c r="AE133">
        <f>AB133*AD133</f>
        <v/>
      </c>
      <c r="AF133">
        <f>1+COUNTIF(bounds,"&lt;"&amp;ROUND(AB133,12))</f>
        <v/>
      </c>
      <c r="AG133">
        <f>1+COUNTIF(bounds,"&lt;"&amp;ROUND(AE133,12))</f>
        <v/>
      </c>
      <c r="AH133">
        <f>IF(AD133&lt;1,1,0)</f>
        <v/>
      </c>
      <c r="AI133">
        <f>IF(AF133&lt;&gt;AG133,1,0)</f>
        <v/>
      </c>
      <c r="AJ133">
        <f>IF(AND(AG133&gt;=3,Z133&lt;=0.2),1,0)</f>
        <v/>
      </c>
      <c r="AK133">
        <f>AVERAGE(U133:Z133)</f>
        <v/>
      </c>
      <c r="AL133">
        <f>1+COUNTIF(bounds,"&lt;"&amp;ROUND(AK133,12))</f>
        <v/>
      </c>
      <c r="AM133">
        <f>IF(AI133=1,AB133,NA())</f>
        <v/>
      </c>
      <c r="AN133">
        <f>IF(AI133=0,AB133,NA())</f>
        <v/>
      </c>
    </row>
    <row r="134">
      <c r="A134" t="n">
        <v>126</v>
      </c>
      <c r="B134" t="n">
        <v>1</v>
      </c>
      <c r="C134" t="n">
        <v>5</v>
      </c>
      <c r="D134" t="n">
        <v>2</v>
      </c>
      <c r="E134" t="n">
        <v>5</v>
      </c>
      <c r="F134" t="n">
        <v>3</v>
      </c>
      <c r="G134" t="n">
        <v>5</v>
      </c>
      <c r="H134" t="n">
        <v>3</v>
      </c>
      <c r="I134" t="n">
        <v>3</v>
      </c>
      <c r="J134" t="n">
        <v>1</v>
      </c>
      <c r="K134" t="n">
        <v>5</v>
      </c>
      <c r="L134" t="n">
        <v>2</v>
      </c>
      <c r="M134" t="n">
        <v>1</v>
      </c>
      <c r="N134" t="n">
        <v>4</v>
      </c>
      <c r="O134" t="n">
        <v>5</v>
      </c>
      <c r="P134" t="n">
        <v>3</v>
      </c>
      <c r="Q134" t="n">
        <v>2</v>
      </c>
      <c r="R134" t="n">
        <v>1</v>
      </c>
      <c r="S134" t="n">
        <v>5</v>
      </c>
      <c r="T134" t="n">
        <v>3</v>
      </c>
      <c r="U134">
        <f>(AVERAGE(B134:D134)-1)/4</f>
        <v/>
      </c>
      <c r="V134">
        <f>(AVERAGE(E134:F134)-1)/4</f>
        <v/>
      </c>
      <c r="W134">
        <f>(AVERAGE(G134:I134)-1)/4</f>
        <v/>
      </c>
      <c r="X134">
        <f>(AVERAGE(J134:L134)-1)/4</f>
        <v/>
      </c>
      <c r="Y134">
        <f>(AVERAGE(M134:O134)-1)/4</f>
        <v/>
      </c>
      <c r="Z134">
        <f>(AVERAGE(P134:R134)-1)/4</f>
        <v/>
      </c>
      <c r="AA134">
        <f>(AVERAGE(S134:T134)-1)/4</f>
        <v/>
      </c>
      <c r="AB134">
        <f>AVERAGE(U134:Y134)</f>
        <v/>
      </c>
      <c r="AC134">
        <f>MIN(U134:Y134)</f>
        <v/>
      </c>
      <c r="AD134">
        <f>1-alpha*MAX(0,delta-AC134)</f>
        <v/>
      </c>
      <c r="AE134">
        <f>AB134*AD134</f>
        <v/>
      </c>
      <c r="AF134">
        <f>1+COUNTIF(bounds,"&lt;"&amp;ROUND(AB134,12))</f>
        <v/>
      </c>
      <c r="AG134">
        <f>1+COUNTIF(bounds,"&lt;"&amp;ROUND(AE134,12))</f>
        <v/>
      </c>
      <c r="AH134">
        <f>IF(AD134&lt;1,1,0)</f>
        <v/>
      </c>
      <c r="AI134">
        <f>IF(AF134&lt;&gt;AG134,1,0)</f>
        <v/>
      </c>
      <c r="AJ134">
        <f>IF(AND(AG134&gt;=3,Z134&lt;=0.2),1,0)</f>
        <v/>
      </c>
      <c r="AK134">
        <f>AVERAGE(U134:Z134)</f>
        <v/>
      </c>
      <c r="AL134">
        <f>1+COUNTIF(bounds,"&lt;"&amp;ROUND(AK134,12))</f>
        <v/>
      </c>
      <c r="AM134">
        <f>IF(AI134=1,AB134,NA())</f>
        <v/>
      </c>
      <c r="AN134">
        <f>IF(AI134=0,AB134,NA())</f>
        <v/>
      </c>
    </row>
    <row r="135">
      <c r="A135" t="n">
        <v>127</v>
      </c>
      <c r="B135" t="n">
        <v>2</v>
      </c>
      <c r="C135" t="n">
        <v>4</v>
      </c>
      <c r="D135" t="n">
        <v>1</v>
      </c>
      <c r="E135" t="n">
        <v>2</v>
      </c>
      <c r="F135" t="n">
        <v>3</v>
      </c>
      <c r="G135" t="n">
        <v>1</v>
      </c>
      <c r="H135" t="n">
        <v>2</v>
      </c>
      <c r="I135" t="n">
        <v>5</v>
      </c>
      <c r="J135" t="n">
        <v>4</v>
      </c>
      <c r="K135" t="n">
        <v>1</v>
      </c>
      <c r="L135" t="n">
        <v>1</v>
      </c>
      <c r="M135" t="n">
        <v>4</v>
      </c>
      <c r="N135" t="n">
        <v>2</v>
      </c>
      <c r="O135" t="n">
        <v>5</v>
      </c>
      <c r="P135" t="n">
        <v>3</v>
      </c>
      <c r="Q135" t="n">
        <v>5</v>
      </c>
      <c r="R135" t="n">
        <v>4</v>
      </c>
      <c r="S135" t="n">
        <v>3</v>
      </c>
      <c r="T135" t="n">
        <v>4</v>
      </c>
      <c r="U135">
        <f>(AVERAGE(B135:D135)-1)/4</f>
        <v/>
      </c>
      <c r="V135">
        <f>(AVERAGE(E135:F135)-1)/4</f>
        <v/>
      </c>
      <c r="W135">
        <f>(AVERAGE(G135:I135)-1)/4</f>
        <v/>
      </c>
      <c r="X135">
        <f>(AVERAGE(J135:L135)-1)/4</f>
        <v/>
      </c>
      <c r="Y135">
        <f>(AVERAGE(M135:O135)-1)/4</f>
        <v/>
      </c>
      <c r="Z135">
        <f>(AVERAGE(P135:R135)-1)/4</f>
        <v/>
      </c>
      <c r="AA135">
        <f>(AVERAGE(S135:T135)-1)/4</f>
        <v/>
      </c>
      <c r="AB135">
        <f>AVERAGE(U135:Y135)</f>
        <v/>
      </c>
      <c r="AC135">
        <f>MIN(U135:Y135)</f>
        <v/>
      </c>
      <c r="AD135">
        <f>1-alpha*MAX(0,delta-AC135)</f>
        <v/>
      </c>
      <c r="AE135">
        <f>AB135*AD135</f>
        <v/>
      </c>
      <c r="AF135">
        <f>1+COUNTIF(bounds,"&lt;"&amp;ROUND(AB135,12))</f>
        <v/>
      </c>
      <c r="AG135">
        <f>1+COUNTIF(bounds,"&lt;"&amp;ROUND(AE135,12))</f>
        <v/>
      </c>
      <c r="AH135">
        <f>IF(AD135&lt;1,1,0)</f>
        <v/>
      </c>
      <c r="AI135">
        <f>IF(AF135&lt;&gt;AG135,1,0)</f>
        <v/>
      </c>
      <c r="AJ135">
        <f>IF(AND(AG135&gt;=3,Z135&lt;=0.2),1,0)</f>
        <v/>
      </c>
      <c r="AK135">
        <f>AVERAGE(U135:Z135)</f>
        <v/>
      </c>
      <c r="AL135">
        <f>1+COUNTIF(bounds,"&lt;"&amp;ROUND(AK135,12))</f>
        <v/>
      </c>
      <c r="AM135">
        <f>IF(AI135=1,AB135,NA())</f>
        <v/>
      </c>
      <c r="AN135">
        <f>IF(AI135=0,AB135,NA())</f>
        <v/>
      </c>
    </row>
    <row r="136">
      <c r="A136" t="n">
        <v>128</v>
      </c>
      <c r="B136" t="n">
        <v>3</v>
      </c>
      <c r="C136" t="n">
        <v>3</v>
      </c>
      <c r="D136" t="n">
        <v>1</v>
      </c>
      <c r="E136" t="n">
        <v>4</v>
      </c>
      <c r="F136" t="n">
        <v>3</v>
      </c>
      <c r="G136" t="n">
        <v>4</v>
      </c>
      <c r="H136" t="n">
        <v>5</v>
      </c>
      <c r="I136" t="n">
        <v>4</v>
      </c>
      <c r="J136" t="n">
        <v>5</v>
      </c>
      <c r="K136" t="n">
        <v>1</v>
      </c>
      <c r="L136" t="n">
        <v>3</v>
      </c>
      <c r="M136" t="n">
        <v>3</v>
      </c>
      <c r="N136" t="n">
        <v>5</v>
      </c>
      <c r="O136" t="n">
        <v>4</v>
      </c>
      <c r="P136" t="n">
        <v>1</v>
      </c>
      <c r="Q136" t="n">
        <v>5</v>
      </c>
      <c r="R136" t="n">
        <v>1</v>
      </c>
      <c r="S136" t="n">
        <v>1</v>
      </c>
      <c r="T136" t="n">
        <v>5</v>
      </c>
      <c r="U136">
        <f>(AVERAGE(B136:D136)-1)/4</f>
        <v/>
      </c>
      <c r="V136">
        <f>(AVERAGE(E136:F136)-1)/4</f>
        <v/>
      </c>
      <c r="W136">
        <f>(AVERAGE(G136:I136)-1)/4</f>
        <v/>
      </c>
      <c r="X136">
        <f>(AVERAGE(J136:L136)-1)/4</f>
        <v/>
      </c>
      <c r="Y136">
        <f>(AVERAGE(M136:O136)-1)/4</f>
        <v/>
      </c>
      <c r="Z136">
        <f>(AVERAGE(P136:R136)-1)/4</f>
        <v/>
      </c>
      <c r="AA136">
        <f>(AVERAGE(S136:T136)-1)/4</f>
        <v/>
      </c>
      <c r="AB136">
        <f>AVERAGE(U136:Y136)</f>
        <v/>
      </c>
      <c r="AC136">
        <f>MIN(U136:Y136)</f>
        <v/>
      </c>
      <c r="AD136">
        <f>1-alpha*MAX(0,delta-AC136)</f>
        <v/>
      </c>
      <c r="AE136">
        <f>AB136*AD136</f>
        <v/>
      </c>
      <c r="AF136">
        <f>1+COUNTIF(bounds,"&lt;"&amp;ROUND(AB136,12))</f>
        <v/>
      </c>
      <c r="AG136">
        <f>1+COUNTIF(bounds,"&lt;"&amp;ROUND(AE136,12))</f>
        <v/>
      </c>
      <c r="AH136">
        <f>IF(AD136&lt;1,1,0)</f>
        <v/>
      </c>
      <c r="AI136">
        <f>IF(AF136&lt;&gt;AG136,1,0)</f>
        <v/>
      </c>
      <c r="AJ136">
        <f>IF(AND(AG136&gt;=3,Z136&lt;=0.2),1,0)</f>
        <v/>
      </c>
      <c r="AK136">
        <f>AVERAGE(U136:Z136)</f>
        <v/>
      </c>
      <c r="AL136">
        <f>1+COUNTIF(bounds,"&lt;"&amp;ROUND(AK136,12))</f>
        <v/>
      </c>
      <c r="AM136">
        <f>IF(AI136=1,AB136,NA())</f>
        <v/>
      </c>
      <c r="AN136">
        <f>IF(AI136=0,AB136,NA())</f>
        <v/>
      </c>
    </row>
    <row r="137">
      <c r="A137" t="n">
        <v>129</v>
      </c>
      <c r="B137" t="n">
        <v>3</v>
      </c>
      <c r="C137" t="n">
        <v>2</v>
      </c>
      <c r="D137" t="n">
        <v>2</v>
      </c>
      <c r="E137" t="n">
        <v>5</v>
      </c>
      <c r="F137" t="n">
        <v>5</v>
      </c>
      <c r="G137" t="n">
        <v>4</v>
      </c>
      <c r="H137" t="n">
        <v>5</v>
      </c>
      <c r="I137" t="n">
        <v>2</v>
      </c>
      <c r="J137" t="n">
        <v>3</v>
      </c>
      <c r="K137" t="n">
        <v>1</v>
      </c>
      <c r="L137" t="n">
        <v>2</v>
      </c>
      <c r="M137" t="n">
        <v>1</v>
      </c>
      <c r="N137" t="n">
        <v>5</v>
      </c>
      <c r="O137" t="n">
        <v>3</v>
      </c>
      <c r="P137" t="n">
        <v>3</v>
      </c>
      <c r="Q137" t="n">
        <v>3</v>
      </c>
      <c r="R137" t="n">
        <v>1</v>
      </c>
      <c r="S137" t="n">
        <v>1</v>
      </c>
      <c r="T137" t="n">
        <v>2</v>
      </c>
      <c r="U137">
        <f>(AVERAGE(B137:D137)-1)/4</f>
        <v/>
      </c>
      <c r="V137">
        <f>(AVERAGE(E137:F137)-1)/4</f>
        <v/>
      </c>
      <c r="W137">
        <f>(AVERAGE(G137:I137)-1)/4</f>
        <v/>
      </c>
      <c r="X137">
        <f>(AVERAGE(J137:L137)-1)/4</f>
        <v/>
      </c>
      <c r="Y137">
        <f>(AVERAGE(M137:O137)-1)/4</f>
        <v/>
      </c>
      <c r="Z137">
        <f>(AVERAGE(P137:R137)-1)/4</f>
        <v/>
      </c>
      <c r="AA137">
        <f>(AVERAGE(S137:T137)-1)/4</f>
        <v/>
      </c>
      <c r="AB137">
        <f>AVERAGE(U137:Y137)</f>
        <v/>
      </c>
      <c r="AC137">
        <f>MIN(U137:Y137)</f>
        <v/>
      </c>
      <c r="AD137">
        <f>1-alpha*MAX(0,delta-AC137)</f>
        <v/>
      </c>
      <c r="AE137">
        <f>AB137*AD137</f>
        <v/>
      </c>
      <c r="AF137">
        <f>1+COUNTIF(bounds,"&lt;"&amp;ROUND(AB137,12))</f>
        <v/>
      </c>
      <c r="AG137">
        <f>1+COUNTIF(bounds,"&lt;"&amp;ROUND(AE137,12))</f>
        <v/>
      </c>
      <c r="AH137">
        <f>IF(AD137&lt;1,1,0)</f>
        <v/>
      </c>
      <c r="AI137">
        <f>IF(AF137&lt;&gt;AG137,1,0)</f>
        <v/>
      </c>
      <c r="AJ137">
        <f>IF(AND(AG137&gt;=3,Z137&lt;=0.2),1,0)</f>
        <v/>
      </c>
      <c r="AK137">
        <f>AVERAGE(U137:Z137)</f>
        <v/>
      </c>
      <c r="AL137">
        <f>1+COUNTIF(bounds,"&lt;"&amp;ROUND(AK137,12))</f>
        <v/>
      </c>
      <c r="AM137">
        <f>IF(AI137=1,AB137,NA())</f>
        <v/>
      </c>
      <c r="AN137">
        <f>IF(AI137=0,AB137,NA())</f>
        <v/>
      </c>
    </row>
    <row r="138">
      <c r="A138" t="n">
        <v>130</v>
      </c>
      <c r="B138" t="n">
        <v>5</v>
      </c>
      <c r="C138" t="n">
        <v>3</v>
      </c>
      <c r="D138" t="n">
        <v>1</v>
      </c>
      <c r="E138" t="n">
        <v>5</v>
      </c>
      <c r="F138" t="n">
        <v>4</v>
      </c>
      <c r="G138" t="n">
        <v>1</v>
      </c>
      <c r="H138" t="n">
        <v>5</v>
      </c>
      <c r="I138" t="n">
        <v>4</v>
      </c>
      <c r="J138" t="n">
        <v>5</v>
      </c>
      <c r="K138" t="n">
        <v>5</v>
      </c>
      <c r="L138" t="n">
        <v>3</v>
      </c>
      <c r="M138" t="n">
        <v>1</v>
      </c>
      <c r="N138" t="n">
        <v>2</v>
      </c>
      <c r="O138" t="n">
        <v>2</v>
      </c>
      <c r="P138" t="n">
        <v>5</v>
      </c>
      <c r="Q138" t="n">
        <v>2</v>
      </c>
      <c r="R138" t="n">
        <v>1</v>
      </c>
      <c r="S138" t="n">
        <v>1</v>
      </c>
      <c r="T138" t="n">
        <v>3</v>
      </c>
      <c r="U138">
        <f>(AVERAGE(B138:D138)-1)/4</f>
        <v/>
      </c>
      <c r="V138">
        <f>(AVERAGE(E138:F138)-1)/4</f>
        <v/>
      </c>
      <c r="W138">
        <f>(AVERAGE(G138:I138)-1)/4</f>
        <v/>
      </c>
      <c r="X138">
        <f>(AVERAGE(J138:L138)-1)/4</f>
        <v/>
      </c>
      <c r="Y138">
        <f>(AVERAGE(M138:O138)-1)/4</f>
        <v/>
      </c>
      <c r="Z138">
        <f>(AVERAGE(P138:R138)-1)/4</f>
        <v/>
      </c>
      <c r="AA138">
        <f>(AVERAGE(S138:T138)-1)/4</f>
        <v/>
      </c>
      <c r="AB138">
        <f>AVERAGE(U138:Y138)</f>
        <v/>
      </c>
      <c r="AC138">
        <f>MIN(U138:Y138)</f>
        <v/>
      </c>
      <c r="AD138">
        <f>1-alpha*MAX(0,delta-AC138)</f>
        <v/>
      </c>
      <c r="AE138">
        <f>AB138*AD138</f>
        <v/>
      </c>
      <c r="AF138">
        <f>1+COUNTIF(bounds,"&lt;"&amp;ROUND(AB138,12))</f>
        <v/>
      </c>
      <c r="AG138">
        <f>1+COUNTIF(bounds,"&lt;"&amp;ROUND(AE138,12))</f>
        <v/>
      </c>
      <c r="AH138">
        <f>IF(AD138&lt;1,1,0)</f>
        <v/>
      </c>
      <c r="AI138">
        <f>IF(AF138&lt;&gt;AG138,1,0)</f>
        <v/>
      </c>
      <c r="AJ138">
        <f>IF(AND(AG138&gt;=3,Z138&lt;=0.2),1,0)</f>
        <v/>
      </c>
      <c r="AK138">
        <f>AVERAGE(U138:Z138)</f>
        <v/>
      </c>
      <c r="AL138">
        <f>1+COUNTIF(bounds,"&lt;"&amp;ROUND(AK138,12))</f>
        <v/>
      </c>
      <c r="AM138">
        <f>IF(AI138=1,AB138,NA())</f>
        <v/>
      </c>
      <c r="AN138">
        <f>IF(AI138=0,AB138,NA())</f>
        <v/>
      </c>
    </row>
    <row r="139">
      <c r="A139" t="n">
        <v>131</v>
      </c>
      <c r="B139" t="n">
        <v>4</v>
      </c>
      <c r="C139" t="n">
        <v>2</v>
      </c>
      <c r="D139" t="n">
        <v>3</v>
      </c>
      <c r="E139" t="n">
        <v>2</v>
      </c>
      <c r="F139" t="n">
        <v>4</v>
      </c>
      <c r="G139" t="n">
        <v>5</v>
      </c>
      <c r="H139" t="n">
        <v>1</v>
      </c>
      <c r="I139" t="n">
        <v>5</v>
      </c>
      <c r="J139" t="n">
        <v>2</v>
      </c>
      <c r="K139" t="n">
        <v>1</v>
      </c>
      <c r="L139" t="n">
        <v>2</v>
      </c>
      <c r="M139" t="n">
        <v>5</v>
      </c>
      <c r="N139" t="n">
        <v>4</v>
      </c>
      <c r="O139" t="n">
        <v>4</v>
      </c>
      <c r="P139" t="n">
        <v>3</v>
      </c>
      <c r="Q139" t="n">
        <v>1</v>
      </c>
      <c r="R139" t="n">
        <v>1</v>
      </c>
      <c r="S139" t="n">
        <v>2</v>
      </c>
      <c r="T139" t="n">
        <v>2</v>
      </c>
      <c r="U139">
        <f>(AVERAGE(B139:D139)-1)/4</f>
        <v/>
      </c>
      <c r="V139">
        <f>(AVERAGE(E139:F139)-1)/4</f>
        <v/>
      </c>
      <c r="W139">
        <f>(AVERAGE(G139:I139)-1)/4</f>
        <v/>
      </c>
      <c r="X139">
        <f>(AVERAGE(J139:L139)-1)/4</f>
        <v/>
      </c>
      <c r="Y139">
        <f>(AVERAGE(M139:O139)-1)/4</f>
        <v/>
      </c>
      <c r="Z139">
        <f>(AVERAGE(P139:R139)-1)/4</f>
        <v/>
      </c>
      <c r="AA139">
        <f>(AVERAGE(S139:T139)-1)/4</f>
        <v/>
      </c>
      <c r="AB139">
        <f>AVERAGE(U139:Y139)</f>
        <v/>
      </c>
      <c r="AC139">
        <f>MIN(U139:Y139)</f>
        <v/>
      </c>
      <c r="AD139">
        <f>1-alpha*MAX(0,delta-AC139)</f>
        <v/>
      </c>
      <c r="AE139">
        <f>AB139*AD139</f>
        <v/>
      </c>
      <c r="AF139">
        <f>1+COUNTIF(bounds,"&lt;"&amp;ROUND(AB139,12))</f>
        <v/>
      </c>
      <c r="AG139">
        <f>1+COUNTIF(bounds,"&lt;"&amp;ROUND(AE139,12))</f>
        <v/>
      </c>
      <c r="AH139">
        <f>IF(AD139&lt;1,1,0)</f>
        <v/>
      </c>
      <c r="AI139">
        <f>IF(AF139&lt;&gt;AG139,1,0)</f>
        <v/>
      </c>
      <c r="AJ139">
        <f>IF(AND(AG139&gt;=3,Z139&lt;=0.2),1,0)</f>
        <v/>
      </c>
      <c r="AK139">
        <f>AVERAGE(U139:Z139)</f>
        <v/>
      </c>
      <c r="AL139">
        <f>1+COUNTIF(bounds,"&lt;"&amp;ROUND(AK139,12))</f>
        <v/>
      </c>
      <c r="AM139">
        <f>IF(AI139=1,AB139,NA())</f>
        <v/>
      </c>
      <c r="AN139">
        <f>IF(AI139=0,AB139,NA())</f>
        <v/>
      </c>
    </row>
    <row r="140">
      <c r="A140" t="n">
        <v>132</v>
      </c>
      <c r="B140" t="n">
        <v>2</v>
      </c>
      <c r="C140" t="n">
        <v>4</v>
      </c>
      <c r="D140" t="n">
        <v>4</v>
      </c>
      <c r="E140" t="n">
        <v>5</v>
      </c>
      <c r="F140" t="n">
        <v>5</v>
      </c>
      <c r="G140" t="n">
        <v>5</v>
      </c>
      <c r="H140" t="n">
        <v>3</v>
      </c>
      <c r="I140" t="n">
        <v>4</v>
      </c>
      <c r="J140" t="n">
        <v>3</v>
      </c>
      <c r="K140" t="n">
        <v>4</v>
      </c>
      <c r="L140" t="n">
        <v>5</v>
      </c>
      <c r="M140" t="n">
        <v>4</v>
      </c>
      <c r="N140" t="n">
        <v>2</v>
      </c>
      <c r="O140" t="n">
        <v>1</v>
      </c>
      <c r="P140" t="n">
        <v>1</v>
      </c>
      <c r="Q140" t="n">
        <v>5</v>
      </c>
      <c r="R140" t="n">
        <v>4</v>
      </c>
      <c r="S140" t="n">
        <v>3</v>
      </c>
      <c r="T140" t="n">
        <v>5</v>
      </c>
      <c r="U140">
        <f>(AVERAGE(B140:D140)-1)/4</f>
        <v/>
      </c>
      <c r="V140">
        <f>(AVERAGE(E140:F140)-1)/4</f>
        <v/>
      </c>
      <c r="W140">
        <f>(AVERAGE(G140:I140)-1)/4</f>
        <v/>
      </c>
      <c r="X140">
        <f>(AVERAGE(J140:L140)-1)/4</f>
        <v/>
      </c>
      <c r="Y140">
        <f>(AVERAGE(M140:O140)-1)/4</f>
        <v/>
      </c>
      <c r="Z140">
        <f>(AVERAGE(P140:R140)-1)/4</f>
        <v/>
      </c>
      <c r="AA140">
        <f>(AVERAGE(S140:T140)-1)/4</f>
        <v/>
      </c>
      <c r="AB140">
        <f>AVERAGE(U140:Y140)</f>
        <v/>
      </c>
      <c r="AC140">
        <f>MIN(U140:Y140)</f>
        <v/>
      </c>
      <c r="AD140">
        <f>1-alpha*MAX(0,delta-AC140)</f>
        <v/>
      </c>
      <c r="AE140">
        <f>AB140*AD140</f>
        <v/>
      </c>
      <c r="AF140">
        <f>1+COUNTIF(bounds,"&lt;"&amp;ROUND(AB140,12))</f>
        <v/>
      </c>
      <c r="AG140">
        <f>1+COUNTIF(bounds,"&lt;"&amp;ROUND(AE140,12))</f>
        <v/>
      </c>
      <c r="AH140">
        <f>IF(AD140&lt;1,1,0)</f>
        <v/>
      </c>
      <c r="AI140">
        <f>IF(AF140&lt;&gt;AG140,1,0)</f>
        <v/>
      </c>
      <c r="AJ140">
        <f>IF(AND(AG140&gt;=3,Z140&lt;=0.2),1,0)</f>
        <v/>
      </c>
      <c r="AK140">
        <f>AVERAGE(U140:Z140)</f>
        <v/>
      </c>
      <c r="AL140">
        <f>1+COUNTIF(bounds,"&lt;"&amp;ROUND(AK140,12))</f>
        <v/>
      </c>
      <c r="AM140">
        <f>IF(AI140=1,AB140,NA())</f>
        <v/>
      </c>
      <c r="AN140">
        <f>IF(AI140=0,AB140,NA())</f>
        <v/>
      </c>
    </row>
    <row r="141">
      <c r="A141" t="n">
        <v>133</v>
      </c>
      <c r="B141" t="n">
        <v>2</v>
      </c>
      <c r="C141" t="n">
        <v>5</v>
      </c>
      <c r="D141" t="n">
        <v>4</v>
      </c>
      <c r="E141" t="n">
        <v>4</v>
      </c>
      <c r="F141" t="n">
        <v>2</v>
      </c>
      <c r="G141" t="n">
        <v>3</v>
      </c>
      <c r="H141" t="n">
        <v>5</v>
      </c>
      <c r="I141" t="n">
        <v>4</v>
      </c>
      <c r="J141" t="n">
        <v>4</v>
      </c>
      <c r="K141" t="n">
        <v>4</v>
      </c>
      <c r="L141" t="n">
        <v>2</v>
      </c>
      <c r="M141" t="n">
        <v>4</v>
      </c>
      <c r="N141" t="n">
        <v>5</v>
      </c>
      <c r="O141" t="n">
        <v>1</v>
      </c>
      <c r="P141" t="n">
        <v>3</v>
      </c>
      <c r="Q141" t="n">
        <v>2</v>
      </c>
      <c r="R141" t="n">
        <v>3</v>
      </c>
      <c r="S141" t="n">
        <v>4</v>
      </c>
      <c r="T141" t="n">
        <v>4</v>
      </c>
      <c r="U141">
        <f>(AVERAGE(B141:D141)-1)/4</f>
        <v/>
      </c>
      <c r="V141">
        <f>(AVERAGE(E141:F141)-1)/4</f>
        <v/>
      </c>
      <c r="W141">
        <f>(AVERAGE(G141:I141)-1)/4</f>
        <v/>
      </c>
      <c r="X141">
        <f>(AVERAGE(J141:L141)-1)/4</f>
        <v/>
      </c>
      <c r="Y141">
        <f>(AVERAGE(M141:O141)-1)/4</f>
        <v/>
      </c>
      <c r="Z141">
        <f>(AVERAGE(P141:R141)-1)/4</f>
        <v/>
      </c>
      <c r="AA141">
        <f>(AVERAGE(S141:T141)-1)/4</f>
        <v/>
      </c>
      <c r="AB141">
        <f>AVERAGE(U141:Y141)</f>
        <v/>
      </c>
      <c r="AC141">
        <f>MIN(U141:Y141)</f>
        <v/>
      </c>
      <c r="AD141">
        <f>1-alpha*MAX(0,delta-AC141)</f>
        <v/>
      </c>
      <c r="AE141">
        <f>AB141*AD141</f>
        <v/>
      </c>
      <c r="AF141">
        <f>1+COUNTIF(bounds,"&lt;"&amp;ROUND(AB141,12))</f>
        <v/>
      </c>
      <c r="AG141">
        <f>1+COUNTIF(bounds,"&lt;"&amp;ROUND(AE141,12))</f>
        <v/>
      </c>
      <c r="AH141">
        <f>IF(AD141&lt;1,1,0)</f>
        <v/>
      </c>
      <c r="AI141">
        <f>IF(AF141&lt;&gt;AG141,1,0)</f>
        <v/>
      </c>
      <c r="AJ141">
        <f>IF(AND(AG141&gt;=3,Z141&lt;=0.2),1,0)</f>
        <v/>
      </c>
      <c r="AK141">
        <f>AVERAGE(U141:Z141)</f>
        <v/>
      </c>
      <c r="AL141">
        <f>1+COUNTIF(bounds,"&lt;"&amp;ROUND(AK141,12))</f>
        <v/>
      </c>
      <c r="AM141">
        <f>IF(AI141=1,AB141,NA())</f>
        <v/>
      </c>
      <c r="AN141">
        <f>IF(AI141=0,AB141,NA())</f>
        <v/>
      </c>
    </row>
    <row r="142">
      <c r="A142" t="n">
        <v>134</v>
      </c>
      <c r="B142" t="n">
        <v>4</v>
      </c>
      <c r="C142" t="n">
        <v>2</v>
      </c>
      <c r="D142" t="n">
        <v>2</v>
      </c>
      <c r="E142" t="n">
        <v>4</v>
      </c>
      <c r="F142" t="n">
        <v>5</v>
      </c>
      <c r="G142" t="n">
        <v>3</v>
      </c>
      <c r="H142" t="n">
        <v>2</v>
      </c>
      <c r="I142" t="n">
        <v>5</v>
      </c>
      <c r="J142" t="n">
        <v>1</v>
      </c>
      <c r="K142" t="n">
        <v>4</v>
      </c>
      <c r="L142" t="n">
        <v>4</v>
      </c>
      <c r="M142" t="n">
        <v>3</v>
      </c>
      <c r="N142" t="n">
        <v>3</v>
      </c>
      <c r="O142" t="n">
        <v>5</v>
      </c>
      <c r="P142" t="n">
        <v>4</v>
      </c>
      <c r="Q142" t="n">
        <v>1</v>
      </c>
      <c r="R142" t="n">
        <v>5</v>
      </c>
      <c r="S142" t="n">
        <v>5</v>
      </c>
      <c r="T142" t="n">
        <v>1</v>
      </c>
      <c r="U142">
        <f>(AVERAGE(B142:D142)-1)/4</f>
        <v/>
      </c>
      <c r="V142">
        <f>(AVERAGE(E142:F142)-1)/4</f>
        <v/>
      </c>
      <c r="W142">
        <f>(AVERAGE(G142:I142)-1)/4</f>
        <v/>
      </c>
      <c r="X142">
        <f>(AVERAGE(J142:L142)-1)/4</f>
        <v/>
      </c>
      <c r="Y142">
        <f>(AVERAGE(M142:O142)-1)/4</f>
        <v/>
      </c>
      <c r="Z142">
        <f>(AVERAGE(P142:R142)-1)/4</f>
        <v/>
      </c>
      <c r="AA142">
        <f>(AVERAGE(S142:T142)-1)/4</f>
        <v/>
      </c>
      <c r="AB142">
        <f>AVERAGE(U142:Y142)</f>
        <v/>
      </c>
      <c r="AC142">
        <f>MIN(U142:Y142)</f>
        <v/>
      </c>
      <c r="AD142">
        <f>1-alpha*MAX(0,delta-AC142)</f>
        <v/>
      </c>
      <c r="AE142">
        <f>AB142*AD142</f>
        <v/>
      </c>
      <c r="AF142">
        <f>1+COUNTIF(bounds,"&lt;"&amp;ROUND(AB142,12))</f>
        <v/>
      </c>
      <c r="AG142">
        <f>1+COUNTIF(bounds,"&lt;"&amp;ROUND(AE142,12))</f>
        <v/>
      </c>
      <c r="AH142">
        <f>IF(AD142&lt;1,1,0)</f>
        <v/>
      </c>
      <c r="AI142">
        <f>IF(AF142&lt;&gt;AG142,1,0)</f>
        <v/>
      </c>
      <c r="AJ142">
        <f>IF(AND(AG142&gt;=3,Z142&lt;=0.2),1,0)</f>
        <v/>
      </c>
      <c r="AK142">
        <f>AVERAGE(U142:Z142)</f>
        <v/>
      </c>
      <c r="AL142">
        <f>1+COUNTIF(bounds,"&lt;"&amp;ROUND(AK142,12))</f>
        <v/>
      </c>
      <c r="AM142">
        <f>IF(AI142=1,AB142,NA())</f>
        <v/>
      </c>
      <c r="AN142">
        <f>IF(AI142=0,AB142,NA())</f>
        <v/>
      </c>
    </row>
    <row r="143">
      <c r="A143" t="n">
        <v>135</v>
      </c>
      <c r="B143" t="n">
        <v>2</v>
      </c>
      <c r="C143" t="n">
        <v>1</v>
      </c>
      <c r="D143" t="n">
        <v>1</v>
      </c>
      <c r="E143" t="n">
        <v>5</v>
      </c>
      <c r="F143" t="n">
        <v>1</v>
      </c>
      <c r="G143" t="n">
        <v>5</v>
      </c>
      <c r="H143" t="n">
        <v>5</v>
      </c>
      <c r="I143" t="n">
        <v>3</v>
      </c>
      <c r="J143" t="n">
        <v>5</v>
      </c>
      <c r="K143" t="n">
        <v>4</v>
      </c>
      <c r="L143" t="n">
        <v>3</v>
      </c>
      <c r="M143" t="n">
        <v>2</v>
      </c>
      <c r="N143" t="n">
        <v>1</v>
      </c>
      <c r="O143" t="n">
        <v>5</v>
      </c>
      <c r="P143" t="n">
        <v>5</v>
      </c>
      <c r="Q143" t="n">
        <v>5</v>
      </c>
      <c r="R143" t="n">
        <v>1</v>
      </c>
      <c r="S143" t="n">
        <v>1</v>
      </c>
      <c r="T143" t="n">
        <v>4</v>
      </c>
      <c r="U143">
        <f>(AVERAGE(B143:D143)-1)/4</f>
        <v/>
      </c>
      <c r="V143">
        <f>(AVERAGE(E143:F143)-1)/4</f>
        <v/>
      </c>
      <c r="W143">
        <f>(AVERAGE(G143:I143)-1)/4</f>
        <v/>
      </c>
      <c r="X143">
        <f>(AVERAGE(J143:L143)-1)/4</f>
        <v/>
      </c>
      <c r="Y143">
        <f>(AVERAGE(M143:O143)-1)/4</f>
        <v/>
      </c>
      <c r="Z143">
        <f>(AVERAGE(P143:R143)-1)/4</f>
        <v/>
      </c>
      <c r="AA143">
        <f>(AVERAGE(S143:T143)-1)/4</f>
        <v/>
      </c>
      <c r="AB143">
        <f>AVERAGE(U143:Y143)</f>
        <v/>
      </c>
      <c r="AC143">
        <f>MIN(U143:Y143)</f>
        <v/>
      </c>
      <c r="AD143">
        <f>1-alpha*MAX(0,delta-AC143)</f>
        <v/>
      </c>
      <c r="AE143">
        <f>AB143*AD143</f>
        <v/>
      </c>
      <c r="AF143">
        <f>1+COUNTIF(bounds,"&lt;"&amp;ROUND(AB143,12))</f>
        <v/>
      </c>
      <c r="AG143">
        <f>1+COUNTIF(bounds,"&lt;"&amp;ROUND(AE143,12))</f>
        <v/>
      </c>
      <c r="AH143">
        <f>IF(AD143&lt;1,1,0)</f>
        <v/>
      </c>
      <c r="AI143">
        <f>IF(AF143&lt;&gt;AG143,1,0)</f>
        <v/>
      </c>
      <c r="AJ143">
        <f>IF(AND(AG143&gt;=3,Z143&lt;=0.2),1,0)</f>
        <v/>
      </c>
      <c r="AK143">
        <f>AVERAGE(U143:Z143)</f>
        <v/>
      </c>
      <c r="AL143">
        <f>1+COUNTIF(bounds,"&lt;"&amp;ROUND(AK143,12))</f>
        <v/>
      </c>
      <c r="AM143">
        <f>IF(AI143=1,AB143,NA())</f>
        <v/>
      </c>
      <c r="AN143">
        <f>IF(AI143=0,AB143,NA())</f>
        <v/>
      </c>
    </row>
    <row r="144">
      <c r="A144" t="n">
        <v>136</v>
      </c>
      <c r="B144" t="n">
        <v>4</v>
      </c>
      <c r="C144" t="n">
        <v>2</v>
      </c>
      <c r="D144" t="n">
        <v>4</v>
      </c>
      <c r="E144" t="n">
        <v>2</v>
      </c>
      <c r="F144" t="n">
        <v>1</v>
      </c>
      <c r="G144" t="n">
        <v>3</v>
      </c>
      <c r="H144" t="n">
        <v>5</v>
      </c>
      <c r="I144" t="n">
        <v>1</v>
      </c>
      <c r="J144" t="n">
        <v>3</v>
      </c>
      <c r="K144" t="n">
        <v>5</v>
      </c>
      <c r="L144" t="n">
        <v>4</v>
      </c>
      <c r="M144" t="n">
        <v>2</v>
      </c>
      <c r="N144" t="n">
        <v>3</v>
      </c>
      <c r="O144" t="n">
        <v>2</v>
      </c>
      <c r="P144" t="n">
        <v>4</v>
      </c>
      <c r="Q144" t="n">
        <v>5</v>
      </c>
      <c r="R144" t="n">
        <v>5</v>
      </c>
      <c r="S144" t="n">
        <v>3</v>
      </c>
      <c r="T144" t="n">
        <v>2</v>
      </c>
      <c r="U144">
        <f>(AVERAGE(B144:D144)-1)/4</f>
        <v/>
      </c>
      <c r="V144">
        <f>(AVERAGE(E144:F144)-1)/4</f>
        <v/>
      </c>
      <c r="W144">
        <f>(AVERAGE(G144:I144)-1)/4</f>
        <v/>
      </c>
      <c r="X144">
        <f>(AVERAGE(J144:L144)-1)/4</f>
        <v/>
      </c>
      <c r="Y144">
        <f>(AVERAGE(M144:O144)-1)/4</f>
        <v/>
      </c>
      <c r="Z144">
        <f>(AVERAGE(P144:R144)-1)/4</f>
        <v/>
      </c>
      <c r="AA144">
        <f>(AVERAGE(S144:T144)-1)/4</f>
        <v/>
      </c>
      <c r="AB144">
        <f>AVERAGE(U144:Y144)</f>
        <v/>
      </c>
      <c r="AC144">
        <f>MIN(U144:Y144)</f>
        <v/>
      </c>
      <c r="AD144">
        <f>1-alpha*MAX(0,delta-AC144)</f>
        <v/>
      </c>
      <c r="AE144">
        <f>AB144*AD144</f>
        <v/>
      </c>
      <c r="AF144">
        <f>1+COUNTIF(bounds,"&lt;"&amp;ROUND(AB144,12))</f>
        <v/>
      </c>
      <c r="AG144">
        <f>1+COUNTIF(bounds,"&lt;"&amp;ROUND(AE144,12))</f>
        <v/>
      </c>
      <c r="AH144">
        <f>IF(AD144&lt;1,1,0)</f>
        <v/>
      </c>
      <c r="AI144">
        <f>IF(AF144&lt;&gt;AG144,1,0)</f>
        <v/>
      </c>
      <c r="AJ144">
        <f>IF(AND(AG144&gt;=3,Z144&lt;=0.2),1,0)</f>
        <v/>
      </c>
      <c r="AK144">
        <f>AVERAGE(U144:Z144)</f>
        <v/>
      </c>
      <c r="AL144">
        <f>1+COUNTIF(bounds,"&lt;"&amp;ROUND(AK144,12))</f>
        <v/>
      </c>
      <c r="AM144">
        <f>IF(AI144=1,AB144,NA())</f>
        <v/>
      </c>
      <c r="AN144">
        <f>IF(AI144=0,AB144,NA())</f>
        <v/>
      </c>
    </row>
    <row r="145">
      <c r="A145" t="n">
        <v>137</v>
      </c>
      <c r="B145" t="n">
        <v>1</v>
      </c>
      <c r="C145" t="n">
        <v>4</v>
      </c>
      <c r="D145" t="n">
        <v>2</v>
      </c>
      <c r="E145" t="n">
        <v>2</v>
      </c>
      <c r="F145" t="n">
        <v>5</v>
      </c>
      <c r="G145" t="n">
        <v>2</v>
      </c>
      <c r="H145" t="n">
        <v>4</v>
      </c>
      <c r="I145" t="n">
        <v>5</v>
      </c>
      <c r="J145" t="n">
        <v>2</v>
      </c>
      <c r="K145" t="n">
        <v>3</v>
      </c>
      <c r="L145" t="n">
        <v>1</v>
      </c>
      <c r="M145" t="n">
        <v>3</v>
      </c>
      <c r="N145" t="n">
        <v>3</v>
      </c>
      <c r="O145" t="n">
        <v>5</v>
      </c>
      <c r="P145" t="n">
        <v>1</v>
      </c>
      <c r="Q145" t="n">
        <v>3</v>
      </c>
      <c r="R145" t="n">
        <v>2</v>
      </c>
      <c r="S145" t="n">
        <v>4</v>
      </c>
      <c r="T145" t="n">
        <v>2</v>
      </c>
      <c r="U145">
        <f>(AVERAGE(B145:D145)-1)/4</f>
        <v/>
      </c>
      <c r="V145">
        <f>(AVERAGE(E145:F145)-1)/4</f>
        <v/>
      </c>
      <c r="W145">
        <f>(AVERAGE(G145:I145)-1)/4</f>
        <v/>
      </c>
      <c r="X145">
        <f>(AVERAGE(J145:L145)-1)/4</f>
        <v/>
      </c>
      <c r="Y145">
        <f>(AVERAGE(M145:O145)-1)/4</f>
        <v/>
      </c>
      <c r="Z145">
        <f>(AVERAGE(P145:R145)-1)/4</f>
        <v/>
      </c>
      <c r="AA145">
        <f>(AVERAGE(S145:T145)-1)/4</f>
        <v/>
      </c>
      <c r="AB145">
        <f>AVERAGE(U145:Y145)</f>
        <v/>
      </c>
      <c r="AC145">
        <f>MIN(U145:Y145)</f>
        <v/>
      </c>
      <c r="AD145">
        <f>1-alpha*MAX(0,delta-AC145)</f>
        <v/>
      </c>
      <c r="AE145">
        <f>AB145*AD145</f>
        <v/>
      </c>
      <c r="AF145">
        <f>1+COUNTIF(bounds,"&lt;"&amp;ROUND(AB145,12))</f>
        <v/>
      </c>
      <c r="AG145">
        <f>1+COUNTIF(bounds,"&lt;"&amp;ROUND(AE145,12))</f>
        <v/>
      </c>
      <c r="AH145">
        <f>IF(AD145&lt;1,1,0)</f>
        <v/>
      </c>
      <c r="AI145">
        <f>IF(AF145&lt;&gt;AG145,1,0)</f>
        <v/>
      </c>
      <c r="AJ145">
        <f>IF(AND(AG145&gt;=3,Z145&lt;=0.2),1,0)</f>
        <v/>
      </c>
      <c r="AK145">
        <f>AVERAGE(U145:Z145)</f>
        <v/>
      </c>
      <c r="AL145">
        <f>1+COUNTIF(bounds,"&lt;"&amp;ROUND(AK145,12))</f>
        <v/>
      </c>
      <c r="AM145">
        <f>IF(AI145=1,AB145,NA())</f>
        <v/>
      </c>
      <c r="AN145">
        <f>IF(AI145=0,AB145,NA())</f>
        <v/>
      </c>
    </row>
    <row r="146">
      <c r="A146" t="n">
        <v>138</v>
      </c>
      <c r="B146" t="n">
        <v>5</v>
      </c>
      <c r="C146" t="n">
        <v>5</v>
      </c>
      <c r="D146" t="n">
        <v>4</v>
      </c>
      <c r="E146" t="n">
        <v>5</v>
      </c>
      <c r="F146" t="n">
        <v>5</v>
      </c>
      <c r="G146" t="n">
        <v>4</v>
      </c>
      <c r="H146" t="n">
        <v>2</v>
      </c>
      <c r="I146" t="n">
        <v>2</v>
      </c>
      <c r="J146" t="n">
        <v>2</v>
      </c>
      <c r="K146" t="n">
        <v>2</v>
      </c>
      <c r="L146" t="n">
        <v>2</v>
      </c>
      <c r="M146" t="n">
        <v>4</v>
      </c>
      <c r="N146" t="n">
        <v>3</v>
      </c>
      <c r="O146" t="n">
        <v>2</v>
      </c>
      <c r="P146" t="n">
        <v>5</v>
      </c>
      <c r="Q146" t="n">
        <v>5</v>
      </c>
      <c r="R146" t="n">
        <v>4</v>
      </c>
      <c r="S146" t="n">
        <v>4</v>
      </c>
      <c r="T146" t="n">
        <v>2</v>
      </c>
      <c r="U146">
        <f>(AVERAGE(B146:D146)-1)/4</f>
        <v/>
      </c>
      <c r="V146">
        <f>(AVERAGE(E146:F146)-1)/4</f>
        <v/>
      </c>
      <c r="W146">
        <f>(AVERAGE(G146:I146)-1)/4</f>
        <v/>
      </c>
      <c r="X146">
        <f>(AVERAGE(J146:L146)-1)/4</f>
        <v/>
      </c>
      <c r="Y146">
        <f>(AVERAGE(M146:O146)-1)/4</f>
        <v/>
      </c>
      <c r="Z146">
        <f>(AVERAGE(P146:R146)-1)/4</f>
        <v/>
      </c>
      <c r="AA146">
        <f>(AVERAGE(S146:T146)-1)/4</f>
        <v/>
      </c>
      <c r="AB146">
        <f>AVERAGE(U146:Y146)</f>
        <v/>
      </c>
      <c r="AC146">
        <f>MIN(U146:Y146)</f>
        <v/>
      </c>
      <c r="AD146">
        <f>1-alpha*MAX(0,delta-AC146)</f>
        <v/>
      </c>
      <c r="AE146">
        <f>AB146*AD146</f>
        <v/>
      </c>
      <c r="AF146">
        <f>1+COUNTIF(bounds,"&lt;"&amp;ROUND(AB146,12))</f>
        <v/>
      </c>
      <c r="AG146">
        <f>1+COUNTIF(bounds,"&lt;"&amp;ROUND(AE146,12))</f>
        <v/>
      </c>
      <c r="AH146">
        <f>IF(AD146&lt;1,1,0)</f>
        <v/>
      </c>
      <c r="AI146">
        <f>IF(AF146&lt;&gt;AG146,1,0)</f>
        <v/>
      </c>
      <c r="AJ146">
        <f>IF(AND(AG146&gt;=3,Z146&lt;=0.2),1,0)</f>
        <v/>
      </c>
      <c r="AK146">
        <f>AVERAGE(U146:Z146)</f>
        <v/>
      </c>
      <c r="AL146">
        <f>1+COUNTIF(bounds,"&lt;"&amp;ROUND(AK146,12))</f>
        <v/>
      </c>
      <c r="AM146">
        <f>IF(AI146=1,AB146,NA())</f>
        <v/>
      </c>
      <c r="AN146">
        <f>IF(AI146=0,AB146,NA())</f>
        <v/>
      </c>
    </row>
    <row r="147">
      <c r="A147" t="n">
        <v>139</v>
      </c>
      <c r="B147" t="n">
        <v>2</v>
      </c>
      <c r="C147" t="n">
        <v>1</v>
      </c>
      <c r="D147" t="n">
        <v>4</v>
      </c>
      <c r="E147" t="n">
        <v>1</v>
      </c>
      <c r="F147" t="n">
        <v>1</v>
      </c>
      <c r="G147" t="n">
        <v>5</v>
      </c>
      <c r="H147" t="n">
        <v>3</v>
      </c>
      <c r="I147" t="n">
        <v>5</v>
      </c>
      <c r="J147" t="n">
        <v>1</v>
      </c>
      <c r="K147" t="n">
        <v>3</v>
      </c>
      <c r="L147" t="n">
        <v>3</v>
      </c>
      <c r="M147" t="n">
        <v>2</v>
      </c>
      <c r="N147" t="n">
        <v>3</v>
      </c>
      <c r="O147" t="n">
        <v>4</v>
      </c>
      <c r="P147" t="n">
        <v>4</v>
      </c>
      <c r="Q147" t="n">
        <v>3</v>
      </c>
      <c r="R147" t="n">
        <v>4</v>
      </c>
      <c r="S147" t="n">
        <v>3</v>
      </c>
      <c r="T147" t="n">
        <v>1</v>
      </c>
      <c r="U147">
        <f>(AVERAGE(B147:D147)-1)/4</f>
        <v/>
      </c>
      <c r="V147">
        <f>(AVERAGE(E147:F147)-1)/4</f>
        <v/>
      </c>
      <c r="W147">
        <f>(AVERAGE(G147:I147)-1)/4</f>
        <v/>
      </c>
      <c r="X147">
        <f>(AVERAGE(J147:L147)-1)/4</f>
        <v/>
      </c>
      <c r="Y147">
        <f>(AVERAGE(M147:O147)-1)/4</f>
        <v/>
      </c>
      <c r="Z147">
        <f>(AVERAGE(P147:R147)-1)/4</f>
        <v/>
      </c>
      <c r="AA147">
        <f>(AVERAGE(S147:T147)-1)/4</f>
        <v/>
      </c>
      <c r="AB147">
        <f>AVERAGE(U147:Y147)</f>
        <v/>
      </c>
      <c r="AC147">
        <f>MIN(U147:Y147)</f>
        <v/>
      </c>
      <c r="AD147">
        <f>1-alpha*MAX(0,delta-AC147)</f>
        <v/>
      </c>
      <c r="AE147">
        <f>AB147*AD147</f>
        <v/>
      </c>
      <c r="AF147">
        <f>1+COUNTIF(bounds,"&lt;"&amp;ROUND(AB147,12))</f>
        <v/>
      </c>
      <c r="AG147">
        <f>1+COUNTIF(bounds,"&lt;"&amp;ROUND(AE147,12))</f>
        <v/>
      </c>
      <c r="AH147">
        <f>IF(AD147&lt;1,1,0)</f>
        <v/>
      </c>
      <c r="AI147">
        <f>IF(AF147&lt;&gt;AG147,1,0)</f>
        <v/>
      </c>
      <c r="AJ147">
        <f>IF(AND(AG147&gt;=3,Z147&lt;=0.2),1,0)</f>
        <v/>
      </c>
      <c r="AK147">
        <f>AVERAGE(U147:Z147)</f>
        <v/>
      </c>
      <c r="AL147">
        <f>1+COUNTIF(bounds,"&lt;"&amp;ROUND(AK147,12))</f>
        <v/>
      </c>
      <c r="AM147">
        <f>IF(AI147=1,AB147,NA())</f>
        <v/>
      </c>
      <c r="AN147">
        <f>IF(AI147=0,AB147,NA())</f>
        <v/>
      </c>
    </row>
    <row r="148">
      <c r="A148" t="n">
        <v>140</v>
      </c>
      <c r="B148" t="n">
        <v>3</v>
      </c>
      <c r="C148" t="n">
        <v>1</v>
      </c>
      <c r="D148" t="n">
        <v>3</v>
      </c>
      <c r="E148" t="n">
        <v>4</v>
      </c>
      <c r="F148" t="n">
        <v>4</v>
      </c>
      <c r="G148" t="n">
        <v>3</v>
      </c>
      <c r="H148" t="n">
        <v>1</v>
      </c>
      <c r="I148" t="n">
        <v>5</v>
      </c>
      <c r="J148" t="n">
        <v>1</v>
      </c>
      <c r="K148" t="n">
        <v>3</v>
      </c>
      <c r="L148" t="n">
        <v>3</v>
      </c>
      <c r="M148" t="n">
        <v>4</v>
      </c>
      <c r="N148" t="n">
        <v>5</v>
      </c>
      <c r="O148" t="n">
        <v>5</v>
      </c>
      <c r="P148" t="n">
        <v>1</v>
      </c>
      <c r="Q148" t="n">
        <v>3</v>
      </c>
      <c r="R148" t="n">
        <v>4</v>
      </c>
      <c r="S148" t="n">
        <v>5</v>
      </c>
      <c r="T148" t="n">
        <v>2</v>
      </c>
      <c r="U148">
        <f>(AVERAGE(B148:D148)-1)/4</f>
        <v/>
      </c>
      <c r="V148">
        <f>(AVERAGE(E148:F148)-1)/4</f>
        <v/>
      </c>
      <c r="W148">
        <f>(AVERAGE(G148:I148)-1)/4</f>
        <v/>
      </c>
      <c r="X148">
        <f>(AVERAGE(J148:L148)-1)/4</f>
        <v/>
      </c>
      <c r="Y148">
        <f>(AVERAGE(M148:O148)-1)/4</f>
        <v/>
      </c>
      <c r="Z148">
        <f>(AVERAGE(P148:R148)-1)/4</f>
        <v/>
      </c>
      <c r="AA148">
        <f>(AVERAGE(S148:T148)-1)/4</f>
        <v/>
      </c>
      <c r="AB148">
        <f>AVERAGE(U148:Y148)</f>
        <v/>
      </c>
      <c r="AC148">
        <f>MIN(U148:Y148)</f>
        <v/>
      </c>
      <c r="AD148">
        <f>1-alpha*MAX(0,delta-AC148)</f>
        <v/>
      </c>
      <c r="AE148">
        <f>AB148*AD148</f>
        <v/>
      </c>
      <c r="AF148">
        <f>1+COUNTIF(bounds,"&lt;"&amp;ROUND(AB148,12))</f>
        <v/>
      </c>
      <c r="AG148">
        <f>1+COUNTIF(bounds,"&lt;"&amp;ROUND(AE148,12))</f>
        <v/>
      </c>
      <c r="AH148">
        <f>IF(AD148&lt;1,1,0)</f>
        <v/>
      </c>
      <c r="AI148">
        <f>IF(AF148&lt;&gt;AG148,1,0)</f>
        <v/>
      </c>
      <c r="AJ148">
        <f>IF(AND(AG148&gt;=3,Z148&lt;=0.2),1,0)</f>
        <v/>
      </c>
      <c r="AK148">
        <f>AVERAGE(U148:Z148)</f>
        <v/>
      </c>
      <c r="AL148">
        <f>1+COUNTIF(bounds,"&lt;"&amp;ROUND(AK148,12))</f>
        <v/>
      </c>
      <c r="AM148">
        <f>IF(AI148=1,AB148,NA())</f>
        <v/>
      </c>
      <c r="AN148">
        <f>IF(AI148=0,AB148,NA())</f>
        <v/>
      </c>
    </row>
    <row r="149">
      <c r="A149" t="n">
        <v>141</v>
      </c>
      <c r="B149" t="n">
        <v>1</v>
      </c>
      <c r="C149" t="n">
        <v>3</v>
      </c>
      <c r="D149" t="n">
        <v>4</v>
      </c>
      <c r="E149" t="n">
        <v>4</v>
      </c>
      <c r="F149" t="n">
        <v>5</v>
      </c>
      <c r="G149" t="n">
        <v>3</v>
      </c>
      <c r="H149" t="n">
        <v>1</v>
      </c>
      <c r="I149" t="n">
        <v>4</v>
      </c>
      <c r="J149" t="n">
        <v>4</v>
      </c>
      <c r="K149" t="n">
        <v>5</v>
      </c>
      <c r="L149" t="n">
        <v>1</v>
      </c>
      <c r="M149" t="n">
        <v>4</v>
      </c>
      <c r="N149" t="n">
        <v>5</v>
      </c>
      <c r="O149" t="n">
        <v>2</v>
      </c>
      <c r="P149" t="n">
        <v>1</v>
      </c>
      <c r="Q149" t="n">
        <v>4</v>
      </c>
      <c r="R149" t="n">
        <v>5</v>
      </c>
      <c r="S149" t="n">
        <v>4</v>
      </c>
      <c r="T149" t="n">
        <v>4</v>
      </c>
      <c r="U149">
        <f>(AVERAGE(B149:D149)-1)/4</f>
        <v/>
      </c>
      <c r="V149">
        <f>(AVERAGE(E149:F149)-1)/4</f>
        <v/>
      </c>
      <c r="W149">
        <f>(AVERAGE(G149:I149)-1)/4</f>
        <v/>
      </c>
      <c r="X149">
        <f>(AVERAGE(J149:L149)-1)/4</f>
        <v/>
      </c>
      <c r="Y149">
        <f>(AVERAGE(M149:O149)-1)/4</f>
        <v/>
      </c>
      <c r="Z149">
        <f>(AVERAGE(P149:R149)-1)/4</f>
        <v/>
      </c>
      <c r="AA149">
        <f>(AVERAGE(S149:T149)-1)/4</f>
        <v/>
      </c>
      <c r="AB149">
        <f>AVERAGE(U149:Y149)</f>
        <v/>
      </c>
      <c r="AC149">
        <f>MIN(U149:Y149)</f>
        <v/>
      </c>
      <c r="AD149">
        <f>1-alpha*MAX(0,delta-AC149)</f>
        <v/>
      </c>
      <c r="AE149">
        <f>AB149*AD149</f>
        <v/>
      </c>
      <c r="AF149">
        <f>1+COUNTIF(bounds,"&lt;"&amp;ROUND(AB149,12))</f>
        <v/>
      </c>
      <c r="AG149">
        <f>1+COUNTIF(bounds,"&lt;"&amp;ROUND(AE149,12))</f>
        <v/>
      </c>
      <c r="AH149">
        <f>IF(AD149&lt;1,1,0)</f>
        <v/>
      </c>
      <c r="AI149">
        <f>IF(AF149&lt;&gt;AG149,1,0)</f>
        <v/>
      </c>
      <c r="AJ149">
        <f>IF(AND(AG149&gt;=3,Z149&lt;=0.2),1,0)</f>
        <v/>
      </c>
      <c r="AK149">
        <f>AVERAGE(U149:Z149)</f>
        <v/>
      </c>
      <c r="AL149">
        <f>1+COUNTIF(bounds,"&lt;"&amp;ROUND(AK149,12))</f>
        <v/>
      </c>
      <c r="AM149">
        <f>IF(AI149=1,AB149,NA())</f>
        <v/>
      </c>
      <c r="AN149">
        <f>IF(AI149=0,AB149,NA())</f>
        <v/>
      </c>
    </row>
    <row r="150">
      <c r="A150" t="n">
        <v>142</v>
      </c>
      <c r="B150" t="n">
        <v>5</v>
      </c>
      <c r="C150" t="n">
        <v>2</v>
      </c>
      <c r="D150" t="n">
        <v>2</v>
      </c>
      <c r="E150" t="n">
        <v>2</v>
      </c>
      <c r="F150" t="n">
        <v>5</v>
      </c>
      <c r="G150" t="n">
        <v>1</v>
      </c>
      <c r="H150" t="n">
        <v>1</v>
      </c>
      <c r="I150" t="n">
        <v>5</v>
      </c>
      <c r="J150" t="n">
        <v>5</v>
      </c>
      <c r="K150" t="n">
        <v>5</v>
      </c>
      <c r="L150" t="n">
        <v>1</v>
      </c>
      <c r="M150" t="n">
        <v>2</v>
      </c>
      <c r="N150" t="n">
        <v>1</v>
      </c>
      <c r="O150" t="n">
        <v>3</v>
      </c>
      <c r="P150" t="n">
        <v>2</v>
      </c>
      <c r="Q150" t="n">
        <v>1</v>
      </c>
      <c r="R150" t="n">
        <v>1</v>
      </c>
      <c r="S150" t="n">
        <v>1</v>
      </c>
      <c r="T150" t="n">
        <v>1</v>
      </c>
      <c r="U150">
        <f>(AVERAGE(B150:D150)-1)/4</f>
        <v/>
      </c>
      <c r="V150">
        <f>(AVERAGE(E150:F150)-1)/4</f>
        <v/>
      </c>
      <c r="W150">
        <f>(AVERAGE(G150:I150)-1)/4</f>
        <v/>
      </c>
      <c r="X150">
        <f>(AVERAGE(J150:L150)-1)/4</f>
        <v/>
      </c>
      <c r="Y150">
        <f>(AVERAGE(M150:O150)-1)/4</f>
        <v/>
      </c>
      <c r="Z150">
        <f>(AVERAGE(P150:R150)-1)/4</f>
        <v/>
      </c>
      <c r="AA150">
        <f>(AVERAGE(S150:T150)-1)/4</f>
        <v/>
      </c>
      <c r="AB150">
        <f>AVERAGE(U150:Y150)</f>
        <v/>
      </c>
      <c r="AC150">
        <f>MIN(U150:Y150)</f>
        <v/>
      </c>
      <c r="AD150">
        <f>1-alpha*MAX(0,delta-AC150)</f>
        <v/>
      </c>
      <c r="AE150">
        <f>AB150*AD150</f>
        <v/>
      </c>
      <c r="AF150">
        <f>1+COUNTIF(bounds,"&lt;"&amp;ROUND(AB150,12))</f>
        <v/>
      </c>
      <c r="AG150">
        <f>1+COUNTIF(bounds,"&lt;"&amp;ROUND(AE150,12))</f>
        <v/>
      </c>
      <c r="AH150">
        <f>IF(AD150&lt;1,1,0)</f>
        <v/>
      </c>
      <c r="AI150">
        <f>IF(AF150&lt;&gt;AG150,1,0)</f>
        <v/>
      </c>
      <c r="AJ150">
        <f>IF(AND(AG150&gt;=3,Z150&lt;=0.2),1,0)</f>
        <v/>
      </c>
      <c r="AK150">
        <f>AVERAGE(U150:Z150)</f>
        <v/>
      </c>
      <c r="AL150">
        <f>1+COUNTIF(bounds,"&lt;"&amp;ROUND(AK150,12))</f>
        <v/>
      </c>
      <c r="AM150">
        <f>IF(AI150=1,AB150,NA())</f>
        <v/>
      </c>
      <c r="AN150">
        <f>IF(AI150=0,AB150,NA())</f>
        <v/>
      </c>
    </row>
    <row r="151">
      <c r="A151" t="n">
        <v>143</v>
      </c>
      <c r="B151" t="n">
        <v>2</v>
      </c>
      <c r="C151" t="n">
        <v>1</v>
      </c>
      <c r="D151" t="n">
        <v>5</v>
      </c>
      <c r="E151" t="n">
        <v>4</v>
      </c>
      <c r="F151" t="n">
        <v>1</v>
      </c>
      <c r="G151" t="n">
        <v>1</v>
      </c>
      <c r="H151" t="n">
        <v>5</v>
      </c>
      <c r="I151" t="n">
        <v>4</v>
      </c>
      <c r="J151" t="n">
        <v>3</v>
      </c>
      <c r="K151" t="n">
        <v>3</v>
      </c>
      <c r="L151" t="n">
        <v>1</v>
      </c>
      <c r="M151" t="n">
        <v>3</v>
      </c>
      <c r="N151" t="n">
        <v>5</v>
      </c>
      <c r="O151" t="n">
        <v>3</v>
      </c>
      <c r="P151" t="n">
        <v>5</v>
      </c>
      <c r="Q151" t="n">
        <v>5</v>
      </c>
      <c r="R151" t="n">
        <v>1</v>
      </c>
      <c r="S151" t="n">
        <v>3</v>
      </c>
      <c r="T151" t="n">
        <v>1</v>
      </c>
      <c r="U151">
        <f>(AVERAGE(B151:D151)-1)/4</f>
        <v/>
      </c>
      <c r="V151">
        <f>(AVERAGE(E151:F151)-1)/4</f>
        <v/>
      </c>
      <c r="W151">
        <f>(AVERAGE(G151:I151)-1)/4</f>
        <v/>
      </c>
      <c r="X151">
        <f>(AVERAGE(J151:L151)-1)/4</f>
        <v/>
      </c>
      <c r="Y151">
        <f>(AVERAGE(M151:O151)-1)/4</f>
        <v/>
      </c>
      <c r="Z151">
        <f>(AVERAGE(P151:R151)-1)/4</f>
        <v/>
      </c>
      <c r="AA151">
        <f>(AVERAGE(S151:T151)-1)/4</f>
        <v/>
      </c>
      <c r="AB151">
        <f>AVERAGE(U151:Y151)</f>
        <v/>
      </c>
      <c r="AC151">
        <f>MIN(U151:Y151)</f>
        <v/>
      </c>
      <c r="AD151">
        <f>1-alpha*MAX(0,delta-AC151)</f>
        <v/>
      </c>
      <c r="AE151">
        <f>AB151*AD151</f>
        <v/>
      </c>
      <c r="AF151">
        <f>1+COUNTIF(bounds,"&lt;"&amp;ROUND(AB151,12))</f>
        <v/>
      </c>
      <c r="AG151">
        <f>1+COUNTIF(bounds,"&lt;"&amp;ROUND(AE151,12))</f>
        <v/>
      </c>
      <c r="AH151">
        <f>IF(AD151&lt;1,1,0)</f>
        <v/>
      </c>
      <c r="AI151">
        <f>IF(AF151&lt;&gt;AG151,1,0)</f>
        <v/>
      </c>
      <c r="AJ151">
        <f>IF(AND(AG151&gt;=3,Z151&lt;=0.2),1,0)</f>
        <v/>
      </c>
      <c r="AK151">
        <f>AVERAGE(U151:Z151)</f>
        <v/>
      </c>
      <c r="AL151">
        <f>1+COUNTIF(bounds,"&lt;"&amp;ROUND(AK151,12))</f>
        <v/>
      </c>
      <c r="AM151">
        <f>IF(AI151=1,AB151,NA())</f>
        <v/>
      </c>
      <c r="AN151">
        <f>IF(AI151=0,AB151,NA())</f>
        <v/>
      </c>
    </row>
    <row r="152">
      <c r="A152" t="n">
        <v>144</v>
      </c>
      <c r="B152" t="n">
        <v>5</v>
      </c>
      <c r="C152" t="n">
        <v>4</v>
      </c>
      <c r="D152" t="n">
        <v>1</v>
      </c>
      <c r="E152" t="n">
        <v>3</v>
      </c>
      <c r="F152" t="n">
        <v>5</v>
      </c>
      <c r="G152" t="n">
        <v>2</v>
      </c>
      <c r="H152" t="n">
        <v>2</v>
      </c>
      <c r="I152" t="n">
        <v>5</v>
      </c>
      <c r="J152" t="n">
        <v>3</v>
      </c>
      <c r="K152" t="n">
        <v>3</v>
      </c>
      <c r="L152" t="n">
        <v>5</v>
      </c>
      <c r="M152" t="n">
        <v>1</v>
      </c>
      <c r="N152" t="n">
        <v>3</v>
      </c>
      <c r="O152" t="n">
        <v>5</v>
      </c>
      <c r="P152" t="n">
        <v>4</v>
      </c>
      <c r="Q152" t="n">
        <v>2</v>
      </c>
      <c r="R152" t="n">
        <v>2</v>
      </c>
      <c r="S152" t="n">
        <v>4</v>
      </c>
      <c r="T152" t="n">
        <v>1</v>
      </c>
      <c r="U152">
        <f>(AVERAGE(B152:D152)-1)/4</f>
        <v/>
      </c>
      <c r="V152">
        <f>(AVERAGE(E152:F152)-1)/4</f>
        <v/>
      </c>
      <c r="W152">
        <f>(AVERAGE(G152:I152)-1)/4</f>
        <v/>
      </c>
      <c r="X152">
        <f>(AVERAGE(J152:L152)-1)/4</f>
        <v/>
      </c>
      <c r="Y152">
        <f>(AVERAGE(M152:O152)-1)/4</f>
        <v/>
      </c>
      <c r="Z152">
        <f>(AVERAGE(P152:R152)-1)/4</f>
        <v/>
      </c>
      <c r="AA152">
        <f>(AVERAGE(S152:T152)-1)/4</f>
        <v/>
      </c>
      <c r="AB152">
        <f>AVERAGE(U152:Y152)</f>
        <v/>
      </c>
      <c r="AC152">
        <f>MIN(U152:Y152)</f>
        <v/>
      </c>
      <c r="AD152">
        <f>1-alpha*MAX(0,delta-AC152)</f>
        <v/>
      </c>
      <c r="AE152">
        <f>AB152*AD152</f>
        <v/>
      </c>
      <c r="AF152">
        <f>1+COUNTIF(bounds,"&lt;"&amp;ROUND(AB152,12))</f>
        <v/>
      </c>
      <c r="AG152">
        <f>1+COUNTIF(bounds,"&lt;"&amp;ROUND(AE152,12))</f>
        <v/>
      </c>
      <c r="AH152">
        <f>IF(AD152&lt;1,1,0)</f>
        <v/>
      </c>
      <c r="AI152">
        <f>IF(AF152&lt;&gt;AG152,1,0)</f>
        <v/>
      </c>
      <c r="AJ152">
        <f>IF(AND(AG152&gt;=3,Z152&lt;=0.2),1,0)</f>
        <v/>
      </c>
      <c r="AK152">
        <f>AVERAGE(U152:Z152)</f>
        <v/>
      </c>
      <c r="AL152">
        <f>1+COUNTIF(bounds,"&lt;"&amp;ROUND(AK152,12))</f>
        <v/>
      </c>
      <c r="AM152">
        <f>IF(AI152=1,AB152,NA())</f>
        <v/>
      </c>
      <c r="AN152">
        <f>IF(AI152=0,AB152,NA())</f>
        <v/>
      </c>
    </row>
    <row r="153">
      <c r="A153" t="n">
        <v>145</v>
      </c>
      <c r="B153" t="n">
        <v>1</v>
      </c>
      <c r="C153" t="n">
        <v>5</v>
      </c>
      <c r="D153" t="n">
        <v>1</v>
      </c>
      <c r="E153" t="n">
        <v>3</v>
      </c>
      <c r="F153" t="n">
        <v>2</v>
      </c>
      <c r="G153" t="n">
        <v>5</v>
      </c>
      <c r="H153" t="n">
        <v>5</v>
      </c>
      <c r="I153" t="n">
        <v>3</v>
      </c>
      <c r="J153" t="n">
        <v>3</v>
      </c>
      <c r="K153" t="n">
        <v>4</v>
      </c>
      <c r="L153" t="n">
        <v>1</v>
      </c>
      <c r="M153" t="n">
        <v>4</v>
      </c>
      <c r="N153" t="n">
        <v>4</v>
      </c>
      <c r="O153" t="n">
        <v>4</v>
      </c>
      <c r="P153" t="n">
        <v>1</v>
      </c>
      <c r="Q153" t="n">
        <v>4</v>
      </c>
      <c r="R153" t="n">
        <v>3</v>
      </c>
      <c r="S153" t="n">
        <v>3</v>
      </c>
      <c r="T153" t="n">
        <v>2</v>
      </c>
      <c r="U153">
        <f>(AVERAGE(B153:D153)-1)/4</f>
        <v/>
      </c>
      <c r="V153">
        <f>(AVERAGE(E153:F153)-1)/4</f>
        <v/>
      </c>
      <c r="W153">
        <f>(AVERAGE(G153:I153)-1)/4</f>
        <v/>
      </c>
      <c r="X153">
        <f>(AVERAGE(J153:L153)-1)/4</f>
        <v/>
      </c>
      <c r="Y153">
        <f>(AVERAGE(M153:O153)-1)/4</f>
        <v/>
      </c>
      <c r="Z153">
        <f>(AVERAGE(P153:R153)-1)/4</f>
        <v/>
      </c>
      <c r="AA153">
        <f>(AVERAGE(S153:T153)-1)/4</f>
        <v/>
      </c>
      <c r="AB153">
        <f>AVERAGE(U153:Y153)</f>
        <v/>
      </c>
      <c r="AC153">
        <f>MIN(U153:Y153)</f>
        <v/>
      </c>
      <c r="AD153">
        <f>1-alpha*MAX(0,delta-AC153)</f>
        <v/>
      </c>
      <c r="AE153">
        <f>AB153*AD153</f>
        <v/>
      </c>
      <c r="AF153">
        <f>1+COUNTIF(bounds,"&lt;"&amp;ROUND(AB153,12))</f>
        <v/>
      </c>
      <c r="AG153">
        <f>1+COUNTIF(bounds,"&lt;"&amp;ROUND(AE153,12))</f>
        <v/>
      </c>
      <c r="AH153">
        <f>IF(AD153&lt;1,1,0)</f>
        <v/>
      </c>
      <c r="AI153">
        <f>IF(AF153&lt;&gt;AG153,1,0)</f>
        <v/>
      </c>
      <c r="AJ153">
        <f>IF(AND(AG153&gt;=3,Z153&lt;=0.2),1,0)</f>
        <v/>
      </c>
      <c r="AK153">
        <f>AVERAGE(U153:Z153)</f>
        <v/>
      </c>
      <c r="AL153">
        <f>1+COUNTIF(bounds,"&lt;"&amp;ROUND(AK153,12))</f>
        <v/>
      </c>
      <c r="AM153">
        <f>IF(AI153=1,AB153,NA())</f>
        <v/>
      </c>
      <c r="AN153">
        <f>IF(AI153=0,AB153,NA())</f>
        <v/>
      </c>
    </row>
    <row r="154">
      <c r="A154" t="n">
        <v>146</v>
      </c>
      <c r="B154" t="n">
        <v>1</v>
      </c>
      <c r="C154" t="n">
        <v>4</v>
      </c>
      <c r="D154" t="n">
        <v>2</v>
      </c>
      <c r="E154" t="n">
        <v>4</v>
      </c>
      <c r="F154" t="n">
        <v>4</v>
      </c>
      <c r="G154" t="n">
        <v>5</v>
      </c>
      <c r="H154" t="n">
        <v>5</v>
      </c>
      <c r="I154" t="n">
        <v>3</v>
      </c>
      <c r="J154" t="n">
        <v>5</v>
      </c>
      <c r="K154" t="n">
        <v>3</v>
      </c>
      <c r="L154" t="n">
        <v>3</v>
      </c>
      <c r="M154" t="n">
        <v>4</v>
      </c>
      <c r="N154" t="n">
        <v>1</v>
      </c>
      <c r="O154" t="n">
        <v>4</v>
      </c>
      <c r="P154" t="n">
        <v>1</v>
      </c>
      <c r="Q154" t="n">
        <v>5</v>
      </c>
      <c r="R154" t="n">
        <v>3</v>
      </c>
      <c r="S154" t="n">
        <v>4</v>
      </c>
      <c r="T154" t="n">
        <v>4</v>
      </c>
      <c r="U154">
        <f>(AVERAGE(B154:D154)-1)/4</f>
        <v/>
      </c>
      <c r="V154">
        <f>(AVERAGE(E154:F154)-1)/4</f>
        <v/>
      </c>
      <c r="W154">
        <f>(AVERAGE(G154:I154)-1)/4</f>
        <v/>
      </c>
      <c r="X154">
        <f>(AVERAGE(J154:L154)-1)/4</f>
        <v/>
      </c>
      <c r="Y154">
        <f>(AVERAGE(M154:O154)-1)/4</f>
        <v/>
      </c>
      <c r="Z154">
        <f>(AVERAGE(P154:R154)-1)/4</f>
        <v/>
      </c>
      <c r="AA154">
        <f>(AVERAGE(S154:T154)-1)/4</f>
        <v/>
      </c>
      <c r="AB154">
        <f>AVERAGE(U154:Y154)</f>
        <v/>
      </c>
      <c r="AC154">
        <f>MIN(U154:Y154)</f>
        <v/>
      </c>
      <c r="AD154">
        <f>1-alpha*MAX(0,delta-AC154)</f>
        <v/>
      </c>
      <c r="AE154">
        <f>AB154*AD154</f>
        <v/>
      </c>
      <c r="AF154">
        <f>1+COUNTIF(bounds,"&lt;"&amp;ROUND(AB154,12))</f>
        <v/>
      </c>
      <c r="AG154">
        <f>1+COUNTIF(bounds,"&lt;"&amp;ROUND(AE154,12))</f>
        <v/>
      </c>
      <c r="AH154">
        <f>IF(AD154&lt;1,1,0)</f>
        <v/>
      </c>
      <c r="AI154">
        <f>IF(AF154&lt;&gt;AG154,1,0)</f>
        <v/>
      </c>
      <c r="AJ154">
        <f>IF(AND(AG154&gt;=3,Z154&lt;=0.2),1,0)</f>
        <v/>
      </c>
      <c r="AK154">
        <f>AVERAGE(U154:Z154)</f>
        <v/>
      </c>
      <c r="AL154">
        <f>1+COUNTIF(bounds,"&lt;"&amp;ROUND(AK154,12))</f>
        <v/>
      </c>
      <c r="AM154">
        <f>IF(AI154=1,AB154,NA())</f>
        <v/>
      </c>
      <c r="AN154">
        <f>IF(AI154=0,AB154,NA())</f>
        <v/>
      </c>
    </row>
    <row r="155">
      <c r="A155" t="n">
        <v>147</v>
      </c>
      <c r="B155" t="n">
        <v>3</v>
      </c>
      <c r="C155" t="n">
        <v>3</v>
      </c>
      <c r="D155" t="n">
        <v>4</v>
      </c>
      <c r="E155" t="n">
        <v>4</v>
      </c>
      <c r="F155" t="n">
        <v>2</v>
      </c>
      <c r="G155" t="n">
        <v>4</v>
      </c>
      <c r="H155" t="n">
        <v>5</v>
      </c>
      <c r="I155" t="n">
        <v>2</v>
      </c>
      <c r="J155" t="n">
        <v>2</v>
      </c>
      <c r="K155" t="n">
        <v>2</v>
      </c>
      <c r="L155" t="n">
        <v>3</v>
      </c>
      <c r="M155" t="n">
        <v>5</v>
      </c>
      <c r="N155" t="n">
        <v>5</v>
      </c>
      <c r="O155" t="n">
        <v>1</v>
      </c>
      <c r="P155" t="n">
        <v>1</v>
      </c>
      <c r="Q155" t="n">
        <v>1</v>
      </c>
      <c r="R155" t="n">
        <v>5</v>
      </c>
      <c r="S155" t="n">
        <v>2</v>
      </c>
      <c r="T155" t="n">
        <v>5</v>
      </c>
      <c r="U155">
        <f>(AVERAGE(B155:D155)-1)/4</f>
        <v/>
      </c>
      <c r="V155">
        <f>(AVERAGE(E155:F155)-1)/4</f>
        <v/>
      </c>
      <c r="W155">
        <f>(AVERAGE(G155:I155)-1)/4</f>
        <v/>
      </c>
      <c r="X155">
        <f>(AVERAGE(J155:L155)-1)/4</f>
        <v/>
      </c>
      <c r="Y155">
        <f>(AVERAGE(M155:O155)-1)/4</f>
        <v/>
      </c>
      <c r="Z155">
        <f>(AVERAGE(P155:R155)-1)/4</f>
        <v/>
      </c>
      <c r="AA155">
        <f>(AVERAGE(S155:T155)-1)/4</f>
        <v/>
      </c>
      <c r="AB155">
        <f>AVERAGE(U155:Y155)</f>
        <v/>
      </c>
      <c r="AC155">
        <f>MIN(U155:Y155)</f>
        <v/>
      </c>
      <c r="AD155">
        <f>1-alpha*MAX(0,delta-AC155)</f>
        <v/>
      </c>
      <c r="AE155">
        <f>AB155*AD155</f>
        <v/>
      </c>
      <c r="AF155">
        <f>1+COUNTIF(bounds,"&lt;"&amp;ROUND(AB155,12))</f>
        <v/>
      </c>
      <c r="AG155">
        <f>1+COUNTIF(bounds,"&lt;"&amp;ROUND(AE155,12))</f>
        <v/>
      </c>
      <c r="AH155">
        <f>IF(AD155&lt;1,1,0)</f>
        <v/>
      </c>
      <c r="AI155">
        <f>IF(AF155&lt;&gt;AG155,1,0)</f>
        <v/>
      </c>
      <c r="AJ155">
        <f>IF(AND(AG155&gt;=3,Z155&lt;=0.2),1,0)</f>
        <v/>
      </c>
      <c r="AK155">
        <f>AVERAGE(U155:Z155)</f>
        <v/>
      </c>
      <c r="AL155">
        <f>1+COUNTIF(bounds,"&lt;"&amp;ROUND(AK155,12))</f>
        <v/>
      </c>
      <c r="AM155">
        <f>IF(AI155=1,AB155,NA())</f>
        <v/>
      </c>
      <c r="AN155">
        <f>IF(AI155=0,AB155,NA())</f>
        <v/>
      </c>
    </row>
    <row r="156">
      <c r="A156" t="n">
        <v>148</v>
      </c>
      <c r="B156" t="n">
        <v>3</v>
      </c>
      <c r="C156" t="n">
        <v>5</v>
      </c>
      <c r="D156" t="n">
        <v>3</v>
      </c>
      <c r="E156" t="n">
        <v>2</v>
      </c>
      <c r="F156" t="n">
        <v>3</v>
      </c>
      <c r="G156" t="n">
        <v>4</v>
      </c>
      <c r="H156" t="n">
        <v>1</v>
      </c>
      <c r="I156" t="n">
        <v>3</v>
      </c>
      <c r="J156" t="n">
        <v>3</v>
      </c>
      <c r="K156" t="n">
        <v>3</v>
      </c>
      <c r="L156" t="n">
        <v>2</v>
      </c>
      <c r="M156" t="n">
        <v>3</v>
      </c>
      <c r="N156" t="n">
        <v>1</v>
      </c>
      <c r="O156" t="n">
        <v>3</v>
      </c>
      <c r="P156" t="n">
        <v>5</v>
      </c>
      <c r="Q156" t="n">
        <v>1</v>
      </c>
      <c r="R156" t="n">
        <v>4</v>
      </c>
      <c r="S156" t="n">
        <v>5</v>
      </c>
      <c r="T156" t="n">
        <v>4</v>
      </c>
      <c r="U156">
        <f>(AVERAGE(B156:D156)-1)/4</f>
        <v/>
      </c>
      <c r="V156">
        <f>(AVERAGE(E156:F156)-1)/4</f>
        <v/>
      </c>
      <c r="W156">
        <f>(AVERAGE(G156:I156)-1)/4</f>
        <v/>
      </c>
      <c r="X156">
        <f>(AVERAGE(J156:L156)-1)/4</f>
        <v/>
      </c>
      <c r="Y156">
        <f>(AVERAGE(M156:O156)-1)/4</f>
        <v/>
      </c>
      <c r="Z156">
        <f>(AVERAGE(P156:R156)-1)/4</f>
        <v/>
      </c>
      <c r="AA156">
        <f>(AVERAGE(S156:T156)-1)/4</f>
        <v/>
      </c>
      <c r="AB156">
        <f>AVERAGE(U156:Y156)</f>
        <v/>
      </c>
      <c r="AC156">
        <f>MIN(U156:Y156)</f>
        <v/>
      </c>
      <c r="AD156">
        <f>1-alpha*MAX(0,delta-AC156)</f>
        <v/>
      </c>
      <c r="AE156">
        <f>AB156*AD156</f>
        <v/>
      </c>
      <c r="AF156">
        <f>1+COUNTIF(bounds,"&lt;"&amp;ROUND(AB156,12))</f>
        <v/>
      </c>
      <c r="AG156">
        <f>1+COUNTIF(bounds,"&lt;"&amp;ROUND(AE156,12))</f>
        <v/>
      </c>
      <c r="AH156">
        <f>IF(AD156&lt;1,1,0)</f>
        <v/>
      </c>
      <c r="AI156">
        <f>IF(AF156&lt;&gt;AG156,1,0)</f>
        <v/>
      </c>
      <c r="AJ156">
        <f>IF(AND(AG156&gt;=3,Z156&lt;=0.2),1,0)</f>
        <v/>
      </c>
      <c r="AK156">
        <f>AVERAGE(U156:Z156)</f>
        <v/>
      </c>
      <c r="AL156">
        <f>1+COUNTIF(bounds,"&lt;"&amp;ROUND(AK156,12))</f>
        <v/>
      </c>
      <c r="AM156">
        <f>IF(AI156=1,AB156,NA())</f>
        <v/>
      </c>
      <c r="AN156">
        <f>IF(AI156=0,AB156,NA())</f>
        <v/>
      </c>
    </row>
    <row r="157">
      <c r="A157" t="n">
        <v>149</v>
      </c>
      <c r="B157" t="n">
        <v>2</v>
      </c>
      <c r="C157" t="n">
        <v>1</v>
      </c>
      <c r="D157" t="n">
        <v>4</v>
      </c>
      <c r="E157" t="n">
        <v>5</v>
      </c>
      <c r="F157" t="n">
        <v>4</v>
      </c>
      <c r="G157" t="n">
        <v>2</v>
      </c>
      <c r="H157" t="n">
        <v>5</v>
      </c>
      <c r="I157" t="n">
        <v>5</v>
      </c>
      <c r="J157" t="n">
        <v>1</v>
      </c>
      <c r="K157" t="n">
        <v>4</v>
      </c>
      <c r="L157" t="n">
        <v>4</v>
      </c>
      <c r="M157" t="n">
        <v>1</v>
      </c>
      <c r="N157" t="n">
        <v>1</v>
      </c>
      <c r="O157" t="n">
        <v>2</v>
      </c>
      <c r="P157" t="n">
        <v>2</v>
      </c>
      <c r="Q157" t="n">
        <v>5</v>
      </c>
      <c r="R157" t="n">
        <v>3</v>
      </c>
      <c r="S157" t="n">
        <v>5</v>
      </c>
      <c r="T157" t="n">
        <v>4</v>
      </c>
      <c r="U157">
        <f>(AVERAGE(B157:D157)-1)/4</f>
        <v/>
      </c>
      <c r="V157">
        <f>(AVERAGE(E157:F157)-1)/4</f>
        <v/>
      </c>
      <c r="W157">
        <f>(AVERAGE(G157:I157)-1)/4</f>
        <v/>
      </c>
      <c r="X157">
        <f>(AVERAGE(J157:L157)-1)/4</f>
        <v/>
      </c>
      <c r="Y157">
        <f>(AVERAGE(M157:O157)-1)/4</f>
        <v/>
      </c>
      <c r="Z157">
        <f>(AVERAGE(P157:R157)-1)/4</f>
        <v/>
      </c>
      <c r="AA157">
        <f>(AVERAGE(S157:T157)-1)/4</f>
        <v/>
      </c>
      <c r="AB157">
        <f>AVERAGE(U157:Y157)</f>
        <v/>
      </c>
      <c r="AC157">
        <f>MIN(U157:Y157)</f>
        <v/>
      </c>
      <c r="AD157">
        <f>1-alpha*MAX(0,delta-AC157)</f>
        <v/>
      </c>
      <c r="AE157">
        <f>AB157*AD157</f>
        <v/>
      </c>
      <c r="AF157">
        <f>1+COUNTIF(bounds,"&lt;"&amp;ROUND(AB157,12))</f>
        <v/>
      </c>
      <c r="AG157">
        <f>1+COUNTIF(bounds,"&lt;"&amp;ROUND(AE157,12))</f>
        <v/>
      </c>
      <c r="AH157">
        <f>IF(AD157&lt;1,1,0)</f>
        <v/>
      </c>
      <c r="AI157">
        <f>IF(AF157&lt;&gt;AG157,1,0)</f>
        <v/>
      </c>
      <c r="AJ157">
        <f>IF(AND(AG157&gt;=3,Z157&lt;=0.2),1,0)</f>
        <v/>
      </c>
      <c r="AK157">
        <f>AVERAGE(U157:Z157)</f>
        <v/>
      </c>
      <c r="AL157">
        <f>1+COUNTIF(bounds,"&lt;"&amp;ROUND(AK157,12))</f>
        <v/>
      </c>
      <c r="AM157">
        <f>IF(AI157=1,AB157,NA())</f>
        <v/>
      </c>
      <c r="AN157">
        <f>IF(AI157=0,AB157,NA())</f>
        <v/>
      </c>
    </row>
    <row r="158">
      <c r="A158" t="n">
        <v>150</v>
      </c>
      <c r="B158" t="n">
        <v>2</v>
      </c>
      <c r="C158" t="n">
        <v>4</v>
      </c>
      <c r="D158" t="n">
        <v>4</v>
      </c>
      <c r="E158" t="n">
        <v>4</v>
      </c>
      <c r="F158" t="n">
        <v>2</v>
      </c>
      <c r="G158" t="n">
        <v>5</v>
      </c>
      <c r="H158" t="n">
        <v>3</v>
      </c>
      <c r="I158" t="n">
        <v>2</v>
      </c>
      <c r="J158" t="n">
        <v>1</v>
      </c>
      <c r="K158" t="n">
        <v>1</v>
      </c>
      <c r="L158" t="n">
        <v>4</v>
      </c>
      <c r="M158" t="n">
        <v>2</v>
      </c>
      <c r="N158" t="n">
        <v>5</v>
      </c>
      <c r="O158" t="n">
        <v>2</v>
      </c>
      <c r="P158" t="n">
        <v>3</v>
      </c>
      <c r="Q158" t="n">
        <v>2</v>
      </c>
      <c r="R158" t="n">
        <v>2</v>
      </c>
      <c r="S158" t="n">
        <v>5</v>
      </c>
      <c r="T158" t="n">
        <v>4</v>
      </c>
      <c r="U158">
        <f>(AVERAGE(B158:D158)-1)/4</f>
        <v/>
      </c>
      <c r="V158">
        <f>(AVERAGE(E158:F158)-1)/4</f>
        <v/>
      </c>
      <c r="W158">
        <f>(AVERAGE(G158:I158)-1)/4</f>
        <v/>
      </c>
      <c r="X158">
        <f>(AVERAGE(J158:L158)-1)/4</f>
        <v/>
      </c>
      <c r="Y158">
        <f>(AVERAGE(M158:O158)-1)/4</f>
        <v/>
      </c>
      <c r="Z158">
        <f>(AVERAGE(P158:R158)-1)/4</f>
        <v/>
      </c>
      <c r="AA158">
        <f>(AVERAGE(S158:T158)-1)/4</f>
        <v/>
      </c>
      <c r="AB158">
        <f>AVERAGE(U158:Y158)</f>
        <v/>
      </c>
      <c r="AC158">
        <f>MIN(U158:Y158)</f>
        <v/>
      </c>
      <c r="AD158">
        <f>1-alpha*MAX(0,delta-AC158)</f>
        <v/>
      </c>
      <c r="AE158">
        <f>AB158*AD158</f>
        <v/>
      </c>
      <c r="AF158">
        <f>1+COUNTIF(bounds,"&lt;"&amp;ROUND(AB158,12))</f>
        <v/>
      </c>
      <c r="AG158">
        <f>1+COUNTIF(bounds,"&lt;"&amp;ROUND(AE158,12))</f>
        <v/>
      </c>
      <c r="AH158">
        <f>IF(AD158&lt;1,1,0)</f>
        <v/>
      </c>
      <c r="AI158">
        <f>IF(AF158&lt;&gt;AG158,1,0)</f>
        <v/>
      </c>
      <c r="AJ158">
        <f>IF(AND(AG158&gt;=3,Z158&lt;=0.2),1,0)</f>
        <v/>
      </c>
      <c r="AK158">
        <f>AVERAGE(U158:Z158)</f>
        <v/>
      </c>
      <c r="AL158">
        <f>1+COUNTIF(bounds,"&lt;"&amp;ROUND(AK158,12))</f>
        <v/>
      </c>
      <c r="AM158">
        <f>IF(AI158=1,AB158,NA())</f>
        <v/>
      </c>
      <c r="AN158">
        <f>IF(AI158=0,AB158,NA())</f>
        <v/>
      </c>
    </row>
    <row r="159">
      <c r="A159" t="n">
        <v>151</v>
      </c>
      <c r="B159" t="n">
        <v>5</v>
      </c>
      <c r="C159" t="n">
        <v>1</v>
      </c>
      <c r="D159" t="n">
        <v>2</v>
      </c>
      <c r="E159" t="n">
        <v>4</v>
      </c>
      <c r="F159" t="n">
        <v>3</v>
      </c>
      <c r="G159" t="n">
        <v>2</v>
      </c>
      <c r="H159" t="n">
        <v>1</v>
      </c>
      <c r="I159" t="n">
        <v>5</v>
      </c>
      <c r="J159" t="n">
        <v>1</v>
      </c>
      <c r="K159" t="n">
        <v>2</v>
      </c>
      <c r="L159" t="n">
        <v>5</v>
      </c>
      <c r="M159" t="n">
        <v>3</v>
      </c>
      <c r="N159" t="n">
        <v>3</v>
      </c>
      <c r="O159" t="n">
        <v>4</v>
      </c>
      <c r="P159" t="n">
        <v>1</v>
      </c>
      <c r="Q159" t="n">
        <v>2</v>
      </c>
      <c r="R159" t="n">
        <v>3</v>
      </c>
      <c r="S159" t="n">
        <v>3</v>
      </c>
      <c r="T159" t="n">
        <v>1</v>
      </c>
      <c r="U159">
        <f>(AVERAGE(B159:D159)-1)/4</f>
        <v/>
      </c>
      <c r="V159">
        <f>(AVERAGE(E159:F159)-1)/4</f>
        <v/>
      </c>
      <c r="W159">
        <f>(AVERAGE(G159:I159)-1)/4</f>
        <v/>
      </c>
      <c r="X159">
        <f>(AVERAGE(J159:L159)-1)/4</f>
        <v/>
      </c>
      <c r="Y159">
        <f>(AVERAGE(M159:O159)-1)/4</f>
        <v/>
      </c>
      <c r="Z159">
        <f>(AVERAGE(P159:R159)-1)/4</f>
        <v/>
      </c>
      <c r="AA159">
        <f>(AVERAGE(S159:T159)-1)/4</f>
        <v/>
      </c>
      <c r="AB159">
        <f>AVERAGE(U159:Y159)</f>
        <v/>
      </c>
      <c r="AC159">
        <f>MIN(U159:Y159)</f>
        <v/>
      </c>
      <c r="AD159">
        <f>1-alpha*MAX(0,delta-AC159)</f>
        <v/>
      </c>
      <c r="AE159">
        <f>AB159*AD159</f>
        <v/>
      </c>
      <c r="AF159">
        <f>1+COUNTIF(bounds,"&lt;"&amp;ROUND(AB159,12))</f>
        <v/>
      </c>
      <c r="AG159">
        <f>1+COUNTIF(bounds,"&lt;"&amp;ROUND(AE159,12))</f>
        <v/>
      </c>
      <c r="AH159">
        <f>IF(AD159&lt;1,1,0)</f>
        <v/>
      </c>
      <c r="AI159">
        <f>IF(AF159&lt;&gt;AG159,1,0)</f>
        <v/>
      </c>
      <c r="AJ159">
        <f>IF(AND(AG159&gt;=3,Z159&lt;=0.2),1,0)</f>
        <v/>
      </c>
      <c r="AK159">
        <f>AVERAGE(U159:Z159)</f>
        <v/>
      </c>
      <c r="AL159">
        <f>1+COUNTIF(bounds,"&lt;"&amp;ROUND(AK159,12))</f>
        <v/>
      </c>
      <c r="AM159">
        <f>IF(AI159=1,AB159,NA())</f>
        <v/>
      </c>
      <c r="AN159">
        <f>IF(AI159=0,AB159,NA())</f>
        <v/>
      </c>
    </row>
    <row r="160">
      <c r="A160" t="n">
        <v>152</v>
      </c>
      <c r="B160" t="n">
        <v>4</v>
      </c>
      <c r="C160" t="n">
        <v>2</v>
      </c>
      <c r="D160" t="n">
        <v>1</v>
      </c>
      <c r="E160" t="n">
        <v>1</v>
      </c>
      <c r="F160" t="n">
        <v>5</v>
      </c>
      <c r="G160" t="n">
        <v>5</v>
      </c>
      <c r="H160" t="n">
        <v>4</v>
      </c>
      <c r="I160" t="n">
        <v>3</v>
      </c>
      <c r="J160" t="n">
        <v>4</v>
      </c>
      <c r="K160" t="n">
        <v>1</v>
      </c>
      <c r="L160" t="n">
        <v>4</v>
      </c>
      <c r="M160" t="n">
        <v>3</v>
      </c>
      <c r="N160" t="n">
        <v>2</v>
      </c>
      <c r="O160" t="n">
        <v>1</v>
      </c>
      <c r="P160" t="n">
        <v>5</v>
      </c>
      <c r="Q160" t="n">
        <v>3</v>
      </c>
      <c r="R160" t="n">
        <v>1</v>
      </c>
      <c r="S160" t="n">
        <v>3</v>
      </c>
      <c r="T160" t="n">
        <v>5</v>
      </c>
      <c r="U160">
        <f>(AVERAGE(B160:D160)-1)/4</f>
        <v/>
      </c>
      <c r="V160">
        <f>(AVERAGE(E160:F160)-1)/4</f>
        <v/>
      </c>
      <c r="W160">
        <f>(AVERAGE(G160:I160)-1)/4</f>
        <v/>
      </c>
      <c r="X160">
        <f>(AVERAGE(J160:L160)-1)/4</f>
        <v/>
      </c>
      <c r="Y160">
        <f>(AVERAGE(M160:O160)-1)/4</f>
        <v/>
      </c>
      <c r="Z160">
        <f>(AVERAGE(P160:R160)-1)/4</f>
        <v/>
      </c>
      <c r="AA160">
        <f>(AVERAGE(S160:T160)-1)/4</f>
        <v/>
      </c>
      <c r="AB160">
        <f>AVERAGE(U160:Y160)</f>
        <v/>
      </c>
      <c r="AC160">
        <f>MIN(U160:Y160)</f>
        <v/>
      </c>
      <c r="AD160">
        <f>1-alpha*MAX(0,delta-AC160)</f>
        <v/>
      </c>
      <c r="AE160">
        <f>AB160*AD160</f>
        <v/>
      </c>
      <c r="AF160">
        <f>1+COUNTIF(bounds,"&lt;"&amp;ROUND(AB160,12))</f>
        <v/>
      </c>
      <c r="AG160">
        <f>1+COUNTIF(bounds,"&lt;"&amp;ROUND(AE160,12))</f>
        <v/>
      </c>
      <c r="AH160">
        <f>IF(AD160&lt;1,1,0)</f>
        <v/>
      </c>
      <c r="AI160">
        <f>IF(AF160&lt;&gt;AG160,1,0)</f>
        <v/>
      </c>
      <c r="AJ160">
        <f>IF(AND(AG160&gt;=3,Z160&lt;=0.2),1,0)</f>
        <v/>
      </c>
      <c r="AK160">
        <f>AVERAGE(U160:Z160)</f>
        <v/>
      </c>
      <c r="AL160">
        <f>1+COUNTIF(bounds,"&lt;"&amp;ROUND(AK160,12))</f>
        <v/>
      </c>
      <c r="AM160">
        <f>IF(AI160=1,AB160,NA())</f>
        <v/>
      </c>
      <c r="AN160">
        <f>IF(AI160=0,AB160,NA())</f>
        <v/>
      </c>
    </row>
    <row r="161">
      <c r="A161" t="n">
        <v>153</v>
      </c>
      <c r="B161" t="n">
        <v>5</v>
      </c>
      <c r="C161" t="n">
        <v>4</v>
      </c>
      <c r="D161" t="n">
        <v>2</v>
      </c>
      <c r="E161" t="n">
        <v>1</v>
      </c>
      <c r="F161" t="n">
        <v>5</v>
      </c>
      <c r="G161" t="n">
        <v>4</v>
      </c>
      <c r="H161" t="n">
        <v>4</v>
      </c>
      <c r="I161" t="n">
        <v>5</v>
      </c>
      <c r="J161" t="n">
        <v>3</v>
      </c>
      <c r="K161" t="n">
        <v>2</v>
      </c>
      <c r="L161" t="n">
        <v>3</v>
      </c>
      <c r="M161" t="n">
        <v>3</v>
      </c>
      <c r="N161" t="n">
        <v>3</v>
      </c>
      <c r="O161" t="n">
        <v>5</v>
      </c>
      <c r="P161" t="n">
        <v>1</v>
      </c>
      <c r="Q161" t="n">
        <v>5</v>
      </c>
      <c r="R161" t="n">
        <v>2</v>
      </c>
      <c r="S161" t="n">
        <v>4</v>
      </c>
      <c r="T161" t="n">
        <v>3</v>
      </c>
      <c r="U161">
        <f>(AVERAGE(B161:D161)-1)/4</f>
        <v/>
      </c>
      <c r="V161">
        <f>(AVERAGE(E161:F161)-1)/4</f>
        <v/>
      </c>
      <c r="W161">
        <f>(AVERAGE(G161:I161)-1)/4</f>
        <v/>
      </c>
      <c r="X161">
        <f>(AVERAGE(J161:L161)-1)/4</f>
        <v/>
      </c>
      <c r="Y161">
        <f>(AVERAGE(M161:O161)-1)/4</f>
        <v/>
      </c>
      <c r="Z161">
        <f>(AVERAGE(P161:R161)-1)/4</f>
        <v/>
      </c>
      <c r="AA161">
        <f>(AVERAGE(S161:T161)-1)/4</f>
        <v/>
      </c>
      <c r="AB161">
        <f>AVERAGE(U161:Y161)</f>
        <v/>
      </c>
      <c r="AC161">
        <f>MIN(U161:Y161)</f>
        <v/>
      </c>
      <c r="AD161">
        <f>1-alpha*MAX(0,delta-AC161)</f>
        <v/>
      </c>
      <c r="AE161">
        <f>AB161*AD161</f>
        <v/>
      </c>
      <c r="AF161">
        <f>1+COUNTIF(bounds,"&lt;"&amp;ROUND(AB161,12))</f>
        <v/>
      </c>
      <c r="AG161">
        <f>1+COUNTIF(bounds,"&lt;"&amp;ROUND(AE161,12))</f>
        <v/>
      </c>
      <c r="AH161">
        <f>IF(AD161&lt;1,1,0)</f>
        <v/>
      </c>
      <c r="AI161">
        <f>IF(AF161&lt;&gt;AG161,1,0)</f>
        <v/>
      </c>
      <c r="AJ161">
        <f>IF(AND(AG161&gt;=3,Z161&lt;=0.2),1,0)</f>
        <v/>
      </c>
      <c r="AK161">
        <f>AVERAGE(U161:Z161)</f>
        <v/>
      </c>
      <c r="AL161">
        <f>1+COUNTIF(bounds,"&lt;"&amp;ROUND(AK161,12))</f>
        <v/>
      </c>
      <c r="AM161">
        <f>IF(AI161=1,AB161,NA())</f>
        <v/>
      </c>
      <c r="AN161">
        <f>IF(AI161=0,AB161,NA())</f>
        <v/>
      </c>
    </row>
    <row r="162">
      <c r="A162" t="n">
        <v>154</v>
      </c>
      <c r="B162" t="n">
        <v>1</v>
      </c>
      <c r="C162" t="n">
        <v>5</v>
      </c>
      <c r="D162" t="n">
        <v>3</v>
      </c>
      <c r="E162" t="n">
        <v>2</v>
      </c>
      <c r="F162" t="n">
        <v>4</v>
      </c>
      <c r="G162" t="n">
        <v>3</v>
      </c>
      <c r="H162" t="n">
        <v>4</v>
      </c>
      <c r="I162" t="n">
        <v>5</v>
      </c>
      <c r="J162" t="n">
        <v>1</v>
      </c>
      <c r="K162" t="n">
        <v>4</v>
      </c>
      <c r="L162" t="n">
        <v>3</v>
      </c>
      <c r="M162" t="n">
        <v>1</v>
      </c>
      <c r="N162" t="n">
        <v>5</v>
      </c>
      <c r="O162" t="n">
        <v>2</v>
      </c>
      <c r="P162" t="n">
        <v>2</v>
      </c>
      <c r="Q162" t="n">
        <v>5</v>
      </c>
      <c r="R162" t="n">
        <v>5</v>
      </c>
      <c r="S162" t="n">
        <v>3</v>
      </c>
      <c r="T162" t="n">
        <v>5</v>
      </c>
      <c r="U162">
        <f>(AVERAGE(B162:D162)-1)/4</f>
        <v/>
      </c>
      <c r="V162">
        <f>(AVERAGE(E162:F162)-1)/4</f>
        <v/>
      </c>
      <c r="W162">
        <f>(AVERAGE(G162:I162)-1)/4</f>
        <v/>
      </c>
      <c r="X162">
        <f>(AVERAGE(J162:L162)-1)/4</f>
        <v/>
      </c>
      <c r="Y162">
        <f>(AVERAGE(M162:O162)-1)/4</f>
        <v/>
      </c>
      <c r="Z162">
        <f>(AVERAGE(P162:R162)-1)/4</f>
        <v/>
      </c>
      <c r="AA162">
        <f>(AVERAGE(S162:T162)-1)/4</f>
        <v/>
      </c>
      <c r="AB162">
        <f>AVERAGE(U162:Y162)</f>
        <v/>
      </c>
      <c r="AC162">
        <f>MIN(U162:Y162)</f>
        <v/>
      </c>
      <c r="AD162">
        <f>1-alpha*MAX(0,delta-AC162)</f>
        <v/>
      </c>
      <c r="AE162">
        <f>AB162*AD162</f>
        <v/>
      </c>
      <c r="AF162">
        <f>1+COUNTIF(bounds,"&lt;"&amp;ROUND(AB162,12))</f>
        <v/>
      </c>
      <c r="AG162">
        <f>1+COUNTIF(bounds,"&lt;"&amp;ROUND(AE162,12))</f>
        <v/>
      </c>
      <c r="AH162">
        <f>IF(AD162&lt;1,1,0)</f>
        <v/>
      </c>
      <c r="AI162">
        <f>IF(AF162&lt;&gt;AG162,1,0)</f>
        <v/>
      </c>
      <c r="AJ162">
        <f>IF(AND(AG162&gt;=3,Z162&lt;=0.2),1,0)</f>
        <v/>
      </c>
      <c r="AK162">
        <f>AVERAGE(U162:Z162)</f>
        <v/>
      </c>
      <c r="AL162">
        <f>1+COUNTIF(bounds,"&lt;"&amp;ROUND(AK162,12))</f>
        <v/>
      </c>
      <c r="AM162">
        <f>IF(AI162=1,AB162,NA())</f>
        <v/>
      </c>
      <c r="AN162">
        <f>IF(AI162=0,AB162,NA())</f>
        <v/>
      </c>
    </row>
    <row r="163">
      <c r="A163" t="n">
        <v>155</v>
      </c>
      <c r="B163" t="n">
        <v>5</v>
      </c>
      <c r="C163" t="n">
        <v>3</v>
      </c>
      <c r="D163" t="n">
        <v>2</v>
      </c>
      <c r="E163" t="n">
        <v>5</v>
      </c>
      <c r="F163" t="n">
        <v>2</v>
      </c>
      <c r="G163" t="n">
        <v>4</v>
      </c>
      <c r="H163" t="n">
        <v>2</v>
      </c>
      <c r="I163" t="n">
        <v>4</v>
      </c>
      <c r="J163" t="n">
        <v>3</v>
      </c>
      <c r="K163" t="n">
        <v>4</v>
      </c>
      <c r="L163" t="n">
        <v>1</v>
      </c>
      <c r="M163" t="n">
        <v>5</v>
      </c>
      <c r="N163" t="n">
        <v>3</v>
      </c>
      <c r="O163" t="n">
        <v>3</v>
      </c>
      <c r="P163" t="n">
        <v>4</v>
      </c>
      <c r="Q163" t="n">
        <v>5</v>
      </c>
      <c r="R163" t="n">
        <v>1</v>
      </c>
      <c r="S163" t="n">
        <v>4</v>
      </c>
      <c r="T163" t="n">
        <v>1</v>
      </c>
      <c r="U163">
        <f>(AVERAGE(B163:D163)-1)/4</f>
        <v/>
      </c>
      <c r="V163">
        <f>(AVERAGE(E163:F163)-1)/4</f>
        <v/>
      </c>
      <c r="W163">
        <f>(AVERAGE(G163:I163)-1)/4</f>
        <v/>
      </c>
      <c r="X163">
        <f>(AVERAGE(J163:L163)-1)/4</f>
        <v/>
      </c>
      <c r="Y163">
        <f>(AVERAGE(M163:O163)-1)/4</f>
        <v/>
      </c>
      <c r="Z163">
        <f>(AVERAGE(P163:R163)-1)/4</f>
        <v/>
      </c>
      <c r="AA163">
        <f>(AVERAGE(S163:T163)-1)/4</f>
        <v/>
      </c>
      <c r="AB163">
        <f>AVERAGE(U163:Y163)</f>
        <v/>
      </c>
      <c r="AC163">
        <f>MIN(U163:Y163)</f>
        <v/>
      </c>
      <c r="AD163">
        <f>1-alpha*MAX(0,delta-AC163)</f>
        <v/>
      </c>
      <c r="AE163">
        <f>AB163*AD163</f>
        <v/>
      </c>
      <c r="AF163">
        <f>1+COUNTIF(bounds,"&lt;"&amp;ROUND(AB163,12))</f>
        <v/>
      </c>
      <c r="AG163">
        <f>1+COUNTIF(bounds,"&lt;"&amp;ROUND(AE163,12))</f>
        <v/>
      </c>
      <c r="AH163">
        <f>IF(AD163&lt;1,1,0)</f>
        <v/>
      </c>
      <c r="AI163">
        <f>IF(AF163&lt;&gt;AG163,1,0)</f>
        <v/>
      </c>
      <c r="AJ163">
        <f>IF(AND(AG163&gt;=3,Z163&lt;=0.2),1,0)</f>
        <v/>
      </c>
      <c r="AK163">
        <f>AVERAGE(U163:Z163)</f>
        <v/>
      </c>
      <c r="AL163">
        <f>1+COUNTIF(bounds,"&lt;"&amp;ROUND(AK163,12))</f>
        <v/>
      </c>
      <c r="AM163">
        <f>IF(AI163=1,AB163,NA())</f>
        <v/>
      </c>
      <c r="AN163">
        <f>IF(AI163=0,AB163,NA())</f>
        <v/>
      </c>
    </row>
    <row r="164">
      <c r="A164" t="n">
        <v>156</v>
      </c>
      <c r="B164" t="n">
        <v>1</v>
      </c>
      <c r="C164" t="n">
        <v>3</v>
      </c>
      <c r="D164" t="n">
        <v>4</v>
      </c>
      <c r="E164" t="n">
        <v>5</v>
      </c>
      <c r="F164" t="n">
        <v>1</v>
      </c>
      <c r="G164" t="n">
        <v>2</v>
      </c>
      <c r="H164" t="n">
        <v>5</v>
      </c>
      <c r="I164" t="n">
        <v>2</v>
      </c>
      <c r="J164" t="n">
        <v>3</v>
      </c>
      <c r="K164" t="n">
        <v>2</v>
      </c>
      <c r="L164" t="n">
        <v>5</v>
      </c>
      <c r="M164" t="n">
        <v>3</v>
      </c>
      <c r="N164" t="n">
        <v>5</v>
      </c>
      <c r="O164" t="n">
        <v>1</v>
      </c>
      <c r="P164" t="n">
        <v>3</v>
      </c>
      <c r="Q164" t="n">
        <v>1</v>
      </c>
      <c r="R164" t="n">
        <v>4</v>
      </c>
      <c r="S164" t="n">
        <v>2</v>
      </c>
      <c r="T164" t="n">
        <v>1</v>
      </c>
      <c r="U164">
        <f>(AVERAGE(B164:D164)-1)/4</f>
        <v/>
      </c>
      <c r="V164">
        <f>(AVERAGE(E164:F164)-1)/4</f>
        <v/>
      </c>
      <c r="W164">
        <f>(AVERAGE(G164:I164)-1)/4</f>
        <v/>
      </c>
      <c r="X164">
        <f>(AVERAGE(J164:L164)-1)/4</f>
        <v/>
      </c>
      <c r="Y164">
        <f>(AVERAGE(M164:O164)-1)/4</f>
        <v/>
      </c>
      <c r="Z164">
        <f>(AVERAGE(P164:R164)-1)/4</f>
        <v/>
      </c>
      <c r="AA164">
        <f>(AVERAGE(S164:T164)-1)/4</f>
        <v/>
      </c>
      <c r="AB164">
        <f>AVERAGE(U164:Y164)</f>
        <v/>
      </c>
      <c r="AC164">
        <f>MIN(U164:Y164)</f>
        <v/>
      </c>
      <c r="AD164">
        <f>1-alpha*MAX(0,delta-AC164)</f>
        <v/>
      </c>
      <c r="AE164">
        <f>AB164*AD164</f>
        <v/>
      </c>
      <c r="AF164">
        <f>1+COUNTIF(bounds,"&lt;"&amp;ROUND(AB164,12))</f>
        <v/>
      </c>
      <c r="AG164">
        <f>1+COUNTIF(bounds,"&lt;"&amp;ROUND(AE164,12))</f>
        <v/>
      </c>
      <c r="AH164">
        <f>IF(AD164&lt;1,1,0)</f>
        <v/>
      </c>
      <c r="AI164">
        <f>IF(AF164&lt;&gt;AG164,1,0)</f>
        <v/>
      </c>
      <c r="AJ164">
        <f>IF(AND(AG164&gt;=3,Z164&lt;=0.2),1,0)</f>
        <v/>
      </c>
      <c r="AK164">
        <f>AVERAGE(U164:Z164)</f>
        <v/>
      </c>
      <c r="AL164">
        <f>1+COUNTIF(bounds,"&lt;"&amp;ROUND(AK164,12))</f>
        <v/>
      </c>
      <c r="AM164">
        <f>IF(AI164=1,AB164,NA())</f>
        <v/>
      </c>
      <c r="AN164">
        <f>IF(AI164=0,AB164,NA())</f>
        <v/>
      </c>
    </row>
    <row r="165">
      <c r="A165" t="n">
        <v>157</v>
      </c>
      <c r="B165" t="n">
        <v>1</v>
      </c>
      <c r="C165" t="n">
        <v>2</v>
      </c>
      <c r="D165" t="n">
        <v>3</v>
      </c>
      <c r="E165" t="n">
        <v>3</v>
      </c>
      <c r="F165" t="n">
        <v>1</v>
      </c>
      <c r="G165" t="n">
        <v>3</v>
      </c>
      <c r="H165" t="n">
        <v>3</v>
      </c>
      <c r="I165" t="n">
        <v>2</v>
      </c>
      <c r="J165" t="n">
        <v>3</v>
      </c>
      <c r="K165" t="n">
        <v>5</v>
      </c>
      <c r="L165" t="n">
        <v>3</v>
      </c>
      <c r="M165" t="n">
        <v>3</v>
      </c>
      <c r="N165" t="n">
        <v>4</v>
      </c>
      <c r="O165" t="n">
        <v>5</v>
      </c>
      <c r="P165" t="n">
        <v>5</v>
      </c>
      <c r="Q165" t="n">
        <v>1</v>
      </c>
      <c r="R165" t="n">
        <v>1</v>
      </c>
      <c r="S165" t="n">
        <v>2</v>
      </c>
      <c r="T165" t="n">
        <v>2</v>
      </c>
      <c r="U165">
        <f>(AVERAGE(B165:D165)-1)/4</f>
        <v/>
      </c>
      <c r="V165">
        <f>(AVERAGE(E165:F165)-1)/4</f>
        <v/>
      </c>
      <c r="W165">
        <f>(AVERAGE(G165:I165)-1)/4</f>
        <v/>
      </c>
      <c r="X165">
        <f>(AVERAGE(J165:L165)-1)/4</f>
        <v/>
      </c>
      <c r="Y165">
        <f>(AVERAGE(M165:O165)-1)/4</f>
        <v/>
      </c>
      <c r="Z165">
        <f>(AVERAGE(P165:R165)-1)/4</f>
        <v/>
      </c>
      <c r="AA165">
        <f>(AVERAGE(S165:T165)-1)/4</f>
        <v/>
      </c>
      <c r="AB165">
        <f>AVERAGE(U165:Y165)</f>
        <v/>
      </c>
      <c r="AC165">
        <f>MIN(U165:Y165)</f>
        <v/>
      </c>
      <c r="AD165">
        <f>1-alpha*MAX(0,delta-AC165)</f>
        <v/>
      </c>
      <c r="AE165">
        <f>AB165*AD165</f>
        <v/>
      </c>
      <c r="AF165">
        <f>1+COUNTIF(bounds,"&lt;"&amp;ROUND(AB165,12))</f>
        <v/>
      </c>
      <c r="AG165">
        <f>1+COUNTIF(bounds,"&lt;"&amp;ROUND(AE165,12))</f>
        <v/>
      </c>
      <c r="AH165">
        <f>IF(AD165&lt;1,1,0)</f>
        <v/>
      </c>
      <c r="AI165">
        <f>IF(AF165&lt;&gt;AG165,1,0)</f>
        <v/>
      </c>
      <c r="AJ165">
        <f>IF(AND(AG165&gt;=3,Z165&lt;=0.2),1,0)</f>
        <v/>
      </c>
      <c r="AK165">
        <f>AVERAGE(U165:Z165)</f>
        <v/>
      </c>
      <c r="AL165">
        <f>1+COUNTIF(bounds,"&lt;"&amp;ROUND(AK165,12))</f>
        <v/>
      </c>
      <c r="AM165">
        <f>IF(AI165=1,AB165,NA())</f>
        <v/>
      </c>
      <c r="AN165">
        <f>IF(AI165=0,AB165,NA())</f>
        <v/>
      </c>
    </row>
    <row r="166">
      <c r="A166" t="n">
        <v>158</v>
      </c>
      <c r="B166" t="n">
        <v>4</v>
      </c>
      <c r="C166" t="n">
        <v>1</v>
      </c>
      <c r="D166" t="n">
        <v>5</v>
      </c>
      <c r="E166" t="n">
        <v>1</v>
      </c>
      <c r="F166" t="n">
        <v>3</v>
      </c>
      <c r="G166" t="n">
        <v>2</v>
      </c>
      <c r="H166" t="n">
        <v>1</v>
      </c>
      <c r="I166" t="n">
        <v>3</v>
      </c>
      <c r="J166" t="n">
        <v>3</v>
      </c>
      <c r="K166" t="n">
        <v>4</v>
      </c>
      <c r="L166" t="n">
        <v>4</v>
      </c>
      <c r="M166" t="n">
        <v>5</v>
      </c>
      <c r="N166" t="n">
        <v>3</v>
      </c>
      <c r="O166" t="n">
        <v>2</v>
      </c>
      <c r="P166" t="n">
        <v>4</v>
      </c>
      <c r="Q166" t="n">
        <v>1</v>
      </c>
      <c r="R166" t="n">
        <v>3</v>
      </c>
      <c r="S166" t="n">
        <v>5</v>
      </c>
      <c r="T166" t="n">
        <v>2</v>
      </c>
      <c r="U166">
        <f>(AVERAGE(B166:D166)-1)/4</f>
        <v/>
      </c>
      <c r="V166">
        <f>(AVERAGE(E166:F166)-1)/4</f>
        <v/>
      </c>
      <c r="W166">
        <f>(AVERAGE(G166:I166)-1)/4</f>
        <v/>
      </c>
      <c r="X166">
        <f>(AVERAGE(J166:L166)-1)/4</f>
        <v/>
      </c>
      <c r="Y166">
        <f>(AVERAGE(M166:O166)-1)/4</f>
        <v/>
      </c>
      <c r="Z166">
        <f>(AVERAGE(P166:R166)-1)/4</f>
        <v/>
      </c>
      <c r="AA166">
        <f>(AVERAGE(S166:T166)-1)/4</f>
        <v/>
      </c>
      <c r="AB166">
        <f>AVERAGE(U166:Y166)</f>
        <v/>
      </c>
      <c r="AC166">
        <f>MIN(U166:Y166)</f>
        <v/>
      </c>
      <c r="AD166">
        <f>1-alpha*MAX(0,delta-AC166)</f>
        <v/>
      </c>
      <c r="AE166">
        <f>AB166*AD166</f>
        <v/>
      </c>
      <c r="AF166">
        <f>1+COUNTIF(bounds,"&lt;"&amp;ROUND(AB166,12))</f>
        <v/>
      </c>
      <c r="AG166">
        <f>1+COUNTIF(bounds,"&lt;"&amp;ROUND(AE166,12))</f>
        <v/>
      </c>
      <c r="AH166">
        <f>IF(AD166&lt;1,1,0)</f>
        <v/>
      </c>
      <c r="AI166">
        <f>IF(AF166&lt;&gt;AG166,1,0)</f>
        <v/>
      </c>
      <c r="AJ166">
        <f>IF(AND(AG166&gt;=3,Z166&lt;=0.2),1,0)</f>
        <v/>
      </c>
      <c r="AK166">
        <f>AVERAGE(U166:Z166)</f>
        <v/>
      </c>
      <c r="AL166">
        <f>1+COUNTIF(bounds,"&lt;"&amp;ROUND(AK166,12))</f>
        <v/>
      </c>
      <c r="AM166">
        <f>IF(AI166=1,AB166,NA())</f>
        <v/>
      </c>
      <c r="AN166">
        <f>IF(AI166=0,AB166,NA())</f>
        <v/>
      </c>
    </row>
    <row r="167">
      <c r="A167" t="n">
        <v>159</v>
      </c>
      <c r="B167" t="n">
        <v>2</v>
      </c>
      <c r="C167" t="n">
        <v>5</v>
      </c>
      <c r="D167" t="n">
        <v>5</v>
      </c>
      <c r="E167" t="n">
        <v>2</v>
      </c>
      <c r="F167" t="n">
        <v>3</v>
      </c>
      <c r="G167" t="n">
        <v>4</v>
      </c>
      <c r="H167" t="n">
        <v>5</v>
      </c>
      <c r="I167" t="n">
        <v>3</v>
      </c>
      <c r="J167" t="n">
        <v>3</v>
      </c>
      <c r="K167" t="n">
        <v>3</v>
      </c>
      <c r="L167" t="n">
        <v>5</v>
      </c>
      <c r="M167" t="n">
        <v>2</v>
      </c>
      <c r="N167" t="n">
        <v>1</v>
      </c>
      <c r="O167" t="n">
        <v>3</v>
      </c>
      <c r="P167" t="n">
        <v>5</v>
      </c>
      <c r="Q167" t="n">
        <v>3</v>
      </c>
      <c r="R167" t="n">
        <v>3</v>
      </c>
      <c r="S167" t="n">
        <v>4</v>
      </c>
      <c r="T167" t="n">
        <v>4</v>
      </c>
      <c r="U167">
        <f>(AVERAGE(B167:D167)-1)/4</f>
        <v/>
      </c>
      <c r="V167">
        <f>(AVERAGE(E167:F167)-1)/4</f>
        <v/>
      </c>
      <c r="W167">
        <f>(AVERAGE(G167:I167)-1)/4</f>
        <v/>
      </c>
      <c r="X167">
        <f>(AVERAGE(J167:L167)-1)/4</f>
        <v/>
      </c>
      <c r="Y167">
        <f>(AVERAGE(M167:O167)-1)/4</f>
        <v/>
      </c>
      <c r="Z167">
        <f>(AVERAGE(P167:R167)-1)/4</f>
        <v/>
      </c>
      <c r="AA167">
        <f>(AVERAGE(S167:T167)-1)/4</f>
        <v/>
      </c>
      <c r="AB167">
        <f>AVERAGE(U167:Y167)</f>
        <v/>
      </c>
      <c r="AC167">
        <f>MIN(U167:Y167)</f>
        <v/>
      </c>
      <c r="AD167">
        <f>1-alpha*MAX(0,delta-AC167)</f>
        <v/>
      </c>
      <c r="AE167">
        <f>AB167*AD167</f>
        <v/>
      </c>
      <c r="AF167">
        <f>1+COUNTIF(bounds,"&lt;"&amp;ROUND(AB167,12))</f>
        <v/>
      </c>
      <c r="AG167">
        <f>1+COUNTIF(bounds,"&lt;"&amp;ROUND(AE167,12))</f>
        <v/>
      </c>
      <c r="AH167">
        <f>IF(AD167&lt;1,1,0)</f>
        <v/>
      </c>
      <c r="AI167">
        <f>IF(AF167&lt;&gt;AG167,1,0)</f>
        <v/>
      </c>
      <c r="AJ167">
        <f>IF(AND(AG167&gt;=3,Z167&lt;=0.2),1,0)</f>
        <v/>
      </c>
      <c r="AK167">
        <f>AVERAGE(U167:Z167)</f>
        <v/>
      </c>
      <c r="AL167">
        <f>1+COUNTIF(bounds,"&lt;"&amp;ROUND(AK167,12))</f>
        <v/>
      </c>
      <c r="AM167">
        <f>IF(AI167=1,AB167,NA())</f>
        <v/>
      </c>
      <c r="AN167">
        <f>IF(AI167=0,AB167,NA())</f>
        <v/>
      </c>
    </row>
    <row r="168">
      <c r="A168" t="n">
        <v>160</v>
      </c>
      <c r="B168" t="n">
        <v>5</v>
      </c>
      <c r="C168" t="n">
        <v>2</v>
      </c>
      <c r="D168" t="n">
        <v>5</v>
      </c>
      <c r="E168" t="n">
        <v>1</v>
      </c>
      <c r="F168" t="n">
        <v>1</v>
      </c>
      <c r="G168" t="n">
        <v>1</v>
      </c>
      <c r="H168" t="n">
        <v>3</v>
      </c>
      <c r="I168" t="n">
        <v>5</v>
      </c>
      <c r="J168" t="n">
        <v>1</v>
      </c>
      <c r="K168" t="n">
        <v>2</v>
      </c>
      <c r="L168" t="n">
        <v>2</v>
      </c>
      <c r="M168" t="n">
        <v>3</v>
      </c>
      <c r="N168" t="n">
        <v>2</v>
      </c>
      <c r="O168" t="n">
        <v>5</v>
      </c>
      <c r="P168" t="n">
        <v>4</v>
      </c>
      <c r="Q168" t="n">
        <v>4</v>
      </c>
      <c r="R168" t="n">
        <v>5</v>
      </c>
      <c r="S168" t="n">
        <v>4</v>
      </c>
      <c r="T168" t="n">
        <v>3</v>
      </c>
      <c r="U168">
        <f>(AVERAGE(B168:D168)-1)/4</f>
        <v/>
      </c>
      <c r="V168">
        <f>(AVERAGE(E168:F168)-1)/4</f>
        <v/>
      </c>
      <c r="W168">
        <f>(AVERAGE(G168:I168)-1)/4</f>
        <v/>
      </c>
      <c r="X168">
        <f>(AVERAGE(J168:L168)-1)/4</f>
        <v/>
      </c>
      <c r="Y168">
        <f>(AVERAGE(M168:O168)-1)/4</f>
        <v/>
      </c>
      <c r="Z168">
        <f>(AVERAGE(P168:R168)-1)/4</f>
        <v/>
      </c>
      <c r="AA168">
        <f>(AVERAGE(S168:T168)-1)/4</f>
        <v/>
      </c>
      <c r="AB168">
        <f>AVERAGE(U168:Y168)</f>
        <v/>
      </c>
      <c r="AC168">
        <f>MIN(U168:Y168)</f>
        <v/>
      </c>
      <c r="AD168">
        <f>1-alpha*MAX(0,delta-AC168)</f>
        <v/>
      </c>
      <c r="AE168">
        <f>AB168*AD168</f>
        <v/>
      </c>
      <c r="AF168">
        <f>1+COUNTIF(bounds,"&lt;"&amp;ROUND(AB168,12))</f>
        <v/>
      </c>
      <c r="AG168">
        <f>1+COUNTIF(bounds,"&lt;"&amp;ROUND(AE168,12))</f>
        <v/>
      </c>
      <c r="AH168">
        <f>IF(AD168&lt;1,1,0)</f>
        <v/>
      </c>
      <c r="AI168">
        <f>IF(AF168&lt;&gt;AG168,1,0)</f>
        <v/>
      </c>
      <c r="AJ168">
        <f>IF(AND(AG168&gt;=3,Z168&lt;=0.2),1,0)</f>
        <v/>
      </c>
      <c r="AK168">
        <f>AVERAGE(U168:Z168)</f>
        <v/>
      </c>
      <c r="AL168">
        <f>1+COUNTIF(bounds,"&lt;"&amp;ROUND(AK168,12))</f>
        <v/>
      </c>
      <c r="AM168">
        <f>IF(AI168=1,AB168,NA())</f>
        <v/>
      </c>
      <c r="AN168">
        <f>IF(AI168=0,AB168,NA())</f>
        <v/>
      </c>
    </row>
    <row r="169">
      <c r="A169" t="n">
        <v>161</v>
      </c>
      <c r="B169" t="n">
        <v>2</v>
      </c>
      <c r="C169" t="n">
        <v>2</v>
      </c>
      <c r="D169" t="n">
        <v>1</v>
      </c>
      <c r="E169" t="n">
        <v>1</v>
      </c>
      <c r="F169" t="n">
        <v>5</v>
      </c>
      <c r="G169" t="n">
        <v>5</v>
      </c>
      <c r="H169" t="n">
        <v>5</v>
      </c>
      <c r="I169" t="n">
        <v>1</v>
      </c>
      <c r="J169" t="n">
        <v>1</v>
      </c>
      <c r="K169" t="n">
        <v>2</v>
      </c>
      <c r="L169" t="n">
        <v>4</v>
      </c>
      <c r="M169" t="n">
        <v>2</v>
      </c>
      <c r="N169" t="n">
        <v>4</v>
      </c>
      <c r="O169" t="n">
        <v>5</v>
      </c>
      <c r="P169" t="n">
        <v>3</v>
      </c>
      <c r="Q169" t="n">
        <v>1</v>
      </c>
      <c r="R169" t="n">
        <v>3</v>
      </c>
      <c r="S169" t="n">
        <v>1</v>
      </c>
      <c r="T169" t="n">
        <v>1</v>
      </c>
      <c r="U169">
        <f>(AVERAGE(B169:D169)-1)/4</f>
        <v/>
      </c>
      <c r="V169">
        <f>(AVERAGE(E169:F169)-1)/4</f>
        <v/>
      </c>
      <c r="W169">
        <f>(AVERAGE(G169:I169)-1)/4</f>
        <v/>
      </c>
      <c r="X169">
        <f>(AVERAGE(J169:L169)-1)/4</f>
        <v/>
      </c>
      <c r="Y169">
        <f>(AVERAGE(M169:O169)-1)/4</f>
        <v/>
      </c>
      <c r="Z169">
        <f>(AVERAGE(P169:R169)-1)/4</f>
        <v/>
      </c>
      <c r="AA169">
        <f>(AVERAGE(S169:T169)-1)/4</f>
        <v/>
      </c>
      <c r="AB169">
        <f>AVERAGE(U169:Y169)</f>
        <v/>
      </c>
      <c r="AC169">
        <f>MIN(U169:Y169)</f>
        <v/>
      </c>
      <c r="AD169">
        <f>1-alpha*MAX(0,delta-AC169)</f>
        <v/>
      </c>
      <c r="AE169">
        <f>AB169*AD169</f>
        <v/>
      </c>
      <c r="AF169">
        <f>1+COUNTIF(bounds,"&lt;"&amp;ROUND(AB169,12))</f>
        <v/>
      </c>
      <c r="AG169">
        <f>1+COUNTIF(bounds,"&lt;"&amp;ROUND(AE169,12))</f>
        <v/>
      </c>
      <c r="AH169">
        <f>IF(AD169&lt;1,1,0)</f>
        <v/>
      </c>
      <c r="AI169">
        <f>IF(AF169&lt;&gt;AG169,1,0)</f>
        <v/>
      </c>
      <c r="AJ169">
        <f>IF(AND(AG169&gt;=3,Z169&lt;=0.2),1,0)</f>
        <v/>
      </c>
      <c r="AK169">
        <f>AVERAGE(U169:Z169)</f>
        <v/>
      </c>
      <c r="AL169">
        <f>1+COUNTIF(bounds,"&lt;"&amp;ROUND(AK169,12))</f>
        <v/>
      </c>
      <c r="AM169">
        <f>IF(AI169=1,AB169,NA())</f>
        <v/>
      </c>
      <c r="AN169">
        <f>IF(AI169=0,AB169,NA())</f>
        <v/>
      </c>
    </row>
    <row r="170">
      <c r="A170" t="n">
        <v>162</v>
      </c>
      <c r="B170" t="n">
        <v>3</v>
      </c>
      <c r="C170" t="n">
        <v>1</v>
      </c>
      <c r="D170" t="n">
        <v>5</v>
      </c>
      <c r="E170" t="n">
        <v>3</v>
      </c>
      <c r="F170" t="n">
        <v>4</v>
      </c>
      <c r="G170" t="n">
        <v>3</v>
      </c>
      <c r="H170" t="n">
        <v>3</v>
      </c>
      <c r="I170" t="n">
        <v>3</v>
      </c>
      <c r="J170" t="n">
        <v>4</v>
      </c>
      <c r="K170" t="n">
        <v>1</v>
      </c>
      <c r="L170" t="n">
        <v>5</v>
      </c>
      <c r="M170" t="n">
        <v>4</v>
      </c>
      <c r="N170" t="n">
        <v>3</v>
      </c>
      <c r="O170" t="n">
        <v>5</v>
      </c>
      <c r="P170" t="n">
        <v>4</v>
      </c>
      <c r="Q170" t="n">
        <v>4</v>
      </c>
      <c r="R170" t="n">
        <v>3</v>
      </c>
      <c r="S170" t="n">
        <v>2</v>
      </c>
      <c r="T170" t="n">
        <v>4</v>
      </c>
      <c r="U170">
        <f>(AVERAGE(B170:D170)-1)/4</f>
        <v/>
      </c>
      <c r="V170">
        <f>(AVERAGE(E170:F170)-1)/4</f>
        <v/>
      </c>
      <c r="W170">
        <f>(AVERAGE(G170:I170)-1)/4</f>
        <v/>
      </c>
      <c r="X170">
        <f>(AVERAGE(J170:L170)-1)/4</f>
        <v/>
      </c>
      <c r="Y170">
        <f>(AVERAGE(M170:O170)-1)/4</f>
        <v/>
      </c>
      <c r="Z170">
        <f>(AVERAGE(P170:R170)-1)/4</f>
        <v/>
      </c>
      <c r="AA170">
        <f>(AVERAGE(S170:T170)-1)/4</f>
        <v/>
      </c>
      <c r="AB170">
        <f>AVERAGE(U170:Y170)</f>
        <v/>
      </c>
      <c r="AC170">
        <f>MIN(U170:Y170)</f>
        <v/>
      </c>
      <c r="AD170">
        <f>1-alpha*MAX(0,delta-AC170)</f>
        <v/>
      </c>
      <c r="AE170">
        <f>AB170*AD170</f>
        <v/>
      </c>
      <c r="AF170">
        <f>1+COUNTIF(bounds,"&lt;"&amp;ROUND(AB170,12))</f>
        <v/>
      </c>
      <c r="AG170">
        <f>1+COUNTIF(bounds,"&lt;"&amp;ROUND(AE170,12))</f>
        <v/>
      </c>
      <c r="AH170">
        <f>IF(AD170&lt;1,1,0)</f>
        <v/>
      </c>
      <c r="AI170">
        <f>IF(AF170&lt;&gt;AG170,1,0)</f>
        <v/>
      </c>
      <c r="AJ170">
        <f>IF(AND(AG170&gt;=3,Z170&lt;=0.2),1,0)</f>
        <v/>
      </c>
      <c r="AK170">
        <f>AVERAGE(U170:Z170)</f>
        <v/>
      </c>
      <c r="AL170">
        <f>1+COUNTIF(bounds,"&lt;"&amp;ROUND(AK170,12))</f>
        <v/>
      </c>
      <c r="AM170">
        <f>IF(AI170=1,AB170,NA())</f>
        <v/>
      </c>
      <c r="AN170">
        <f>IF(AI170=0,AB170,NA())</f>
        <v/>
      </c>
    </row>
    <row r="171">
      <c r="A171" t="n">
        <v>163</v>
      </c>
      <c r="B171" t="n">
        <v>1</v>
      </c>
      <c r="C171" t="n">
        <v>3</v>
      </c>
      <c r="D171" t="n">
        <v>5</v>
      </c>
      <c r="E171" t="n">
        <v>3</v>
      </c>
      <c r="F171" t="n">
        <v>5</v>
      </c>
      <c r="G171" t="n">
        <v>3</v>
      </c>
      <c r="H171" t="n">
        <v>1</v>
      </c>
      <c r="I171" t="n">
        <v>4</v>
      </c>
      <c r="J171" t="n">
        <v>5</v>
      </c>
      <c r="K171" t="n">
        <v>5</v>
      </c>
      <c r="L171" t="n">
        <v>4</v>
      </c>
      <c r="M171" t="n">
        <v>3</v>
      </c>
      <c r="N171" t="n">
        <v>1</v>
      </c>
      <c r="O171" t="n">
        <v>4</v>
      </c>
      <c r="P171" t="n">
        <v>3</v>
      </c>
      <c r="Q171" t="n">
        <v>5</v>
      </c>
      <c r="R171" t="n">
        <v>3</v>
      </c>
      <c r="S171" t="n">
        <v>2</v>
      </c>
      <c r="T171" t="n">
        <v>5</v>
      </c>
      <c r="U171">
        <f>(AVERAGE(B171:D171)-1)/4</f>
        <v/>
      </c>
      <c r="V171">
        <f>(AVERAGE(E171:F171)-1)/4</f>
        <v/>
      </c>
      <c r="W171">
        <f>(AVERAGE(G171:I171)-1)/4</f>
        <v/>
      </c>
      <c r="X171">
        <f>(AVERAGE(J171:L171)-1)/4</f>
        <v/>
      </c>
      <c r="Y171">
        <f>(AVERAGE(M171:O171)-1)/4</f>
        <v/>
      </c>
      <c r="Z171">
        <f>(AVERAGE(P171:R171)-1)/4</f>
        <v/>
      </c>
      <c r="AA171">
        <f>(AVERAGE(S171:T171)-1)/4</f>
        <v/>
      </c>
      <c r="AB171">
        <f>AVERAGE(U171:Y171)</f>
        <v/>
      </c>
      <c r="AC171">
        <f>MIN(U171:Y171)</f>
        <v/>
      </c>
      <c r="AD171">
        <f>1-alpha*MAX(0,delta-AC171)</f>
        <v/>
      </c>
      <c r="AE171">
        <f>AB171*AD171</f>
        <v/>
      </c>
      <c r="AF171">
        <f>1+COUNTIF(bounds,"&lt;"&amp;ROUND(AB171,12))</f>
        <v/>
      </c>
      <c r="AG171">
        <f>1+COUNTIF(bounds,"&lt;"&amp;ROUND(AE171,12))</f>
        <v/>
      </c>
      <c r="AH171">
        <f>IF(AD171&lt;1,1,0)</f>
        <v/>
      </c>
      <c r="AI171">
        <f>IF(AF171&lt;&gt;AG171,1,0)</f>
        <v/>
      </c>
      <c r="AJ171">
        <f>IF(AND(AG171&gt;=3,Z171&lt;=0.2),1,0)</f>
        <v/>
      </c>
      <c r="AK171">
        <f>AVERAGE(U171:Z171)</f>
        <v/>
      </c>
      <c r="AL171">
        <f>1+COUNTIF(bounds,"&lt;"&amp;ROUND(AK171,12))</f>
        <v/>
      </c>
      <c r="AM171">
        <f>IF(AI171=1,AB171,NA())</f>
        <v/>
      </c>
      <c r="AN171">
        <f>IF(AI171=0,AB171,NA())</f>
        <v/>
      </c>
    </row>
    <row r="172">
      <c r="A172" t="n">
        <v>164</v>
      </c>
      <c r="B172" t="n">
        <v>1</v>
      </c>
      <c r="C172" t="n">
        <v>3</v>
      </c>
      <c r="D172" t="n">
        <v>3</v>
      </c>
      <c r="E172" t="n">
        <v>3</v>
      </c>
      <c r="F172" t="n">
        <v>2</v>
      </c>
      <c r="G172" t="n">
        <v>2</v>
      </c>
      <c r="H172" t="n">
        <v>5</v>
      </c>
      <c r="I172" t="n">
        <v>4</v>
      </c>
      <c r="J172" t="n">
        <v>2</v>
      </c>
      <c r="K172" t="n">
        <v>5</v>
      </c>
      <c r="L172" t="n">
        <v>5</v>
      </c>
      <c r="M172" t="n">
        <v>3</v>
      </c>
      <c r="N172" t="n">
        <v>5</v>
      </c>
      <c r="O172" t="n">
        <v>4</v>
      </c>
      <c r="P172" t="n">
        <v>2</v>
      </c>
      <c r="Q172" t="n">
        <v>3</v>
      </c>
      <c r="R172" t="n">
        <v>1</v>
      </c>
      <c r="S172" t="n">
        <v>2</v>
      </c>
      <c r="T172" t="n">
        <v>2</v>
      </c>
      <c r="U172">
        <f>(AVERAGE(B172:D172)-1)/4</f>
        <v/>
      </c>
      <c r="V172">
        <f>(AVERAGE(E172:F172)-1)/4</f>
        <v/>
      </c>
      <c r="W172">
        <f>(AVERAGE(G172:I172)-1)/4</f>
        <v/>
      </c>
      <c r="X172">
        <f>(AVERAGE(J172:L172)-1)/4</f>
        <v/>
      </c>
      <c r="Y172">
        <f>(AVERAGE(M172:O172)-1)/4</f>
        <v/>
      </c>
      <c r="Z172">
        <f>(AVERAGE(P172:R172)-1)/4</f>
        <v/>
      </c>
      <c r="AA172">
        <f>(AVERAGE(S172:T172)-1)/4</f>
        <v/>
      </c>
      <c r="AB172">
        <f>AVERAGE(U172:Y172)</f>
        <v/>
      </c>
      <c r="AC172">
        <f>MIN(U172:Y172)</f>
        <v/>
      </c>
      <c r="AD172">
        <f>1-alpha*MAX(0,delta-AC172)</f>
        <v/>
      </c>
      <c r="AE172">
        <f>AB172*AD172</f>
        <v/>
      </c>
      <c r="AF172">
        <f>1+COUNTIF(bounds,"&lt;"&amp;ROUND(AB172,12))</f>
        <v/>
      </c>
      <c r="AG172">
        <f>1+COUNTIF(bounds,"&lt;"&amp;ROUND(AE172,12))</f>
        <v/>
      </c>
      <c r="AH172">
        <f>IF(AD172&lt;1,1,0)</f>
        <v/>
      </c>
      <c r="AI172">
        <f>IF(AF172&lt;&gt;AG172,1,0)</f>
        <v/>
      </c>
      <c r="AJ172">
        <f>IF(AND(AG172&gt;=3,Z172&lt;=0.2),1,0)</f>
        <v/>
      </c>
      <c r="AK172">
        <f>AVERAGE(U172:Z172)</f>
        <v/>
      </c>
      <c r="AL172">
        <f>1+COUNTIF(bounds,"&lt;"&amp;ROUND(AK172,12))</f>
        <v/>
      </c>
      <c r="AM172">
        <f>IF(AI172=1,AB172,NA())</f>
        <v/>
      </c>
      <c r="AN172">
        <f>IF(AI172=0,AB172,NA())</f>
        <v/>
      </c>
    </row>
    <row r="173">
      <c r="A173" t="n">
        <v>165</v>
      </c>
      <c r="B173" t="n">
        <v>4</v>
      </c>
      <c r="C173" t="n">
        <v>4</v>
      </c>
      <c r="D173" t="n">
        <v>5</v>
      </c>
      <c r="E173" t="n">
        <v>1</v>
      </c>
      <c r="F173" t="n">
        <v>5</v>
      </c>
      <c r="G173" t="n">
        <v>5</v>
      </c>
      <c r="H173" t="n">
        <v>2</v>
      </c>
      <c r="I173" t="n">
        <v>1</v>
      </c>
      <c r="J173" t="n">
        <v>5</v>
      </c>
      <c r="K173" t="n">
        <v>3</v>
      </c>
      <c r="L173" t="n">
        <v>4</v>
      </c>
      <c r="M173" t="n">
        <v>5</v>
      </c>
      <c r="N173" t="n">
        <v>5</v>
      </c>
      <c r="O173" t="n">
        <v>4</v>
      </c>
      <c r="P173" t="n">
        <v>2</v>
      </c>
      <c r="Q173" t="n">
        <v>4</v>
      </c>
      <c r="R173" t="n">
        <v>2</v>
      </c>
      <c r="S173" t="n">
        <v>5</v>
      </c>
      <c r="T173" t="n">
        <v>3</v>
      </c>
      <c r="U173">
        <f>(AVERAGE(B173:D173)-1)/4</f>
        <v/>
      </c>
      <c r="V173">
        <f>(AVERAGE(E173:F173)-1)/4</f>
        <v/>
      </c>
      <c r="W173">
        <f>(AVERAGE(G173:I173)-1)/4</f>
        <v/>
      </c>
      <c r="X173">
        <f>(AVERAGE(J173:L173)-1)/4</f>
        <v/>
      </c>
      <c r="Y173">
        <f>(AVERAGE(M173:O173)-1)/4</f>
        <v/>
      </c>
      <c r="Z173">
        <f>(AVERAGE(P173:R173)-1)/4</f>
        <v/>
      </c>
      <c r="AA173">
        <f>(AVERAGE(S173:T173)-1)/4</f>
        <v/>
      </c>
      <c r="AB173">
        <f>AVERAGE(U173:Y173)</f>
        <v/>
      </c>
      <c r="AC173">
        <f>MIN(U173:Y173)</f>
        <v/>
      </c>
      <c r="AD173">
        <f>1-alpha*MAX(0,delta-AC173)</f>
        <v/>
      </c>
      <c r="AE173">
        <f>AB173*AD173</f>
        <v/>
      </c>
      <c r="AF173">
        <f>1+COUNTIF(bounds,"&lt;"&amp;ROUND(AB173,12))</f>
        <v/>
      </c>
      <c r="AG173">
        <f>1+COUNTIF(bounds,"&lt;"&amp;ROUND(AE173,12))</f>
        <v/>
      </c>
      <c r="AH173">
        <f>IF(AD173&lt;1,1,0)</f>
        <v/>
      </c>
      <c r="AI173">
        <f>IF(AF173&lt;&gt;AG173,1,0)</f>
        <v/>
      </c>
      <c r="AJ173">
        <f>IF(AND(AG173&gt;=3,Z173&lt;=0.2),1,0)</f>
        <v/>
      </c>
      <c r="AK173">
        <f>AVERAGE(U173:Z173)</f>
        <v/>
      </c>
      <c r="AL173">
        <f>1+COUNTIF(bounds,"&lt;"&amp;ROUND(AK173,12))</f>
        <v/>
      </c>
      <c r="AM173">
        <f>IF(AI173=1,AB173,NA())</f>
        <v/>
      </c>
      <c r="AN173">
        <f>IF(AI173=0,AB173,NA())</f>
        <v/>
      </c>
    </row>
    <row r="174">
      <c r="A174" t="n">
        <v>166</v>
      </c>
      <c r="B174" t="n">
        <v>4</v>
      </c>
      <c r="C174" t="n">
        <v>3</v>
      </c>
      <c r="D174" t="n">
        <v>2</v>
      </c>
      <c r="E174" t="n">
        <v>3</v>
      </c>
      <c r="F174" t="n">
        <v>5</v>
      </c>
      <c r="G174" t="n">
        <v>3</v>
      </c>
      <c r="H174" t="n">
        <v>4</v>
      </c>
      <c r="I174" t="n">
        <v>5</v>
      </c>
      <c r="J174" t="n">
        <v>5</v>
      </c>
      <c r="K174" t="n">
        <v>5</v>
      </c>
      <c r="L174" t="n">
        <v>1</v>
      </c>
      <c r="M174" t="n">
        <v>1</v>
      </c>
      <c r="N174" t="n">
        <v>2</v>
      </c>
      <c r="O174" t="n">
        <v>1</v>
      </c>
      <c r="P174" t="n">
        <v>1</v>
      </c>
      <c r="Q174" t="n">
        <v>5</v>
      </c>
      <c r="R174" t="n">
        <v>1</v>
      </c>
      <c r="S174" t="n">
        <v>2</v>
      </c>
      <c r="T174" t="n">
        <v>4</v>
      </c>
      <c r="U174">
        <f>(AVERAGE(B174:D174)-1)/4</f>
        <v/>
      </c>
      <c r="V174">
        <f>(AVERAGE(E174:F174)-1)/4</f>
        <v/>
      </c>
      <c r="W174">
        <f>(AVERAGE(G174:I174)-1)/4</f>
        <v/>
      </c>
      <c r="X174">
        <f>(AVERAGE(J174:L174)-1)/4</f>
        <v/>
      </c>
      <c r="Y174">
        <f>(AVERAGE(M174:O174)-1)/4</f>
        <v/>
      </c>
      <c r="Z174">
        <f>(AVERAGE(P174:R174)-1)/4</f>
        <v/>
      </c>
      <c r="AA174">
        <f>(AVERAGE(S174:T174)-1)/4</f>
        <v/>
      </c>
      <c r="AB174">
        <f>AVERAGE(U174:Y174)</f>
        <v/>
      </c>
      <c r="AC174">
        <f>MIN(U174:Y174)</f>
        <v/>
      </c>
      <c r="AD174">
        <f>1-alpha*MAX(0,delta-AC174)</f>
        <v/>
      </c>
      <c r="AE174">
        <f>AB174*AD174</f>
        <v/>
      </c>
      <c r="AF174">
        <f>1+COUNTIF(bounds,"&lt;"&amp;ROUND(AB174,12))</f>
        <v/>
      </c>
      <c r="AG174">
        <f>1+COUNTIF(bounds,"&lt;"&amp;ROUND(AE174,12))</f>
        <v/>
      </c>
      <c r="AH174">
        <f>IF(AD174&lt;1,1,0)</f>
        <v/>
      </c>
      <c r="AI174">
        <f>IF(AF174&lt;&gt;AG174,1,0)</f>
        <v/>
      </c>
      <c r="AJ174">
        <f>IF(AND(AG174&gt;=3,Z174&lt;=0.2),1,0)</f>
        <v/>
      </c>
      <c r="AK174">
        <f>AVERAGE(U174:Z174)</f>
        <v/>
      </c>
      <c r="AL174">
        <f>1+COUNTIF(bounds,"&lt;"&amp;ROUND(AK174,12))</f>
        <v/>
      </c>
      <c r="AM174">
        <f>IF(AI174=1,AB174,NA())</f>
        <v/>
      </c>
      <c r="AN174">
        <f>IF(AI174=0,AB174,NA())</f>
        <v/>
      </c>
    </row>
    <row r="175">
      <c r="A175" t="n">
        <v>167</v>
      </c>
      <c r="B175" t="n">
        <v>1</v>
      </c>
      <c r="C175" t="n">
        <v>1</v>
      </c>
      <c r="D175" t="n">
        <v>5</v>
      </c>
      <c r="E175" t="n">
        <v>3</v>
      </c>
      <c r="F175" t="n">
        <v>3</v>
      </c>
      <c r="G175" t="n">
        <v>4</v>
      </c>
      <c r="H175" t="n">
        <v>4</v>
      </c>
      <c r="I175" t="n">
        <v>3</v>
      </c>
      <c r="J175" t="n">
        <v>5</v>
      </c>
      <c r="K175" t="n">
        <v>2</v>
      </c>
      <c r="L175" t="n">
        <v>2</v>
      </c>
      <c r="M175" t="n">
        <v>3</v>
      </c>
      <c r="N175" t="n">
        <v>1</v>
      </c>
      <c r="O175" t="n">
        <v>3</v>
      </c>
      <c r="P175" t="n">
        <v>3</v>
      </c>
      <c r="Q175" t="n">
        <v>1</v>
      </c>
      <c r="R175" t="n">
        <v>4</v>
      </c>
      <c r="S175" t="n">
        <v>5</v>
      </c>
      <c r="T175" t="n">
        <v>1</v>
      </c>
      <c r="U175">
        <f>(AVERAGE(B175:D175)-1)/4</f>
        <v/>
      </c>
      <c r="V175">
        <f>(AVERAGE(E175:F175)-1)/4</f>
        <v/>
      </c>
      <c r="W175">
        <f>(AVERAGE(G175:I175)-1)/4</f>
        <v/>
      </c>
      <c r="X175">
        <f>(AVERAGE(J175:L175)-1)/4</f>
        <v/>
      </c>
      <c r="Y175">
        <f>(AVERAGE(M175:O175)-1)/4</f>
        <v/>
      </c>
      <c r="Z175">
        <f>(AVERAGE(P175:R175)-1)/4</f>
        <v/>
      </c>
      <c r="AA175">
        <f>(AVERAGE(S175:T175)-1)/4</f>
        <v/>
      </c>
      <c r="AB175">
        <f>AVERAGE(U175:Y175)</f>
        <v/>
      </c>
      <c r="AC175">
        <f>MIN(U175:Y175)</f>
        <v/>
      </c>
      <c r="AD175">
        <f>1-alpha*MAX(0,delta-AC175)</f>
        <v/>
      </c>
      <c r="AE175">
        <f>AB175*AD175</f>
        <v/>
      </c>
      <c r="AF175">
        <f>1+COUNTIF(bounds,"&lt;"&amp;ROUND(AB175,12))</f>
        <v/>
      </c>
      <c r="AG175">
        <f>1+COUNTIF(bounds,"&lt;"&amp;ROUND(AE175,12))</f>
        <v/>
      </c>
      <c r="AH175">
        <f>IF(AD175&lt;1,1,0)</f>
        <v/>
      </c>
      <c r="AI175">
        <f>IF(AF175&lt;&gt;AG175,1,0)</f>
        <v/>
      </c>
      <c r="AJ175">
        <f>IF(AND(AG175&gt;=3,Z175&lt;=0.2),1,0)</f>
        <v/>
      </c>
      <c r="AK175">
        <f>AVERAGE(U175:Z175)</f>
        <v/>
      </c>
      <c r="AL175">
        <f>1+COUNTIF(bounds,"&lt;"&amp;ROUND(AK175,12))</f>
        <v/>
      </c>
      <c r="AM175">
        <f>IF(AI175=1,AB175,NA())</f>
        <v/>
      </c>
      <c r="AN175">
        <f>IF(AI175=0,AB175,NA())</f>
        <v/>
      </c>
    </row>
    <row r="176">
      <c r="A176" t="n">
        <v>168</v>
      </c>
      <c r="B176" t="n">
        <v>2</v>
      </c>
      <c r="C176" t="n">
        <v>5</v>
      </c>
      <c r="D176" t="n">
        <v>2</v>
      </c>
      <c r="E176" t="n">
        <v>2</v>
      </c>
      <c r="F176" t="n">
        <v>3</v>
      </c>
      <c r="G176" t="n">
        <v>4</v>
      </c>
      <c r="H176" t="n">
        <v>4</v>
      </c>
      <c r="I176" t="n">
        <v>2</v>
      </c>
      <c r="J176" t="n">
        <v>3</v>
      </c>
      <c r="K176" t="n">
        <v>1</v>
      </c>
      <c r="L176" t="n">
        <v>5</v>
      </c>
      <c r="M176" t="n">
        <v>4</v>
      </c>
      <c r="N176" t="n">
        <v>1</v>
      </c>
      <c r="O176" t="n">
        <v>5</v>
      </c>
      <c r="P176" t="n">
        <v>2</v>
      </c>
      <c r="Q176" t="n">
        <v>5</v>
      </c>
      <c r="R176" t="n">
        <v>5</v>
      </c>
      <c r="S176" t="n">
        <v>4</v>
      </c>
      <c r="T176" t="n">
        <v>4</v>
      </c>
      <c r="U176">
        <f>(AVERAGE(B176:D176)-1)/4</f>
        <v/>
      </c>
      <c r="V176">
        <f>(AVERAGE(E176:F176)-1)/4</f>
        <v/>
      </c>
      <c r="W176">
        <f>(AVERAGE(G176:I176)-1)/4</f>
        <v/>
      </c>
      <c r="X176">
        <f>(AVERAGE(J176:L176)-1)/4</f>
        <v/>
      </c>
      <c r="Y176">
        <f>(AVERAGE(M176:O176)-1)/4</f>
        <v/>
      </c>
      <c r="Z176">
        <f>(AVERAGE(P176:R176)-1)/4</f>
        <v/>
      </c>
      <c r="AA176">
        <f>(AVERAGE(S176:T176)-1)/4</f>
        <v/>
      </c>
      <c r="AB176">
        <f>AVERAGE(U176:Y176)</f>
        <v/>
      </c>
      <c r="AC176">
        <f>MIN(U176:Y176)</f>
        <v/>
      </c>
      <c r="AD176">
        <f>1-alpha*MAX(0,delta-AC176)</f>
        <v/>
      </c>
      <c r="AE176">
        <f>AB176*AD176</f>
        <v/>
      </c>
      <c r="AF176">
        <f>1+COUNTIF(bounds,"&lt;"&amp;ROUND(AB176,12))</f>
        <v/>
      </c>
      <c r="AG176">
        <f>1+COUNTIF(bounds,"&lt;"&amp;ROUND(AE176,12))</f>
        <v/>
      </c>
      <c r="AH176">
        <f>IF(AD176&lt;1,1,0)</f>
        <v/>
      </c>
      <c r="AI176">
        <f>IF(AF176&lt;&gt;AG176,1,0)</f>
        <v/>
      </c>
      <c r="AJ176">
        <f>IF(AND(AG176&gt;=3,Z176&lt;=0.2),1,0)</f>
        <v/>
      </c>
      <c r="AK176">
        <f>AVERAGE(U176:Z176)</f>
        <v/>
      </c>
      <c r="AL176">
        <f>1+COUNTIF(bounds,"&lt;"&amp;ROUND(AK176,12))</f>
        <v/>
      </c>
      <c r="AM176">
        <f>IF(AI176=1,AB176,NA())</f>
        <v/>
      </c>
      <c r="AN176">
        <f>IF(AI176=0,AB176,NA())</f>
        <v/>
      </c>
    </row>
    <row r="177">
      <c r="A177" t="n">
        <v>169</v>
      </c>
      <c r="B177" t="n">
        <v>1</v>
      </c>
      <c r="C177" t="n">
        <v>2</v>
      </c>
      <c r="D177" t="n">
        <v>2</v>
      </c>
      <c r="E177" t="n">
        <v>4</v>
      </c>
      <c r="F177" t="n">
        <v>2</v>
      </c>
      <c r="G177" t="n">
        <v>5</v>
      </c>
      <c r="H177" t="n">
        <v>1</v>
      </c>
      <c r="I177" t="n">
        <v>4</v>
      </c>
      <c r="J177" t="n">
        <v>3</v>
      </c>
      <c r="K177" t="n">
        <v>2</v>
      </c>
      <c r="L177" t="n">
        <v>4</v>
      </c>
      <c r="M177" t="n">
        <v>4</v>
      </c>
      <c r="N177" t="n">
        <v>5</v>
      </c>
      <c r="O177" t="n">
        <v>3</v>
      </c>
      <c r="P177" t="n">
        <v>3</v>
      </c>
      <c r="Q177" t="n">
        <v>5</v>
      </c>
      <c r="R177" t="n">
        <v>5</v>
      </c>
      <c r="S177" t="n">
        <v>1</v>
      </c>
      <c r="T177" t="n">
        <v>4</v>
      </c>
      <c r="U177">
        <f>(AVERAGE(B177:D177)-1)/4</f>
        <v/>
      </c>
      <c r="V177">
        <f>(AVERAGE(E177:F177)-1)/4</f>
        <v/>
      </c>
      <c r="W177">
        <f>(AVERAGE(G177:I177)-1)/4</f>
        <v/>
      </c>
      <c r="X177">
        <f>(AVERAGE(J177:L177)-1)/4</f>
        <v/>
      </c>
      <c r="Y177">
        <f>(AVERAGE(M177:O177)-1)/4</f>
        <v/>
      </c>
      <c r="Z177">
        <f>(AVERAGE(P177:R177)-1)/4</f>
        <v/>
      </c>
      <c r="AA177">
        <f>(AVERAGE(S177:T177)-1)/4</f>
        <v/>
      </c>
      <c r="AB177">
        <f>AVERAGE(U177:Y177)</f>
        <v/>
      </c>
      <c r="AC177">
        <f>MIN(U177:Y177)</f>
        <v/>
      </c>
      <c r="AD177">
        <f>1-alpha*MAX(0,delta-AC177)</f>
        <v/>
      </c>
      <c r="AE177">
        <f>AB177*AD177</f>
        <v/>
      </c>
      <c r="AF177">
        <f>1+COUNTIF(bounds,"&lt;"&amp;ROUND(AB177,12))</f>
        <v/>
      </c>
      <c r="AG177">
        <f>1+COUNTIF(bounds,"&lt;"&amp;ROUND(AE177,12))</f>
        <v/>
      </c>
      <c r="AH177">
        <f>IF(AD177&lt;1,1,0)</f>
        <v/>
      </c>
      <c r="AI177">
        <f>IF(AF177&lt;&gt;AG177,1,0)</f>
        <v/>
      </c>
      <c r="AJ177">
        <f>IF(AND(AG177&gt;=3,Z177&lt;=0.2),1,0)</f>
        <v/>
      </c>
      <c r="AK177">
        <f>AVERAGE(U177:Z177)</f>
        <v/>
      </c>
      <c r="AL177">
        <f>1+COUNTIF(bounds,"&lt;"&amp;ROUND(AK177,12))</f>
        <v/>
      </c>
      <c r="AM177">
        <f>IF(AI177=1,AB177,NA())</f>
        <v/>
      </c>
      <c r="AN177">
        <f>IF(AI177=0,AB177,NA())</f>
        <v/>
      </c>
    </row>
    <row r="178">
      <c r="A178" t="n">
        <v>170</v>
      </c>
      <c r="B178" t="n">
        <v>1</v>
      </c>
      <c r="C178" t="n">
        <v>3</v>
      </c>
      <c r="D178" t="n">
        <v>4</v>
      </c>
      <c r="E178" t="n">
        <v>3</v>
      </c>
      <c r="F178" t="n">
        <v>5</v>
      </c>
      <c r="G178" t="n">
        <v>1</v>
      </c>
      <c r="H178" t="n">
        <v>3</v>
      </c>
      <c r="I178" t="n">
        <v>3</v>
      </c>
      <c r="J178" t="n">
        <v>3</v>
      </c>
      <c r="K178" t="n">
        <v>3</v>
      </c>
      <c r="L178" t="n">
        <v>5</v>
      </c>
      <c r="M178" t="n">
        <v>3</v>
      </c>
      <c r="N178" t="n">
        <v>4</v>
      </c>
      <c r="O178" t="n">
        <v>3</v>
      </c>
      <c r="P178" t="n">
        <v>2</v>
      </c>
      <c r="Q178" t="n">
        <v>5</v>
      </c>
      <c r="R178" t="n">
        <v>2</v>
      </c>
      <c r="S178" t="n">
        <v>4</v>
      </c>
      <c r="T178" t="n">
        <v>5</v>
      </c>
      <c r="U178">
        <f>(AVERAGE(B178:D178)-1)/4</f>
        <v/>
      </c>
      <c r="V178">
        <f>(AVERAGE(E178:F178)-1)/4</f>
        <v/>
      </c>
      <c r="W178">
        <f>(AVERAGE(G178:I178)-1)/4</f>
        <v/>
      </c>
      <c r="X178">
        <f>(AVERAGE(J178:L178)-1)/4</f>
        <v/>
      </c>
      <c r="Y178">
        <f>(AVERAGE(M178:O178)-1)/4</f>
        <v/>
      </c>
      <c r="Z178">
        <f>(AVERAGE(P178:R178)-1)/4</f>
        <v/>
      </c>
      <c r="AA178">
        <f>(AVERAGE(S178:T178)-1)/4</f>
        <v/>
      </c>
      <c r="AB178">
        <f>AVERAGE(U178:Y178)</f>
        <v/>
      </c>
      <c r="AC178">
        <f>MIN(U178:Y178)</f>
        <v/>
      </c>
      <c r="AD178">
        <f>1-alpha*MAX(0,delta-AC178)</f>
        <v/>
      </c>
      <c r="AE178">
        <f>AB178*AD178</f>
        <v/>
      </c>
      <c r="AF178">
        <f>1+COUNTIF(bounds,"&lt;"&amp;ROUND(AB178,12))</f>
        <v/>
      </c>
      <c r="AG178">
        <f>1+COUNTIF(bounds,"&lt;"&amp;ROUND(AE178,12))</f>
        <v/>
      </c>
      <c r="AH178">
        <f>IF(AD178&lt;1,1,0)</f>
        <v/>
      </c>
      <c r="AI178">
        <f>IF(AF178&lt;&gt;AG178,1,0)</f>
        <v/>
      </c>
      <c r="AJ178">
        <f>IF(AND(AG178&gt;=3,Z178&lt;=0.2),1,0)</f>
        <v/>
      </c>
      <c r="AK178">
        <f>AVERAGE(U178:Z178)</f>
        <v/>
      </c>
      <c r="AL178">
        <f>1+COUNTIF(bounds,"&lt;"&amp;ROUND(AK178,12))</f>
        <v/>
      </c>
      <c r="AM178">
        <f>IF(AI178=1,AB178,NA())</f>
        <v/>
      </c>
      <c r="AN178">
        <f>IF(AI178=0,AB178,NA())</f>
        <v/>
      </c>
    </row>
    <row r="179">
      <c r="A179" t="n">
        <v>171</v>
      </c>
      <c r="B179" t="n">
        <v>3</v>
      </c>
      <c r="C179" t="n">
        <v>3</v>
      </c>
      <c r="D179" t="n">
        <v>5</v>
      </c>
      <c r="E179" t="n">
        <v>1</v>
      </c>
      <c r="F179" t="n">
        <v>1</v>
      </c>
      <c r="G179" t="n">
        <v>1</v>
      </c>
      <c r="H179" t="n">
        <v>5</v>
      </c>
      <c r="I179" t="n">
        <v>2</v>
      </c>
      <c r="J179" t="n">
        <v>2</v>
      </c>
      <c r="K179" t="n">
        <v>1</v>
      </c>
      <c r="L179" t="n">
        <v>3</v>
      </c>
      <c r="M179" t="n">
        <v>5</v>
      </c>
      <c r="N179" t="n">
        <v>1</v>
      </c>
      <c r="O179" t="n">
        <v>3</v>
      </c>
      <c r="P179" t="n">
        <v>2</v>
      </c>
      <c r="Q179" t="n">
        <v>3</v>
      </c>
      <c r="R179" t="n">
        <v>1</v>
      </c>
      <c r="S179" t="n">
        <v>4</v>
      </c>
      <c r="T179" t="n">
        <v>1</v>
      </c>
      <c r="U179">
        <f>(AVERAGE(B179:D179)-1)/4</f>
        <v/>
      </c>
      <c r="V179">
        <f>(AVERAGE(E179:F179)-1)/4</f>
        <v/>
      </c>
      <c r="W179">
        <f>(AVERAGE(G179:I179)-1)/4</f>
        <v/>
      </c>
      <c r="X179">
        <f>(AVERAGE(J179:L179)-1)/4</f>
        <v/>
      </c>
      <c r="Y179">
        <f>(AVERAGE(M179:O179)-1)/4</f>
        <v/>
      </c>
      <c r="Z179">
        <f>(AVERAGE(P179:R179)-1)/4</f>
        <v/>
      </c>
      <c r="AA179">
        <f>(AVERAGE(S179:T179)-1)/4</f>
        <v/>
      </c>
      <c r="AB179">
        <f>AVERAGE(U179:Y179)</f>
        <v/>
      </c>
      <c r="AC179">
        <f>MIN(U179:Y179)</f>
        <v/>
      </c>
      <c r="AD179">
        <f>1-alpha*MAX(0,delta-AC179)</f>
        <v/>
      </c>
      <c r="AE179">
        <f>AB179*AD179</f>
        <v/>
      </c>
      <c r="AF179">
        <f>1+COUNTIF(bounds,"&lt;"&amp;ROUND(AB179,12))</f>
        <v/>
      </c>
      <c r="AG179">
        <f>1+COUNTIF(bounds,"&lt;"&amp;ROUND(AE179,12))</f>
        <v/>
      </c>
      <c r="AH179">
        <f>IF(AD179&lt;1,1,0)</f>
        <v/>
      </c>
      <c r="AI179">
        <f>IF(AF179&lt;&gt;AG179,1,0)</f>
        <v/>
      </c>
      <c r="AJ179">
        <f>IF(AND(AG179&gt;=3,Z179&lt;=0.2),1,0)</f>
        <v/>
      </c>
      <c r="AK179">
        <f>AVERAGE(U179:Z179)</f>
        <v/>
      </c>
      <c r="AL179">
        <f>1+COUNTIF(bounds,"&lt;"&amp;ROUND(AK179,12))</f>
        <v/>
      </c>
      <c r="AM179">
        <f>IF(AI179=1,AB179,NA())</f>
        <v/>
      </c>
      <c r="AN179">
        <f>IF(AI179=0,AB179,NA())</f>
        <v/>
      </c>
    </row>
    <row r="180">
      <c r="A180" t="n">
        <v>172</v>
      </c>
      <c r="B180" t="n">
        <v>2</v>
      </c>
      <c r="C180" t="n">
        <v>3</v>
      </c>
      <c r="D180" t="n">
        <v>5</v>
      </c>
      <c r="E180" t="n">
        <v>4</v>
      </c>
      <c r="F180" t="n">
        <v>3</v>
      </c>
      <c r="G180" t="n">
        <v>4</v>
      </c>
      <c r="H180" t="n">
        <v>4</v>
      </c>
      <c r="I180" t="n">
        <v>4</v>
      </c>
      <c r="J180" t="n">
        <v>4</v>
      </c>
      <c r="K180" t="n">
        <v>2</v>
      </c>
      <c r="L180" t="n">
        <v>3</v>
      </c>
      <c r="M180" t="n">
        <v>4</v>
      </c>
      <c r="N180" t="n">
        <v>3</v>
      </c>
      <c r="O180" t="n">
        <v>2</v>
      </c>
      <c r="P180" t="n">
        <v>5</v>
      </c>
      <c r="Q180" t="n">
        <v>4</v>
      </c>
      <c r="R180" t="n">
        <v>2</v>
      </c>
      <c r="S180" t="n">
        <v>4</v>
      </c>
      <c r="T180" t="n">
        <v>3</v>
      </c>
      <c r="U180">
        <f>(AVERAGE(B180:D180)-1)/4</f>
        <v/>
      </c>
      <c r="V180">
        <f>(AVERAGE(E180:F180)-1)/4</f>
        <v/>
      </c>
      <c r="W180">
        <f>(AVERAGE(G180:I180)-1)/4</f>
        <v/>
      </c>
      <c r="X180">
        <f>(AVERAGE(J180:L180)-1)/4</f>
        <v/>
      </c>
      <c r="Y180">
        <f>(AVERAGE(M180:O180)-1)/4</f>
        <v/>
      </c>
      <c r="Z180">
        <f>(AVERAGE(P180:R180)-1)/4</f>
        <v/>
      </c>
      <c r="AA180">
        <f>(AVERAGE(S180:T180)-1)/4</f>
        <v/>
      </c>
      <c r="AB180">
        <f>AVERAGE(U180:Y180)</f>
        <v/>
      </c>
      <c r="AC180">
        <f>MIN(U180:Y180)</f>
        <v/>
      </c>
      <c r="AD180">
        <f>1-alpha*MAX(0,delta-AC180)</f>
        <v/>
      </c>
      <c r="AE180">
        <f>AB180*AD180</f>
        <v/>
      </c>
      <c r="AF180">
        <f>1+COUNTIF(bounds,"&lt;"&amp;ROUND(AB180,12))</f>
        <v/>
      </c>
      <c r="AG180">
        <f>1+COUNTIF(bounds,"&lt;"&amp;ROUND(AE180,12))</f>
        <v/>
      </c>
      <c r="AH180">
        <f>IF(AD180&lt;1,1,0)</f>
        <v/>
      </c>
      <c r="AI180">
        <f>IF(AF180&lt;&gt;AG180,1,0)</f>
        <v/>
      </c>
      <c r="AJ180">
        <f>IF(AND(AG180&gt;=3,Z180&lt;=0.2),1,0)</f>
        <v/>
      </c>
      <c r="AK180">
        <f>AVERAGE(U180:Z180)</f>
        <v/>
      </c>
      <c r="AL180">
        <f>1+COUNTIF(bounds,"&lt;"&amp;ROUND(AK180,12))</f>
        <v/>
      </c>
      <c r="AM180">
        <f>IF(AI180=1,AB180,NA())</f>
        <v/>
      </c>
      <c r="AN180">
        <f>IF(AI180=0,AB180,NA())</f>
        <v/>
      </c>
    </row>
    <row r="181">
      <c r="A181" t="n">
        <v>173</v>
      </c>
      <c r="B181" t="n">
        <v>3</v>
      </c>
      <c r="C181" t="n">
        <v>3</v>
      </c>
      <c r="D181" t="n">
        <v>3</v>
      </c>
      <c r="E181" t="n">
        <v>3</v>
      </c>
      <c r="F181" t="n">
        <v>2</v>
      </c>
      <c r="G181" t="n">
        <v>3</v>
      </c>
      <c r="H181" t="n">
        <v>3</v>
      </c>
      <c r="I181" t="n">
        <v>2</v>
      </c>
      <c r="J181" t="n">
        <v>3</v>
      </c>
      <c r="K181" t="n">
        <v>1</v>
      </c>
      <c r="L181" t="n">
        <v>5</v>
      </c>
      <c r="M181" t="n">
        <v>2</v>
      </c>
      <c r="N181" t="n">
        <v>5</v>
      </c>
      <c r="O181" t="n">
        <v>2</v>
      </c>
      <c r="P181" t="n">
        <v>5</v>
      </c>
      <c r="Q181" t="n">
        <v>5</v>
      </c>
      <c r="R181" t="n">
        <v>2</v>
      </c>
      <c r="S181" t="n">
        <v>4</v>
      </c>
      <c r="T181" t="n">
        <v>4</v>
      </c>
      <c r="U181">
        <f>(AVERAGE(B181:D181)-1)/4</f>
        <v/>
      </c>
      <c r="V181">
        <f>(AVERAGE(E181:F181)-1)/4</f>
        <v/>
      </c>
      <c r="W181">
        <f>(AVERAGE(G181:I181)-1)/4</f>
        <v/>
      </c>
      <c r="X181">
        <f>(AVERAGE(J181:L181)-1)/4</f>
        <v/>
      </c>
      <c r="Y181">
        <f>(AVERAGE(M181:O181)-1)/4</f>
        <v/>
      </c>
      <c r="Z181">
        <f>(AVERAGE(P181:R181)-1)/4</f>
        <v/>
      </c>
      <c r="AA181">
        <f>(AVERAGE(S181:T181)-1)/4</f>
        <v/>
      </c>
      <c r="AB181">
        <f>AVERAGE(U181:Y181)</f>
        <v/>
      </c>
      <c r="AC181">
        <f>MIN(U181:Y181)</f>
        <v/>
      </c>
      <c r="AD181">
        <f>1-alpha*MAX(0,delta-AC181)</f>
        <v/>
      </c>
      <c r="AE181">
        <f>AB181*AD181</f>
        <v/>
      </c>
      <c r="AF181">
        <f>1+COUNTIF(bounds,"&lt;"&amp;ROUND(AB181,12))</f>
        <v/>
      </c>
      <c r="AG181">
        <f>1+COUNTIF(bounds,"&lt;"&amp;ROUND(AE181,12))</f>
        <v/>
      </c>
      <c r="AH181">
        <f>IF(AD181&lt;1,1,0)</f>
        <v/>
      </c>
      <c r="AI181">
        <f>IF(AF181&lt;&gt;AG181,1,0)</f>
        <v/>
      </c>
      <c r="AJ181">
        <f>IF(AND(AG181&gt;=3,Z181&lt;=0.2),1,0)</f>
        <v/>
      </c>
      <c r="AK181">
        <f>AVERAGE(U181:Z181)</f>
        <v/>
      </c>
      <c r="AL181">
        <f>1+COUNTIF(bounds,"&lt;"&amp;ROUND(AK181,12))</f>
        <v/>
      </c>
      <c r="AM181">
        <f>IF(AI181=1,AB181,NA())</f>
        <v/>
      </c>
      <c r="AN181">
        <f>IF(AI181=0,AB181,NA())</f>
        <v/>
      </c>
    </row>
    <row r="182">
      <c r="A182" t="n">
        <v>174</v>
      </c>
      <c r="B182" t="n">
        <v>1</v>
      </c>
      <c r="C182" t="n">
        <v>4</v>
      </c>
      <c r="D182" t="n">
        <v>5</v>
      </c>
      <c r="E182" t="n">
        <v>2</v>
      </c>
      <c r="F182" t="n">
        <v>4</v>
      </c>
      <c r="G182" t="n">
        <v>3</v>
      </c>
      <c r="H182" t="n">
        <v>2</v>
      </c>
      <c r="I182" t="n">
        <v>4</v>
      </c>
      <c r="J182" t="n">
        <v>5</v>
      </c>
      <c r="K182" t="n">
        <v>3</v>
      </c>
      <c r="L182" t="n">
        <v>5</v>
      </c>
      <c r="M182" t="n">
        <v>3</v>
      </c>
      <c r="N182" t="n">
        <v>2</v>
      </c>
      <c r="O182" t="n">
        <v>1</v>
      </c>
      <c r="P182" t="n">
        <v>5</v>
      </c>
      <c r="Q182" t="n">
        <v>1</v>
      </c>
      <c r="R182" t="n">
        <v>2</v>
      </c>
      <c r="S182" t="n">
        <v>1</v>
      </c>
      <c r="T182" t="n">
        <v>5</v>
      </c>
      <c r="U182">
        <f>(AVERAGE(B182:D182)-1)/4</f>
        <v/>
      </c>
      <c r="V182">
        <f>(AVERAGE(E182:F182)-1)/4</f>
        <v/>
      </c>
      <c r="W182">
        <f>(AVERAGE(G182:I182)-1)/4</f>
        <v/>
      </c>
      <c r="X182">
        <f>(AVERAGE(J182:L182)-1)/4</f>
        <v/>
      </c>
      <c r="Y182">
        <f>(AVERAGE(M182:O182)-1)/4</f>
        <v/>
      </c>
      <c r="Z182">
        <f>(AVERAGE(P182:R182)-1)/4</f>
        <v/>
      </c>
      <c r="AA182">
        <f>(AVERAGE(S182:T182)-1)/4</f>
        <v/>
      </c>
      <c r="AB182">
        <f>AVERAGE(U182:Y182)</f>
        <v/>
      </c>
      <c r="AC182">
        <f>MIN(U182:Y182)</f>
        <v/>
      </c>
      <c r="AD182">
        <f>1-alpha*MAX(0,delta-AC182)</f>
        <v/>
      </c>
      <c r="AE182">
        <f>AB182*AD182</f>
        <v/>
      </c>
      <c r="AF182">
        <f>1+COUNTIF(bounds,"&lt;"&amp;ROUND(AB182,12))</f>
        <v/>
      </c>
      <c r="AG182">
        <f>1+COUNTIF(bounds,"&lt;"&amp;ROUND(AE182,12))</f>
        <v/>
      </c>
      <c r="AH182">
        <f>IF(AD182&lt;1,1,0)</f>
        <v/>
      </c>
      <c r="AI182">
        <f>IF(AF182&lt;&gt;AG182,1,0)</f>
        <v/>
      </c>
      <c r="AJ182">
        <f>IF(AND(AG182&gt;=3,Z182&lt;=0.2),1,0)</f>
        <v/>
      </c>
      <c r="AK182">
        <f>AVERAGE(U182:Z182)</f>
        <v/>
      </c>
      <c r="AL182">
        <f>1+COUNTIF(bounds,"&lt;"&amp;ROUND(AK182,12))</f>
        <v/>
      </c>
      <c r="AM182">
        <f>IF(AI182=1,AB182,NA())</f>
        <v/>
      </c>
      <c r="AN182">
        <f>IF(AI182=0,AB182,NA())</f>
        <v/>
      </c>
    </row>
    <row r="183">
      <c r="A183" t="n">
        <v>175</v>
      </c>
      <c r="B183" t="n">
        <v>5</v>
      </c>
      <c r="C183" t="n">
        <v>3</v>
      </c>
      <c r="D183" t="n">
        <v>2</v>
      </c>
      <c r="E183" t="n">
        <v>5</v>
      </c>
      <c r="F183" t="n">
        <v>5</v>
      </c>
      <c r="G183" t="n">
        <v>4</v>
      </c>
      <c r="H183" t="n">
        <v>2</v>
      </c>
      <c r="I183" t="n">
        <v>3</v>
      </c>
      <c r="J183" t="n">
        <v>2</v>
      </c>
      <c r="K183" t="n">
        <v>5</v>
      </c>
      <c r="L183" t="n">
        <v>2</v>
      </c>
      <c r="M183" t="n">
        <v>4</v>
      </c>
      <c r="N183" t="n">
        <v>1</v>
      </c>
      <c r="O183" t="n">
        <v>1</v>
      </c>
      <c r="P183" t="n">
        <v>2</v>
      </c>
      <c r="Q183" t="n">
        <v>1</v>
      </c>
      <c r="R183" t="n">
        <v>2</v>
      </c>
      <c r="S183" t="n">
        <v>2</v>
      </c>
      <c r="T183" t="n">
        <v>1</v>
      </c>
      <c r="U183">
        <f>(AVERAGE(B183:D183)-1)/4</f>
        <v/>
      </c>
      <c r="V183">
        <f>(AVERAGE(E183:F183)-1)/4</f>
        <v/>
      </c>
      <c r="W183">
        <f>(AVERAGE(G183:I183)-1)/4</f>
        <v/>
      </c>
      <c r="X183">
        <f>(AVERAGE(J183:L183)-1)/4</f>
        <v/>
      </c>
      <c r="Y183">
        <f>(AVERAGE(M183:O183)-1)/4</f>
        <v/>
      </c>
      <c r="Z183">
        <f>(AVERAGE(P183:R183)-1)/4</f>
        <v/>
      </c>
      <c r="AA183">
        <f>(AVERAGE(S183:T183)-1)/4</f>
        <v/>
      </c>
      <c r="AB183">
        <f>AVERAGE(U183:Y183)</f>
        <v/>
      </c>
      <c r="AC183">
        <f>MIN(U183:Y183)</f>
        <v/>
      </c>
      <c r="AD183">
        <f>1-alpha*MAX(0,delta-AC183)</f>
        <v/>
      </c>
      <c r="AE183">
        <f>AB183*AD183</f>
        <v/>
      </c>
      <c r="AF183">
        <f>1+COUNTIF(bounds,"&lt;"&amp;ROUND(AB183,12))</f>
        <v/>
      </c>
      <c r="AG183">
        <f>1+COUNTIF(bounds,"&lt;"&amp;ROUND(AE183,12))</f>
        <v/>
      </c>
      <c r="AH183">
        <f>IF(AD183&lt;1,1,0)</f>
        <v/>
      </c>
      <c r="AI183">
        <f>IF(AF183&lt;&gt;AG183,1,0)</f>
        <v/>
      </c>
      <c r="AJ183">
        <f>IF(AND(AG183&gt;=3,Z183&lt;=0.2),1,0)</f>
        <v/>
      </c>
      <c r="AK183">
        <f>AVERAGE(U183:Z183)</f>
        <v/>
      </c>
      <c r="AL183">
        <f>1+COUNTIF(bounds,"&lt;"&amp;ROUND(AK183,12))</f>
        <v/>
      </c>
      <c r="AM183">
        <f>IF(AI183=1,AB183,NA())</f>
        <v/>
      </c>
      <c r="AN183">
        <f>IF(AI183=0,AB183,NA())</f>
        <v/>
      </c>
    </row>
    <row r="184">
      <c r="A184" t="n">
        <v>176</v>
      </c>
      <c r="B184" t="n">
        <v>4</v>
      </c>
      <c r="C184" t="n">
        <v>5</v>
      </c>
      <c r="D184" t="n">
        <v>5</v>
      </c>
      <c r="E184" t="n">
        <v>4</v>
      </c>
      <c r="F184" t="n">
        <v>4</v>
      </c>
      <c r="G184" t="n">
        <v>2</v>
      </c>
      <c r="H184" t="n">
        <v>3</v>
      </c>
      <c r="I184" t="n">
        <v>5</v>
      </c>
      <c r="J184" t="n">
        <v>4</v>
      </c>
      <c r="K184" t="n">
        <v>1</v>
      </c>
      <c r="L184" t="n">
        <v>1</v>
      </c>
      <c r="M184" t="n">
        <v>4</v>
      </c>
      <c r="N184" t="n">
        <v>2</v>
      </c>
      <c r="O184" t="n">
        <v>1</v>
      </c>
      <c r="P184" t="n">
        <v>1</v>
      </c>
      <c r="Q184" t="n">
        <v>4</v>
      </c>
      <c r="R184" t="n">
        <v>1</v>
      </c>
      <c r="S184" t="n">
        <v>5</v>
      </c>
      <c r="T184" t="n">
        <v>1</v>
      </c>
      <c r="U184">
        <f>(AVERAGE(B184:D184)-1)/4</f>
        <v/>
      </c>
      <c r="V184">
        <f>(AVERAGE(E184:F184)-1)/4</f>
        <v/>
      </c>
      <c r="W184">
        <f>(AVERAGE(G184:I184)-1)/4</f>
        <v/>
      </c>
      <c r="X184">
        <f>(AVERAGE(J184:L184)-1)/4</f>
        <v/>
      </c>
      <c r="Y184">
        <f>(AVERAGE(M184:O184)-1)/4</f>
        <v/>
      </c>
      <c r="Z184">
        <f>(AVERAGE(P184:R184)-1)/4</f>
        <v/>
      </c>
      <c r="AA184">
        <f>(AVERAGE(S184:T184)-1)/4</f>
        <v/>
      </c>
      <c r="AB184">
        <f>AVERAGE(U184:Y184)</f>
        <v/>
      </c>
      <c r="AC184">
        <f>MIN(U184:Y184)</f>
        <v/>
      </c>
      <c r="AD184">
        <f>1-alpha*MAX(0,delta-AC184)</f>
        <v/>
      </c>
      <c r="AE184">
        <f>AB184*AD184</f>
        <v/>
      </c>
      <c r="AF184">
        <f>1+COUNTIF(bounds,"&lt;"&amp;ROUND(AB184,12))</f>
        <v/>
      </c>
      <c r="AG184">
        <f>1+COUNTIF(bounds,"&lt;"&amp;ROUND(AE184,12))</f>
        <v/>
      </c>
      <c r="AH184">
        <f>IF(AD184&lt;1,1,0)</f>
        <v/>
      </c>
      <c r="AI184">
        <f>IF(AF184&lt;&gt;AG184,1,0)</f>
        <v/>
      </c>
      <c r="AJ184">
        <f>IF(AND(AG184&gt;=3,Z184&lt;=0.2),1,0)</f>
        <v/>
      </c>
      <c r="AK184">
        <f>AVERAGE(U184:Z184)</f>
        <v/>
      </c>
      <c r="AL184">
        <f>1+COUNTIF(bounds,"&lt;"&amp;ROUND(AK184,12))</f>
        <v/>
      </c>
      <c r="AM184">
        <f>IF(AI184=1,AB184,NA())</f>
        <v/>
      </c>
      <c r="AN184">
        <f>IF(AI184=0,AB184,NA())</f>
        <v/>
      </c>
    </row>
    <row r="185">
      <c r="A185" t="n">
        <v>177</v>
      </c>
      <c r="B185" t="n">
        <v>2</v>
      </c>
      <c r="C185" t="n">
        <v>5</v>
      </c>
      <c r="D185" t="n">
        <v>4</v>
      </c>
      <c r="E185" t="n">
        <v>4</v>
      </c>
      <c r="F185" t="n">
        <v>1</v>
      </c>
      <c r="G185" t="n">
        <v>5</v>
      </c>
      <c r="H185" t="n">
        <v>4</v>
      </c>
      <c r="I185" t="n">
        <v>3</v>
      </c>
      <c r="J185" t="n">
        <v>2</v>
      </c>
      <c r="K185" t="n">
        <v>3</v>
      </c>
      <c r="L185" t="n">
        <v>2</v>
      </c>
      <c r="M185" t="n">
        <v>4</v>
      </c>
      <c r="N185" t="n">
        <v>2</v>
      </c>
      <c r="O185" t="n">
        <v>3</v>
      </c>
      <c r="P185" t="n">
        <v>4</v>
      </c>
      <c r="Q185" t="n">
        <v>4</v>
      </c>
      <c r="R185" t="n">
        <v>4</v>
      </c>
      <c r="S185" t="n">
        <v>1</v>
      </c>
      <c r="T185" t="n">
        <v>4</v>
      </c>
      <c r="U185">
        <f>(AVERAGE(B185:D185)-1)/4</f>
        <v/>
      </c>
      <c r="V185">
        <f>(AVERAGE(E185:F185)-1)/4</f>
        <v/>
      </c>
      <c r="W185">
        <f>(AVERAGE(G185:I185)-1)/4</f>
        <v/>
      </c>
      <c r="X185">
        <f>(AVERAGE(J185:L185)-1)/4</f>
        <v/>
      </c>
      <c r="Y185">
        <f>(AVERAGE(M185:O185)-1)/4</f>
        <v/>
      </c>
      <c r="Z185">
        <f>(AVERAGE(P185:R185)-1)/4</f>
        <v/>
      </c>
      <c r="AA185">
        <f>(AVERAGE(S185:T185)-1)/4</f>
        <v/>
      </c>
      <c r="AB185">
        <f>AVERAGE(U185:Y185)</f>
        <v/>
      </c>
      <c r="AC185">
        <f>MIN(U185:Y185)</f>
        <v/>
      </c>
      <c r="AD185">
        <f>1-alpha*MAX(0,delta-AC185)</f>
        <v/>
      </c>
      <c r="AE185">
        <f>AB185*AD185</f>
        <v/>
      </c>
      <c r="AF185">
        <f>1+COUNTIF(bounds,"&lt;"&amp;ROUND(AB185,12))</f>
        <v/>
      </c>
      <c r="AG185">
        <f>1+COUNTIF(bounds,"&lt;"&amp;ROUND(AE185,12))</f>
        <v/>
      </c>
      <c r="AH185">
        <f>IF(AD185&lt;1,1,0)</f>
        <v/>
      </c>
      <c r="AI185">
        <f>IF(AF185&lt;&gt;AG185,1,0)</f>
        <v/>
      </c>
      <c r="AJ185">
        <f>IF(AND(AG185&gt;=3,Z185&lt;=0.2),1,0)</f>
        <v/>
      </c>
      <c r="AK185">
        <f>AVERAGE(U185:Z185)</f>
        <v/>
      </c>
      <c r="AL185">
        <f>1+COUNTIF(bounds,"&lt;"&amp;ROUND(AK185,12))</f>
        <v/>
      </c>
      <c r="AM185">
        <f>IF(AI185=1,AB185,NA())</f>
        <v/>
      </c>
      <c r="AN185">
        <f>IF(AI185=0,AB185,NA())</f>
        <v/>
      </c>
    </row>
    <row r="186">
      <c r="A186" t="n">
        <v>178</v>
      </c>
      <c r="B186" t="n">
        <v>5</v>
      </c>
      <c r="C186" t="n">
        <v>1</v>
      </c>
      <c r="D186" t="n">
        <v>5</v>
      </c>
      <c r="E186" t="n">
        <v>3</v>
      </c>
      <c r="F186" t="n">
        <v>1</v>
      </c>
      <c r="G186" t="n">
        <v>1</v>
      </c>
      <c r="H186" t="n">
        <v>5</v>
      </c>
      <c r="I186" t="n">
        <v>4</v>
      </c>
      <c r="J186" t="n">
        <v>3</v>
      </c>
      <c r="K186" t="n">
        <v>2</v>
      </c>
      <c r="L186" t="n">
        <v>1</v>
      </c>
      <c r="M186" t="n">
        <v>3</v>
      </c>
      <c r="N186" t="n">
        <v>2</v>
      </c>
      <c r="O186" t="n">
        <v>5</v>
      </c>
      <c r="P186" t="n">
        <v>2</v>
      </c>
      <c r="Q186" t="n">
        <v>4</v>
      </c>
      <c r="R186" t="n">
        <v>5</v>
      </c>
      <c r="S186" t="n">
        <v>5</v>
      </c>
      <c r="T186" t="n">
        <v>4</v>
      </c>
      <c r="U186">
        <f>(AVERAGE(B186:D186)-1)/4</f>
        <v/>
      </c>
      <c r="V186">
        <f>(AVERAGE(E186:F186)-1)/4</f>
        <v/>
      </c>
      <c r="W186">
        <f>(AVERAGE(G186:I186)-1)/4</f>
        <v/>
      </c>
      <c r="X186">
        <f>(AVERAGE(J186:L186)-1)/4</f>
        <v/>
      </c>
      <c r="Y186">
        <f>(AVERAGE(M186:O186)-1)/4</f>
        <v/>
      </c>
      <c r="Z186">
        <f>(AVERAGE(P186:R186)-1)/4</f>
        <v/>
      </c>
      <c r="AA186">
        <f>(AVERAGE(S186:T186)-1)/4</f>
        <v/>
      </c>
      <c r="AB186">
        <f>AVERAGE(U186:Y186)</f>
        <v/>
      </c>
      <c r="AC186">
        <f>MIN(U186:Y186)</f>
        <v/>
      </c>
      <c r="AD186">
        <f>1-alpha*MAX(0,delta-AC186)</f>
        <v/>
      </c>
      <c r="AE186">
        <f>AB186*AD186</f>
        <v/>
      </c>
      <c r="AF186">
        <f>1+COUNTIF(bounds,"&lt;"&amp;ROUND(AB186,12))</f>
        <v/>
      </c>
      <c r="AG186">
        <f>1+COUNTIF(bounds,"&lt;"&amp;ROUND(AE186,12))</f>
        <v/>
      </c>
      <c r="AH186">
        <f>IF(AD186&lt;1,1,0)</f>
        <v/>
      </c>
      <c r="AI186">
        <f>IF(AF186&lt;&gt;AG186,1,0)</f>
        <v/>
      </c>
      <c r="AJ186">
        <f>IF(AND(AG186&gt;=3,Z186&lt;=0.2),1,0)</f>
        <v/>
      </c>
      <c r="AK186">
        <f>AVERAGE(U186:Z186)</f>
        <v/>
      </c>
      <c r="AL186">
        <f>1+COUNTIF(bounds,"&lt;"&amp;ROUND(AK186,12))</f>
        <v/>
      </c>
      <c r="AM186">
        <f>IF(AI186=1,AB186,NA())</f>
        <v/>
      </c>
      <c r="AN186">
        <f>IF(AI186=0,AB186,NA())</f>
        <v/>
      </c>
    </row>
    <row r="187">
      <c r="A187" t="n">
        <v>179</v>
      </c>
      <c r="B187" t="n">
        <v>4</v>
      </c>
      <c r="C187" t="n">
        <v>1</v>
      </c>
      <c r="D187" t="n">
        <v>3</v>
      </c>
      <c r="E187" t="n">
        <v>2</v>
      </c>
      <c r="F187" t="n">
        <v>2</v>
      </c>
      <c r="G187" t="n">
        <v>3</v>
      </c>
      <c r="H187" t="n">
        <v>4</v>
      </c>
      <c r="I187" t="n">
        <v>1</v>
      </c>
      <c r="J187" t="n">
        <v>2</v>
      </c>
      <c r="K187" t="n">
        <v>1</v>
      </c>
      <c r="L187" t="n">
        <v>4</v>
      </c>
      <c r="M187" t="n">
        <v>4</v>
      </c>
      <c r="N187" t="n">
        <v>1</v>
      </c>
      <c r="O187" t="n">
        <v>3</v>
      </c>
      <c r="P187" t="n">
        <v>5</v>
      </c>
      <c r="Q187" t="n">
        <v>5</v>
      </c>
      <c r="R187" t="n">
        <v>2</v>
      </c>
      <c r="S187" t="n">
        <v>4</v>
      </c>
      <c r="T187" t="n">
        <v>4</v>
      </c>
      <c r="U187">
        <f>(AVERAGE(B187:D187)-1)/4</f>
        <v/>
      </c>
      <c r="V187">
        <f>(AVERAGE(E187:F187)-1)/4</f>
        <v/>
      </c>
      <c r="W187">
        <f>(AVERAGE(G187:I187)-1)/4</f>
        <v/>
      </c>
      <c r="X187">
        <f>(AVERAGE(J187:L187)-1)/4</f>
        <v/>
      </c>
      <c r="Y187">
        <f>(AVERAGE(M187:O187)-1)/4</f>
        <v/>
      </c>
      <c r="Z187">
        <f>(AVERAGE(P187:R187)-1)/4</f>
        <v/>
      </c>
      <c r="AA187">
        <f>(AVERAGE(S187:T187)-1)/4</f>
        <v/>
      </c>
      <c r="AB187">
        <f>AVERAGE(U187:Y187)</f>
        <v/>
      </c>
      <c r="AC187">
        <f>MIN(U187:Y187)</f>
        <v/>
      </c>
      <c r="AD187">
        <f>1-alpha*MAX(0,delta-AC187)</f>
        <v/>
      </c>
      <c r="AE187">
        <f>AB187*AD187</f>
        <v/>
      </c>
      <c r="AF187">
        <f>1+COUNTIF(bounds,"&lt;"&amp;ROUND(AB187,12))</f>
        <v/>
      </c>
      <c r="AG187">
        <f>1+COUNTIF(bounds,"&lt;"&amp;ROUND(AE187,12))</f>
        <v/>
      </c>
      <c r="AH187">
        <f>IF(AD187&lt;1,1,0)</f>
        <v/>
      </c>
      <c r="AI187">
        <f>IF(AF187&lt;&gt;AG187,1,0)</f>
        <v/>
      </c>
      <c r="AJ187">
        <f>IF(AND(AG187&gt;=3,Z187&lt;=0.2),1,0)</f>
        <v/>
      </c>
      <c r="AK187">
        <f>AVERAGE(U187:Z187)</f>
        <v/>
      </c>
      <c r="AL187">
        <f>1+COUNTIF(bounds,"&lt;"&amp;ROUND(AK187,12))</f>
        <v/>
      </c>
      <c r="AM187">
        <f>IF(AI187=1,AB187,NA())</f>
        <v/>
      </c>
      <c r="AN187">
        <f>IF(AI187=0,AB187,NA())</f>
        <v/>
      </c>
    </row>
    <row r="188">
      <c r="A188" t="n">
        <v>180</v>
      </c>
      <c r="B188" t="n">
        <v>1</v>
      </c>
      <c r="C188" t="n">
        <v>4</v>
      </c>
      <c r="D188" t="n">
        <v>3</v>
      </c>
      <c r="E188" t="n">
        <v>4</v>
      </c>
      <c r="F188" t="n">
        <v>2</v>
      </c>
      <c r="G188" t="n">
        <v>4</v>
      </c>
      <c r="H188" t="n">
        <v>2</v>
      </c>
      <c r="I188" t="n">
        <v>2</v>
      </c>
      <c r="J188" t="n">
        <v>2</v>
      </c>
      <c r="K188" t="n">
        <v>1</v>
      </c>
      <c r="L188" t="n">
        <v>2</v>
      </c>
      <c r="M188" t="n">
        <v>3</v>
      </c>
      <c r="N188" t="n">
        <v>4</v>
      </c>
      <c r="O188" t="n">
        <v>5</v>
      </c>
      <c r="P188" t="n">
        <v>2</v>
      </c>
      <c r="Q188" t="n">
        <v>5</v>
      </c>
      <c r="R188" t="n">
        <v>3</v>
      </c>
      <c r="S188" t="n">
        <v>2</v>
      </c>
      <c r="T188" t="n">
        <v>2</v>
      </c>
      <c r="U188">
        <f>(AVERAGE(B188:D188)-1)/4</f>
        <v/>
      </c>
      <c r="V188">
        <f>(AVERAGE(E188:F188)-1)/4</f>
        <v/>
      </c>
      <c r="W188">
        <f>(AVERAGE(G188:I188)-1)/4</f>
        <v/>
      </c>
      <c r="X188">
        <f>(AVERAGE(J188:L188)-1)/4</f>
        <v/>
      </c>
      <c r="Y188">
        <f>(AVERAGE(M188:O188)-1)/4</f>
        <v/>
      </c>
      <c r="Z188">
        <f>(AVERAGE(P188:R188)-1)/4</f>
        <v/>
      </c>
      <c r="AA188">
        <f>(AVERAGE(S188:T188)-1)/4</f>
        <v/>
      </c>
      <c r="AB188">
        <f>AVERAGE(U188:Y188)</f>
        <v/>
      </c>
      <c r="AC188">
        <f>MIN(U188:Y188)</f>
        <v/>
      </c>
      <c r="AD188">
        <f>1-alpha*MAX(0,delta-AC188)</f>
        <v/>
      </c>
      <c r="AE188">
        <f>AB188*AD188</f>
        <v/>
      </c>
      <c r="AF188">
        <f>1+COUNTIF(bounds,"&lt;"&amp;ROUND(AB188,12))</f>
        <v/>
      </c>
      <c r="AG188">
        <f>1+COUNTIF(bounds,"&lt;"&amp;ROUND(AE188,12))</f>
        <v/>
      </c>
      <c r="AH188">
        <f>IF(AD188&lt;1,1,0)</f>
        <v/>
      </c>
      <c r="AI188">
        <f>IF(AF188&lt;&gt;AG188,1,0)</f>
        <v/>
      </c>
      <c r="AJ188">
        <f>IF(AND(AG188&gt;=3,Z188&lt;=0.2),1,0)</f>
        <v/>
      </c>
      <c r="AK188">
        <f>AVERAGE(U188:Z188)</f>
        <v/>
      </c>
      <c r="AL188">
        <f>1+COUNTIF(bounds,"&lt;"&amp;ROUND(AK188,12))</f>
        <v/>
      </c>
      <c r="AM188">
        <f>IF(AI188=1,AB188,NA())</f>
        <v/>
      </c>
      <c r="AN188">
        <f>IF(AI188=0,AB188,NA())</f>
        <v/>
      </c>
    </row>
    <row r="189">
      <c r="A189" t="n">
        <v>181</v>
      </c>
      <c r="B189" t="n">
        <v>3</v>
      </c>
      <c r="C189" t="n">
        <v>5</v>
      </c>
      <c r="D189" t="n">
        <v>4</v>
      </c>
      <c r="E189" t="n">
        <v>5</v>
      </c>
      <c r="F189" t="n">
        <v>5</v>
      </c>
      <c r="G189" t="n">
        <v>4</v>
      </c>
      <c r="H189" t="n">
        <v>1</v>
      </c>
      <c r="I189" t="n">
        <v>1</v>
      </c>
      <c r="J189" t="n">
        <v>5</v>
      </c>
      <c r="K189" t="n">
        <v>1</v>
      </c>
      <c r="L189" t="n">
        <v>4</v>
      </c>
      <c r="M189" t="n">
        <v>4</v>
      </c>
      <c r="N189" t="n">
        <v>3</v>
      </c>
      <c r="O189" t="n">
        <v>1</v>
      </c>
      <c r="P189" t="n">
        <v>1</v>
      </c>
      <c r="Q189" t="n">
        <v>5</v>
      </c>
      <c r="R189" t="n">
        <v>1</v>
      </c>
      <c r="S189" t="n">
        <v>5</v>
      </c>
      <c r="T189" t="n">
        <v>1</v>
      </c>
      <c r="U189">
        <f>(AVERAGE(B189:D189)-1)/4</f>
        <v/>
      </c>
      <c r="V189">
        <f>(AVERAGE(E189:F189)-1)/4</f>
        <v/>
      </c>
      <c r="W189">
        <f>(AVERAGE(G189:I189)-1)/4</f>
        <v/>
      </c>
      <c r="X189">
        <f>(AVERAGE(J189:L189)-1)/4</f>
        <v/>
      </c>
      <c r="Y189">
        <f>(AVERAGE(M189:O189)-1)/4</f>
        <v/>
      </c>
      <c r="Z189">
        <f>(AVERAGE(P189:R189)-1)/4</f>
        <v/>
      </c>
      <c r="AA189">
        <f>(AVERAGE(S189:T189)-1)/4</f>
        <v/>
      </c>
      <c r="AB189">
        <f>AVERAGE(U189:Y189)</f>
        <v/>
      </c>
      <c r="AC189">
        <f>MIN(U189:Y189)</f>
        <v/>
      </c>
      <c r="AD189">
        <f>1-alpha*MAX(0,delta-AC189)</f>
        <v/>
      </c>
      <c r="AE189">
        <f>AB189*AD189</f>
        <v/>
      </c>
      <c r="AF189">
        <f>1+COUNTIF(bounds,"&lt;"&amp;ROUND(AB189,12))</f>
        <v/>
      </c>
      <c r="AG189">
        <f>1+COUNTIF(bounds,"&lt;"&amp;ROUND(AE189,12))</f>
        <v/>
      </c>
      <c r="AH189">
        <f>IF(AD189&lt;1,1,0)</f>
        <v/>
      </c>
      <c r="AI189">
        <f>IF(AF189&lt;&gt;AG189,1,0)</f>
        <v/>
      </c>
      <c r="AJ189">
        <f>IF(AND(AG189&gt;=3,Z189&lt;=0.2),1,0)</f>
        <v/>
      </c>
      <c r="AK189">
        <f>AVERAGE(U189:Z189)</f>
        <v/>
      </c>
      <c r="AL189">
        <f>1+COUNTIF(bounds,"&lt;"&amp;ROUND(AK189,12))</f>
        <v/>
      </c>
      <c r="AM189">
        <f>IF(AI189=1,AB189,NA())</f>
        <v/>
      </c>
      <c r="AN189">
        <f>IF(AI189=0,AB189,NA())</f>
        <v/>
      </c>
    </row>
    <row r="190">
      <c r="A190" t="n">
        <v>182</v>
      </c>
      <c r="B190" t="n">
        <v>1</v>
      </c>
      <c r="C190" t="n">
        <v>4</v>
      </c>
      <c r="D190" t="n">
        <v>3</v>
      </c>
      <c r="E190" t="n">
        <v>3</v>
      </c>
      <c r="F190" t="n">
        <v>1</v>
      </c>
      <c r="G190" t="n">
        <v>3</v>
      </c>
      <c r="H190" t="n">
        <v>1</v>
      </c>
      <c r="I190" t="n">
        <v>3</v>
      </c>
      <c r="J190" t="n">
        <v>2</v>
      </c>
      <c r="K190" t="n">
        <v>2</v>
      </c>
      <c r="L190" t="n">
        <v>1</v>
      </c>
      <c r="M190" t="n">
        <v>2</v>
      </c>
      <c r="N190" t="n">
        <v>4</v>
      </c>
      <c r="O190" t="n">
        <v>1</v>
      </c>
      <c r="P190" t="n">
        <v>4</v>
      </c>
      <c r="Q190" t="n">
        <v>2</v>
      </c>
      <c r="R190" t="n">
        <v>2</v>
      </c>
      <c r="S190" t="n">
        <v>2</v>
      </c>
      <c r="T190" t="n">
        <v>1</v>
      </c>
      <c r="U190">
        <f>(AVERAGE(B190:D190)-1)/4</f>
        <v/>
      </c>
      <c r="V190">
        <f>(AVERAGE(E190:F190)-1)/4</f>
        <v/>
      </c>
      <c r="W190">
        <f>(AVERAGE(G190:I190)-1)/4</f>
        <v/>
      </c>
      <c r="X190">
        <f>(AVERAGE(J190:L190)-1)/4</f>
        <v/>
      </c>
      <c r="Y190">
        <f>(AVERAGE(M190:O190)-1)/4</f>
        <v/>
      </c>
      <c r="Z190">
        <f>(AVERAGE(P190:R190)-1)/4</f>
        <v/>
      </c>
      <c r="AA190">
        <f>(AVERAGE(S190:T190)-1)/4</f>
        <v/>
      </c>
      <c r="AB190">
        <f>AVERAGE(U190:Y190)</f>
        <v/>
      </c>
      <c r="AC190">
        <f>MIN(U190:Y190)</f>
        <v/>
      </c>
      <c r="AD190">
        <f>1-alpha*MAX(0,delta-AC190)</f>
        <v/>
      </c>
      <c r="AE190">
        <f>AB190*AD190</f>
        <v/>
      </c>
      <c r="AF190">
        <f>1+COUNTIF(bounds,"&lt;"&amp;ROUND(AB190,12))</f>
        <v/>
      </c>
      <c r="AG190">
        <f>1+COUNTIF(bounds,"&lt;"&amp;ROUND(AE190,12))</f>
        <v/>
      </c>
      <c r="AH190">
        <f>IF(AD190&lt;1,1,0)</f>
        <v/>
      </c>
      <c r="AI190">
        <f>IF(AF190&lt;&gt;AG190,1,0)</f>
        <v/>
      </c>
      <c r="AJ190">
        <f>IF(AND(AG190&gt;=3,Z190&lt;=0.2),1,0)</f>
        <v/>
      </c>
      <c r="AK190">
        <f>AVERAGE(U190:Z190)</f>
        <v/>
      </c>
      <c r="AL190">
        <f>1+COUNTIF(bounds,"&lt;"&amp;ROUND(AK190,12))</f>
        <v/>
      </c>
      <c r="AM190">
        <f>IF(AI190=1,AB190,NA())</f>
        <v/>
      </c>
      <c r="AN190">
        <f>IF(AI190=0,AB190,NA())</f>
        <v/>
      </c>
    </row>
    <row r="191">
      <c r="A191" t="n">
        <v>183</v>
      </c>
      <c r="B191" t="n">
        <v>1</v>
      </c>
      <c r="C191" t="n">
        <v>2</v>
      </c>
      <c r="D191" t="n">
        <v>3</v>
      </c>
      <c r="E191" t="n">
        <v>2</v>
      </c>
      <c r="F191" t="n">
        <v>2</v>
      </c>
      <c r="G191" t="n">
        <v>4</v>
      </c>
      <c r="H191" t="n">
        <v>2</v>
      </c>
      <c r="I191" t="n">
        <v>3</v>
      </c>
      <c r="J191" t="n">
        <v>2</v>
      </c>
      <c r="K191" t="n">
        <v>3</v>
      </c>
      <c r="L191" t="n">
        <v>1</v>
      </c>
      <c r="M191" t="n">
        <v>2</v>
      </c>
      <c r="N191" t="n">
        <v>5</v>
      </c>
      <c r="O191" t="n">
        <v>2</v>
      </c>
      <c r="P191" t="n">
        <v>5</v>
      </c>
      <c r="Q191" t="n">
        <v>2</v>
      </c>
      <c r="R191" t="n">
        <v>5</v>
      </c>
      <c r="S191" t="n">
        <v>4</v>
      </c>
      <c r="T191" t="n">
        <v>2</v>
      </c>
      <c r="U191">
        <f>(AVERAGE(B191:D191)-1)/4</f>
        <v/>
      </c>
      <c r="V191">
        <f>(AVERAGE(E191:F191)-1)/4</f>
        <v/>
      </c>
      <c r="W191">
        <f>(AVERAGE(G191:I191)-1)/4</f>
        <v/>
      </c>
      <c r="X191">
        <f>(AVERAGE(J191:L191)-1)/4</f>
        <v/>
      </c>
      <c r="Y191">
        <f>(AVERAGE(M191:O191)-1)/4</f>
        <v/>
      </c>
      <c r="Z191">
        <f>(AVERAGE(P191:R191)-1)/4</f>
        <v/>
      </c>
      <c r="AA191">
        <f>(AVERAGE(S191:T191)-1)/4</f>
        <v/>
      </c>
      <c r="AB191">
        <f>AVERAGE(U191:Y191)</f>
        <v/>
      </c>
      <c r="AC191">
        <f>MIN(U191:Y191)</f>
        <v/>
      </c>
      <c r="AD191">
        <f>1-alpha*MAX(0,delta-AC191)</f>
        <v/>
      </c>
      <c r="AE191">
        <f>AB191*AD191</f>
        <v/>
      </c>
      <c r="AF191">
        <f>1+COUNTIF(bounds,"&lt;"&amp;ROUND(AB191,12))</f>
        <v/>
      </c>
      <c r="AG191">
        <f>1+COUNTIF(bounds,"&lt;"&amp;ROUND(AE191,12))</f>
        <v/>
      </c>
      <c r="AH191">
        <f>IF(AD191&lt;1,1,0)</f>
        <v/>
      </c>
      <c r="AI191">
        <f>IF(AF191&lt;&gt;AG191,1,0)</f>
        <v/>
      </c>
      <c r="AJ191">
        <f>IF(AND(AG191&gt;=3,Z191&lt;=0.2),1,0)</f>
        <v/>
      </c>
      <c r="AK191">
        <f>AVERAGE(U191:Z191)</f>
        <v/>
      </c>
      <c r="AL191">
        <f>1+COUNTIF(bounds,"&lt;"&amp;ROUND(AK191,12))</f>
        <v/>
      </c>
      <c r="AM191">
        <f>IF(AI191=1,AB191,NA())</f>
        <v/>
      </c>
      <c r="AN191">
        <f>IF(AI191=0,AB191,NA())</f>
        <v/>
      </c>
    </row>
    <row r="192">
      <c r="A192" t="n">
        <v>184</v>
      </c>
      <c r="B192" t="n">
        <v>5</v>
      </c>
      <c r="C192" t="n">
        <v>5</v>
      </c>
      <c r="D192" t="n">
        <v>1</v>
      </c>
      <c r="E192" t="n">
        <v>2</v>
      </c>
      <c r="F192" t="n">
        <v>5</v>
      </c>
      <c r="G192" t="n">
        <v>5</v>
      </c>
      <c r="H192" t="n">
        <v>5</v>
      </c>
      <c r="I192" t="n">
        <v>2</v>
      </c>
      <c r="J192" t="n">
        <v>2</v>
      </c>
      <c r="K192" t="n">
        <v>4</v>
      </c>
      <c r="L192" t="n">
        <v>5</v>
      </c>
      <c r="M192" t="n">
        <v>5</v>
      </c>
      <c r="N192" t="n">
        <v>2</v>
      </c>
      <c r="O192" t="n">
        <v>5</v>
      </c>
      <c r="P192" t="n">
        <v>2</v>
      </c>
      <c r="Q192" t="n">
        <v>1</v>
      </c>
      <c r="R192" t="n">
        <v>3</v>
      </c>
      <c r="S192" t="n">
        <v>4</v>
      </c>
      <c r="T192" t="n">
        <v>4</v>
      </c>
      <c r="U192">
        <f>(AVERAGE(B192:D192)-1)/4</f>
        <v/>
      </c>
      <c r="V192">
        <f>(AVERAGE(E192:F192)-1)/4</f>
        <v/>
      </c>
      <c r="W192">
        <f>(AVERAGE(G192:I192)-1)/4</f>
        <v/>
      </c>
      <c r="X192">
        <f>(AVERAGE(J192:L192)-1)/4</f>
        <v/>
      </c>
      <c r="Y192">
        <f>(AVERAGE(M192:O192)-1)/4</f>
        <v/>
      </c>
      <c r="Z192">
        <f>(AVERAGE(P192:R192)-1)/4</f>
        <v/>
      </c>
      <c r="AA192">
        <f>(AVERAGE(S192:T192)-1)/4</f>
        <v/>
      </c>
      <c r="AB192">
        <f>AVERAGE(U192:Y192)</f>
        <v/>
      </c>
      <c r="AC192">
        <f>MIN(U192:Y192)</f>
        <v/>
      </c>
      <c r="AD192">
        <f>1-alpha*MAX(0,delta-AC192)</f>
        <v/>
      </c>
      <c r="AE192">
        <f>AB192*AD192</f>
        <v/>
      </c>
      <c r="AF192">
        <f>1+COUNTIF(bounds,"&lt;"&amp;ROUND(AB192,12))</f>
        <v/>
      </c>
      <c r="AG192">
        <f>1+COUNTIF(bounds,"&lt;"&amp;ROUND(AE192,12))</f>
        <v/>
      </c>
      <c r="AH192">
        <f>IF(AD192&lt;1,1,0)</f>
        <v/>
      </c>
      <c r="AI192">
        <f>IF(AF192&lt;&gt;AG192,1,0)</f>
        <v/>
      </c>
      <c r="AJ192">
        <f>IF(AND(AG192&gt;=3,Z192&lt;=0.2),1,0)</f>
        <v/>
      </c>
      <c r="AK192">
        <f>AVERAGE(U192:Z192)</f>
        <v/>
      </c>
      <c r="AL192">
        <f>1+COUNTIF(bounds,"&lt;"&amp;ROUND(AK192,12))</f>
        <v/>
      </c>
      <c r="AM192">
        <f>IF(AI192=1,AB192,NA())</f>
        <v/>
      </c>
      <c r="AN192">
        <f>IF(AI192=0,AB192,NA())</f>
        <v/>
      </c>
    </row>
    <row r="193">
      <c r="A193" t="n">
        <v>185</v>
      </c>
      <c r="B193" t="n">
        <v>3</v>
      </c>
      <c r="C193" t="n">
        <v>5</v>
      </c>
      <c r="D193" t="n">
        <v>4</v>
      </c>
      <c r="E193" t="n">
        <v>4</v>
      </c>
      <c r="F193" t="n">
        <v>3</v>
      </c>
      <c r="G193" t="n">
        <v>4</v>
      </c>
      <c r="H193" t="n">
        <v>4</v>
      </c>
      <c r="I193" t="n">
        <v>5</v>
      </c>
      <c r="J193" t="n">
        <v>1</v>
      </c>
      <c r="K193" t="n">
        <v>5</v>
      </c>
      <c r="L193" t="n">
        <v>2</v>
      </c>
      <c r="M193" t="n">
        <v>2</v>
      </c>
      <c r="N193" t="n">
        <v>1</v>
      </c>
      <c r="O193" t="n">
        <v>5</v>
      </c>
      <c r="P193" t="n">
        <v>4</v>
      </c>
      <c r="Q193" t="n">
        <v>4</v>
      </c>
      <c r="R193" t="n">
        <v>4</v>
      </c>
      <c r="S193" t="n">
        <v>3</v>
      </c>
      <c r="T193" t="n">
        <v>3</v>
      </c>
      <c r="U193">
        <f>(AVERAGE(B193:D193)-1)/4</f>
        <v/>
      </c>
      <c r="V193">
        <f>(AVERAGE(E193:F193)-1)/4</f>
        <v/>
      </c>
      <c r="W193">
        <f>(AVERAGE(G193:I193)-1)/4</f>
        <v/>
      </c>
      <c r="X193">
        <f>(AVERAGE(J193:L193)-1)/4</f>
        <v/>
      </c>
      <c r="Y193">
        <f>(AVERAGE(M193:O193)-1)/4</f>
        <v/>
      </c>
      <c r="Z193">
        <f>(AVERAGE(P193:R193)-1)/4</f>
        <v/>
      </c>
      <c r="AA193">
        <f>(AVERAGE(S193:T193)-1)/4</f>
        <v/>
      </c>
      <c r="AB193">
        <f>AVERAGE(U193:Y193)</f>
        <v/>
      </c>
      <c r="AC193">
        <f>MIN(U193:Y193)</f>
        <v/>
      </c>
      <c r="AD193">
        <f>1-alpha*MAX(0,delta-AC193)</f>
        <v/>
      </c>
      <c r="AE193">
        <f>AB193*AD193</f>
        <v/>
      </c>
      <c r="AF193">
        <f>1+COUNTIF(bounds,"&lt;"&amp;ROUND(AB193,12))</f>
        <v/>
      </c>
      <c r="AG193">
        <f>1+COUNTIF(bounds,"&lt;"&amp;ROUND(AE193,12))</f>
        <v/>
      </c>
      <c r="AH193">
        <f>IF(AD193&lt;1,1,0)</f>
        <v/>
      </c>
      <c r="AI193">
        <f>IF(AF193&lt;&gt;AG193,1,0)</f>
        <v/>
      </c>
      <c r="AJ193">
        <f>IF(AND(AG193&gt;=3,Z193&lt;=0.2),1,0)</f>
        <v/>
      </c>
      <c r="AK193">
        <f>AVERAGE(U193:Z193)</f>
        <v/>
      </c>
      <c r="AL193">
        <f>1+COUNTIF(bounds,"&lt;"&amp;ROUND(AK193,12))</f>
        <v/>
      </c>
      <c r="AM193">
        <f>IF(AI193=1,AB193,NA())</f>
        <v/>
      </c>
      <c r="AN193">
        <f>IF(AI193=0,AB193,NA())</f>
        <v/>
      </c>
    </row>
    <row r="194">
      <c r="A194" t="n">
        <v>186</v>
      </c>
      <c r="B194" t="n">
        <v>5</v>
      </c>
      <c r="C194" t="n">
        <v>3</v>
      </c>
      <c r="D194" t="n">
        <v>2</v>
      </c>
      <c r="E194" t="n">
        <v>1</v>
      </c>
      <c r="F194" t="n">
        <v>2</v>
      </c>
      <c r="G194" t="n">
        <v>3</v>
      </c>
      <c r="H194" t="n">
        <v>1</v>
      </c>
      <c r="I194" t="n">
        <v>2</v>
      </c>
      <c r="J194" t="n">
        <v>4</v>
      </c>
      <c r="K194" t="n">
        <v>5</v>
      </c>
      <c r="L194" t="n">
        <v>2</v>
      </c>
      <c r="M194" t="n">
        <v>5</v>
      </c>
      <c r="N194" t="n">
        <v>3</v>
      </c>
      <c r="O194" t="n">
        <v>1</v>
      </c>
      <c r="P194" t="n">
        <v>2</v>
      </c>
      <c r="Q194" t="n">
        <v>2</v>
      </c>
      <c r="R194" t="n">
        <v>1</v>
      </c>
      <c r="S194" t="n">
        <v>1</v>
      </c>
      <c r="T194" t="n">
        <v>4</v>
      </c>
      <c r="U194">
        <f>(AVERAGE(B194:D194)-1)/4</f>
        <v/>
      </c>
      <c r="V194">
        <f>(AVERAGE(E194:F194)-1)/4</f>
        <v/>
      </c>
      <c r="W194">
        <f>(AVERAGE(G194:I194)-1)/4</f>
        <v/>
      </c>
      <c r="X194">
        <f>(AVERAGE(J194:L194)-1)/4</f>
        <v/>
      </c>
      <c r="Y194">
        <f>(AVERAGE(M194:O194)-1)/4</f>
        <v/>
      </c>
      <c r="Z194">
        <f>(AVERAGE(P194:R194)-1)/4</f>
        <v/>
      </c>
      <c r="AA194">
        <f>(AVERAGE(S194:T194)-1)/4</f>
        <v/>
      </c>
      <c r="AB194">
        <f>AVERAGE(U194:Y194)</f>
        <v/>
      </c>
      <c r="AC194">
        <f>MIN(U194:Y194)</f>
        <v/>
      </c>
      <c r="AD194">
        <f>1-alpha*MAX(0,delta-AC194)</f>
        <v/>
      </c>
      <c r="AE194">
        <f>AB194*AD194</f>
        <v/>
      </c>
      <c r="AF194">
        <f>1+COUNTIF(bounds,"&lt;"&amp;ROUND(AB194,12))</f>
        <v/>
      </c>
      <c r="AG194">
        <f>1+COUNTIF(bounds,"&lt;"&amp;ROUND(AE194,12))</f>
        <v/>
      </c>
      <c r="AH194">
        <f>IF(AD194&lt;1,1,0)</f>
        <v/>
      </c>
      <c r="AI194">
        <f>IF(AF194&lt;&gt;AG194,1,0)</f>
        <v/>
      </c>
      <c r="AJ194">
        <f>IF(AND(AG194&gt;=3,Z194&lt;=0.2),1,0)</f>
        <v/>
      </c>
      <c r="AK194">
        <f>AVERAGE(U194:Z194)</f>
        <v/>
      </c>
      <c r="AL194">
        <f>1+COUNTIF(bounds,"&lt;"&amp;ROUND(AK194,12))</f>
        <v/>
      </c>
      <c r="AM194">
        <f>IF(AI194=1,AB194,NA())</f>
        <v/>
      </c>
      <c r="AN194">
        <f>IF(AI194=0,AB194,NA())</f>
        <v/>
      </c>
    </row>
    <row r="195">
      <c r="A195" t="n">
        <v>187</v>
      </c>
      <c r="B195" t="n">
        <v>3</v>
      </c>
      <c r="C195" t="n">
        <v>3</v>
      </c>
      <c r="D195" t="n">
        <v>5</v>
      </c>
      <c r="E195" t="n">
        <v>4</v>
      </c>
      <c r="F195" t="n">
        <v>3</v>
      </c>
      <c r="G195" t="n">
        <v>1</v>
      </c>
      <c r="H195" t="n">
        <v>5</v>
      </c>
      <c r="I195" t="n">
        <v>4</v>
      </c>
      <c r="J195" t="n">
        <v>1</v>
      </c>
      <c r="K195" t="n">
        <v>3</v>
      </c>
      <c r="L195" t="n">
        <v>4</v>
      </c>
      <c r="M195" t="n">
        <v>5</v>
      </c>
      <c r="N195" t="n">
        <v>4</v>
      </c>
      <c r="O195" t="n">
        <v>5</v>
      </c>
      <c r="P195" t="n">
        <v>5</v>
      </c>
      <c r="Q195" t="n">
        <v>1</v>
      </c>
      <c r="R195" t="n">
        <v>4</v>
      </c>
      <c r="S195" t="n">
        <v>5</v>
      </c>
      <c r="T195" t="n">
        <v>1</v>
      </c>
      <c r="U195">
        <f>(AVERAGE(B195:D195)-1)/4</f>
        <v/>
      </c>
      <c r="V195">
        <f>(AVERAGE(E195:F195)-1)/4</f>
        <v/>
      </c>
      <c r="W195">
        <f>(AVERAGE(G195:I195)-1)/4</f>
        <v/>
      </c>
      <c r="X195">
        <f>(AVERAGE(J195:L195)-1)/4</f>
        <v/>
      </c>
      <c r="Y195">
        <f>(AVERAGE(M195:O195)-1)/4</f>
        <v/>
      </c>
      <c r="Z195">
        <f>(AVERAGE(P195:R195)-1)/4</f>
        <v/>
      </c>
      <c r="AA195">
        <f>(AVERAGE(S195:T195)-1)/4</f>
        <v/>
      </c>
      <c r="AB195">
        <f>AVERAGE(U195:Y195)</f>
        <v/>
      </c>
      <c r="AC195">
        <f>MIN(U195:Y195)</f>
        <v/>
      </c>
      <c r="AD195">
        <f>1-alpha*MAX(0,delta-AC195)</f>
        <v/>
      </c>
      <c r="AE195">
        <f>AB195*AD195</f>
        <v/>
      </c>
      <c r="AF195">
        <f>1+COUNTIF(bounds,"&lt;"&amp;ROUND(AB195,12))</f>
        <v/>
      </c>
      <c r="AG195">
        <f>1+COUNTIF(bounds,"&lt;"&amp;ROUND(AE195,12))</f>
        <v/>
      </c>
      <c r="AH195">
        <f>IF(AD195&lt;1,1,0)</f>
        <v/>
      </c>
      <c r="AI195">
        <f>IF(AF195&lt;&gt;AG195,1,0)</f>
        <v/>
      </c>
      <c r="AJ195">
        <f>IF(AND(AG195&gt;=3,Z195&lt;=0.2),1,0)</f>
        <v/>
      </c>
      <c r="AK195">
        <f>AVERAGE(U195:Z195)</f>
        <v/>
      </c>
      <c r="AL195">
        <f>1+COUNTIF(bounds,"&lt;"&amp;ROUND(AK195,12))</f>
        <v/>
      </c>
      <c r="AM195">
        <f>IF(AI195=1,AB195,NA())</f>
        <v/>
      </c>
      <c r="AN195">
        <f>IF(AI195=0,AB195,NA())</f>
        <v/>
      </c>
    </row>
    <row r="196">
      <c r="A196" t="n">
        <v>188</v>
      </c>
      <c r="B196" t="n">
        <v>2</v>
      </c>
      <c r="C196" t="n">
        <v>2</v>
      </c>
      <c r="D196" t="n">
        <v>4</v>
      </c>
      <c r="E196" t="n">
        <v>4</v>
      </c>
      <c r="F196" t="n">
        <v>1</v>
      </c>
      <c r="G196" t="n">
        <v>3</v>
      </c>
      <c r="H196" t="n">
        <v>4</v>
      </c>
      <c r="I196" t="n">
        <v>3</v>
      </c>
      <c r="J196" t="n">
        <v>3</v>
      </c>
      <c r="K196" t="n">
        <v>3</v>
      </c>
      <c r="L196" t="n">
        <v>2</v>
      </c>
      <c r="M196" t="n">
        <v>2</v>
      </c>
      <c r="N196" t="n">
        <v>4</v>
      </c>
      <c r="O196" t="n">
        <v>5</v>
      </c>
      <c r="P196" t="n">
        <v>3</v>
      </c>
      <c r="Q196" t="n">
        <v>1</v>
      </c>
      <c r="R196" t="n">
        <v>3</v>
      </c>
      <c r="S196" t="n">
        <v>2</v>
      </c>
      <c r="T196" t="n">
        <v>1</v>
      </c>
      <c r="U196">
        <f>(AVERAGE(B196:D196)-1)/4</f>
        <v/>
      </c>
      <c r="V196">
        <f>(AVERAGE(E196:F196)-1)/4</f>
        <v/>
      </c>
      <c r="W196">
        <f>(AVERAGE(G196:I196)-1)/4</f>
        <v/>
      </c>
      <c r="X196">
        <f>(AVERAGE(J196:L196)-1)/4</f>
        <v/>
      </c>
      <c r="Y196">
        <f>(AVERAGE(M196:O196)-1)/4</f>
        <v/>
      </c>
      <c r="Z196">
        <f>(AVERAGE(P196:R196)-1)/4</f>
        <v/>
      </c>
      <c r="AA196">
        <f>(AVERAGE(S196:T196)-1)/4</f>
        <v/>
      </c>
      <c r="AB196">
        <f>AVERAGE(U196:Y196)</f>
        <v/>
      </c>
      <c r="AC196">
        <f>MIN(U196:Y196)</f>
        <v/>
      </c>
      <c r="AD196">
        <f>1-alpha*MAX(0,delta-AC196)</f>
        <v/>
      </c>
      <c r="AE196">
        <f>AB196*AD196</f>
        <v/>
      </c>
      <c r="AF196">
        <f>1+COUNTIF(bounds,"&lt;"&amp;ROUND(AB196,12))</f>
        <v/>
      </c>
      <c r="AG196">
        <f>1+COUNTIF(bounds,"&lt;"&amp;ROUND(AE196,12))</f>
        <v/>
      </c>
      <c r="AH196">
        <f>IF(AD196&lt;1,1,0)</f>
        <v/>
      </c>
      <c r="AI196">
        <f>IF(AF196&lt;&gt;AG196,1,0)</f>
        <v/>
      </c>
      <c r="AJ196">
        <f>IF(AND(AG196&gt;=3,Z196&lt;=0.2),1,0)</f>
        <v/>
      </c>
      <c r="AK196">
        <f>AVERAGE(U196:Z196)</f>
        <v/>
      </c>
      <c r="AL196">
        <f>1+COUNTIF(bounds,"&lt;"&amp;ROUND(AK196,12))</f>
        <v/>
      </c>
      <c r="AM196">
        <f>IF(AI196=1,AB196,NA())</f>
        <v/>
      </c>
      <c r="AN196">
        <f>IF(AI196=0,AB196,NA())</f>
        <v/>
      </c>
    </row>
    <row r="197">
      <c r="A197" t="n">
        <v>189</v>
      </c>
      <c r="B197" t="n">
        <v>3</v>
      </c>
      <c r="C197" t="n">
        <v>3</v>
      </c>
      <c r="D197" t="n">
        <v>5</v>
      </c>
      <c r="E197" t="n">
        <v>2</v>
      </c>
      <c r="F197" t="n">
        <v>3</v>
      </c>
      <c r="G197" t="n">
        <v>4</v>
      </c>
      <c r="H197" t="n">
        <v>1</v>
      </c>
      <c r="I197" t="n">
        <v>4</v>
      </c>
      <c r="J197" t="n">
        <v>4</v>
      </c>
      <c r="K197" t="n">
        <v>5</v>
      </c>
      <c r="L197" t="n">
        <v>2</v>
      </c>
      <c r="M197" t="n">
        <v>3</v>
      </c>
      <c r="N197" t="n">
        <v>2</v>
      </c>
      <c r="O197" t="n">
        <v>2</v>
      </c>
      <c r="P197" t="n">
        <v>2</v>
      </c>
      <c r="Q197" t="n">
        <v>1</v>
      </c>
      <c r="R197" t="n">
        <v>4</v>
      </c>
      <c r="S197" t="n">
        <v>1</v>
      </c>
      <c r="T197" t="n">
        <v>1</v>
      </c>
      <c r="U197">
        <f>(AVERAGE(B197:D197)-1)/4</f>
        <v/>
      </c>
      <c r="V197">
        <f>(AVERAGE(E197:F197)-1)/4</f>
        <v/>
      </c>
      <c r="W197">
        <f>(AVERAGE(G197:I197)-1)/4</f>
        <v/>
      </c>
      <c r="X197">
        <f>(AVERAGE(J197:L197)-1)/4</f>
        <v/>
      </c>
      <c r="Y197">
        <f>(AVERAGE(M197:O197)-1)/4</f>
        <v/>
      </c>
      <c r="Z197">
        <f>(AVERAGE(P197:R197)-1)/4</f>
        <v/>
      </c>
      <c r="AA197">
        <f>(AVERAGE(S197:T197)-1)/4</f>
        <v/>
      </c>
      <c r="AB197">
        <f>AVERAGE(U197:Y197)</f>
        <v/>
      </c>
      <c r="AC197">
        <f>MIN(U197:Y197)</f>
        <v/>
      </c>
      <c r="AD197">
        <f>1-alpha*MAX(0,delta-AC197)</f>
        <v/>
      </c>
      <c r="AE197">
        <f>AB197*AD197</f>
        <v/>
      </c>
      <c r="AF197">
        <f>1+COUNTIF(bounds,"&lt;"&amp;ROUND(AB197,12))</f>
        <v/>
      </c>
      <c r="AG197">
        <f>1+COUNTIF(bounds,"&lt;"&amp;ROUND(AE197,12))</f>
        <v/>
      </c>
      <c r="AH197">
        <f>IF(AD197&lt;1,1,0)</f>
        <v/>
      </c>
      <c r="AI197">
        <f>IF(AF197&lt;&gt;AG197,1,0)</f>
        <v/>
      </c>
      <c r="AJ197">
        <f>IF(AND(AG197&gt;=3,Z197&lt;=0.2),1,0)</f>
        <v/>
      </c>
      <c r="AK197">
        <f>AVERAGE(U197:Z197)</f>
        <v/>
      </c>
      <c r="AL197">
        <f>1+COUNTIF(bounds,"&lt;"&amp;ROUND(AK197,12))</f>
        <v/>
      </c>
      <c r="AM197">
        <f>IF(AI197=1,AB197,NA())</f>
        <v/>
      </c>
      <c r="AN197">
        <f>IF(AI197=0,AB197,NA())</f>
        <v/>
      </c>
    </row>
    <row r="198">
      <c r="A198" t="n">
        <v>190</v>
      </c>
      <c r="B198" t="n">
        <v>4</v>
      </c>
      <c r="C198" t="n">
        <v>4</v>
      </c>
      <c r="D198" t="n">
        <v>5</v>
      </c>
      <c r="E198" t="n">
        <v>4</v>
      </c>
      <c r="F198" t="n">
        <v>4</v>
      </c>
      <c r="G198" t="n">
        <v>5</v>
      </c>
      <c r="H198" t="n">
        <v>3</v>
      </c>
      <c r="I198" t="n">
        <v>3</v>
      </c>
      <c r="J198" t="n">
        <v>3</v>
      </c>
      <c r="K198" t="n">
        <v>2</v>
      </c>
      <c r="L198" t="n">
        <v>1</v>
      </c>
      <c r="M198" t="n">
        <v>5</v>
      </c>
      <c r="N198" t="n">
        <v>1</v>
      </c>
      <c r="O198" t="n">
        <v>2</v>
      </c>
      <c r="P198" t="n">
        <v>4</v>
      </c>
      <c r="Q198" t="n">
        <v>1</v>
      </c>
      <c r="R198" t="n">
        <v>2</v>
      </c>
      <c r="S198" t="n">
        <v>5</v>
      </c>
      <c r="T198" t="n">
        <v>5</v>
      </c>
      <c r="U198">
        <f>(AVERAGE(B198:D198)-1)/4</f>
        <v/>
      </c>
      <c r="V198">
        <f>(AVERAGE(E198:F198)-1)/4</f>
        <v/>
      </c>
      <c r="W198">
        <f>(AVERAGE(G198:I198)-1)/4</f>
        <v/>
      </c>
      <c r="X198">
        <f>(AVERAGE(J198:L198)-1)/4</f>
        <v/>
      </c>
      <c r="Y198">
        <f>(AVERAGE(M198:O198)-1)/4</f>
        <v/>
      </c>
      <c r="Z198">
        <f>(AVERAGE(P198:R198)-1)/4</f>
        <v/>
      </c>
      <c r="AA198">
        <f>(AVERAGE(S198:T198)-1)/4</f>
        <v/>
      </c>
      <c r="AB198">
        <f>AVERAGE(U198:Y198)</f>
        <v/>
      </c>
      <c r="AC198">
        <f>MIN(U198:Y198)</f>
        <v/>
      </c>
      <c r="AD198">
        <f>1-alpha*MAX(0,delta-AC198)</f>
        <v/>
      </c>
      <c r="AE198">
        <f>AB198*AD198</f>
        <v/>
      </c>
      <c r="AF198">
        <f>1+COUNTIF(bounds,"&lt;"&amp;ROUND(AB198,12))</f>
        <v/>
      </c>
      <c r="AG198">
        <f>1+COUNTIF(bounds,"&lt;"&amp;ROUND(AE198,12))</f>
        <v/>
      </c>
      <c r="AH198">
        <f>IF(AD198&lt;1,1,0)</f>
        <v/>
      </c>
      <c r="AI198">
        <f>IF(AF198&lt;&gt;AG198,1,0)</f>
        <v/>
      </c>
      <c r="AJ198">
        <f>IF(AND(AG198&gt;=3,Z198&lt;=0.2),1,0)</f>
        <v/>
      </c>
      <c r="AK198">
        <f>AVERAGE(U198:Z198)</f>
        <v/>
      </c>
      <c r="AL198">
        <f>1+COUNTIF(bounds,"&lt;"&amp;ROUND(AK198,12))</f>
        <v/>
      </c>
      <c r="AM198">
        <f>IF(AI198=1,AB198,NA())</f>
        <v/>
      </c>
      <c r="AN198">
        <f>IF(AI198=0,AB198,NA())</f>
        <v/>
      </c>
    </row>
    <row r="199">
      <c r="A199" t="n">
        <v>191</v>
      </c>
      <c r="B199" t="n">
        <v>4</v>
      </c>
      <c r="C199" t="n">
        <v>5</v>
      </c>
      <c r="D199" t="n">
        <v>4</v>
      </c>
      <c r="E199" t="n">
        <v>2</v>
      </c>
      <c r="F199" t="n">
        <v>4</v>
      </c>
      <c r="G199" t="n">
        <v>4</v>
      </c>
      <c r="H199" t="n">
        <v>1</v>
      </c>
      <c r="I199" t="n">
        <v>2</v>
      </c>
      <c r="J199" t="n">
        <v>3</v>
      </c>
      <c r="K199" t="n">
        <v>2</v>
      </c>
      <c r="L199" t="n">
        <v>5</v>
      </c>
      <c r="M199" t="n">
        <v>5</v>
      </c>
      <c r="N199" t="n">
        <v>4</v>
      </c>
      <c r="O199" t="n">
        <v>1</v>
      </c>
      <c r="P199" t="n">
        <v>3</v>
      </c>
      <c r="Q199" t="n">
        <v>3</v>
      </c>
      <c r="R199" t="n">
        <v>5</v>
      </c>
      <c r="S199" t="n">
        <v>3</v>
      </c>
      <c r="T199" t="n">
        <v>2</v>
      </c>
      <c r="U199">
        <f>(AVERAGE(B199:D199)-1)/4</f>
        <v/>
      </c>
      <c r="V199">
        <f>(AVERAGE(E199:F199)-1)/4</f>
        <v/>
      </c>
      <c r="W199">
        <f>(AVERAGE(G199:I199)-1)/4</f>
        <v/>
      </c>
      <c r="X199">
        <f>(AVERAGE(J199:L199)-1)/4</f>
        <v/>
      </c>
      <c r="Y199">
        <f>(AVERAGE(M199:O199)-1)/4</f>
        <v/>
      </c>
      <c r="Z199">
        <f>(AVERAGE(P199:R199)-1)/4</f>
        <v/>
      </c>
      <c r="AA199">
        <f>(AVERAGE(S199:T199)-1)/4</f>
        <v/>
      </c>
      <c r="AB199">
        <f>AVERAGE(U199:Y199)</f>
        <v/>
      </c>
      <c r="AC199">
        <f>MIN(U199:Y199)</f>
        <v/>
      </c>
      <c r="AD199">
        <f>1-alpha*MAX(0,delta-AC199)</f>
        <v/>
      </c>
      <c r="AE199">
        <f>AB199*AD199</f>
        <v/>
      </c>
      <c r="AF199">
        <f>1+COUNTIF(bounds,"&lt;"&amp;ROUND(AB199,12))</f>
        <v/>
      </c>
      <c r="AG199">
        <f>1+COUNTIF(bounds,"&lt;"&amp;ROUND(AE199,12))</f>
        <v/>
      </c>
      <c r="AH199">
        <f>IF(AD199&lt;1,1,0)</f>
        <v/>
      </c>
      <c r="AI199">
        <f>IF(AF199&lt;&gt;AG199,1,0)</f>
        <v/>
      </c>
      <c r="AJ199">
        <f>IF(AND(AG199&gt;=3,Z199&lt;=0.2),1,0)</f>
        <v/>
      </c>
      <c r="AK199">
        <f>AVERAGE(U199:Z199)</f>
        <v/>
      </c>
      <c r="AL199">
        <f>1+COUNTIF(bounds,"&lt;"&amp;ROUND(AK199,12))</f>
        <v/>
      </c>
      <c r="AM199">
        <f>IF(AI199=1,AB199,NA())</f>
        <v/>
      </c>
      <c r="AN199">
        <f>IF(AI199=0,AB199,NA())</f>
        <v/>
      </c>
    </row>
    <row r="200">
      <c r="A200" t="n">
        <v>192</v>
      </c>
      <c r="B200" t="n">
        <v>3</v>
      </c>
      <c r="C200" t="n">
        <v>2</v>
      </c>
      <c r="D200" t="n">
        <v>2</v>
      </c>
      <c r="E200" t="n">
        <v>5</v>
      </c>
      <c r="F200" t="n">
        <v>4</v>
      </c>
      <c r="G200" t="n">
        <v>2</v>
      </c>
      <c r="H200" t="n">
        <v>2</v>
      </c>
      <c r="I200" t="n">
        <v>2</v>
      </c>
      <c r="J200" t="n">
        <v>2</v>
      </c>
      <c r="K200" t="n">
        <v>3</v>
      </c>
      <c r="L200" t="n">
        <v>4</v>
      </c>
      <c r="M200" t="n">
        <v>4</v>
      </c>
      <c r="N200" t="n">
        <v>2</v>
      </c>
      <c r="O200" t="n">
        <v>2</v>
      </c>
      <c r="P200" t="n">
        <v>4</v>
      </c>
      <c r="Q200" t="n">
        <v>5</v>
      </c>
      <c r="R200" t="n">
        <v>1</v>
      </c>
      <c r="S200" t="n">
        <v>5</v>
      </c>
      <c r="T200" t="n">
        <v>3</v>
      </c>
      <c r="U200">
        <f>(AVERAGE(B200:D200)-1)/4</f>
        <v/>
      </c>
      <c r="V200">
        <f>(AVERAGE(E200:F200)-1)/4</f>
        <v/>
      </c>
      <c r="W200">
        <f>(AVERAGE(G200:I200)-1)/4</f>
        <v/>
      </c>
      <c r="X200">
        <f>(AVERAGE(J200:L200)-1)/4</f>
        <v/>
      </c>
      <c r="Y200">
        <f>(AVERAGE(M200:O200)-1)/4</f>
        <v/>
      </c>
      <c r="Z200">
        <f>(AVERAGE(P200:R200)-1)/4</f>
        <v/>
      </c>
      <c r="AA200">
        <f>(AVERAGE(S200:T200)-1)/4</f>
        <v/>
      </c>
      <c r="AB200">
        <f>AVERAGE(U200:Y200)</f>
        <v/>
      </c>
      <c r="AC200">
        <f>MIN(U200:Y200)</f>
        <v/>
      </c>
      <c r="AD200">
        <f>1-alpha*MAX(0,delta-AC200)</f>
        <v/>
      </c>
      <c r="AE200">
        <f>AB200*AD200</f>
        <v/>
      </c>
      <c r="AF200">
        <f>1+COUNTIF(bounds,"&lt;"&amp;ROUND(AB200,12))</f>
        <v/>
      </c>
      <c r="AG200">
        <f>1+COUNTIF(bounds,"&lt;"&amp;ROUND(AE200,12))</f>
        <v/>
      </c>
      <c r="AH200">
        <f>IF(AD200&lt;1,1,0)</f>
        <v/>
      </c>
      <c r="AI200">
        <f>IF(AF200&lt;&gt;AG200,1,0)</f>
        <v/>
      </c>
      <c r="AJ200">
        <f>IF(AND(AG200&gt;=3,Z200&lt;=0.2),1,0)</f>
        <v/>
      </c>
      <c r="AK200">
        <f>AVERAGE(U200:Z200)</f>
        <v/>
      </c>
      <c r="AL200">
        <f>1+COUNTIF(bounds,"&lt;"&amp;ROUND(AK200,12))</f>
        <v/>
      </c>
      <c r="AM200">
        <f>IF(AI200=1,AB200,NA())</f>
        <v/>
      </c>
      <c r="AN200">
        <f>IF(AI200=0,AB200,NA())</f>
        <v/>
      </c>
    </row>
    <row r="201">
      <c r="A201" t="n">
        <v>193</v>
      </c>
      <c r="B201" t="n">
        <v>3</v>
      </c>
      <c r="C201" t="n">
        <v>1</v>
      </c>
      <c r="D201" t="n">
        <v>1</v>
      </c>
      <c r="E201" t="n">
        <v>3</v>
      </c>
      <c r="F201" t="n">
        <v>5</v>
      </c>
      <c r="G201" t="n">
        <v>5</v>
      </c>
      <c r="H201" t="n">
        <v>1</v>
      </c>
      <c r="I201" t="n">
        <v>4</v>
      </c>
      <c r="J201" t="n">
        <v>1</v>
      </c>
      <c r="K201" t="n">
        <v>4</v>
      </c>
      <c r="L201" t="n">
        <v>4</v>
      </c>
      <c r="M201" t="n">
        <v>2</v>
      </c>
      <c r="N201" t="n">
        <v>2</v>
      </c>
      <c r="O201" t="n">
        <v>5</v>
      </c>
      <c r="P201" t="n">
        <v>4</v>
      </c>
      <c r="Q201" t="n">
        <v>1</v>
      </c>
      <c r="R201" t="n">
        <v>1</v>
      </c>
      <c r="S201" t="n">
        <v>2</v>
      </c>
      <c r="T201" t="n">
        <v>5</v>
      </c>
      <c r="U201">
        <f>(AVERAGE(B201:D201)-1)/4</f>
        <v/>
      </c>
      <c r="V201">
        <f>(AVERAGE(E201:F201)-1)/4</f>
        <v/>
      </c>
      <c r="W201">
        <f>(AVERAGE(G201:I201)-1)/4</f>
        <v/>
      </c>
      <c r="X201">
        <f>(AVERAGE(J201:L201)-1)/4</f>
        <v/>
      </c>
      <c r="Y201">
        <f>(AVERAGE(M201:O201)-1)/4</f>
        <v/>
      </c>
      <c r="Z201">
        <f>(AVERAGE(P201:R201)-1)/4</f>
        <v/>
      </c>
      <c r="AA201">
        <f>(AVERAGE(S201:T201)-1)/4</f>
        <v/>
      </c>
      <c r="AB201">
        <f>AVERAGE(U201:Y201)</f>
        <v/>
      </c>
      <c r="AC201">
        <f>MIN(U201:Y201)</f>
        <v/>
      </c>
      <c r="AD201">
        <f>1-alpha*MAX(0,delta-AC201)</f>
        <v/>
      </c>
      <c r="AE201">
        <f>AB201*AD201</f>
        <v/>
      </c>
      <c r="AF201">
        <f>1+COUNTIF(bounds,"&lt;"&amp;ROUND(AB201,12))</f>
        <v/>
      </c>
      <c r="AG201">
        <f>1+COUNTIF(bounds,"&lt;"&amp;ROUND(AE201,12))</f>
        <v/>
      </c>
      <c r="AH201">
        <f>IF(AD201&lt;1,1,0)</f>
        <v/>
      </c>
      <c r="AI201">
        <f>IF(AF201&lt;&gt;AG201,1,0)</f>
        <v/>
      </c>
      <c r="AJ201">
        <f>IF(AND(AG201&gt;=3,Z201&lt;=0.2),1,0)</f>
        <v/>
      </c>
      <c r="AK201">
        <f>AVERAGE(U201:Z201)</f>
        <v/>
      </c>
      <c r="AL201">
        <f>1+COUNTIF(bounds,"&lt;"&amp;ROUND(AK201,12))</f>
        <v/>
      </c>
      <c r="AM201">
        <f>IF(AI201=1,AB201,NA())</f>
        <v/>
      </c>
      <c r="AN201">
        <f>IF(AI201=0,AB201,NA())</f>
        <v/>
      </c>
    </row>
    <row r="202">
      <c r="A202" t="n">
        <v>194</v>
      </c>
      <c r="B202" t="n">
        <v>4</v>
      </c>
      <c r="C202" t="n">
        <v>4</v>
      </c>
      <c r="D202" t="n">
        <v>1</v>
      </c>
      <c r="E202" t="n">
        <v>3</v>
      </c>
      <c r="F202" t="n">
        <v>4</v>
      </c>
      <c r="G202" t="n">
        <v>1</v>
      </c>
      <c r="H202" t="n">
        <v>5</v>
      </c>
      <c r="I202" t="n">
        <v>5</v>
      </c>
      <c r="J202" t="n">
        <v>4</v>
      </c>
      <c r="K202" t="n">
        <v>3</v>
      </c>
      <c r="L202" t="n">
        <v>4</v>
      </c>
      <c r="M202" t="n">
        <v>3</v>
      </c>
      <c r="N202" t="n">
        <v>3</v>
      </c>
      <c r="O202" t="n">
        <v>5</v>
      </c>
      <c r="P202" t="n">
        <v>3</v>
      </c>
      <c r="Q202" t="n">
        <v>3</v>
      </c>
      <c r="R202" t="n">
        <v>3</v>
      </c>
      <c r="S202" t="n">
        <v>1</v>
      </c>
      <c r="T202" t="n">
        <v>4</v>
      </c>
      <c r="U202">
        <f>(AVERAGE(B202:D202)-1)/4</f>
        <v/>
      </c>
      <c r="V202">
        <f>(AVERAGE(E202:F202)-1)/4</f>
        <v/>
      </c>
      <c r="W202">
        <f>(AVERAGE(G202:I202)-1)/4</f>
        <v/>
      </c>
      <c r="X202">
        <f>(AVERAGE(J202:L202)-1)/4</f>
        <v/>
      </c>
      <c r="Y202">
        <f>(AVERAGE(M202:O202)-1)/4</f>
        <v/>
      </c>
      <c r="Z202">
        <f>(AVERAGE(P202:R202)-1)/4</f>
        <v/>
      </c>
      <c r="AA202">
        <f>(AVERAGE(S202:T202)-1)/4</f>
        <v/>
      </c>
      <c r="AB202">
        <f>AVERAGE(U202:Y202)</f>
        <v/>
      </c>
      <c r="AC202">
        <f>MIN(U202:Y202)</f>
        <v/>
      </c>
      <c r="AD202">
        <f>1-alpha*MAX(0,delta-AC202)</f>
        <v/>
      </c>
      <c r="AE202">
        <f>AB202*AD202</f>
        <v/>
      </c>
      <c r="AF202">
        <f>1+COUNTIF(bounds,"&lt;"&amp;ROUND(AB202,12))</f>
        <v/>
      </c>
      <c r="AG202">
        <f>1+COUNTIF(bounds,"&lt;"&amp;ROUND(AE202,12))</f>
        <v/>
      </c>
      <c r="AH202">
        <f>IF(AD202&lt;1,1,0)</f>
        <v/>
      </c>
      <c r="AI202">
        <f>IF(AF202&lt;&gt;AG202,1,0)</f>
        <v/>
      </c>
      <c r="AJ202">
        <f>IF(AND(AG202&gt;=3,Z202&lt;=0.2),1,0)</f>
        <v/>
      </c>
      <c r="AK202">
        <f>AVERAGE(U202:Z202)</f>
        <v/>
      </c>
      <c r="AL202">
        <f>1+COUNTIF(bounds,"&lt;"&amp;ROUND(AK202,12))</f>
        <v/>
      </c>
      <c r="AM202">
        <f>IF(AI202=1,AB202,NA())</f>
        <v/>
      </c>
      <c r="AN202">
        <f>IF(AI202=0,AB202,NA())</f>
        <v/>
      </c>
    </row>
    <row r="203">
      <c r="A203" t="n">
        <v>195</v>
      </c>
      <c r="B203" t="n">
        <v>1</v>
      </c>
      <c r="C203" t="n">
        <v>4</v>
      </c>
      <c r="D203" t="n">
        <v>3</v>
      </c>
      <c r="E203" t="n">
        <v>4</v>
      </c>
      <c r="F203" t="n">
        <v>1</v>
      </c>
      <c r="G203" t="n">
        <v>3</v>
      </c>
      <c r="H203" t="n">
        <v>1</v>
      </c>
      <c r="I203" t="n">
        <v>2</v>
      </c>
      <c r="J203" t="n">
        <v>4</v>
      </c>
      <c r="K203" t="n">
        <v>2</v>
      </c>
      <c r="L203" t="n">
        <v>5</v>
      </c>
      <c r="M203" t="n">
        <v>5</v>
      </c>
      <c r="N203" t="n">
        <v>5</v>
      </c>
      <c r="O203" t="n">
        <v>2</v>
      </c>
      <c r="P203" t="n">
        <v>3</v>
      </c>
      <c r="Q203" t="n">
        <v>3</v>
      </c>
      <c r="R203" t="n">
        <v>4</v>
      </c>
      <c r="S203" t="n">
        <v>4</v>
      </c>
      <c r="T203" t="n">
        <v>1</v>
      </c>
      <c r="U203">
        <f>(AVERAGE(B203:D203)-1)/4</f>
        <v/>
      </c>
      <c r="V203">
        <f>(AVERAGE(E203:F203)-1)/4</f>
        <v/>
      </c>
      <c r="W203">
        <f>(AVERAGE(G203:I203)-1)/4</f>
        <v/>
      </c>
      <c r="X203">
        <f>(AVERAGE(J203:L203)-1)/4</f>
        <v/>
      </c>
      <c r="Y203">
        <f>(AVERAGE(M203:O203)-1)/4</f>
        <v/>
      </c>
      <c r="Z203">
        <f>(AVERAGE(P203:R203)-1)/4</f>
        <v/>
      </c>
      <c r="AA203">
        <f>(AVERAGE(S203:T203)-1)/4</f>
        <v/>
      </c>
      <c r="AB203">
        <f>AVERAGE(U203:Y203)</f>
        <v/>
      </c>
      <c r="AC203">
        <f>MIN(U203:Y203)</f>
        <v/>
      </c>
      <c r="AD203">
        <f>1-alpha*MAX(0,delta-AC203)</f>
        <v/>
      </c>
      <c r="AE203">
        <f>AB203*AD203</f>
        <v/>
      </c>
      <c r="AF203">
        <f>1+COUNTIF(bounds,"&lt;"&amp;ROUND(AB203,12))</f>
        <v/>
      </c>
      <c r="AG203">
        <f>1+COUNTIF(bounds,"&lt;"&amp;ROUND(AE203,12))</f>
        <v/>
      </c>
      <c r="AH203">
        <f>IF(AD203&lt;1,1,0)</f>
        <v/>
      </c>
      <c r="AI203">
        <f>IF(AF203&lt;&gt;AG203,1,0)</f>
        <v/>
      </c>
      <c r="AJ203">
        <f>IF(AND(AG203&gt;=3,Z203&lt;=0.2),1,0)</f>
        <v/>
      </c>
      <c r="AK203">
        <f>AVERAGE(U203:Z203)</f>
        <v/>
      </c>
      <c r="AL203">
        <f>1+COUNTIF(bounds,"&lt;"&amp;ROUND(AK203,12))</f>
        <v/>
      </c>
      <c r="AM203">
        <f>IF(AI203=1,AB203,NA())</f>
        <v/>
      </c>
      <c r="AN203">
        <f>IF(AI203=0,AB203,NA())</f>
        <v/>
      </c>
    </row>
    <row r="204">
      <c r="A204" t="n">
        <v>196</v>
      </c>
      <c r="B204" t="n">
        <v>3</v>
      </c>
      <c r="C204" t="n">
        <v>1</v>
      </c>
      <c r="D204" t="n">
        <v>5</v>
      </c>
      <c r="E204" t="n">
        <v>1</v>
      </c>
      <c r="F204" t="n">
        <v>2</v>
      </c>
      <c r="G204" t="n">
        <v>3</v>
      </c>
      <c r="H204" t="n">
        <v>2</v>
      </c>
      <c r="I204" t="n">
        <v>3</v>
      </c>
      <c r="J204" t="n">
        <v>1</v>
      </c>
      <c r="K204" t="n">
        <v>5</v>
      </c>
      <c r="L204" t="n">
        <v>1</v>
      </c>
      <c r="M204" t="n">
        <v>3</v>
      </c>
      <c r="N204" t="n">
        <v>2</v>
      </c>
      <c r="O204" t="n">
        <v>2</v>
      </c>
      <c r="P204" t="n">
        <v>3</v>
      </c>
      <c r="Q204" t="n">
        <v>2</v>
      </c>
      <c r="R204" t="n">
        <v>2</v>
      </c>
      <c r="S204" t="n">
        <v>3</v>
      </c>
      <c r="T204" t="n">
        <v>1</v>
      </c>
      <c r="U204">
        <f>(AVERAGE(B204:D204)-1)/4</f>
        <v/>
      </c>
      <c r="V204">
        <f>(AVERAGE(E204:F204)-1)/4</f>
        <v/>
      </c>
      <c r="W204">
        <f>(AVERAGE(G204:I204)-1)/4</f>
        <v/>
      </c>
      <c r="X204">
        <f>(AVERAGE(J204:L204)-1)/4</f>
        <v/>
      </c>
      <c r="Y204">
        <f>(AVERAGE(M204:O204)-1)/4</f>
        <v/>
      </c>
      <c r="Z204">
        <f>(AVERAGE(P204:R204)-1)/4</f>
        <v/>
      </c>
      <c r="AA204">
        <f>(AVERAGE(S204:T204)-1)/4</f>
        <v/>
      </c>
      <c r="AB204">
        <f>AVERAGE(U204:Y204)</f>
        <v/>
      </c>
      <c r="AC204">
        <f>MIN(U204:Y204)</f>
        <v/>
      </c>
      <c r="AD204">
        <f>1-alpha*MAX(0,delta-AC204)</f>
        <v/>
      </c>
      <c r="AE204">
        <f>AB204*AD204</f>
        <v/>
      </c>
      <c r="AF204">
        <f>1+COUNTIF(bounds,"&lt;"&amp;ROUND(AB204,12))</f>
        <v/>
      </c>
      <c r="AG204">
        <f>1+COUNTIF(bounds,"&lt;"&amp;ROUND(AE204,12))</f>
        <v/>
      </c>
      <c r="AH204">
        <f>IF(AD204&lt;1,1,0)</f>
        <v/>
      </c>
      <c r="AI204">
        <f>IF(AF204&lt;&gt;AG204,1,0)</f>
        <v/>
      </c>
      <c r="AJ204">
        <f>IF(AND(AG204&gt;=3,Z204&lt;=0.2),1,0)</f>
        <v/>
      </c>
      <c r="AK204">
        <f>AVERAGE(U204:Z204)</f>
        <v/>
      </c>
      <c r="AL204">
        <f>1+COUNTIF(bounds,"&lt;"&amp;ROUND(AK204,12))</f>
        <v/>
      </c>
      <c r="AM204">
        <f>IF(AI204=1,AB204,NA())</f>
        <v/>
      </c>
      <c r="AN204">
        <f>IF(AI204=0,AB204,NA())</f>
        <v/>
      </c>
    </row>
    <row r="205">
      <c r="A205" t="n">
        <v>197</v>
      </c>
      <c r="B205" t="n">
        <v>2</v>
      </c>
      <c r="C205" t="n">
        <v>2</v>
      </c>
      <c r="D205" t="n">
        <v>3</v>
      </c>
      <c r="E205" t="n">
        <v>4</v>
      </c>
      <c r="F205" t="n">
        <v>1</v>
      </c>
      <c r="G205" t="n">
        <v>2</v>
      </c>
      <c r="H205" t="n">
        <v>3</v>
      </c>
      <c r="I205" t="n">
        <v>5</v>
      </c>
      <c r="J205" t="n">
        <v>4</v>
      </c>
      <c r="K205" t="n">
        <v>4</v>
      </c>
      <c r="L205" t="n">
        <v>1</v>
      </c>
      <c r="M205" t="n">
        <v>1</v>
      </c>
      <c r="N205" t="n">
        <v>5</v>
      </c>
      <c r="O205" t="n">
        <v>1</v>
      </c>
      <c r="P205" t="n">
        <v>2</v>
      </c>
      <c r="Q205" t="n">
        <v>4</v>
      </c>
      <c r="R205" t="n">
        <v>2</v>
      </c>
      <c r="S205" t="n">
        <v>3</v>
      </c>
      <c r="T205" t="n">
        <v>4</v>
      </c>
      <c r="U205">
        <f>(AVERAGE(B205:D205)-1)/4</f>
        <v/>
      </c>
      <c r="V205">
        <f>(AVERAGE(E205:F205)-1)/4</f>
        <v/>
      </c>
      <c r="W205">
        <f>(AVERAGE(G205:I205)-1)/4</f>
        <v/>
      </c>
      <c r="X205">
        <f>(AVERAGE(J205:L205)-1)/4</f>
        <v/>
      </c>
      <c r="Y205">
        <f>(AVERAGE(M205:O205)-1)/4</f>
        <v/>
      </c>
      <c r="Z205">
        <f>(AVERAGE(P205:R205)-1)/4</f>
        <v/>
      </c>
      <c r="AA205">
        <f>(AVERAGE(S205:T205)-1)/4</f>
        <v/>
      </c>
      <c r="AB205">
        <f>AVERAGE(U205:Y205)</f>
        <v/>
      </c>
      <c r="AC205">
        <f>MIN(U205:Y205)</f>
        <v/>
      </c>
      <c r="AD205">
        <f>1-alpha*MAX(0,delta-AC205)</f>
        <v/>
      </c>
      <c r="AE205">
        <f>AB205*AD205</f>
        <v/>
      </c>
      <c r="AF205">
        <f>1+COUNTIF(bounds,"&lt;"&amp;ROUND(AB205,12))</f>
        <v/>
      </c>
      <c r="AG205">
        <f>1+COUNTIF(bounds,"&lt;"&amp;ROUND(AE205,12))</f>
        <v/>
      </c>
      <c r="AH205">
        <f>IF(AD205&lt;1,1,0)</f>
        <v/>
      </c>
      <c r="AI205">
        <f>IF(AF205&lt;&gt;AG205,1,0)</f>
        <v/>
      </c>
      <c r="AJ205">
        <f>IF(AND(AG205&gt;=3,Z205&lt;=0.2),1,0)</f>
        <v/>
      </c>
      <c r="AK205">
        <f>AVERAGE(U205:Z205)</f>
        <v/>
      </c>
      <c r="AL205">
        <f>1+COUNTIF(bounds,"&lt;"&amp;ROUND(AK205,12))</f>
        <v/>
      </c>
      <c r="AM205">
        <f>IF(AI205=1,AB205,NA())</f>
        <v/>
      </c>
      <c r="AN205">
        <f>IF(AI205=0,AB205,NA())</f>
        <v/>
      </c>
    </row>
    <row r="206">
      <c r="A206" t="n">
        <v>198</v>
      </c>
      <c r="B206" t="n">
        <v>3</v>
      </c>
      <c r="C206" t="n">
        <v>5</v>
      </c>
      <c r="D206" t="n">
        <v>2</v>
      </c>
      <c r="E206" t="n">
        <v>4</v>
      </c>
      <c r="F206" t="n">
        <v>2</v>
      </c>
      <c r="G206" t="n">
        <v>4</v>
      </c>
      <c r="H206" t="n">
        <v>1</v>
      </c>
      <c r="I206" t="n">
        <v>4</v>
      </c>
      <c r="J206" t="n">
        <v>2</v>
      </c>
      <c r="K206" t="n">
        <v>2</v>
      </c>
      <c r="L206" t="n">
        <v>5</v>
      </c>
      <c r="M206" t="n">
        <v>3</v>
      </c>
      <c r="N206" t="n">
        <v>4</v>
      </c>
      <c r="O206" t="n">
        <v>1</v>
      </c>
      <c r="P206" t="n">
        <v>1</v>
      </c>
      <c r="Q206" t="n">
        <v>2</v>
      </c>
      <c r="R206" t="n">
        <v>1</v>
      </c>
      <c r="S206" t="n">
        <v>1</v>
      </c>
      <c r="T206" t="n">
        <v>2</v>
      </c>
      <c r="U206">
        <f>(AVERAGE(B206:D206)-1)/4</f>
        <v/>
      </c>
      <c r="V206">
        <f>(AVERAGE(E206:F206)-1)/4</f>
        <v/>
      </c>
      <c r="W206">
        <f>(AVERAGE(G206:I206)-1)/4</f>
        <v/>
      </c>
      <c r="X206">
        <f>(AVERAGE(J206:L206)-1)/4</f>
        <v/>
      </c>
      <c r="Y206">
        <f>(AVERAGE(M206:O206)-1)/4</f>
        <v/>
      </c>
      <c r="Z206">
        <f>(AVERAGE(P206:R206)-1)/4</f>
        <v/>
      </c>
      <c r="AA206">
        <f>(AVERAGE(S206:T206)-1)/4</f>
        <v/>
      </c>
      <c r="AB206">
        <f>AVERAGE(U206:Y206)</f>
        <v/>
      </c>
      <c r="AC206">
        <f>MIN(U206:Y206)</f>
        <v/>
      </c>
      <c r="AD206">
        <f>1-alpha*MAX(0,delta-AC206)</f>
        <v/>
      </c>
      <c r="AE206">
        <f>AB206*AD206</f>
        <v/>
      </c>
      <c r="AF206">
        <f>1+COUNTIF(bounds,"&lt;"&amp;ROUND(AB206,12))</f>
        <v/>
      </c>
      <c r="AG206">
        <f>1+COUNTIF(bounds,"&lt;"&amp;ROUND(AE206,12))</f>
        <v/>
      </c>
      <c r="AH206">
        <f>IF(AD206&lt;1,1,0)</f>
        <v/>
      </c>
      <c r="AI206">
        <f>IF(AF206&lt;&gt;AG206,1,0)</f>
        <v/>
      </c>
      <c r="AJ206">
        <f>IF(AND(AG206&gt;=3,Z206&lt;=0.2),1,0)</f>
        <v/>
      </c>
      <c r="AK206">
        <f>AVERAGE(U206:Z206)</f>
        <v/>
      </c>
      <c r="AL206">
        <f>1+COUNTIF(bounds,"&lt;"&amp;ROUND(AK206,12))</f>
        <v/>
      </c>
      <c r="AM206">
        <f>IF(AI206=1,AB206,NA())</f>
        <v/>
      </c>
      <c r="AN206">
        <f>IF(AI206=0,AB206,NA())</f>
        <v/>
      </c>
    </row>
    <row r="207">
      <c r="A207" t="n">
        <v>199</v>
      </c>
      <c r="B207" t="n">
        <v>1</v>
      </c>
      <c r="C207" t="n">
        <v>1</v>
      </c>
      <c r="D207" t="n">
        <v>4</v>
      </c>
      <c r="E207" t="n">
        <v>5</v>
      </c>
      <c r="F207" t="n">
        <v>1</v>
      </c>
      <c r="G207" t="n">
        <v>4</v>
      </c>
      <c r="H207" t="n">
        <v>3</v>
      </c>
      <c r="I207" t="n">
        <v>4</v>
      </c>
      <c r="J207" t="n">
        <v>2</v>
      </c>
      <c r="K207" t="n">
        <v>5</v>
      </c>
      <c r="L207" t="n">
        <v>1</v>
      </c>
      <c r="M207" t="n">
        <v>3</v>
      </c>
      <c r="N207" t="n">
        <v>2</v>
      </c>
      <c r="O207" t="n">
        <v>4</v>
      </c>
      <c r="P207" t="n">
        <v>1</v>
      </c>
      <c r="Q207" t="n">
        <v>2</v>
      </c>
      <c r="R207" t="n">
        <v>1</v>
      </c>
      <c r="S207" t="n">
        <v>2</v>
      </c>
      <c r="T207" t="n">
        <v>4</v>
      </c>
      <c r="U207">
        <f>(AVERAGE(B207:D207)-1)/4</f>
        <v/>
      </c>
      <c r="V207">
        <f>(AVERAGE(E207:F207)-1)/4</f>
        <v/>
      </c>
      <c r="W207">
        <f>(AVERAGE(G207:I207)-1)/4</f>
        <v/>
      </c>
      <c r="X207">
        <f>(AVERAGE(J207:L207)-1)/4</f>
        <v/>
      </c>
      <c r="Y207">
        <f>(AVERAGE(M207:O207)-1)/4</f>
        <v/>
      </c>
      <c r="Z207">
        <f>(AVERAGE(P207:R207)-1)/4</f>
        <v/>
      </c>
      <c r="AA207">
        <f>(AVERAGE(S207:T207)-1)/4</f>
        <v/>
      </c>
      <c r="AB207">
        <f>AVERAGE(U207:Y207)</f>
        <v/>
      </c>
      <c r="AC207">
        <f>MIN(U207:Y207)</f>
        <v/>
      </c>
      <c r="AD207">
        <f>1-alpha*MAX(0,delta-AC207)</f>
        <v/>
      </c>
      <c r="AE207">
        <f>AB207*AD207</f>
        <v/>
      </c>
      <c r="AF207">
        <f>1+COUNTIF(bounds,"&lt;"&amp;ROUND(AB207,12))</f>
        <v/>
      </c>
      <c r="AG207">
        <f>1+COUNTIF(bounds,"&lt;"&amp;ROUND(AE207,12))</f>
        <v/>
      </c>
      <c r="AH207">
        <f>IF(AD207&lt;1,1,0)</f>
        <v/>
      </c>
      <c r="AI207">
        <f>IF(AF207&lt;&gt;AG207,1,0)</f>
        <v/>
      </c>
      <c r="AJ207">
        <f>IF(AND(AG207&gt;=3,Z207&lt;=0.2),1,0)</f>
        <v/>
      </c>
      <c r="AK207">
        <f>AVERAGE(U207:Z207)</f>
        <v/>
      </c>
      <c r="AL207">
        <f>1+COUNTIF(bounds,"&lt;"&amp;ROUND(AK207,12))</f>
        <v/>
      </c>
      <c r="AM207">
        <f>IF(AI207=1,AB207,NA())</f>
        <v/>
      </c>
      <c r="AN207">
        <f>IF(AI207=0,AB207,NA())</f>
        <v/>
      </c>
    </row>
    <row r="208">
      <c r="A208" t="n">
        <v>200</v>
      </c>
      <c r="B208" t="n">
        <v>2</v>
      </c>
      <c r="C208" t="n">
        <v>5</v>
      </c>
      <c r="D208" t="n">
        <v>1</v>
      </c>
      <c r="E208" t="n">
        <v>2</v>
      </c>
      <c r="F208" t="n">
        <v>1</v>
      </c>
      <c r="G208" t="n">
        <v>2</v>
      </c>
      <c r="H208" t="n">
        <v>4</v>
      </c>
      <c r="I208" t="n">
        <v>3</v>
      </c>
      <c r="J208" t="n">
        <v>3</v>
      </c>
      <c r="K208" t="n">
        <v>3</v>
      </c>
      <c r="L208" t="n">
        <v>4</v>
      </c>
      <c r="M208" t="n">
        <v>3</v>
      </c>
      <c r="N208" t="n">
        <v>2</v>
      </c>
      <c r="O208" t="n">
        <v>5</v>
      </c>
      <c r="P208" t="n">
        <v>5</v>
      </c>
      <c r="Q208" t="n">
        <v>3</v>
      </c>
      <c r="R208" t="n">
        <v>5</v>
      </c>
      <c r="S208" t="n">
        <v>1</v>
      </c>
      <c r="T208" t="n">
        <v>3</v>
      </c>
      <c r="U208">
        <f>(AVERAGE(B208:D208)-1)/4</f>
        <v/>
      </c>
      <c r="V208">
        <f>(AVERAGE(E208:F208)-1)/4</f>
        <v/>
      </c>
      <c r="W208">
        <f>(AVERAGE(G208:I208)-1)/4</f>
        <v/>
      </c>
      <c r="X208">
        <f>(AVERAGE(J208:L208)-1)/4</f>
        <v/>
      </c>
      <c r="Y208">
        <f>(AVERAGE(M208:O208)-1)/4</f>
        <v/>
      </c>
      <c r="Z208">
        <f>(AVERAGE(P208:R208)-1)/4</f>
        <v/>
      </c>
      <c r="AA208">
        <f>(AVERAGE(S208:T208)-1)/4</f>
        <v/>
      </c>
      <c r="AB208">
        <f>AVERAGE(U208:Y208)</f>
        <v/>
      </c>
      <c r="AC208">
        <f>MIN(U208:Y208)</f>
        <v/>
      </c>
      <c r="AD208">
        <f>1-alpha*MAX(0,delta-AC208)</f>
        <v/>
      </c>
      <c r="AE208">
        <f>AB208*AD208</f>
        <v/>
      </c>
      <c r="AF208">
        <f>1+COUNTIF(bounds,"&lt;"&amp;ROUND(AB208,12))</f>
        <v/>
      </c>
      <c r="AG208">
        <f>1+COUNTIF(bounds,"&lt;"&amp;ROUND(AE208,12))</f>
        <v/>
      </c>
      <c r="AH208">
        <f>IF(AD208&lt;1,1,0)</f>
        <v/>
      </c>
      <c r="AI208">
        <f>IF(AF208&lt;&gt;AG208,1,0)</f>
        <v/>
      </c>
      <c r="AJ208">
        <f>IF(AND(AG208&gt;=3,Z208&lt;=0.2),1,0)</f>
        <v/>
      </c>
      <c r="AK208">
        <f>AVERAGE(U208:Z208)</f>
        <v/>
      </c>
      <c r="AL208">
        <f>1+COUNTIF(bounds,"&lt;"&amp;ROUND(AK208,12))</f>
        <v/>
      </c>
      <c r="AM208">
        <f>IF(AI208=1,AB208,NA())</f>
        <v/>
      </c>
      <c r="AN208">
        <f>IF(AI208=0,AB208,NA())</f>
        <v/>
      </c>
    </row>
    <row r="209">
      <c r="A209" t="n">
        <v>201</v>
      </c>
      <c r="B209" t="n">
        <v>3</v>
      </c>
      <c r="C209" t="n">
        <v>4</v>
      </c>
      <c r="D209" t="n">
        <v>3</v>
      </c>
      <c r="E209" t="n">
        <v>2</v>
      </c>
      <c r="F209" t="n">
        <v>5</v>
      </c>
      <c r="G209" t="n">
        <v>5</v>
      </c>
      <c r="H209" t="n">
        <v>2</v>
      </c>
      <c r="I209" t="n">
        <v>2</v>
      </c>
      <c r="J209" t="n">
        <v>4</v>
      </c>
      <c r="K209" t="n">
        <v>5</v>
      </c>
      <c r="L209" t="n">
        <v>3</v>
      </c>
      <c r="M209" t="n">
        <v>1</v>
      </c>
      <c r="N209" t="n">
        <v>3</v>
      </c>
      <c r="O209" t="n">
        <v>4</v>
      </c>
      <c r="P209" t="n">
        <v>1</v>
      </c>
      <c r="Q209" t="n">
        <v>2</v>
      </c>
      <c r="R209" t="n">
        <v>3</v>
      </c>
      <c r="S209" t="n">
        <v>5</v>
      </c>
      <c r="T209" t="n">
        <v>3</v>
      </c>
      <c r="U209">
        <f>(AVERAGE(B209:D209)-1)/4</f>
        <v/>
      </c>
      <c r="V209">
        <f>(AVERAGE(E209:F209)-1)/4</f>
        <v/>
      </c>
      <c r="W209">
        <f>(AVERAGE(G209:I209)-1)/4</f>
        <v/>
      </c>
      <c r="X209">
        <f>(AVERAGE(J209:L209)-1)/4</f>
        <v/>
      </c>
      <c r="Y209">
        <f>(AVERAGE(M209:O209)-1)/4</f>
        <v/>
      </c>
      <c r="Z209">
        <f>(AVERAGE(P209:R209)-1)/4</f>
        <v/>
      </c>
      <c r="AA209">
        <f>(AVERAGE(S209:T209)-1)/4</f>
        <v/>
      </c>
      <c r="AB209">
        <f>AVERAGE(U209:Y209)</f>
        <v/>
      </c>
      <c r="AC209">
        <f>MIN(U209:Y209)</f>
        <v/>
      </c>
      <c r="AD209">
        <f>1-alpha*MAX(0,delta-AC209)</f>
        <v/>
      </c>
      <c r="AE209">
        <f>AB209*AD209</f>
        <v/>
      </c>
      <c r="AF209">
        <f>1+COUNTIF(bounds,"&lt;"&amp;ROUND(AB209,12))</f>
        <v/>
      </c>
      <c r="AG209">
        <f>1+COUNTIF(bounds,"&lt;"&amp;ROUND(AE209,12))</f>
        <v/>
      </c>
      <c r="AH209">
        <f>IF(AD209&lt;1,1,0)</f>
        <v/>
      </c>
      <c r="AI209">
        <f>IF(AF209&lt;&gt;AG209,1,0)</f>
        <v/>
      </c>
      <c r="AJ209">
        <f>IF(AND(AG209&gt;=3,Z209&lt;=0.2),1,0)</f>
        <v/>
      </c>
      <c r="AK209">
        <f>AVERAGE(U209:Z209)</f>
        <v/>
      </c>
      <c r="AL209">
        <f>1+COUNTIF(bounds,"&lt;"&amp;ROUND(AK209,12))</f>
        <v/>
      </c>
      <c r="AM209">
        <f>IF(AI209=1,AB209,NA())</f>
        <v/>
      </c>
      <c r="AN209">
        <f>IF(AI209=0,AB209,NA())</f>
        <v/>
      </c>
    </row>
    <row r="210">
      <c r="A210" t="n">
        <v>202</v>
      </c>
      <c r="B210" t="n">
        <v>3</v>
      </c>
      <c r="C210" t="n">
        <v>5</v>
      </c>
      <c r="D210" t="n">
        <v>3</v>
      </c>
      <c r="E210" t="n">
        <v>4</v>
      </c>
      <c r="F210" t="n">
        <v>4</v>
      </c>
      <c r="G210" t="n">
        <v>5</v>
      </c>
      <c r="H210" t="n">
        <v>2</v>
      </c>
      <c r="I210" t="n">
        <v>2</v>
      </c>
      <c r="J210" t="n">
        <v>3</v>
      </c>
      <c r="K210" t="n">
        <v>1</v>
      </c>
      <c r="L210" t="n">
        <v>5</v>
      </c>
      <c r="M210" t="n">
        <v>1</v>
      </c>
      <c r="N210" t="n">
        <v>5</v>
      </c>
      <c r="O210" t="n">
        <v>5</v>
      </c>
      <c r="P210" t="n">
        <v>1</v>
      </c>
      <c r="Q210" t="n">
        <v>2</v>
      </c>
      <c r="R210" t="n">
        <v>5</v>
      </c>
      <c r="S210" t="n">
        <v>3</v>
      </c>
      <c r="T210" t="n">
        <v>4</v>
      </c>
      <c r="U210">
        <f>(AVERAGE(B210:D210)-1)/4</f>
        <v/>
      </c>
      <c r="V210">
        <f>(AVERAGE(E210:F210)-1)/4</f>
        <v/>
      </c>
      <c r="W210">
        <f>(AVERAGE(G210:I210)-1)/4</f>
        <v/>
      </c>
      <c r="X210">
        <f>(AVERAGE(J210:L210)-1)/4</f>
        <v/>
      </c>
      <c r="Y210">
        <f>(AVERAGE(M210:O210)-1)/4</f>
        <v/>
      </c>
      <c r="Z210">
        <f>(AVERAGE(P210:R210)-1)/4</f>
        <v/>
      </c>
      <c r="AA210">
        <f>(AVERAGE(S210:T210)-1)/4</f>
        <v/>
      </c>
      <c r="AB210">
        <f>AVERAGE(U210:Y210)</f>
        <v/>
      </c>
      <c r="AC210">
        <f>MIN(U210:Y210)</f>
        <v/>
      </c>
      <c r="AD210">
        <f>1-alpha*MAX(0,delta-AC210)</f>
        <v/>
      </c>
      <c r="AE210">
        <f>AB210*AD210</f>
        <v/>
      </c>
      <c r="AF210">
        <f>1+COUNTIF(bounds,"&lt;"&amp;ROUND(AB210,12))</f>
        <v/>
      </c>
      <c r="AG210">
        <f>1+COUNTIF(bounds,"&lt;"&amp;ROUND(AE210,12))</f>
        <v/>
      </c>
      <c r="AH210">
        <f>IF(AD210&lt;1,1,0)</f>
        <v/>
      </c>
      <c r="AI210">
        <f>IF(AF210&lt;&gt;AG210,1,0)</f>
        <v/>
      </c>
      <c r="AJ210">
        <f>IF(AND(AG210&gt;=3,Z210&lt;=0.2),1,0)</f>
        <v/>
      </c>
      <c r="AK210">
        <f>AVERAGE(U210:Z210)</f>
        <v/>
      </c>
      <c r="AL210">
        <f>1+COUNTIF(bounds,"&lt;"&amp;ROUND(AK210,12))</f>
        <v/>
      </c>
      <c r="AM210">
        <f>IF(AI210=1,AB210,NA())</f>
        <v/>
      </c>
      <c r="AN210">
        <f>IF(AI210=0,AB210,NA())</f>
        <v/>
      </c>
    </row>
    <row r="211">
      <c r="A211" t="n">
        <v>203</v>
      </c>
      <c r="B211" t="n">
        <v>5</v>
      </c>
      <c r="C211" t="n">
        <v>2</v>
      </c>
      <c r="D211" t="n">
        <v>3</v>
      </c>
      <c r="E211" t="n">
        <v>2</v>
      </c>
      <c r="F211" t="n">
        <v>2</v>
      </c>
      <c r="G211" t="n">
        <v>3</v>
      </c>
      <c r="H211" t="n">
        <v>1</v>
      </c>
      <c r="I211" t="n">
        <v>4</v>
      </c>
      <c r="J211" t="n">
        <v>3</v>
      </c>
      <c r="K211" t="n">
        <v>1</v>
      </c>
      <c r="L211" t="n">
        <v>3</v>
      </c>
      <c r="M211" t="n">
        <v>4</v>
      </c>
      <c r="N211" t="n">
        <v>5</v>
      </c>
      <c r="O211" t="n">
        <v>4</v>
      </c>
      <c r="P211" t="n">
        <v>1</v>
      </c>
      <c r="Q211" t="n">
        <v>5</v>
      </c>
      <c r="R211" t="n">
        <v>3</v>
      </c>
      <c r="S211" t="n">
        <v>3</v>
      </c>
      <c r="T211" t="n">
        <v>3</v>
      </c>
      <c r="U211">
        <f>(AVERAGE(B211:D211)-1)/4</f>
        <v/>
      </c>
      <c r="V211">
        <f>(AVERAGE(E211:F211)-1)/4</f>
        <v/>
      </c>
      <c r="W211">
        <f>(AVERAGE(G211:I211)-1)/4</f>
        <v/>
      </c>
      <c r="X211">
        <f>(AVERAGE(J211:L211)-1)/4</f>
        <v/>
      </c>
      <c r="Y211">
        <f>(AVERAGE(M211:O211)-1)/4</f>
        <v/>
      </c>
      <c r="Z211">
        <f>(AVERAGE(P211:R211)-1)/4</f>
        <v/>
      </c>
      <c r="AA211">
        <f>(AVERAGE(S211:T211)-1)/4</f>
        <v/>
      </c>
      <c r="AB211">
        <f>AVERAGE(U211:Y211)</f>
        <v/>
      </c>
      <c r="AC211">
        <f>MIN(U211:Y211)</f>
        <v/>
      </c>
      <c r="AD211">
        <f>1-alpha*MAX(0,delta-AC211)</f>
        <v/>
      </c>
      <c r="AE211">
        <f>AB211*AD211</f>
        <v/>
      </c>
      <c r="AF211">
        <f>1+COUNTIF(bounds,"&lt;"&amp;ROUND(AB211,12))</f>
        <v/>
      </c>
      <c r="AG211">
        <f>1+COUNTIF(bounds,"&lt;"&amp;ROUND(AE211,12))</f>
        <v/>
      </c>
      <c r="AH211">
        <f>IF(AD211&lt;1,1,0)</f>
        <v/>
      </c>
      <c r="AI211">
        <f>IF(AF211&lt;&gt;AG211,1,0)</f>
        <v/>
      </c>
      <c r="AJ211">
        <f>IF(AND(AG211&gt;=3,Z211&lt;=0.2),1,0)</f>
        <v/>
      </c>
      <c r="AK211">
        <f>AVERAGE(U211:Z211)</f>
        <v/>
      </c>
      <c r="AL211">
        <f>1+COUNTIF(bounds,"&lt;"&amp;ROUND(AK211,12))</f>
        <v/>
      </c>
      <c r="AM211">
        <f>IF(AI211=1,AB211,NA())</f>
        <v/>
      </c>
      <c r="AN211">
        <f>IF(AI211=0,AB211,NA())</f>
        <v/>
      </c>
    </row>
    <row r="212">
      <c r="A212" t="n">
        <v>204</v>
      </c>
      <c r="B212" t="n">
        <v>4</v>
      </c>
      <c r="C212" t="n">
        <v>5</v>
      </c>
      <c r="D212" t="n">
        <v>1</v>
      </c>
      <c r="E212" t="n">
        <v>2</v>
      </c>
      <c r="F212" t="n">
        <v>2</v>
      </c>
      <c r="G212" t="n">
        <v>4</v>
      </c>
      <c r="H212" t="n">
        <v>2</v>
      </c>
      <c r="I212" t="n">
        <v>2</v>
      </c>
      <c r="J212" t="n">
        <v>3</v>
      </c>
      <c r="K212" t="n">
        <v>2</v>
      </c>
      <c r="L212" t="n">
        <v>3</v>
      </c>
      <c r="M212" t="n">
        <v>1</v>
      </c>
      <c r="N212" t="n">
        <v>5</v>
      </c>
      <c r="O212" t="n">
        <v>5</v>
      </c>
      <c r="P212" t="n">
        <v>2</v>
      </c>
      <c r="Q212" t="n">
        <v>4</v>
      </c>
      <c r="R212" t="n">
        <v>5</v>
      </c>
      <c r="S212" t="n">
        <v>4</v>
      </c>
      <c r="T212" t="n">
        <v>1</v>
      </c>
      <c r="U212">
        <f>(AVERAGE(B212:D212)-1)/4</f>
        <v/>
      </c>
      <c r="V212">
        <f>(AVERAGE(E212:F212)-1)/4</f>
        <v/>
      </c>
      <c r="W212">
        <f>(AVERAGE(G212:I212)-1)/4</f>
        <v/>
      </c>
      <c r="X212">
        <f>(AVERAGE(J212:L212)-1)/4</f>
        <v/>
      </c>
      <c r="Y212">
        <f>(AVERAGE(M212:O212)-1)/4</f>
        <v/>
      </c>
      <c r="Z212">
        <f>(AVERAGE(P212:R212)-1)/4</f>
        <v/>
      </c>
      <c r="AA212">
        <f>(AVERAGE(S212:T212)-1)/4</f>
        <v/>
      </c>
      <c r="AB212">
        <f>AVERAGE(U212:Y212)</f>
        <v/>
      </c>
      <c r="AC212">
        <f>MIN(U212:Y212)</f>
        <v/>
      </c>
      <c r="AD212">
        <f>1-alpha*MAX(0,delta-AC212)</f>
        <v/>
      </c>
      <c r="AE212">
        <f>AB212*AD212</f>
        <v/>
      </c>
      <c r="AF212">
        <f>1+COUNTIF(bounds,"&lt;"&amp;ROUND(AB212,12))</f>
        <v/>
      </c>
      <c r="AG212">
        <f>1+COUNTIF(bounds,"&lt;"&amp;ROUND(AE212,12))</f>
        <v/>
      </c>
      <c r="AH212">
        <f>IF(AD212&lt;1,1,0)</f>
        <v/>
      </c>
      <c r="AI212">
        <f>IF(AF212&lt;&gt;AG212,1,0)</f>
        <v/>
      </c>
      <c r="AJ212">
        <f>IF(AND(AG212&gt;=3,Z212&lt;=0.2),1,0)</f>
        <v/>
      </c>
      <c r="AK212">
        <f>AVERAGE(U212:Z212)</f>
        <v/>
      </c>
      <c r="AL212">
        <f>1+COUNTIF(bounds,"&lt;"&amp;ROUND(AK212,12))</f>
        <v/>
      </c>
      <c r="AM212">
        <f>IF(AI212=1,AB212,NA())</f>
        <v/>
      </c>
      <c r="AN212">
        <f>IF(AI212=0,AB212,NA())</f>
        <v/>
      </c>
    </row>
    <row r="213">
      <c r="A213" t="n">
        <v>205</v>
      </c>
      <c r="B213" t="n">
        <v>5</v>
      </c>
      <c r="C213" t="n">
        <v>4</v>
      </c>
      <c r="D213" t="n">
        <v>5</v>
      </c>
      <c r="E213" t="n">
        <v>3</v>
      </c>
      <c r="F213" t="n">
        <v>3</v>
      </c>
      <c r="G213" t="n">
        <v>4</v>
      </c>
      <c r="H213" t="n">
        <v>5</v>
      </c>
      <c r="I213" t="n">
        <v>4</v>
      </c>
      <c r="J213" t="n">
        <v>2</v>
      </c>
      <c r="K213" t="n">
        <v>2</v>
      </c>
      <c r="L213" t="n">
        <v>4</v>
      </c>
      <c r="M213" t="n">
        <v>3</v>
      </c>
      <c r="N213" t="n">
        <v>4</v>
      </c>
      <c r="O213" t="n">
        <v>3</v>
      </c>
      <c r="P213" t="n">
        <v>4</v>
      </c>
      <c r="Q213" t="n">
        <v>1</v>
      </c>
      <c r="R213" t="n">
        <v>3</v>
      </c>
      <c r="S213" t="n">
        <v>4</v>
      </c>
      <c r="T213" t="n">
        <v>4</v>
      </c>
      <c r="U213">
        <f>(AVERAGE(B213:D213)-1)/4</f>
        <v/>
      </c>
      <c r="V213">
        <f>(AVERAGE(E213:F213)-1)/4</f>
        <v/>
      </c>
      <c r="W213">
        <f>(AVERAGE(G213:I213)-1)/4</f>
        <v/>
      </c>
      <c r="X213">
        <f>(AVERAGE(J213:L213)-1)/4</f>
        <v/>
      </c>
      <c r="Y213">
        <f>(AVERAGE(M213:O213)-1)/4</f>
        <v/>
      </c>
      <c r="Z213">
        <f>(AVERAGE(P213:R213)-1)/4</f>
        <v/>
      </c>
      <c r="AA213">
        <f>(AVERAGE(S213:T213)-1)/4</f>
        <v/>
      </c>
      <c r="AB213">
        <f>AVERAGE(U213:Y213)</f>
        <v/>
      </c>
      <c r="AC213">
        <f>MIN(U213:Y213)</f>
        <v/>
      </c>
      <c r="AD213">
        <f>1-alpha*MAX(0,delta-AC213)</f>
        <v/>
      </c>
      <c r="AE213">
        <f>AB213*AD213</f>
        <v/>
      </c>
      <c r="AF213">
        <f>1+COUNTIF(bounds,"&lt;"&amp;ROUND(AB213,12))</f>
        <v/>
      </c>
      <c r="AG213">
        <f>1+COUNTIF(bounds,"&lt;"&amp;ROUND(AE213,12))</f>
        <v/>
      </c>
      <c r="AH213">
        <f>IF(AD213&lt;1,1,0)</f>
        <v/>
      </c>
      <c r="AI213">
        <f>IF(AF213&lt;&gt;AG213,1,0)</f>
        <v/>
      </c>
      <c r="AJ213">
        <f>IF(AND(AG213&gt;=3,Z213&lt;=0.2),1,0)</f>
        <v/>
      </c>
      <c r="AK213">
        <f>AVERAGE(U213:Z213)</f>
        <v/>
      </c>
      <c r="AL213">
        <f>1+COUNTIF(bounds,"&lt;"&amp;ROUND(AK213,12))</f>
        <v/>
      </c>
      <c r="AM213">
        <f>IF(AI213=1,AB213,NA())</f>
        <v/>
      </c>
      <c r="AN213">
        <f>IF(AI213=0,AB213,NA())</f>
        <v/>
      </c>
    </row>
    <row r="214">
      <c r="A214" t="n">
        <v>206</v>
      </c>
      <c r="B214" t="n">
        <v>4</v>
      </c>
      <c r="C214" t="n">
        <v>3</v>
      </c>
      <c r="D214" t="n">
        <v>4</v>
      </c>
      <c r="E214" t="n">
        <v>3</v>
      </c>
      <c r="F214" t="n">
        <v>2</v>
      </c>
      <c r="G214" t="n">
        <v>1</v>
      </c>
      <c r="H214" t="n">
        <v>3</v>
      </c>
      <c r="I214" t="n">
        <v>1</v>
      </c>
      <c r="J214" t="n">
        <v>3</v>
      </c>
      <c r="K214" t="n">
        <v>4</v>
      </c>
      <c r="L214" t="n">
        <v>2</v>
      </c>
      <c r="M214" t="n">
        <v>1</v>
      </c>
      <c r="N214" t="n">
        <v>4</v>
      </c>
      <c r="O214" t="n">
        <v>1</v>
      </c>
      <c r="P214" t="n">
        <v>1</v>
      </c>
      <c r="Q214" t="n">
        <v>3</v>
      </c>
      <c r="R214" t="n">
        <v>2</v>
      </c>
      <c r="S214" t="n">
        <v>2</v>
      </c>
      <c r="T214" t="n">
        <v>2</v>
      </c>
      <c r="U214">
        <f>(AVERAGE(B214:D214)-1)/4</f>
        <v/>
      </c>
      <c r="V214">
        <f>(AVERAGE(E214:F214)-1)/4</f>
        <v/>
      </c>
      <c r="W214">
        <f>(AVERAGE(G214:I214)-1)/4</f>
        <v/>
      </c>
      <c r="X214">
        <f>(AVERAGE(J214:L214)-1)/4</f>
        <v/>
      </c>
      <c r="Y214">
        <f>(AVERAGE(M214:O214)-1)/4</f>
        <v/>
      </c>
      <c r="Z214">
        <f>(AVERAGE(P214:R214)-1)/4</f>
        <v/>
      </c>
      <c r="AA214">
        <f>(AVERAGE(S214:T214)-1)/4</f>
        <v/>
      </c>
      <c r="AB214">
        <f>AVERAGE(U214:Y214)</f>
        <v/>
      </c>
      <c r="AC214">
        <f>MIN(U214:Y214)</f>
        <v/>
      </c>
      <c r="AD214">
        <f>1-alpha*MAX(0,delta-AC214)</f>
        <v/>
      </c>
      <c r="AE214">
        <f>AB214*AD214</f>
        <v/>
      </c>
      <c r="AF214">
        <f>1+COUNTIF(bounds,"&lt;"&amp;ROUND(AB214,12))</f>
        <v/>
      </c>
      <c r="AG214">
        <f>1+COUNTIF(bounds,"&lt;"&amp;ROUND(AE214,12))</f>
        <v/>
      </c>
      <c r="AH214">
        <f>IF(AD214&lt;1,1,0)</f>
        <v/>
      </c>
      <c r="AI214">
        <f>IF(AF214&lt;&gt;AG214,1,0)</f>
        <v/>
      </c>
      <c r="AJ214">
        <f>IF(AND(AG214&gt;=3,Z214&lt;=0.2),1,0)</f>
        <v/>
      </c>
      <c r="AK214">
        <f>AVERAGE(U214:Z214)</f>
        <v/>
      </c>
      <c r="AL214">
        <f>1+COUNTIF(bounds,"&lt;"&amp;ROUND(AK214,12))</f>
        <v/>
      </c>
      <c r="AM214">
        <f>IF(AI214=1,AB214,NA())</f>
        <v/>
      </c>
      <c r="AN214">
        <f>IF(AI214=0,AB214,NA())</f>
        <v/>
      </c>
    </row>
    <row r="215">
      <c r="A215" t="n">
        <v>207</v>
      </c>
      <c r="B215" t="n">
        <v>2</v>
      </c>
      <c r="C215" t="n">
        <v>1</v>
      </c>
      <c r="D215" t="n">
        <v>4</v>
      </c>
      <c r="E215" t="n">
        <v>5</v>
      </c>
      <c r="F215" t="n">
        <v>3</v>
      </c>
      <c r="G215" t="n">
        <v>2</v>
      </c>
      <c r="H215" t="n">
        <v>2</v>
      </c>
      <c r="I215" t="n">
        <v>4</v>
      </c>
      <c r="J215" t="n">
        <v>5</v>
      </c>
      <c r="K215" t="n">
        <v>5</v>
      </c>
      <c r="L215" t="n">
        <v>4</v>
      </c>
      <c r="M215" t="n">
        <v>3</v>
      </c>
      <c r="N215" t="n">
        <v>3</v>
      </c>
      <c r="O215" t="n">
        <v>4</v>
      </c>
      <c r="P215" t="n">
        <v>4</v>
      </c>
      <c r="Q215" t="n">
        <v>4</v>
      </c>
      <c r="R215" t="n">
        <v>5</v>
      </c>
      <c r="S215" t="n">
        <v>1</v>
      </c>
      <c r="T215" t="n">
        <v>3</v>
      </c>
      <c r="U215">
        <f>(AVERAGE(B215:D215)-1)/4</f>
        <v/>
      </c>
      <c r="V215">
        <f>(AVERAGE(E215:F215)-1)/4</f>
        <v/>
      </c>
      <c r="W215">
        <f>(AVERAGE(G215:I215)-1)/4</f>
        <v/>
      </c>
      <c r="X215">
        <f>(AVERAGE(J215:L215)-1)/4</f>
        <v/>
      </c>
      <c r="Y215">
        <f>(AVERAGE(M215:O215)-1)/4</f>
        <v/>
      </c>
      <c r="Z215">
        <f>(AVERAGE(P215:R215)-1)/4</f>
        <v/>
      </c>
      <c r="AA215">
        <f>(AVERAGE(S215:T215)-1)/4</f>
        <v/>
      </c>
      <c r="AB215">
        <f>AVERAGE(U215:Y215)</f>
        <v/>
      </c>
      <c r="AC215">
        <f>MIN(U215:Y215)</f>
        <v/>
      </c>
      <c r="AD215">
        <f>1-alpha*MAX(0,delta-AC215)</f>
        <v/>
      </c>
      <c r="AE215">
        <f>AB215*AD215</f>
        <v/>
      </c>
      <c r="AF215">
        <f>1+COUNTIF(bounds,"&lt;"&amp;ROUND(AB215,12))</f>
        <v/>
      </c>
      <c r="AG215">
        <f>1+COUNTIF(bounds,"&lt;"&amp;ROUND(AE215,12))</f>
        <v/>
      </c>
      <c r="AH215">
        <f>IF(AD215&lt;1,1,0)</f>
        <v/>
      </c>
      <c r="AI215">
        <f>IF(AF215&lt;&gt;AG215,1,0)</f>
        <v/>
      </c>
      <c r="AJ215">
        <f>IF(AND(AG215&gt;=3,Z215&lt;=0.2),1,0)</f>
        <v/>
      </c>
      <c r="AK215">
        <f>AVERAGE(U215:Z215)</f>
        <v/>
      </c>
      <c r="AL215">
        <f>1+COUNTIF(bounds,"&lt;"&amp;ROUND(AK215,12))</f>
        <v/>
      </c>
      <c r="AM215">
        <f>IF(AI215=1,AB215,NA())</f>
        <v/>
      </c>
      <c r="AN215">
        <f>IF(AI215=0,AB215,NA())</f>
        <v/>
      </c>
    </row>
    <row r="216">
      <c r="A216" t="n">
        <v>208</v>
      </c>
      <c r="B216" t="n">
        <v>5</v>
      </c>
      <c r="C216" t="n">
        <v>5</v>
      </c>
      <c r="D216" t="n">
        <v>3</v>
      </c>
      <c r="E216" t="n">
        <v>3</v>
      </c>
      <c r="F216" t="n">
        <v>5</v>
      </c>
      <c r="G216" t="n">
        <v>2</v>
      </c>
      <c r="H216" t="n">
        <v>3</v>
      </c>
      <c r="I216" t="n">
        <v>2</v>
      </c>
      <c r="J216" t="n">
        <v>4</v>
      </c>
      <c r="K216" t="n">
        <v>1</v>
      </c>
      <c r="L216" t="n">
        <v>5</v>
      </c>
      <c r="M216" t="n">
        <v>4</v>
      </c>
      <c r="N216" t="n">
        <v>3</v>
      </c>
      <c r="O216" t="n">
        <v>3</v>
      </c>
      <c r="P216" t="n">
        <v>5</v>
      </c>
      <c r="Q216" t="n">
        <v>5</v>
      </c>
      <c r="R216" t="n">
        <v>1</v>
      </c>
      <c r="S216" t="n">
        <v>3</v>
      </c>
      <c r="T216" t="n">
        <v>3</v>
      </c>
      <c r="U216">
        <f>(AVERAGE(B216:D216)-1)/4</f>
        <v/>
      </c>
      <c r="V216">
        <f>(AVERAGE(E216:F216)-1)/4</f>
        <v/>
      </c>
      <c r="W216">
        <f>(AVERAGE(G216:I216)-1)/4</f>
        <v/>
      </c>
      <c r="X216">
        <f>(AVERAGE(J216:L216)-1)/4</f>
        <v/>
      </c>
      <c r="Y216">
        <f>(AVERAGE(M216:O216)-1)/4</f>
        <v/>
      </c>
      <c r="Z216">
        <f>(AVERAGE(P216:R216)-1)/4</f>
        <v/>
      </c>
      <c r="AA216">
        <f>(AVERAGE(S216:T216)-1)/4</f>
        <v/>
      </c>
      <c r="AB216">
        <f>AVERAGE(U216:Y216)</f>
        <v/>
      </c>
      <c r="AC216">
        <f>MIN(U216:Y216)</f>
        <v/>
      </c>
      <c r="AD216">
        <f>1-alpha*MAX(0,delta-AC216)</f>
        <v/>
      </c>
      <c r="AE216">
        <f>AB216*AD216</f>
        <v/>
      </c>
      <c r="AF216">
        <f>1+COUNTIF(bounds,"&lt;"&amp;ROUND(AB216,12))</f>
        <v/>
      </c>
      <c r="AG216">
        <f>1+COUNTIF(bounds,"&lt;"&amp;ROUND(AE216,12))</f>
        <v/>
      </c>
      <c r="AH216">
        <f>IF(AD216&lt;1,1,0)</f>
        <v/>
      </c>
      <c r="AI216">
        <f>IF(AF216&lt;&gt;AG216,1,0)</f>
        <v/>
      </c>
      <c r="AJ216">
        <f>IF(AND(AG216&gt;=3,Z216&lt;=0.2),1,0)</f>
        <v/>
      </c>
      <c r="AK216">
        <f>AVERAGE(U216:Z216)</f>
        <v/>
      </c>
      <c r="AL216">
        <f>1+COUNTIF(bounds,"&lt;"&amp;ROUND(AK216,12))</f>
        <v/>
      </c>
      <c r="AM216">
        <f>IF(AI216=1,AB216,NA())</f>
        <v/>
      </c>
      <c r="AN216">
        <f>IF(AI216=0,AB216,NA())</f>
        <v/>
      </c>
    </row>
    <row r="217">
      <c r="A217" t="n">
        <v>209</v>
      </c>
      <c r="B217" t="n">
        <v>4</v>
      </c>
      <c r="C217" t="n">
        <v>4</v>
      </c>
      <c r="D217" t="n">
        <v>2</v>
      </c>
      <c r="E217" t="n">
        <v>1</v>
      </c>
      <c r="F217" t="n">
        <v>1</v>
      </c>
      <c r="G217" t="n">
        <v>2</v>
      </c>
      <c r="H217" t="n">
        <v>4</v>
      </c>
      <c r="I217" t="n">
        <v>5</v>
      </c>
      <c r="J217" t="n">
        <v>5</v>
      </c>
      <c r="K217" t="n">
        <v>5</v>
      </c>
      <c r="L217" t="n">
        <v>3</v>
      </c>
      <c r="M217" t="n">
        <v>3</v>
      </c>
      <c r="N217" t="n">
        <v>4</v>
      </c>
      <c r="O217" t="n">
        <v>2</v>
      </c>
      <c r="P217" t="n">
        <v>3</v>
      </c>
      <c r="Q217" t="n">
        <v>4</v>
      </c>
      <c r="R217" t="n">
        <v>3</v>
      </c>
      <c r="S217" t="n">
        <v>4</v>
      </c>
      <c r="T217" t="n">
        <v>3</v>
      </c>
      <c r="U217">
        <f>(AVERAGE(B217:D217)-1)/4</f>
        <v/>
      </c>
      <c r="V217">
        <f>(AVERAGE(E217:F217)-1)/4</f>
        <v/>
      </c>
      <c r="W217">
        <f>(AVERAGE(G217:I217)-1)/4</f>
        <v/>
      </c>
      <c r="X217">
        <f>(AVERAGE(J217:L217)-1)/4</f>
        <v/>
      </c>
      <c r="Y217">
        <f>(AVERAGE(M217:O217)-1)/4</f>
        <v/>
      </c>
      <c r="Z217">
        <f>(AVERAGE(P217:R217)-1)/4</f>
        <v/>
      </c>
      <c r="AA217">
        <f>(AVERAGE(S217:T217)-1)/4</f>
        <v/>
      </c>
      <c r="AB217">
        <f>AVERAGE(U217:Y217)</f>
        <v/>
      </c>
      <c r="AC217">
        <f>MIN(U217:Y217)</f>
        <v/>
      </c>
      <c r="AD217">
        <f>1-alpha*MAX(0,delta-AC217)</f>
        <v/>
      </c>
      <c r="AE217">
        <f>AB217*AD217</f>
        <v/>
      </c>
      <c r="AF217">
        <f>1+COUNTIF(bounds,"&lt;"&amp;ROUND(AB217,12))</f>
        <v/>
      </c>
      <c r="AG217">
        <f>1+COUNTIF(bounds,"&lt;"&amp;ROUND(AE217,12))</f>
        <v/>
      </c>
      <c r="AH217">
        <f>IF(AD217&lt;1,1,0)</f>
        <v/>
      </c>
      <c r="AI217">
        <f>IF(AF217&lt;&gt;AG217,1,0)</f>
        <v/>
      </c>
      <c r="AJ217">
        <f>IF(AND(AG217&gt;=3,Z217&lt;=0.2),1,0)</f>
        <v/>
      </c>
      <c r="AK217">
        <f>AVERAGE(U217:Z217)</f>
        <v/>
      </c>
      <c r="AL217">
        <f>1+COUNTIF(bounds,"&lt;"&amp;ROUND(AK217,12))</f>
        <v/>
      </c>
      <c r="AM217">
        <f>IF(AI217=1,AB217,NA())</f>
        <v/>
      </c>
      <c r="AN217">
        <f>IF(AI217=0,AB217,NA())</f>
        <v/>
      </c>
    </row>
    <row r="218">
      <c r="A218" t="n">
        <v>210</v>
      </c>
      <c r="B218" t="n">
        <v>4</v>
      </c>
      <c r="C218" t="n">
        <v>5</v>
      </c>
      <c r="D218" t="n">
        <v>2</v>
      </c>
      <c r="E218" t="n">
        <v>2</v>
      </c>
      <c r="F218" t="n">
        <v>2</v>
      </c>
      <c r="G218" t="n">
        <v>4</v>
      </c>
      <c r="H218" t="n">
        <v>3</v>
      </c>
      <c r="I218" t="n">
        <v>5</v>
      </c>
      <c r="J218" t="n">
        <v>4</v>
      </c>
      <c r="K218" t="n">
        <v>1</v>
      </c>
      <c r="L218" t="n">
        <v>4</v>
      </c>
      <c r="M218" t="n">
        <v>2</v>
      </c>
      <c r="N218" t="n">
        <v>1</v>
      </c>
      <c r="O218" t="n">
        <v>4</v>
      </c>
      <c r="P218" t="n">
        <v>2</v>
      </c>
      <c r="Q218" t="n">
        <v>4</v>
      </c>
      <c r="R218" t="n">
        <v>3</v>
      </c>
      <c r="S218" t="n">
        <v>1</v>
      </c>
      <c r="T218" t="n">
        <v>2</v>
      </c>
      <c r="U218">
        <f>(AVERAGE(B218:D218)-1)/4</f>
        <v/>
      </c>
      <c r="V218">
        <f>(AVERAGE(E218:F218)-1)/4</f>
        <v/>
      </c>
      <c r="W218">
        <f>(AVERAGE(G218:I218)-1)/4</f>
        <v/>
      </c>
      <c r="X218">
        <f>(AVERAGE(J218:L218)-1)/4</f>
        <v/>
      </c>
      <c r="Y218">
        <f>(AVERAGE(M218:O218)-1)/4</f>
        <v/>
      </c>
      <c r="Z218">
        <f>(AVERAGE(P218:R218)-1)/4</f>
        <v/>
      </c>
      <c r="AA218">
        <f>(AVERAGE(S218:T218)-1)/4</f>
        <v/>
      </c>
      <c r="AB218">
        <f>AVERAGE(U218:Y218)</f>
        <v/>
      </c>
      <c r="AC218">
        <f>MIN(U218:Y218)</f>
        <v/>
      </c>
      <c r="AD218">
        <f>1-alpha*MAX(0,delta-AC218)</f>
        <v/>
      </c>
      <c r="AE218">
        <f>AB218*AD218</f>
        <v/>
      </c>
      <c r="AF218">
        <f>1+COUNTIF(bounds,"&lt;"&amp;ROUND(AB218,12))</f>
        <v/>
      </c>
      <c r="AG218">
        <f>1+COUNTIF(bounds,"&lt;"&amp;ROUND(AE218,12))</f>
        <v/>
      </c>
      <c r="AH218">
        <f>IF(AD218&lt;1,1,0)</f>
        <v/>
      </c>
      <c r="AI218">
        <f>IF(AF218&lt;&gt;AG218,1,0)</f>
        <v/>
      </c>
      <c r="AJ218">
        <f>IF(AND(AG218&gt;=3,Z218&lt;=0.2),1,0)</f>
        <v/>
      </c>
      <c r="AK218">
        <f>AVERAGE(U218:Z218)</f>
        <v/>
      </c>
      <c r="AL218">
        <f>1+COUNTIF(bounds,"&lt;"&amp;ROUND(AK218,12))</f>
        <v/>
      </c>
      <c r="AM218">
        <f>IF(AI218=1,AB218,NA())</f>
        <v/>
      </c>
      <c r="AN218">
        <f>IF(AI218=0,AB218,NA())</f>
        <v/>
      </c>
    </row>
    <row r="219">
      <c r="A219" t="n">
        <v>211</v>
      </c>
      <c r="B219" t="n">
        <v>2</v>
      </c>
      <c r="C219" t="n">
        <v>3</v>
      </c>
      <c r="D219" t="n">
        <v>5</v>
      </c>
      <c r="E219" t="n">
        <v>3</v>
      </c>
      <c r="F219" t="n">
        <v>1</v>
      </c>
      <c r="G219" t="n">
        <v>2</v>
      </c>
      <c r="H219" t="n">
        <v>5</v>
      </c>
      <c r="I219" t="n">
        <v>5</v>
      </c>
      <c r="J219" t="n">
        <v>3</v>
      </c>
      <c r="K219" t="n">
        <v>1</v>
      </c>
      <c r="L219" t="n">
        <v>2</v>
      </c>
      <c r="M219" t="n">
        <v>3</v>
      </c>
      <c r="N219" t="n">
        <v>2</v>
      </c>
      <c r="O219" t="n">
        <v>3</v>
      </c>
      <c r="P219" t="n">
        <v>3</v>
      </c>
      <c r="Q219" t="n">
        <v>1</v>
      </c>
      <c r="R219" t="n">
        <v>2</v>
      </c>
      <c r="S219" t="n">
        <v>2</v>
      </c>
      <c r="T219" t="n">
        <v>3</v>
      </c>
      <c r="U219">
        <f>(AVERAGE(B219:D219)-1)/4</f>
        <v/>
      </c>
      <c r="V219">
        <f>(AVERAGE(E219:F219)-1)/4</f>
        <v/>
      </c>
      <c r="W219">
        <f>(AVERAGE(G219:I219)-1)/4</f>
        <v/>
      </c>
      <c r="X219">
        <f>(AVERAGE(J219:L219)-1)/4</f>
        <v/>
      </c>
      <c r="Y219">
        <f>(AVERAGE(M219:O219)-1)/4</f>
        <v/>
      </c>
      <c r="Z219">
        <f>(AVERAGE(P219:R219)-1)/4</f>
        <v/>
      </c>
      <c r="AA219">
        <f>(AVERAGE(S219:T219)-1)/4</f>
        <v/>
      </c>
      <c r="AB219">
        <f>AVERAGE(U219:Y219)</f>
        <v/>
      </c>
      <c r="AC219">
        <f>MIN(U219:Y219)</f>
        <v/>
      </c>
      <c r="AD219">
        <f>1-alpha*MAX(0,delta-AC219)</f>
        <v/>
      </c>
      <c r="AE219">
        <f>AB219*AD219</f>
        <v/>
      </c>
      <c r="AF219">
        <f>1+COUNTIF(bounds,"&lt;"&amp;ROUND(AB219,12))</f>
        <v/>
      </c>
      <c r="AG219">
        <f>1+COUNTIF(bounds,"&lt;"&amp;ROUND(AE219,12))</f>
        <v/>
      </c>
      <c r="AH219">
        <f>IF(AD219&lt;1,1,0)</f>
        <v/>
      </c>
      <c r="AI219">
        <f>IF(AF219&lt;&gt;AG219,1,0)</f>
        <v/>
      </c>
      <c r="AJ219">
        <f>IF(AND(AG219&gt;=3,Z219&lt;=0.2),1,0)</f>
        <v/>
      </c>
      <c r="AK219">
        <f>AVERAGE(U219:Z219)</f>
        <v/>
      </c>
      <c r="AL219">
        <f>1+COUNTIF(bounds,"&lt;"&amp;ROUND(AK219,12))</f>
        <v/>
      </c>
      <c r="AM219">
        <f>IF(AI219=1,AB219,NA())</f>
        <v/>
      </c>
      <c r="AN219">
        <f>IF(AI219=0,AB219,NA())</f>
        <v/>
      </c>
    </row>
    <row r="220">
      <c r="A220" t="n">
        <v>212</v>
      </c>
      <c r="B220" t="n">
        <v>4</v>
      </c>
      <c r="C220" t="n">
        <v>5</v>
      </c>
      <c r="D220" t="n">
        <v>5</v>
      </c>
      <c r="E220" t="n">
        <v>4</v>
      </c>
      <c r="F220" t="n">
        <v>2</v>
      </c>
      <c r="G220" t="n">
        <v>2</v>
      </c>
      <c r="H220" t="n">
        <v>5</v>
      </c>
      <c r="I220" t="n">
        <v>4</v>
      </c>
      <c r="J220" t="n">
        <v>1</v>
      </c>
      <c r="K220" t="n">
        <v>5</v>
      </c>
      <c r="L220" t="n">
        <v>3</v>
      </c>
      <c r="M220" t="n">
        <v>5</v>
      </c>
      <c r="N220" t="n">
        <v>5</v>
      </c>
      <c r="O220" t="n">
        <v>1</v>
      </c>
      <c r="P220" t="n">
        <v>1</v>
      </c>
      <c r="Q220" t="n">
        <v>4</v>
      </c>
      <c r="R220" t="n">
        <v>5</v>
      </c>
      <c r="S220" t="n">
        <v>2</v>
      </c>
      <c r="T220" t="n">
        <v>1</v>
      </c>
      <c r="U220">
        <f>(AVERAGE(B220:D220)-1)/4</f>
        <v/>
      </c>
      <c r="V220">
        <f>(AVERAGE(E220:F220)-1)/4</f>
        <v/>
      </c>
      <c r="W220">
        <f>(AVERAGE(G220:I220)-1)/4</f>
        <v/>
      </c>
      <c r="X220">
        <f>(AVERAGE(J220:L220)-1)/4</f>
        <v/>
      </c>
      <c r="Y220">
        <f>(AVERAGE(M220:O220)-1)/4</f>
        <v/>
      </c>
      <c r="Z220">
        <f>(AVERAGE(P220:R220)-1)/4</f>
        <v/>
      </c>
      <c r="AA220">
        <f>(AVERAGE(S220:T220)-1)/4</f>
        <v/>
      </c>
      <c r="AB220">
        <f>AVERAGE(U220:Y220)</f>
        <v/>
      </c>
      <c r="AC220">
        <f>MIN(U220:Y220)</f>
        <v/>
      </c>
      <c r="AD220">
        <f>1-alpha*MAX(0,delta-AC220)</f>
        <v/>
      </c>
      <c r="AE220">
        <f>AB220*AD220</f>
        <v/>
      </c>
      <c r="AF220">
        <f>1+COUNTIF(bounds,"&lt;"&amp;ROUND(AB220,12))</f>
        <v/>
      </c>
      <c r="AG220">
        <f>1+COUNTIF(bounds,"&lt;"&amp;ROUND(AE220,12))</f>
        <v/>
      </c>
      <c r="AH220">
        <f>IF(AD220&lt;1,1,0)</f>
        <v/>
      </c>
      <c r="AI220">
        <f>IF(AF220&lt;&gt;AG220,1,0)</f>
        <v/>
      </c>
      <c r="AJ220">
        <f>IF(AND(AG220&gt;=3,Z220&lt;=0.2),1,0)</f>
        <v/>
      </c>
      <c r="AK220">
        <f>AVERAGE(U220:Z220)</f>
        <v/>
      </c>
      <c r="AL220">
        <f>1+COUNTIF(bounds,"&lt;"&amp;ROUND(AK220,12))</f>
        <v/>
      </c>
      <c r="AM220">
        <f>IF(AI220=1,AB220,NA())</f>
        <v/>
      </c>
      <c r="AN220">
        <f>IF(AI220=0,AB220,NA())</f>
        <v/>
      </c>
    </row>
    <row r="221">
      <c r="A221" t="n">
        <v>213</v>
      </c>
      <c r="B221" t="n">
        <v>4</v>
      </c>
      <c r="C221" t="n">
        <v>4</v>
      </c>
      <c r="D221" t="n">
        <v>1</v>
      </c>
      <c r="E221" t="n">
        <v>2</v>
      </c>
      <c r="F221" t="n">
        <v>4</v>
      </c>
      <c r="G221" t="n">
        <v>4</v>
      </c>
      <c r="H221" t="n">
        <v>4</v>
      </c>
      <c r="I221" t="n">
        <v>1</v>
      </c>
      <c r="J221" t="n">
        <v>1</v>
      </c>
      <c r="K221" t="n">
        <v>2</v>
      </c>
      <c r="L221" t="n">
        <v>2</v>
      </c>
      <c r="M221" t="n">
        <v>3</v>
      </c>
      <c r="N221" t="n">
        <v>3</v>
      </c>
      <c r="O221" t="n">
        <v>2</v>
      </c>
      <c r="P221" t="n">
        <v>1</v>
      </c>
      <c r="Q221" t="n">
        <v>1</v>
      </c>
      <c r="R221" t="n">
        <v>1</v>
      </c>
      <c r="S221" t="n">
        <v>4</v>
      </c>
      <c r="T221" t="n">
        <v>3</v>
      </c>
      <c r="U221">
        <f>(AVERAGE(B221:D221)-1)/4</f>
        <v/>
      </c>
      <c r="V221">
        <f>(AVERAGE(E221:F221)-1)/4</f>
        <v/>
      </c>
      <c r="W221">
        <f>(AVERAGE(G221:I221)-1)/4</f>
        <v/>
      </c>
      <c r="X221">
        <f>(AVERAGE(J221:L221)-1)/4</f>
        <v/>
      </c>
      <c r="Y221">
        <f>(AVERAGE(M221:O221)-1)/4</f>
        <v/>
      </c>
      <c r="Z221">
        <f>(AVERAGE(P221:R221)-1)/4</f>
        <v/>
      </c>
      <c r="AA221">
        <f>(AVERAGE(S221:T221)-1)/4</f>
        <v/>
      </c>
      <c r="AB221">
        <f>AVERAGE(U221:Y221)</f>
        <v/>
      </c>
      <c r="AC221">
        <f>MIN(U221:Y221)</f>
        <v/>
      </c>
      <c r="AD221">
        <f>1-alpha*MAX(0,delta-AC221)</f>
        <v/>
      </c>
      <c r="AE221">
        <f>AB221*AD221</f>
        <v/>
      </c>
      <c r="AF221">
        <f>1+COUNTIF(bounds,"&lt;"&amp;ROUND(AB221,12))</f>
        <v/>
      </c>
      <c r="AG221">
        <f>1+COUNTIF(bounds,"&lt;"&amp;ROUND(AE221,12))</f>
        <v/>
      </c>
      <c r="AH221">
        <f>IF(AD221&lt;1,1,0)</f>
        <v/>
      </c>
      <c r="AI221">
        <f>IF(AF221&lt;&gt;AG221,1,0)</f>
        <v/>
      </c>
      <c r="AJ221">
        <f>IF(AND(AG221&gt;=3,Z221&lt;=0.2),1,0)</f>
        <v/>
      </c>
      <c r="AK221">
        <f>AVERAGE(U221:Z221)</f>
        <v/>
      </c>
      <c r="AL221">
        <f>1+COUNTIF(bounds,"&lt;"&amp;ROUND(AK221,12))</f>
        <v/>
      </c>
      <c r="AM221">
        <f>IF(AI221=1,AB221,NA())</f>
        <v/>
      </c>
      <c r="AN221">
        <f>IF(AI221=0,AB221,NA())</f>
        <v/>
      </c>
    </row>
    <row r="222">
      <c r="A222" t="n">
        <v>214</v>
      </c>
      <c r="B222" t="n">
        <v>2</v>
      </c>
      <c r="C222" t="n">
        <v>5</v>
      </c>
      <c r="D222" t="n">
        <v>3</v>
      </c>
      <c r="E222" t="n">
        <v>1</v>
      </c>
      <c r="F222" t="n">
        <v>3</v>
      </c>
      <c r="G222" t="n">
        <v>5</v>
      </c>
      <c r="H222" t="n">
        <v>5</v>
      </c>
      <c r="I222" t="n">
        <v>2</v>
      </c>
      <c r="J222" t="n">
        <v>2</v>
      </c>
      <c r="K222" t="n">
        <v>5</v>
      </c>
      <c r="L222" t="n">
        <v>3</v>
      </c>
      <c r="M222" t="n">
        <v>5</v>
      </c>
      <c r="N222" t="n">
        <v>3</v>
      </c>
      <c r="O222" t="n">
        <v>1</v>
      </c>
      <c r="P222" t="n">
        <v>1</v>
      </c>
      <c r="Q222" t="n">
        <v>3</v>
      </c>
      <c r="R222" t="n">
        <v>1</v>
      </c>
      <c r="S222" t="n">
        <v>2</v>
      </c>
      <c r="T222" t="n">
        <v>4</v>
      </c>
      <c r="U222">
        <f>(AVERAGE(B222:D222)-1)/4</f>
        <v/>
      </c>
      <c r="V222">
        <f>(AVERAGE(E222:F222)-1)/4</f>
        <v/>
      </c>
      <c r="W222">
        <f>(AVERAGE(G222:I222)-1)/4</f>
        <v/>
      </c>
      <c r="X222">
        <f>(AVERAGE(J222:L222)-1)/4</f>
        <v/>
      </c>
      <c r="Y222">
        <f>(AVERAGE(M222:O222)-1)/4</f>
        <v/>
      </c>
      <c r="Z222">
        <f>(AVERAGE(P222:R222)-1)/4</f>
        <v/>
      </c>
      <c r="AA222">
        <f>(AVERAGE(S222:T222)-1)/4</f>
        <v/>
      </c>
      <c r="AB222">
        <f>AVERAGE(U222:Y222)</f>
        <v/>
      </c>
      <c r="AC222">
        <f>MIN(U222:Y222)</f>
        <v/>
      </c>
      <c r="AD222">
        <f>1-alpha*MAX(0,delta-AC222)</f>
        <v/>
      </c>
      <c r="AE222">
        <f>AB222*AD222</f>
        <v/>
      </c>
      <c r="AF222">
        <f>1+COUNTIF(bounds,"&lt;"&amp;ROUND(AB222,12))</f>
        <v/>
      </c>
      <c r="AG222">
        <f>1+COUNTIF(bounds,"&lt;"&amp;ROUND(AE222,12))</f>
        <v/>
      </c>
      <c r="AH222">
        <f>IF(AD222&lt;1,1,0)</f>
        <v/>
      </c>
      <c r="AI222">
        <f>IF(AF222&lt;&gt;AG222,1,0)</f>
        <v/>
      </c>
      <c r="AJ222">
        <f>IF(AND(AG222&gt;=3,Z222&lt;=0.2),1,0)</f>
        <v/>
      </c>
      <c r="AK222">
        <f>AVERAGE(U222:Z222)</f>
        <v/>
      </c>
      <c r="AL222">
        <f>1+COUNTIF(bounds,"&lt;"&amp;ROUND(AK222,12))</f>
        <v/>
      </c>
      <c r="AM222">
        <f>IF(AI222=1,AB222,NA())</f>
        <v/>
      </c>
      <c r="AN222">
        <f>IF(AI222=0,AB222,NA())</f>
        <v/>
      </c>
    </row>
    <row r="223">
      <c r="A223" t="n">
        <v>215</v>
      </c>
      <c r="B223" t="n">
        <v>2</v>
      </c>
      <c r="C223" t="n">
        <v>1</v>
      </c>
      <c r="D223" t="n">
        <v>2</v>
      </c>
      <c r="E223" t="n">
        <v>3</v>
      </c>
      <c r="F223" t="n">
        <v>2</v>
      </c>
      <c r="G223" t="n">
        <v>3</v>
      </c>
      <c r="H223" t="n">
        <v>2</v>
      </c>
      <c r="I223" t="n">
        <v>3</v>
      </c>
      <c r="J223" t="n">
        <v>1</v>
      </c>
      <c r="K223" t="n">
        <v>2</v>
      </c>
      <c r="L223" t="n">
        <v>4</v>
      </c>
      <c r="M223" t="n">
        <v>1</v>
      </c>
      <c r="N223" t="n">
        <v>4</v>
      </c>
      <c r="O223" t="n">
        <v>2</v>
      </c>
      <c r="P223" t="n">
        <v>1</v>
      </c>
      <c r="Q223" t="n">
        <v>3</v>
      </c>
      <c r="R223" t="n">
        <v>1</v>
      </c>
      <c r="S223" t="n">
        <v>2</v>
      </c>
      <c r="T223" t="n">
        <v>2</v>
      </c>
      <c r="U223">
        <f>(AVERAGE(B223:D223)-1)/4</f>
        <v/>
      </c>
      <c r="V223">
        <f>(AVERAGE(E223:F223)-1)/4</f>
        <v/>
      </c>
      <c r="W223">
        <f>(AVERAGE(G223:I223)-1)/4</f>
        <v/>
      </c>
      <c r="X223">
        <f>(AVERAGE(J223:L223)-1)/4</f>
        <v/>
      </c>
      <c r="Y223">
        <f>(AVERAGE(M223:O223)-1)/4</f>
        <v/>
      </c>
      <c r="Z223">
        <f>(AVERAGE(P223:R223)-1)/4</f>
        <v/>
      </c>
      <c r="AA223">
        <f>(AVERAGE(S223:T223)-1)/4</f>
        <v/>
      </c>
      <c r="AB223">
        <f>AVERAGE(U223:Y223)</f>
        <v/>
      </c>
      <c r="AC223">
        <f>MIN(U223:Y223)</f>
        <v/>
      </c>
      <c r="AD223">
        <f>1-alpha*MAX(0,delta-AC223)</f>
        <v/>
      </c>
      <c r="AE223">
        <f>AB223*AD223</f>
        <v/>
      </c>
      <c r="AF223">
        <f>1+COUNTIF(bounds,"&lt;"&amp;ROUND(AB223,12))</f>
        <v/>
      </c>
      <c r="AG223">
        <f>1+COUNTIF(bounds,"&lt;"&amp;ROUND(AE223,12))</f>
        <v/>
      </c>
      <c r="AH223">
        <f>IF(AD223&lt;1,1,0)</f>
        <v/>
      </c>
      <c r="AI223">
        <f>IF(AF223&lt;&gt;AG223,1,0)</f>
        <v/>
      </c>
      <c r="AJ223">
        <f>IF(AND(AG223&gt;=3,Z223&lt;=0.2),1,0)</f>
        <v/>
      </c>
      <c r="AK223">
        <f>AVERAGE(U223:Z223)</f>
        <v/>
      </c>
      <c r="AL223">
        <f>1+COUNTIF(bounds,"&lt;"&amp;ROUND(AK223,12))</f>
        <v/>
      </c>
      <c r="AM223">
        <f>IF(AI223=1,AB223,NA())</f>
        <v/>
      </c>
      <c r="AN223">
        <f>IF(AI223=0,AB223,NA())</f>
        <v/>
      </c>
    </row>
    <row r="224">
      <c r="A224" t="n">
        <v>216</v>
      </c>
      <c r="B224" t="n">
        <v>3</v>
      </c>
      <c r="C224" t="n">
        <v>5</v>
      </c>
      <c r="D224" t="n">
        <v>2</v>
      </c>
      <c r="E224" t="n">
        <v>4</v>
      </c>
      <c r="F224" t="n">
        <v>5</v>
      </c>
      <c r="G224" t="n">
        <v>2</v>
      </c>
      <c r="H224" t="n">
        <v>3</v>
      </c>
      <c r="I224" t="n">
        <v>5</v>
      </c>
      <c r="J224" t="n">
        <v>3</v>
      </c>
      <c r="K224" t="n">
        <v>4</v>
      </c>
      <c r="L224" t="n">
        <v>1</v>
      </c>
      <c r="M224" t="n">
        <v>4</v>
      </c>
      <c r="N224" t="n">
        <v>3</v>
      </c>
      <c r="O224" t="n">
        <v>4</v>
      </c>
      <c r="P224" t="n">
        <v>4</v>
      </c>
      <c r="Q224" t="n">
        <v>5</v>
      </c>
      <c r="R224" t="n">
        <v>1</v>
      </c>
      <c r="S224" t="n">
        <v>2</v>
      </c>
      <c r="T224" t="n">
        <v>2</v>
      </c>
      <c r="U224">
        <f>(AVERAGE(B224:D224)-1)/4</f>
        <v/>
      </c>
      <c r="V224">
        <f>(AVERAGE(E224:F224)-1)/4</f>
        <v/>
      </c>
      <c r="W224">
        <f>(AVERAGE(G224:I224)-1)/4</f>
        <v/>
      </c>
      <c r="X224">
        <f>(AVERAGE(J224:L224)-1)/4</f>
        <v/>
      </c>
      <c r="Y224">
        <f>(AVERAGE(M224:O224)-1)/4</f>
        <v/>
      </c>
      <c r="Z224">
        <f>(AVERAGE(P224:R224)-1)/4</f>
        <v/>
      </c>
      <c r="AA224">
        <f>(AVERAGE(S224:T224)-1)/4</f>
        <v/>
      </c>
      <c r="AB224">
        <f>AVERAGE(U224:Y224)</f>
        <v/>
      </c>
      <c r="AC224">
        <f>MIN(U224:Y224)</f>
        <v/>
      </c>
      <c r="AD224">
        <f>1-alpha*MAX(0,delta-AC224)</f>
        <v/>
      </c>
      <c r="AE224">
        <f>AB224*AD224</f>
        <v/>
      </c>
      <c r="AF224">
        <f>1+COUNTIF(bounds,"&lt;"&amp;ROUND(AB224,12))</f>
        <v/>
      </c>
      <c r="AG224">
        <f>1+COUNTIF(bounds,"&lt;"&amp;ROUND(AE224,12))</f>
        <v/>
      </c>
      <c r="AH224">
        <f>IF(AD224&lt;1,1,0)</f>
        <v/>
      </c>
      <c r="AI224">
        <f>IF(AF224&lt;&gt;AG224,1,0)</f>
        <v/>
      </c>
      <c r="AJ224">
        <f>IF(AND(AG224&gt;=3,Z224&lt;=0.2),1,0)</f>
        <v/>
      </c>
      <c r="AK224">
        <f>AVERAGE(U224:Z224)</f>
        <v/>
      </c>
      <c r="AL224">
        <f>1+COUNTIF(bounds,"&lt;"&amp;ROUND(AK224,12))</f>
        <v/>
      </c>
      <c r="AM224">
        <f>IF(AI224=1,AB224,NA())</f>
        <v/>
      </c>
      <c r="AN224">
        <f>IF(AI224=0,AB224,NA())</f>
        <v/>
      </c>
    </row>
    <row r="225">
      <c r="A225" t="n">
        <v>217</v>
      </c>
      <c r="B225" t="n">
        <v>4</v>
      </c>
      <c r="C225" t="n">
        <v>1</v>
      </c>
      <c r="D225" t="n">
        <v>5</v>
      </c>
      <c r="E225" t="n">
        <v>1</v>
      </c>
      <c r="F225" t="n">
        <v>5</v>
      </c>
      <c r="G225" t="n">
        <v>3</v>
      </c>
      <c r="H225" t="n">
        <v>3</v>
      </c>
      <c r="I225" t="n">
        <v>2</v>
      </c>
      <c r="J225" t="n">
        <v>3</v>
      </c>
      <c r="K225" t="n">
        <v>5</v>
      </c>
      <c r="L225" t="n">
        <v>5</v>
      </c>
      <c r="M225" t="n">
        <v>4</v>
      </c>
      <c r="N225" t="n">
        <v>4</v>
      </c>
      <c r="O225" t="n">
        <v>3</v>
      </c>
      <c r="P225" t="n">
        <v>3</v>
      </c>
      <c r="Q225" t="n">
        <v>4</v>
      </c>
      <c r="R225" t="n">
        <v>3</v>
      </c>
      <c r="S225" t="n">
        <v>3</v>
      </c>
      <c r="T225" t="n">
        <v>3</v>
      </c>
      <c r="U225">
        <f>(AVERAGE(B225:D225)-1)/4</f>
        <v/>
      </c>
      <c r="V225">
        <f>(AVERAGE(E225:F225)-1)/4</f>
        <v/>
      </c>
      <c r="W225">
        <f>(AVERAGE(G225:I225)-1)/4</f>
        <v/>
      </c>
      <c r="X225">
        <f>(AVERAGE(J225:L225)-1)/4</f>
        <v/>
      </c>
      <c r="Y225">
        <f>(AVERAGE(M225:O225)-1)/4</f>
        <v/>
      </c>
      <c r="Z225">
        <f>(AVERAGE(P225:R225)-1)/4</f>
        <v/>
      </c>
      <c r="AA225">
        <f>(AVERAGE(S225:T225)-1)/4</f>
        <v/>
      </c>
      <c r="AB225">
        <f>AVERAGE(U225:Y225)</f>
        <v/>
      </c>
      <c r="AC225">
        <f>MIN(U225:Y225)</f>
        <v/>
      </c>
      <c r="AD225">
        <f>1-alpha*MAX(0,delta-AC225)</f>
        <v/>
      </c>
      <c r="AE225">
        <f>AB225*AD225</f>
        <v/>
      </c>
      <c r="AF225">
        <f>1+COUNTIF(bounds,"&lt;"&amp;ROUND(AB225,12))</f>
        <v/>
      </c>
      <c r="AG225">
        <f>1+COUNTIF(bounds,"&lt;"&amp;ROUND(AE225,12))</f>
        <v/>
      </c>
      <c r="AH225">
        <f>IF(AD225&lt;1,1,0)</f>
        <v/>
      </c>
      <c r="AI225">
        <f>IF(AF225&lt;&gt;AG225,1,0)</f>
        <v/>
      </c>
      <c r="AJ225">
        <f>IF(AND(AG225&gt;=3,Z225&lt;=0.2),1,0)</f>
        <v/>
      </c>
      <c r="AK225">
        <f>AVERAGE(U225:Z225)</f>
        <v/>
      </c>
      <c r="AL225">
        <f>1+COUNTIF(bounds,"&lt;"&amp;ROUND(AK225,12))</f>
        <v/>
      </c>
      <c r="AM225">
        <f>IF(AI225=1,AB225,NA())</f>
        <v/>
      </c>
      <c r="AN225">
        <f>IF(AI225=0,AB225,NA())</f>
        <v/>
      </c>
    </row>
    <row r="226">
      <c r="A226" t="n">
        <v>218</v>
      </c>
      <c r="B226" t="n">
        <v>5</v>
      </c>
      <c r="C226" t="n">
        <v>3</v>
      </c>
      <c r="D226" t="n">
        <v>3</v>
      </c>
      <c r="E226" t="n">
        <v>2</v>
      </c>
      <c r="F226" t="n">
        <v>4</v>
      </c>
      <c r="G226" t="n">
        <v>4</v>
      </c>
      <c r="H226" t="n">
        <v>2</v>
      </c>
      <c r="I226" t="n">
        <v>3</v>
      </c>
      <c r="J226" t="n">
        <v>3</v>
      </c>
      <c r="K226" t="n">
        <v>1</v>
      </c>
      <c r="L226" t="n">
        <v>5</v>
      </c>
      <c r="M226" t="n">
        <v>5</v>
      </c>
      <c r="N226" t="n">
        <v>1</v>
      </c>
      <c r="O226" t="n">
        <v>4</v>
      </c>
      <c r="P226" t="n">
        <v>2</v>
      </c>
      <c r="Q226" t="n">
        <v>3</v>
      </c>
      <c r="R226" t="n">
        <v>3</v>
      </c>
      <c r="S226" t="n">
        <v>5</v>
      </c>
      <c r="T226" t="n">
        <v>2</v>
      </c>
      <c r="U226">
        <f>(AVERAGE(B226:D226)-1)/4</f>
        <v/>
      </c>
      <c r="V226">
        <f>(AVERAGE(E226:F226)-1)/4</f>
        <v/>
      </c>
      <c r="W226">
        <f>(AVERAGE(G226:I226)-1)/4</f>
        <v/>
      </c>
      <c r="X226">
        <f>(AVERAGE(J226:L226)-1)/4</f>
        <v/>
      </c>
      <c r="Y226">
        <f>(AVERAGE(M226:O226)-1)/4</f>
        <v/>
      </c>
      <c r="Z226">
        <f>(AVERAGE(P226:R226)-1)/4</f>
        <v/>
      </c>
      <c r="AA226">
        <f>(AVERAGE(S226:T226)-1)/4</f>
        <v/>
      </c>
      <c r="AB226">
        <f>AVERAGE(U226:Y226)</f>
        <v/>
      </c>
      <c r="AC226">
        <f>MIN(U226:Y226)</f>
        <v/>
      </c>
      <c r="AD226">
        <f>1-alpha*MAX(0,delta-AC226)</f>
        <v/>
      </c>
      <c r="AE226">
        <f>AB226*AD226</f>
        <v/>
      </c>
      <c r="AF226">
        <f>1+COUNTIF(bounds,"&lt;"&amp;ROUND(AB226,12))</f>
        <v/>
      </c>
      <c r="AG226">
        <f>1+COUNTIF(bounds,"&lt;"&amp;ROUND(AE226,12))</f>
        <v/>
      </c>
      <c r="AH226">
        <f>IF(AD226&lt;1,1,0)</f>
        <v/>
      </c>
      <c r="AI226">
        <f>IF(AF226&lt;&gt;AG226,1,0)</f>
        <v/>
      </c>
      <c r="AJ226">
        <f>IF(AND(AG226&gt;=3,Z226&lt;=0.2),1,0)</f>
        <v/>
      </c>
      <c r="AK226">
        <f>AVERAGE(U226:Z226)</f>
        <v/>
      </c>
      <c r="AL226">
        <f>1+COUNTIF(bounds,"&lt;"&amp;ROUND(AK226,12))</f>
        <v/>
      </c>
      <c r="AM226">
        <f>IF(AI226=1,AB226,NA())</f>
        <v/>
      </c>
      <c r="AN226">
        <f>IF(AI226=0,AB226,NA())</f>
        <v/>
      </c>
    </row>
    <row r="227">
      <c r="A227" t="n">
        <v>219</v>
      </c>
      <c r="B227" t="n">
        <v>5</v>
      </c>
      <c r="C227" t="n">
        <v>2</v>
      </c>
      <c r="D227" t="n">
        <v>5</v>
      </c>
      <c r="E227" t="n">
        <v>3</v>
      </c>
      <c r="F227" t="n">
        <v>1</v>
      </c>
      <c r="G227" t="n">
        <v>3</v>
      </c>
      <c r="H227" t="n">
        <v>2</v>
      </c>
      <c r="I227" t="n">
        <v>5</v>
      </c>
      <c r="J227" t="n">
        <v>3</v>
      </c>
      <c r="K227" t="n">
        <v>3</v>
      </c>
      <c r="L227" t="n">
        <v>2</v>
      </c>
      <c r="M227" t="n">
        <v>1</v>
      </c>
      <c r="N227" t="n">
        <v>2</v>
      </c>
      <c r="O227" t="n">
        <v>1</v>
      </c>
      <c r="P227" t="n">
        <v>5</v>
      </c>
      <c r="Q227" t="n">
        <v>5</v>
      </c>
      <c r="R227" t="n">
        <v>4</v>
      </c>
      <c r="S227" t="n">
        <v>4</v>
      </c>
      <c r="T227" t="n">
        <v>3</v>
      </c>
      <c r="U227">
        <f>(AVERAGE(B227:D227)-1)/4</f>
        <v/>
      </c>
      <c r="V227">
        <f>(AVERAGE(E227:F227)-1)/4</f>
        <v/>
      </c>
      <c r="W227">
        <f>(AVERAGE(G227:I227)-1)/4</f>
        <v/>
      </c>
      <c r="X227">
        <f>(AVERAGE(J227:L227)-1)/4</f>
        <v/>
      </c>
      <c r="Y227">
        <f>(AVERAGE(M227:O227)-1)/4</f>
        <v/>
      </c>
      <c r="Z227">
        <f>(AVERAGE(P227:R227)-1)/4</f>
        <v/>
      </c>
      <c r="AA227">
        <f>(AVERAGE(S227:T227)-1)/4</f>
        <v/>
      </c>
      <c r="AB227">
        <f>AVERAGE(U227:Y227)</f>
        <v/>
      </c>
      <c r="AC227">
        <f>MIN(U227:Y227)</f>
        <v/>
      </c>
      <c r="AD227">
        <f>1-alpha*MAX(0,delta-AC227)</f>
        <v/>
      </c>
      <c r="AE227">
        <f>AB227*AD227</f>
        <v/>
      </c>
      <c r="AF227">
        <f>1+COUNTIF(bounds,"&lt;"&amp;ROUND(AB227,12))</f>
        <v/>
      </c>
      <c r="AG227">
        <f>1+COUNTIF(bounds,"&lt;"&amp;ROUND(AE227,12))</f>
        <v/>
      </c>
      <c r="AH227">
        <f>IF(AD227&lt;1,1,0)</f>
        <v/>
      </c>
      <c r="AI227">
        <f>IF(AF227&lt;&gt;AG227,1,0)</f>
        <v/>
      </c>
      <c r="AJ227">
        <f>IF(AND(AG227&gt;=3,Z227&lt;=0.2),1,0)</f>
        <v/>
      </c>
      <c r="AK227">
        <f>AVERAGE(U227:Z227)</f>
        <v/>
      </c>
      <c r="AL227">
        <f>1+COUNTIF(bounds,"&lt;"&amp;ROUND(AK227,12))</f>
        <v/>
      </c>
      <c r="AM227">
        <f>IF(AI227=1,AB227,NA())</f>
        <v/>
      </c>
      <c r="AN227">
        <f>IF(AI227=0,AB227,NA())</f>
        <v/>
      </c>
    </row>
    <row r="228">
      <c r="A228" t="n">
        <v>220</v>
      </c>
      <c r="B228" t="n">
        <v>5</v>
      </c>
      <c r="C228" t="n">
        <v>5</v>
      </c>
      <c r="D228" t="n">
        <v>5</v>
      </c>
      <c r="E228" t="n">
        <v>1</v>
      </c>
      <c r="F228" t="n">
        <v>5</v>
      </c>
      <c r="G228" t="n">
        <v>5</v>
      </c>
      <c r="H228" t="n">
        <v>1</v>
      </c>
      <c r="I228" t="n">
        <v>1</v>
      </c>
      <c r="J228" t="n">
        <v>3</v>
      </c>
      <c r="K228" t="n">
        <v>3</v>
      </c>
      <c r="L228" t="n">
        <v>2</v>
      </c>
      <c r="M228" t="n">
        <v>4</v>
      </c>
      <c r="N228" t="n">
        <v>4</v>
      </c>
      <c r="O228" t="n">
        <v>1</v>
      </c>
      <c r="P228" t="n">
        <v>3</v>
      </c>
      <c r="Q228" t="n">
        <v>5</v>
      </c>
      <c r="R228" t="n">
        <v>3</v>
      </c>
      <c r="S228" t="n">
        <v>4</v>
      </c>
      <c r="T228" t="n">
        <v>5</v>
      </c>
      <c r="U228">
        <f>(AVERAGE(B228:D228)-1)/4</f>
        <v/>
      </c>
      <c r="V228">
        <f>(AVERAGE(E228:F228)-1)/4</f>
        <v/>
      </c>
      <c r="W228">
        <f>(AVERAGE(G228:I228)-1)/4</f>
        <v/>
      </c>
      <c r="X228">
        <f>(AVERAGE(J228:L228)-1)/4</f>
        <v/>
      </c>
      <c r="Y228">
        <f>(AVERAGE(M228:O228)-1)/4</f>
        <v/>
      </c>
      <c r="Z228">
        <f>(AVERAGE(P228:R228)-1)/4</f>
        <v/>
      </c>
      <c r="AA228">
        <f>(AVERAGE(S228:T228)-1)/4</f>
        <v/>
      </c>
      <c r="AB228">
        <f>AVERAGE(U228:Y228)</f>
        <v/>
      </c>
      <c r="AC228">
        <f>MIN(U228:Y228)</f>
        <v/>
      </c>
      <c r="AD228">
        <f>1-alpha*MAX(0,delta-AC228)</f>
        <v/>
      </c>
      <c r="AE228">
        <f>AB228*AD228</f>
        <v/>
      </c>
      <c r="AF228">
        <f>1+COUNTIF(bounds,"&lt;"&amp;ROUND(AB228,12))</f>
        <v/>
      </c>
      <c r="AG228">
        <f>1+COUNTIF(bounds,"&lt;"&amp;ROUND(AE228,12))</f>
        <v/>
      </c>
      <c r="AH228">
        <f>IF(AD228&lt;1,1,0)</f>
        <v/>
      </c>
      <c r="AI228">
        <f>IF(AF228&lt;&gt;AG228,1,0)</f>
        <v/>
      </c>
      <c r="AJ228">
        <f>IF(AND(AG228&gt;=3,Z228&lt;=0.2),1,0)</f>
        <v/>
      </c>
      <c r="AK228">
        <f>AVERAGE(U228:Z228)</f>
        <v/>
      </c>
      <c r="AL228">
        <f>1+COUNTIF(bounds,"&lt;"&amp;ROUND(AK228,12))</f>
        <v/>
      </c>
      <c r="AM228">
        <f>IF(AI228=1,AB228,NA())</f>
        <v/>
      </c>
      <c r="AN228">
        <f>IF(AI228=0,AB228,NA())</f>
        <v/>
      </c>
    </row>
    <row r="229">
      <c r="A229" t="n">
        <v>221</v>
      </c>
      <c r="B229" t="n">
        <v>3</v>
      </c>
      <c r="C229" t="n">
        <v>4</v>
      </c>
      <c r="D229" t="n">
        <v>3</v>
      </c>
      <c r="E229" t="n">
        <v>5</v>
      </c>
      <c r="F229" t="n">
        <v>4</v>
      </c>
      <c r="G229" t="n">
        <v>3</v>
      </c>
      <c r="H229" t="n">
        <v>5</v>
      </c>
      <c r="I229" t="n">
        <v>3</v>
      </c>
      <c r="J229" t="n">
        <v>2</v>
      </c>
      <c r="K229" t="n">
        <v>2</v>
      </c>
      <c r="L229" t="n">
        <v>1</v>
      </c>
      <c r="M229" t="n">
        <v>1</v>
      </c>
      <c r="N229" t="n">
        <v>3</v>
      </c>
      <c r="O229" t="n">
        <v>3</v>
      </c>
      <c r="P229" t="n">
        <v>4</v>
      </c>
      <c r="Q229" t="n">
        <v>2</v>
      </c>
      <c r="R229" t="n">
        <v>1</v>
      </c>
      <c r="S229" t="n">
        <v>5</v>
      </c>
      <c r="T229" t="n">
        <v>2</v>
      </c>
      <c r="U229">
        <f>(AVERAGE(B229:D229)-1)/4</f>
        <v/>
      </c>
      <c r="V229">
        <f>(AVERAGE(E229:F229)-1)/4</f>
        <v/>
      </c>
      <c r="W229">
        <f>(AVERAGE(G229:I229)-1)/4</f>
        <v/>
      </c>
      <c r="X229">
        <f>(AVERAGE(J229:L229)-1)/4</f>
        <v/>
      </c>
      <c r="Y229">
        <f>(AVERAGE(M229:O229)-1)/4</f>
        <v/>
      </c>
      <c r="Z229">
        <f>(AVERAGE(P229:R229)-1)/4</f>
        <v/>
      </c>
      <c r="AA229">
        <f>(AVERAGE(S229:T229)-1)/4</f>
        <v/>
      </c>
      <c r="AB229">
        <f>AVERAGE(U229:Y229)</f>
        <v/>
      </c>
      <c r="AC229">
        <f>MIN(U229:Y229)</f>
        <v/>
      </c>
      <c r="AD229">
        <f>1-alpha*MAX(0,delta-AC229)</f>
        <v/>
      </c>
      <c r="AE229">
        <f>AB229*AD229</f>
        <v/>
      </c>
      <c r="AF229">
        <f>1+COUNTIF(bounds,"&lt;"&amp;ROUND(AB229,12))</f>
        <v/>
      </c>
      <c r="AG229">
        <f>1+COUNTIF(bounds,"&lt;"&amp;ROUND(AE229,12))</f>
        <v/>
      </c>
      <c r="AH229">
        <f>IF(AD229&lt;1,1,0)</f>
        <v/>
      </c>
      <c r="AI229">
        <f>IF(AF229&lt;&gt;AG229,1,0)</f>
        <v/>
      </c>
      <c r="AJ229">
        <f>IF(AND(AG229&gt;=3,Z229&lt;=0.2),1,0)</f>
        <v/>
      </c>
      <c r="AK229">
        <f>AVERAGE(U229:Z229)</f>
        <v/>
      </c>
      <c r="AL229">
        <f>1+COUNTIF(bounds,"&lt;"&amp;ROUND(AK229,12))</f>
        <v/>
      </c>
      <c r="AM229">
        <f>IF(AI229=1,AB229,NA())</f>
        <v/>
      </c>
      <c r="AN229">
        <f>IF(AI229=0,AB229,NA())</f>
        <v/>
      </c>
    </row>
    <row r="230">
      <c r="A230" t="n">
        <v>222</v>
      </c>
      <c r="B230" t="n">
        <v>2</v>
      </c>
      <c r="C230" t="n">
        <v>5</v>
      </c>
      <c r="D230" t="n">
        <v>1</v>
      </c>
      <c r="E230" t="n">
        <v>4</v>
      </c>
      <c r="F230" t="n">
        <v>4</v>
      </c>
      <c r="G230" t="n">
        <v>1</v>
      </c>
      <c r="H230" t="n">
        <v>4</v>
      </c>
      <c r="I230" t="n">
        <v>3</v>
      </c>
      <c r="J230" t="n">
        <v>2</v>
      </c>
      <c r="K230" t="n">
        <v>4</v>
      </c>
      <c r="L230" t="n">
        <v>2</v>
      </c>
      <c r="M230" t="n">
        <v>4</v>
      </c>
      <c r="N230" t="n">
        <v>4</v>
      </c>
      <c r="O230" t="n">
        <v>2</v>
      </c>
      <c r="P230" t="n">
        <v>1</v>
      </c>
      <c r="Q230" t="n">
        <v>1</v>
      </c>
      <c r="R230" t="n">
        <v>4</v>
      </c>
      <c r="S230" t="n">
        <v>3</v>
      </c>
      <c r="T230" t="n">
        <v>1</v>
      </c>
      <c r="U230">
        <f>(AVERAGE(B230:D230)-1)/4</f>
        <v/>
      </c>
      <c r="V230">
        <f>(AVERAGE(E230:F230)-1)/4</f>
        <v/>
      </c>
      <c r="W230">
        <f>(AVERAGE(G230:I230)-1)/4</f>
        <v/>
      </c>
      <c r="X230">
        <f>(AVERAGE(J230:L230)-1)/4</f>
        <v/>
      </c>
      <c r="Y230">
        <f>(AVERAGE(M230:O230)-1)/4</f>
        <v/>
      </c>
      <c r="Z230">
        <f>(AVERAGE(P230:R230)-1)/4</f>
        <v/>
      </c>
      <c r="AA230">
        <f>(AVERAGE(S230:T230)-1)/4</f>
        <v/>
      </c>
      <c r="AB230">
        <f>AVERAGE(U230:Y230)</f>
        <v/>
      </c>
      <c r="AC230">
        <f>MIN(U230:Y230)</f>
        <v/>
      </c>
      <c r="AD230">
        <f>1-alpha*MAX(0,delta-AC230)</f>
        <v/>
      </c>
      <c r="AE230">
        <f>AB230*AD230</f>
        <v/>
      </c>
      <c r="AF230">
        <f>1+COUNTIF(bounds,"&lt;"&amp;ROUND(AB230,12))</f>
        <v/>
      </c>
      <c r="AG230">
        <f>1+COUNTIF(bounds,"&lt;"&amp;ROUND(AE230,12))</f>
        <v/>
      </c>
      <c r="AH230">
        <f>IF(AD230&lt;1,1,0)</f>
        <v/>
      </c>
      <c r="AI230">
        <f>IF(AF230&lt;&gt;AG230,1,0)</f>
        <v/>
      </c>
      <c r="AJ230">
        <f>IF(AND(AG230&gt;=3,Z230&lt;=0.2),1,0)</f>
        <v/>
      </c>
      <c r="AK230">
        <f>AVERAGE(U230:Z230)</f>
        <v/>
      </c>
      <c r="AL230">
        <f>1+COUNTIF(bounds,"&lt;"&amp;ROUND(AK230,12))</f>
        <v/>
      </c>
      <c r="AM230">
        <f>IF(AI230=1,AB230,NA())</f>
        <v/>
      </c>
      <c r="AN230">
        <f>IF(AI230=0,AB230,NA())</f>
        <v/>
      </c>
    </row>
    <row r="231">
      <c r="A231" t="n">
        <v>223</v>
      </c>
      <c r="B231" t="n">
        <v>2</v>
      </c>
      <c r="C231" t="n">
        <v>5</v>
      </c>
      <c r="D231" t="n">
        <v>5</v>
      </c>
      <c r="E231" t="n">
        <v>4</v>
      </c>
      <c r="F231" t="n">
        <v>3</v>
      </c>
      <c r="G231" t="n">
        <v>1</v>
      </c>
      <c r="H231" t="n">
        <v>1</v>
      </c>
      <c r="I231" t="n">
        <v>1</v>
      </c>
      <c r="J231" t="n">
        <v>4</v>
      </c>
      <c r="K231" t="n">
        <v>4</v>
      </c>
      <c r="L231" t="n">
        <v>4</v>
      </c>
      <c r="M231" t="n">
        <v>4</v>
      </c>
      <c r="N231" t="n">
        <v>1</v>
      </c>
      <c r="O231" t="n">
        <v>3</v>
      </c>
      <c r="P231" t="n">
        <v>4</v>
      </c>
      <c r="Q231" t="n">
        <v>3</v>
      </c>
      <c r="R231" t="n">
        <v>2</v>
      </c>
      <c r="S231" t="n">
        <v>4</v>
      </c>
      <c r="T231" t="n">
        <v>1</v>
      </c>
      <c r="U231">
        <f>(AVERAGE(B231:D231)-1)/4</f>
        <v/>
      </c>
      <c r="V231">
        <f>(AVERAGE(E231:F231)-1)/4</f>
        <v/>
      </c>
      <c r="W231">
        <f>(AVERAGE(G231:I231)-1)/4</f>
        <v/>
      </c>
      <c r="X231">
        <f>(AVERAGE(J231:L231)-1)/4</f>
        <v/>
      </c>
      <c r="Y231">
        <f>(AVERAGE(M231:O231)-1)/4</f>
        <v/>
      </c>
      <c r="Z231">
        <f>(AVERAGE(P231:R231)-1)/4</f>
        <v/>
      </c>
      <c r="AA231">
        <f>(AVERAGE(S231:T231)-1)/4</f>
        <v/>
      </c>
      <c r="AB231">
        <f>AVERAGE(U231:Y231)</f>
        <v/>
      </c>
      <c r="AC231">
        <f>MIN(U231:Y231)</f>
        <v/>
      </c>
      <c r="AD231">
        <f>1-alpha*MAX(0,delta-AC231)</f>
        <v/>
      </c>
      <c r="AE231">
        <f>AB231*AD231</f>
        <v/>
      </c>
      <c r="AF231">
        <f>1+COUNTIF(bounds,"&lt;"&amp;ROUND(AB231,12))</f>
        <v/>
      </c>
      <c r="AG231">
        <f>1+COUNTIF(bounds,"&lt;"&amp;ROUND(AE231,12))</f>
        <v/>
      </c>
      <c r="AH231">
        <f>IF(AD231&lt;1,1,0)</f>
        <v/>
      </c>
      <c r="AI231">
        <f>IF(AF231&lt;&gt;AG231,1,0)</f>
        <v/>
      </c>
      <c r="AJ231">
        <f>IF(AND(AG231&gt;=3,Z231&lt;=0.2),1,0)</f>
        <v/>
      </c>
      <c r="AK231">
        <f>AVERAGE(U231:Z231)</f>
        <v/>
      </c>
      <c r="AL231">
        <f>1+COUNTIF(bounds,"&lt;"&amp;ROUND(AK231,12))</f>
        <v/>
      </c>
      <c r="AM231">
        <f>IF(AI231=1,AB231,NA())</f>
        <v/>
      </c>
      <c r="AN231">
        <f>IF(AI231=0,AB231,NA())</f>
        <v/>
      </c>
    </row>
    <row r="232">
      <c r="A232" t="n">
        <v>224</v>
      </c>
      <c r="B232" t="n">
        <v>2</v>
      </c>
      <c r="C232" t="n">
        <v>5</v>
      </c>
      <c r="D232" t="n">
        <v>5</v>
      </c>
      <c r="E232" t="n">
        <v>2</v>
      </c>
      <c r="F232" t="n">
        <v>5</v>
      </c>
      <c r="G232" t="n">
        <v>2</v>
      </c>
      <c r="H232" t="n">
        <v>5</v>
      </c>
      <c r="I232" t="n">
        <v>2</v>
      </c>
      <c r="J232" t="n">
        <v>2</v>
      </c>
      <c r="K232" t="n">
        <v>2</v>
      </c>
      <c r="L232" t="n">
        <v>2</v>
      </c>
      <c r="M232" t="n">
        <v>1</v>
      </c>
      <c r="N232" t="n">
        <v>2</v>
      </c>
      <c r="O232" t="n">
        <v>2</v>
      </c>
      <c r="P232" t="n">
        <v>2</v>
      </c>
      <c r="Q232" t="n">
        <v>5</v>
      </c>
      <c r="R232" t="n">
        <v>5</v>
      </c>
      <c r="S232" t="n">
        <v>5</v>
      </c>
      <c r="T232" t="n">
        <v>4</v>
      </c>
      <c r="U232">
        <f>(AVERAGE(B232:D232)-1)/4</f>
        <v/>
      </c>
      <c r="V232">
        <f>(AVERAGE(E232:F232)-1)/4</f>
        <v/>
      </c>
      <c r="W232">
        <f>(AVERAGE(G232:I232)-1)/4</f>
        <v/>
      </c>
      <c r="X232">
        <f>(AVERAGE(J232:L232)-1)/4</f>
        <v/>
      </c>
      <c r="Y232">
        <f>(AVERAGE(M232:O232)-1)/4</f>
        <v/>
      </c>
      <c r="Z232">
        <f>(AVERAGE(P232:R232)-1)/4</f>
        <v/>
      </c>
      <c r="AA232">
        <f>(AVERAGE(S232:T232)-1)/4</f>
        <v/>
      </c>
      <c r="AB232">
        <f>AVERAGE(U232:Y232)</f>
        <v/>
      </c>
      <c r="AC232">
        <f>MIN(U232:Y232)</f>
        <v/>
      </c>
      <c r="AD232">
        <f>1-alpha*MAX(0,delta-AC232)</f>
        <v/>
      </c>
      <c r="AE232">
        <f>AB232*AD232</f>
        <v/>
      </c>
      <c r="AF232">
        <f>1+COUNTIF(bounds,"&lt;"&amp;ROUND(AB232,12))</f>
        <v/>
      </c>
      <c r="AG232">
        <f>1+COUNTIF(bounds,"&lt;"&amp;ROUND(AE232,12))</f>
        <v/>
      </c>
      <c r="AH232">
        <f>IF(AD232&lt;1,1,0)</f>
        <v/>
      </c>
      <c r="AI232">
        <f>IF(AF232&lt;&gt;AG232,1,0)</f>
        <v/>
      </c>
      <c r="AJ232">
        <f>IF(AND(AG232&gt;=3,Z232&lt;=0.2),1,0)</f>
        <v/>
      </c>
      <c r="AK232">
        <f>AVERAGE(U232:Z232)</f>
        <v/>
      </c>
      <c r="AL232">
        <f>1+COUNTIF(bounds,"&lt;"&amp;ROUND(AK232,12))</f>
        <v/>
      </c>
      <c r="AM232">
        <f>IF(AI232=1,AB232,NA())</f>
        <v/>
      </c>
      <c r="AN232">
        <f>IF(AI232=0,AB232,NA())</f>
        <v/>
      </c>
    </row>
    <row r="233">
      <c r="A233" t="n">
        <v>225</v>
      </c>
      <c r="B233" t="n">
        <v>4</v>
      </c>
      <c r="C233" t="n">
        <v>3</v>
      </c>
      <c r="D233" t="n">
        <v>2</v>
      </c>
      <c r="E233" t="n">
        <v>5</v>
      </c>
      <c r="F233" t="n">
        <v>1</v>
      </c>
      <c r="G233" t="n">
        <v>1</v>
      </c>
      <c r="H233" t="n">
        <v>4</v>
      </c>
      <c r="I233" t="n">
        <v>5</v>
      </c>
      <c r="J233" t="n">
        <v>2</v>
      </c>
      <c r="K233" t="n">
        <v>2</v>
      </c>
      <c r="L233" t="n">
        <v>3</v>
      </c>
      <c r="M233" t="n">
        <v>4</v>
      </c>
      <c r="N233" t="n">
        <v>3</v>
      </c>
      <c r="O233" t="n">
        <v>3</v>
      </c>
      <c r="P233" t="n">
        <v>5</v>
      </c>
      <c r="Q233" t="n">
        <v>5</v>
      </c>
      <c r="R233" t="n">
        <v>3</v>
      </c>
      <c r="S233" t="n">
        <v>1</v>
      </c>
      <c r="T233" t="n">
        <v>3</v>
      </c>
      <c r="U233">
        <f>(AVERAGE(B233:D233)-1)/4</f>
        <v/>
      </c>
      <c r="V233">
        <f>(AVERAGE(E233:F233)-1)/4</f>
        <v/>
      </c>
      <c r="W233">
        <f>(AVERAGE(G233:I233)-1)/4</f>
        <v/>
      </c>
      <c r="X233">
        <f>(AVERAGE(J233:L233)-1)/4</f>
        <v/>
      </c>
      <c r="Y233">
        <f>(AVERAGE(M233:O233)-1)/4</f>
        <v/>
      </c>
      <c r="Z233">
        <f>(AVERAGE(P233:R233)-1)/4</f>
        <v/>
      </c>
      <c r="AA233">
        <f>(AVERAGE(S233:T233)-1)/4</f>
        <v/>
      </c>
      <c r="AB233">
        <f>AVERAGE(U233:Y233)</f>
        <v/>
      </c>
      <c r="AC233">
        <f>MIN(U233:Y233)</f>
        <v/>
      </c>
      <c r="AD233">
        <f>1-alpha*MAX(0,delta-AC233)</f>
        <v/>
      </c>
      <c r="AE233">
        <f>AB233*AD233</f>
        <v/>
      </c>
      <c r="AF233">
        <f>1+COUNTIF(bounds,"&lt;"&amp;ROUND(AB233,12))</f>
        <v/>
      </c>
      <c r="AG233">
        <f>1+COUNTIF(bounds,"&lt;"&amp;ROUND(AE233,12))</f>
        <v/>
      </c>
      <c r="AH233">
        <f>IF(AD233&lt;1,1,0)</f>
        <v/>
      </c>
      <c r="AI233">
        <f>IF(AF233&lt;&gt;AG233,1,0)</f>
        <v/>
      </c>
      <c r="AJ233">
        <f>IF(AND(AG233&gt;=3,Z233&lt;=0.2),1,0)</f>
        <v/>
      </c>
      <c r="AK233">
        <f>AVERAGE(U233:Z233)</f>
        <v/>
      </c>
      <c r="AL233">
        <f>1+COUNTIF(bounds,"&lt;"&amp;ROUND(AK233,12))</f>
        <v/>
      </c>
      <c r="AM233">
        <f>IF(AI233=1,AB233,NA())</f>
        <v/>
      </c>
      <c r="AN233">
        <f>IF(AI233=0,AB233,NA())</f>
        <v/>
      </c>
    </row>
    <row r="234">
      <c r="A234" t="n">
        <v>226</v>
      </c>
      <c r="B234" t="n">
        <v>1</v>
      </c>
      <c r="C234" t="n">
        <v>2</v>
      </c>
      <c r="D234" t="n">
        <v>2</v>
      </c>
      <c r="E234" t="n">
        <v>1</v>
      </c>
      <c r="F234" t="n">
        <v>4</v>
      </c>
      <c r="G234" t="n">
        <v>5</v>
      </c>
      <c r="H234" t="n">
        <v>5</v>
      </c>
      <c r="I234" t="n">
        <v>1</v>
      </c>
      <c r="J234" t="n">
        <v>4</v>
      </c>
      <c r="K234" t="n">
        <v>5</v>
      </c>
      <c r="L234" t="n">
        <v>4</v>
      </c>
      <c r="M234" t="n">
        <v>5</v>
      </c>
      <c r="N234" t="n">
        <v>5</v>
      </c>
      <c r="O234" t="n">
        <v>2</v>
      </c>
      <c r="P234" t="n">
        <v>5</v>
      </c>
      <c r="Q234" t="n">
        <v>4</v>
      </c>
      <c r="R234" t="n">
        <v>2</v>
      </c>
      <c r="S234" t="n">
        <v>2</v>
      </c>
      <c r="T234" t="n">
        <v>3</v>
      </c>
      <c r="U234">
        <f>(AVERAGE(B234:D234)-1)/4</f>
        <v/>
      </c>
      <c r="V234">
        <f>(AVERAGE(E234:F234)-1)/4</f>
        <v/>
      </c>
      <c r="W234">
        <f>(AVERAGE(G234:I234)-1)/4</f>
        <v/>
      </c>
      <c r="X234">
        <f>(AVERAGE(J234:L234)-1)/4</f>
        <v/>
      </c>
      <c r="Y234">
        <f>(AVERAGE(M234:O234)-1)/4</f>
        <v/>
      </c>
      <c r="Z234">
        <f>(AVERAGE(P234:R234)-1)/4</f>
        <v/>
      </c>
      <c r="AA234">
        <f>(AVERAGE(S234:T234)-1)/4</f>
        <v/>
      </c>
      <c r="AB234">
        <f>AVERAGE(U234:Y234)</f>
        <v/>
      </c>
      <c r="AC234">
        <f>MIN(U234:Y234)</f>
        <v/>
      </c>
      <c r="AD234">
        <f>1-alpha*MAX(0,delta-AC234)</f>
        <v/>
      </c>
      <c r="AE234">
        <f>AB234*AD234</f>
        <v/>
      </c>
      <c r="AF234">
        <f>1+COUNTIF(bounds,"&lt;"&amp;ROUND(AB234,12))</f>
        <v/>
      </c>
      <c r="AG234">
        <f>1+COUNTIF(bounds,"&lt;"&amp;ROUND(AE234,12))</f>
        <v/>
      </c>
      <c r="AH234">
        <f>IF(AD234&lt;1,1,0)</f>
        <v/>
      </c>
      <c r="AI234">
        <f>IF(AF234&lt;&gt;AG234,1,0)</f>
        <v/>
      </c>
      <c r="AJ234">
        <f>IF(AND(AG234&gt;=3,Z234&lt;=0.2),1,0)</f>
        <v/>
      </c>
      <c r="AK234">
        <f>AVERAGE(U234:Z234)</f>
        <v/>
      </c>
      <c r="AL234">
        <f>1+COUNTIF(bounds,"&lt;"&amp;ROUND(AK234,12))</f>
        <v/>
      </c>
      <c r="AM234">
        <f>IF(AI234=1,AB234,NA())</f>
        <v/>
      </c>
      <c r="AN234">
        <f>IF(AI234=0,AB234,NA())</f>
        <v/>
      </c>
    </row>
    <row r="235">
      <c r="A235" t="n">
        <v>227</v>
      </c>
      <c r="B235" t="n">
        <v>1</v>
      </c>
      <c r="C235" t="n">
        <v>1</v>
      </c>
      <c r="D235" t="n">
        <v>2</v>
      </c>
      <c r="E235" t="n">
        <v>2</v>
      </c>
      <c r="F235" t="n">
        <v>3</v>
      </c>
      <c r="G235" t="n">
        <v>1</v>
      </c>
      <c r="H235" t="n">
        <v>1</v>
      </c>
      <c r="I235" t="n">
        <v>5</v>
      </c>
      <c r="J235" t="n">
        <v>2</v>
      </c>
      <c r="K235" t="n">
        <v>5</v>
      </c>
      <c r="L235" t="n">
        <v>1</v>
      </c>
      <c r="M235" t="n">
        <v>5</v>
      </c>
      <c r="N235" t="n">
        <v>3</v>
      </c>
      <c r="O235" t="n">
        <v>5</v>
      </c>
      <c r="P235" t="n">
        <v>4</v>
      </c>
      <c r="Q235" t="n">
        <v>1</v>
      </c>
      <c r="R235" t="n">
        <v>1</v>
      </c>
      <c r="S235" t="n">
        <v>4</v>
      </c>
      <c r="T235" t="n">
        <v>4</v>
      </c>
      <c r="U235">
        <f>(AVERAGE(B235:D235)-1)/4</f>
        <v/>
      </c>
      <c r="V235">
        <f>(AVERAGE(E235:F235)-1)/4</f>
        <v/>
      </c>
      <c r="W235">
        <f>(AVERAGE(G235:I235)-1)/4</f>
        <v/>
      </c>
      <c r="X235">
        <f>(AVERAGE(J235:L235)-1)/4</f>
        <v/>
      </c>
      <c r="Y235">
        <f>(AVERAGE(M235:O235)-1)/4</f>
        <v/>
      </c>
      <c r="Z235">
        <f>(AVERAGE(P235:R235)-1)/4</f>
        <v/>
      </c>
      <c r="AA235">
        <f>(AVERAGE(S235:T235)-1)/4</f>
        <v/>
      </c>
      <c r="AB235">
        <f>AVERAGE(U235:Y235)</f>
        <v/>
      </c>
      <c r="AC235">
        <f>MIN(U235:Y235)</f>
        <v/>
      </c>
      <c r="AD235">
        <f>1-alpha*MAX(0,delta-AC235)</f>
        <v/>
      </c>
      <c r="AE235">
        <f>AB235*AD235</f>
        <v/>
      </c>
      <c r="AF235">
        <f>1+COUNTIF(bounds,"&lt;"&amp;ROUND(AB235,12))</f>
        <v/>
      </c>
      <c r="AG235">
        <f>1+COUNTIF(bounds,"&lt;"&amp;ROUND(AE235,12))</f>
        <v/>
      </c>
      <c r="AH235">
        <f>IF(AD235&lt;1,1,0)</f>
        <v/>
      </c>
      <c r="AI235">
        <f>IF(AF235&lt;&gt;AG235,1,0)</f>
        <v/>
      </c>
      <c r="AJ235">
        <f>IF(AND(AG235&gt;=3,Z235&lt;=0.2),1,0)</f>
        <v/>
      </c>
      <c r="AK235">
        <f>AVERAGE(U235:Z235)</f>
        <v/>
      </c>
      <c r="AL235">
        <f>1+COUNTIF(bounds,"&lt;"&amp;ROUND(AK235,12))</f>
        <v/>
      </c>
      <c r="AM235">
        <f>IF(AI235=1,AB235,NA())</f>
        <v/>
      </c>
      <c r="AN235">
        <f>IF(AI235=0,AB235,NA())</f>
        <v/>
      </c>
    </row>
    <row r="236">
      <c r="A236" t="n">
        <v>228</v>
      </c>
      <c r="B236" t="n">
        <v>3</v>
      </c>
      <c r="C236" t="n">
        <v>4</v>
      </c>
      <c r="D236" t="n">
        <v>3</v>
      </c>
      <c r="E236" t="n">
        <v>1</v>
      </c>
      <c r="F236" t="n">
        <v>5</v>
      </c>
      <c r="G236" t="n">
        <v>2</v>
      </c>
      <c r="H236" t="n">
        <v>4</v>
      </c>
      <c r="I236" t="n">
        <v>3</v>
      </c>
      <c r="J236" t="n">
        <v>1</v>
      </c>
      <c r="K236" t="n">
        <v>1</v>
      </c>
      <c r="L236" t="n">
        <v>1</v>
      </c>
      <c r="M236" t="n">
        <v>5</v>
      </c>
      <c r="N236" t="n">
        <v>4</v>
      </c>
      <c r="O236" t="n">
        <v>1</v>
      </c>
      <c r="P236" t="n">
        <v>3</v>
      </c>
      <c r="Q236" t="n">
        <v>1</v>
      </c>
      <c r="R236" t="n">
        <v>4</v>
      </c>
      <c r="S236" t="n">
        <v>1</v>
      </c>
      <c r="T236" t="n">
        <v>4</v>
      </c>
      <c r="U236">
        <f>(AVERAGE(B236:D236)-1)/4</f>
        <v/>
      </c>
      <c r="V236">
        <f>(AVERAGE(E236:F236)-1)/4</f>
        <v/>
      </c>
      <c r="W236">
        <f>(AVERAGE(G236:I236)-1)/4</f>
        <v/>
      </c>
      <c r="X236">
        <f>(AVERAGE(J236:L236)-1)/4</f>
        <v/>
      </c>
      <c r="Y236">
        <f>(AVERAGE(M236:O236)-1)/4</f>
        <v/>
      </c>
      <c r="Z236">
        <f>(AVERAGE(P236:R236)-1)/4</f>
        <v/>
      </c>
      <c r="AA236">
        <f>(AVERAGE(S236:T236)-1)/4</f>
        <v/>
      </c>
      <c r="AB236">
        <f>AVERAGE(U236:Y236)</f>
        <v/>
      </c>
      <c r="AC236">
        <f>MIN(U236:Y236)</f>
        <v/>
      </c>
      <c r="AD236">
        <f>1-alpha*MAX(0,delta-AC236)</f>
        <v/>
      </c>
      <c r="AE236">
        <f>AB236*AD236</f>
        <v/>
      </c>
      <c r="AF236">
        <f>1+COUNTIF(bounds,"&lt;"&amp;ROUND(AB236,12))</f>
        <v/>
      </c>
      <c r="AG236">
        <f>1+COUNTIF(bounds,"&lt;"&amp;ROUND(AE236,12))</f>
        <v/>
      </c>
      <c r="AH236">
        <f>IF(AD236&lt;1,1,0)</f>
        <v/>
      </c>
      <c r="AI236">
        <f>IF(AF236&lt;&gt;AG236,1,0)</f>
        <v/>
      </c>
      <c r="AJ236">
        <f>IF(AND(AG236&gt;=3,Z236&lt;=0.2),1,0)</f>
        <v/>
      </c>
      <c r="AK236">
        <f>AVERAGE(U236:Z236)</f>
        <v/>
      </c>
      <c r="AL236">
        <f>1+COUNTIF(bounds,"&lt;"&amp;ROUND(AK236,12))</f>
        <v/>
      </c>
      <c r="AM236">
        <f>IF(AI236=1,AB236,NA())</f>
        <v/>
      </c>
      <c r="AN236">
        <f>IF(AI236=0,AB236,NA())</f>
        <v/>
      </c>
    </row>
    <row r="237">
      <c r="A237" t="n">
        <v>229</v>
      </c>
      <c r="B237" t="n">
        <v>3</v>
      </c>
      <c r="C237" t="n">
        <v>4</v>
      </c>
      <c r="D237" t="n">
        <v>5</v>
      </c>
      <c r="E237" t="n">
        <v>1</v>
      </c>
      <c r="F237" t="n">
        <v>1</v>
      </c>
      <c r="G237" t="n">
        <v>1</v>
      </c>
      <c r="H237" t="n">
        <v>5</v>
      </c>
      <c r="I237" t="n">
        <v>3</v>
      </c>
      <c r="J237" t="n">
        <v>4</v>
      </c>
      <c r="K237" t="n">
        <v>1</v>
      </c>
      <c r="L237" t="n">
        <v>3</v>
      </c>
      <c r="M237" t="n">
        <v>4</v>
      </c>
      <c r="N237" t="n">
        <v>1</v>
      </c>
      <c r="O237" t="n">
        <v>1</v>
      </c>
      <c r="P237" t="n">
        <v>4</v>
      </c>
      <c r="Q237" t="n">
        <v>5</v>
      </c>
      <c r="R237" t="n">
        <v>5</v>
      </c>
      <c r="S237" t="n">
        <v>3</v>
      </c>
      <c r="T237" t="n">
        <v>5</v>
      </c>
      <c r="U237">
        <f>(AVERAGE(B237:D237)-1)/4</f>
        <v/>
      </c>
      <c r="V237">
        <f>(AVERAGE(E237:F237)-1)/4</f>
        <v/>
      </c>
      <c r="W237">
        <f>(AVERAGE(G237:I237)-1)/4</f>
        <v/>
      </c>
      <c r="X237">
        <f>(AVERAGE(J237:L237)-1)/4</f>
        <v/>
      </c>
      <c r="Y237">
        <f>(AVERAGE(M237:O237)-1)/4</f>
        <v/>
      </c>
      <c r="Z237">
        <f>(AVERAGE(P237:R237)-1)/4</f>
        <v/>
      </c>
      <c r="AA237">
        <f>(AVERAGE(S237:T237)-1)/4</f>
        <v/>
      </c>
      <c r="AB237">
        <f>AVERAGE(U237:Y237)</f>
        <v/>
      </c>
      <c r="AC237">
        <f>MIN(U237:Y237)</f>
        <v/>
      </c>
      <c r="AD237">
        <f>1-alpha*MAX(0,delta-AC237)</f>
        <v/>
      </c>
      <c r="AE237">
        <f>AB237*AD237</f>
        <v/>
      </c>
      <c r="AF237">
        <f>1+COUNTIF(bounds,"&lt;"&amp;ROUND(AB237,12))</f>
        <v/>
      </c>
      <c r="AG237">
        <f>1+COUNTIF(bounds,"&lt;"&amp;ROUND(AE237,12))</f>
        <v/>
      </c>
      <c r="AH237">
        <f>IF(AD237&lt;1,1,0)</f>
        <v/>
      </c>
      <c r="AI237">
        <f>IF(AF237&lt;&gt;AG237,1,0)</f>
        <v/>
      </c>
      <c r="AJ237">
        <f>IF(AND(AG237&gt;=3,Z237&lt;=0.2),1,0)</f>
        <v/>
      </c>
      <c r="AK237">
        <f>AVERAGE(U237:Z237)</f>
        <v/>
      </c>
      <c r="AL237">
        <f>1+COUNTIF(bounds,"&lt;"&amp;ROUND(AK237,12))</f>
        <v/>
      </c>
      <c r="AM237">
        <f>IF(AI237=1,AB237,NA())</f>
        <v/>
      </c>
      <c r="AN237">
        <f>IF(AI237=0,AB237,NA())</f>
        <v/>
      </c>
    </row>
    <row r="238">
      <c r="A238" t="n">
        <v>230</v>
      </c>
      <c r="B238" t="n">
        <v>3</v>
      </c>
      <c r="C238" t="n">
        <v>4</v>
      </c>
      <c r="D238" t="n">
        <v>5</v>
      </c>
      <c r="E238" t="n">
        <v>5</v>
      </c>
      <c r="F238" t="n">
        <v>4</v>
      </c>
      <c r="G238" t="n">
        <v>4</v>
      </c>
      <c r="H238" t="n">
        <v>1</v>
      </c>
      <c r="I238" t="n">
        <v>5</v>
      </c>
      <c r="J238" t="n">
        <v>2</v>
      </c>
      <c r="K238" t="n">
        <v>3</v>
      </c>
      <c r="L238" t="n">
        <v>5</v>
      </c>
      <c r="M238" t="n">
        <v>2</v>
      </c>
      <c r="N238" t="n">
        <v>1</v>
      </c>
      <c r="O238" t="n">
        <v>5</v>
      </c>
      <c r="P238" t="n">
        <v>4</v>
      </c>
      <c r="Q238" t="n">
        <v>2</v>
      </c>
      <c r="R238" t="n">
        <v>5</v>
      </c>
      <c r="S238" t="n">
        <v>3</v>
      </c>
      <c r="T238" t="n">
        <v>3</v>
      </c>
      <c r="U238">
        <f>(AVERAGE(B238:D238)-1)/4</f>
        <v/>
      </c>
      <c r="V238">
        <f>(AVERAGE(E238:F238)-1)/4</f>
        <v/>
      </c>
      <c r="W238">
        <f>(AVERAGE(G238:I238)-1)/4</f>
        <v/>
      </c>
      <c r="X238">
        <f>(AVERAGE(J238:L238)-1)/4</f>
        <v/>
      </c>
      <c r="Y238">
        <f>(AVERAGE(M238:O238)-1)/4</f>
        <v/>
      </c>
      <c r="Z238">
        <f>(AVERAGE(P238:R238)-1)/4</f>
        <v/>
      </c>
      <c r="AA238">
        <f>(AVERAGE(S238:T238)-1)/4</f>
        <v/>
      </c>
      <c r="AB238">
        <f>AVERAGE(U238:Y238)</f>
        <v/>
      </c>
      <c r="AC238">
        <f>MIN(U238:Y238)</f>
        <v/>
      </c>
      <c r="AD238">
        <f>1-alpha*MAX(0,delta-AC238)</f>
        <v/>
      </c>
      <c r="AE238">
        <f>AB238*AD238</f>
        <v/>
      </c>
      <c r="AF238">
        <f>1+COUNTIF(bounds,"&lt;"&amp;ROUND(AB238,12))</f>
        <v/>
      </c>
      <c r="AG238">
        <f>1+COUNTIF(bounds,"&lt;"&amp;ROUND(AE238,12))</f>
        <v/>
      </c>
      <c r="AH238">
        <f>IF(AD238&lt;1,1,0)</f>
        <v/>
      </c>
      <c r="AI238">
        <f>IF(AF238&lt;&gt;AG238,1,0)</f>
        <v/>
      </c>
      <c r="AJ238">
        <f>IF(AND(AG238&gt;=3,Z238&lt;=0.2),1,0)</f>
        <v/>
      </c>
      <c r="AK238">
        <f>AVERAGE(U238:Z238)</f>
        <v/>
      </c>
      <c r="AL238">
        <f>1+COUNTIF(bounds,"&lt;"&amp;ROUND(AK238,12))</f>
        <v/>
      </c>
      <c r="AM238">
        <f>IF(AI238=1,AB238,NA())</f>
        <v/>
      </c>
      <c r="AN238">
        <f>IF(AI238=0,AB238,NA())</f>
        <v/>
      </c>
    </row>
    <row r="239">
      <c r="A239" t="n">
        <v>231</v>
      </c>
      <c r="B239" t="n">
        <v>1</v>
      </c>
      <c r="C239" t="n">
        <v>4</v>
      </c>
      <c r="D239" t="n">
        <v>4</v>
      </c>
      <c r="E239" t="n">
        <v>5</v>
      </c>
      <c r="F239" t="n">
        <v>2</v>
      </c>
      <c r="G239" t="n">
        <v>1</v>
      </c>
      <c r="H239" t="n">
        <v>1</v>
      </c>
      <c r="I239" t="n">
        <v>3</v>
      </c>
      <c r="J239" t="n">
        <v>5</v>
      </c>
      <c r="K239" t="n">
        <v>5</v>
      </c>
      <c r="L239" t="n">
        <v>5</v>
      </c>
      <c r="M239" t="n">
        <v>2</v>
      </c>
      <c r="N239" t="n">
        <v>4</v>
      </c>
      <c r="O239" t="n">
        <v>3</v>
      </c>
      <c r="P239" t="n">
        <v>1</v>
      </c>
      <c r="Q239" t="n">
        <v>1</v>
      </c>
      <c r="R239" t="n">
        <v>3</v>
      </c>
      <c r="S239" t="n">
        <v>5</v>
      </c>
      <c r="T239" t="n">
        <v>1</v>
      </c>
      <c r="U239">
        <f>(AVERAGE(B239:D239)-1)/4</f>
        <v/>
      </c>
      <c r="V239">
        <f>(AVERAGE(E239:F239)-1)/4</f>
        <v/>
      </c>
      <c r="W239">
        <f>(AVERAGE(G239:I239)-1)/4</f>
        <v/>
      </c>
      <c r="X239">
        <f>(AVERAGE(J239:L239)-1)/4</f>
        <v/>
      </c>
      <c r="Y239">
        <f>(AVERAGE(M239:O239)-1)/4</f>
        <v/>
      </c>
      <c r="Z239">
        <f>(AVERAGE(P239:R239)-1)/4</f>
        <v/>
      </c>
      <c r="AA239">
        <f>(AVERAGE(S239:T239)-1)/4</f>
        <v/>
      </c>
      <c r="AB239">
        <f>AVERAGE(U239:Y239)</f>
        <v/>
      </c>
      <c r="AC239">
        <f>MIN(U239:Y239)</f>
        <v/>
      </c>
      <c r="AD239">
        <f>1-alpha*MAX(0,delta-AC239)</f>
        <v/>
      </c>
      <c r="AE239">
        <f>AB239*AD239</f>
        <v/>
      </c>
      <c r="AF239">
        <f>1+COUNTIF(bounds,"&lt;"&amp;ROUND(AB239,12))</f>
        <v/>
      </c>
      <c r="AG239">
        <f>1+COUNTIF(bounds,"&lt;"&amp;ROUND(AE239,12))</f>
        <v/>
      </c>
      <c r="AH239">
        <f>IF(AD239&lt;1,1,0)</f>
        <v/>
      </c>
      <c r="AI239">
        <f>IF(AF239&lt;&gt;AG239,1,0)</f>
        <v/>
      </c>
      <c r="AJ239">
        <f>IF(AND(AG239&gt;=3,Z239&lt;=0.2),1,0)</f>
        <v/>
      </c>
      <c r="AK239">
        <f>AVERAGE(U239:Z239)</f>
        <v/>
      </c>
      <c r="AL239">
        <f>1+COUNTIF(bounds,"&lt;"&amp;ROUND(AK239,12))</f>
        <v/>
      </c>
      <c r="AM239">
        <f>IF(AI239=1,AB239,NA())</f>
        <v/>
      </c>
      <c r="AN239">
        <f>IF(AI239=0,AB239,NA())</f>
        <v/>
      </c>
    </row>
    <row r="240">
      <c r="A240" t="n">
        <v>232</v>
      </c>
      <c r="B240" t="n">
        <v>3</v>
      </c>
      <c r="C240" t="n">
        <v>4</v>
      </c>
      <c r="D240" t="n">
        <v>5</v>
      </c>
      <c r="E240" t="n">
        <v>5</v>
      </c>
      <c r="F240" t="n">
        <v>2</v>
      </c>
      <c r="G240" t="n">
        <v>4</v>
      </c>
      <c r="H240" t="n">
        <v>1</v>
      </c>
      <c r="I240" t="n">
        <v>1</v>
      </c>
      <c r="J240" t="n">
        <v>1</v>
      </c>
      <c r="K240" t="n">
        <v>5</v>
      </c>
      <c r="L240" t="n">
        <v>4</v>
      </c>
      <c r="M240" t="n">
        <v>2</v>
      </c>
      <c r="N240" t="n">
        <v>4</v>
      </c>
      <c r="O240" t="n">
        <v>1</v>
      </c>
      <c r="P240" t="n">
        <v>1</v>
      </c>
      <c r="Q240" t="n">
        <v>4</v>
      </c>
      <c r="R240" t="n">
        <v>2</v>
      </c>
      <c r="S240" t="n">
        <v>4</v>
      </c>
      <c r="T240" t="n">
        <v>1</v>
      </c>
      <c r="U240">
        <f>(AVERAGE(B240:D240)-1)/4</f>
        <v/>
      </c>
      <c r="V240">
        <f>(AVERAGE(E240:F240)-1)/4</f>
        <v/>
      </c>
      <c r="W240">
        <f>(AVERAGE(G240:I240)-1)/4</f>
        <v/>
      </c>
      <c r="X240">
        <f>(AVERAGE(J240:L240)-1)/4</f>
        <v/>
      </c>
      <c r="Y240">
        <f>(AVERAGE(M240:O240)-1)/4</f>
        <v/>
      </c>
      <c r="Z240">
        <f>(AVERAGE(P240:R240)-1)/4</f>
        <v/>
      </c>
      <c r="AA240">
        <f>(AVERAGE(S240:T240)-1)/4</f>
        <v/>
      </c>
      <c r="AB240">
        <f>AVERAGE(U240:Y240)</f>
        <v/>
      </c>
      <c r="AC240">
        <f>MIN(U240:Y240)</f>
        <v/>
      </c>
      <c r="AD240">
        <f>1-alpha*MAX(0,delta-AC240)</f>
        <v/>
      </c>
      <c r="AE240">
        <f>AB240*AD240</f>
        <v/>
      </c>
      <c r="AF240">
        <f>1+COUNTIF(bounds,"&lt;"&amp;ROUND(AB240,12))</f>
        <v/>
      </c>
      <c r="AG240">
        <f>1+COUNTIF(bounds,"&lt;"&amp;ROUND(AE240,12))</f>
        <v/>
      </c>
      <c r="AH240">
        <f>IF(AD240&lt;1,1,0)</f>
        <v/>
      </c>
      <c r="AI240">
        <f>IF(AF240&lt;&gt;AG240,1,0)</f>
        <v/>
      </c>
      <c r="AJ240">
        <f>IF(AND(AG240&gt;=3,Z240&lt;=0.2),1,0)</f>
        <v/>
      </c>
      <c r="AK240">
        <f>AVERAGE(U240:Z240)</f>
        <v/>
      </c>
      <c r="AL240">
        <f>1+COUNTIF(bounds,"&lt;"&amp;ROUND(AK240,12))</f>
        <v/>
      </c>
      <c r="AM240">
        <f>IF(AI240=1,AB240,NA())</f>
        <v/>
      </c>
      <c r="AN240">
        <f>IF(AI240=0,AB240,NA())</f>
        <v/>
      </c>
    </row>
    <row r="241">
      <c r="A241" t="n">
        <v>233</v>
      </c>
      <c r="B241" t="n">
        <v>4</v>
      </c>
      <c r="C241" t="n">
        <v>3</v>
      </c>
      <c r="D241" t="n">
        <v>4</v>
      </c>
      <c r="E241" t="n">
        <v>5</v>
      </c>
      <c r="F241" t="n">
        <v>4</v>
      </c>
      <c r="G241" t="n">
        <v>3</v>
      </c>
      <c r="H241" t="n">
        <v>2</v>
      </c>
      <c r="I241" t="n">
        <v>3</v>
      </c>
      <c r="J241" t="n">
        <v>2</v>
      </c>
      <c r="K241" t="n">
        <v>3</v>
      </c>
      <c r="L241" t="n">
        <v>1</v>
      </c>
      <c r="M241" t="n">
        <v>1</v>
      </c>
      <c r="N241" t="n">
        <v>5</v>
      </c>
      <c r="O241" t="n">
        <v>4</v>
      </c>
      <c r="P241" t="n">
        <v>5</v>
      </c>
      <c r="Q241" t="n">
        <v>1</v>
      </c>
      <c r="R241" t="n">
        <v>1</v>
      </c>
      <c r="S241" t="n">
        <v>2</v>
      </c>
      <c r="T241" t="n">
        <v>3</v>
      </c>
      <c r="U241">
        <f>(AVERAGE(B241:D241)-1)/4</f>
        <v/>
      </c>
      <c r="V241">
        <f>(AVERAGE(E241:F241)-1)/4</f>
        <v/>
      </c>
      <c r="W241">
        <f>(AVERAGE(G241:I241)-1)/4</f>
        <v/>
      </c>
      <c r="X241">
        <f>(AVERAGE(J241:L241)-1)/4</f>
        <v/>
      </c>
      <c r="Y241">
        <f>(AVERAGE(M241:O241)-1)/4</f>
        <v/>
      </c>
      <c r="Z241">
        <f>(AVERAGE(P241:R241)-1)/4</f>
        <v/>
      </c>
      <c r="AA241">
        <f>(AVERAGE(S241:T241)-1)/4</f>
        <v/>
      </c>
      <c r="AB241">
        <f>AVERAGE(U241:Y241)</f>
        <v/>
      </c>
      <c r="AC241">
        <f>MIN(U241:Y241)</f>
        <v/>
      </c>
      <c r="AD241">
        <f>1-alpha*MAX(0,delta-AC241)</f>
        <v/>
      </c>
      <c r="AE241">
        <f>AB241*AD241</f>
        <v/>
      </c>
      <c r="AF241">
        <f>1+COUNTIF(bounds,"&lt;"&amp;ROUND(AB241,12))</f>
        <v/>
      </c>
      <c r="AG241">
        <f>1+COUNTIF(bounds,"&lt;"&amp;ROUND(AE241,12))</f>
        <v/>
      </c>
      <c r="AH241">
        <f>IF(AD241&lt;1,1,0)</f>
        <v/>
      </c>
      <c r="AI241">
        <f>IF(AF241&lt;&gt;AG241,1,0)</f>
        <v/>
      </c>
      <c r="AJ241">
        <f>IF(AND(AG241&gt;=3,Z241&lt;=0.2),1,0)</f>
        <v/>
      </c>
      <c r="AK241">
        <f>AVERAGE(U241:Z241)</f>
        <v/>
      </c>
      <c r="AL241">
        <f>1+COUNTIF(bounds,"&lt;"&amp;ROUND(AK241,12))</f>
        <v/>
      </c>
      <c r="AM241">
        <f>IF(AI241=1,AB241,NA())</f>
        <v/>
      </c>
      <c r="AN241">
        <f>IF(AI241=0,AB241,NA())</f>
        <v/>
      </c>
    </row>
    <row r="242">
      <c r="A242" t="n">
        <v>234</v>
      </c>
      <c r="B242" t="n">
        <v>4</v>
      </c>
      <c r="C242" t="n">
        <v>2</v>
      </c>
      <c r="D242" t="n">
        <v>1</v>
      </c>
      <c r="E242" t="n">
        <v>4</v>
      </c>
      <c r="F242" t="n">
        <v>1</v>
      </c>
      <c r="G242" t="n">
        <v>5</v>
      </c>
      <c r="H242" t="n">
        <v>3</v>
      </c>
      <c r="I242" t="n">
        <v>3</v>
      </c>
      <c r="J242" t="n">
        <v>3</v>
      </c>
      <c r="K242" t="n">
        <v>2</v>
      </c>
      <c r="L242" t="n">
        <v>3</v>
      </c>
      <c r="M242" t="n">
        <v>5</v>
      </c>
      <c r="N242" t="n">
        <v>2</v>
      </c>
      <c r="O242" t="n">
        <v>3</v>
      </c>
      <c r="P242" t="n">
        <v>4</v>
      </c>
      <c r="Q242" t="n">
        <v>2</v>
      </c>
      <c r="R242" t="n">
        <v>1</v>
      </c>
      <c r="S242" t="n">
        <v>3</v>
      </c>
      <c r="T242" t="n">
        <v>1</v>
      </c>
      <c r="U242">
        <f>(AVERAGE(B242:D242)-1)/4</f>
        <v/>
      </c>
      <c r="V242">
        <f>(AVERAGE(E242:F242)-1)/4</f>
        <v/>
      </c>
      <c r="W242">
        <f>(AVERAGE(G242:I242)-1)/4</f>
        <v/>
      </c>
      <c r="X242">
        <f>(AVERAGE(J242:L242)-1)/4</f>
        <v/>
      </c>
      <c r="Y242">
        <f>(AVERAGE(M242:O242)-1)/4</f>
        <v/>
      </c>
      <c r="Z242">
        <f>(AVERAGE(P242:R242)-1)/4</f>
        <v/>
      </c>
      <c r="AA242">
        <f>(AVERAGE(S242:T242)-1)/4</f>
        <v/>
      </c>
      <c r="AB242">
        <f>AVERAGE(U242:Y242)</f>
        <v/>
      </c>
      <c r="AC242">
        <f>MIN(U242:Y242)</f>
        <v/>
      </c>
      <c r="AD242">
        <f>1-alpha*MAX(0,delta-AC242)</f>
        <v/>
      </c>
      <c r="AE242">
        <f>AB242*AD242</f>
        <v/>
      </c>
      <c r="AF242">
        <f>1+COUNTIF(bounds,"&lt;"&amp;ROUND(AB242,12))</f>
        <v/>
      </c>
      <c r="AG242">
        <f>1+COUNTIF(bounds,"&lt;"&amp;ROUND(AE242,12))</f>
        <v/>
      </c>
      <c r="AH242">
        <f>IF(AD242&lt;1,1,0)</f>
        <v/>
      </c>
      <c r="AI242">
        <f>IF(AF242&lt;&gt;AG242,1,0)</f>
        <v/>
      </c>
      <c r="AJ242">
        <f>IF(AND(AG242&gt;=3,Z242&lt;=0.2),1,0)</f>
        <v/>
      </c>
      <c r="AK242">
        <f>AVERAGE(U242:Z242)</f>
        <v/>
      </c>
      <c r="AL242">
        <f>1+COUNTIF(bounds,"&lt;"&amp;ROUND(AK242,12))</f>
        <v/>
      </c>
      <c r="AM242">
        <f>IF(AI242=1,AB242,NA())</f>
        <v/>
      </c>
      <c r="AN242">
        <f>IF(AI242=0,AB242,NA())</f>
        <v/>
      </c>
    </row>
    <row r="243">
      <c r="A243" t="n">
        <v>235</v>
      </c>
      <c r="B243" t="n">
        <v>5</v>
      </c>
      <c r="C243" t="n">
        <v>3</v>
      </c>
      <c r="D243" t="n">
        <v>2</v>
      </c>
      <c r="E243" t="n">
        <v>1</v>
      </c>
      <c r="F243" t="n">
        <v>3</v>
      </c>
      <c r="G243" t="n">
        <v>4</v>
      </c>
      <c r="H243" t="n">
        <v>3</v>
      </c>
      <c r="I243" t="n">
        <v>1</v>
      </c>
      <c r="J243" t="n">
        <v>3</v>
      </c>
      <c r="K243" t="n">
        <v>5</v>
      </c>
      <c r="L243" t="n">
        <v>5</v>
      </c>
      <c r="M243" t="n">
        <v>1</v>
      </c>
      <c r="N243" t="n">
        <v>1</v>
      </c>
      <c r="O243" t="n">
        <v>1</v>
      </c>
      <c r="P243" t="n">
        <v>3</v>
      </c>
      <c r="Q243" t="n">
        <v>1</v>
      </c>
      <c r="R243" t="n">
        <v>4</v>
      </c>
      <c r="S243" t="n">
        <v>4</v>
      </c>
      <c r="T243" t="n">
        <v>5</v>
      </c>
      <c r="U243">
        <f>(AVERAGE(B243:D243)-1)/4</f>
        <v/>
      </c>
      <c r="V243">
        <f>(AVERAGE(E243:F243)-1)/4</f>
        <v/>
      </c>
      <c r="W243">
        <f>(AVERAGE(G243:I243)-1)/4</f>
        <v/>
      </c>
      <c r="X243">
        <f>(AVERAGE(J243:L243)-1)/4</f>
        <v/>
      </c>
      <c r="Y243">
        <f>(AVERAGE(M243:O243)-1)/4</f>
        <v/>
      </c>
      <c r="Z243">
        <f>(AVERAGE(P243:R243)-1)/4</f>
        <v/>
      </c>
      <c r="AA243">
        <f>(AVERAGE(S243:T243)-1)/4</f>
        <v/>
      </c>
      <c r="AB243">
        <f>AVERAGE(U243:Y243)</f>
        <v/>
      </c>
      <c r="AC243">
        <f>MIN(U243:Y243)</f>
        <v/>
      </c>
      <c r="AD243">
        <f>1-alpha*MAX(0,delta-AC243)</f>
        <v/>
      </c>
      <c r="AE243">
        <f>AB243*AD243</f>
        <v/>
      </c>
      <c r="AF243">
        <f>1+COUNTIF(bounds,"&lt;"&amp;ROUND(AB243,12))</f>
        <v/>
      </c>
      <c r="AG243">
        <f>1+COUNTIF(bounds,"&lt;"&amp;ROUND(AE243,12))</f>
        <v/>
      </c>
      <c r="AH243">
        <f>IF(AD243&lt;1,1,0)</f>
        <v/>
      </c>
      <c r="AI243">
        <f>IF(AF243&lt;&gt;AG243,1,0)</f>
        <v/>
      </c>
      <c r="AJ243">
        <f>IF(AND(AG243&gt;=3,Z243&lt;=0.2),1,0)</f>
        <v/>
      </c>
      <c r="AK243">
        <f>AVERAGE(U243:Z243)</f>
        <v/>
      </c>
      <c r="AL243">
        <f>1+COUNTIF(bounds,"&lt;"&amp;ROUND(AK243,12))</f>
        <v/>
      </c>
      <c r="AM243">
        <f>IF(AI243=1,AB243,NA())</f>
        <v/>
      </c>
      <c r="AN243">
        <f>IF(AI243=0,AB243,NA())</f>
        <v/>
      </c>
    </row>
    <row r="244">
      <c r="A244" t="n">
        <v>236</v>
      </c>
      <c r="B244" t="n">
        <v>2</v>
      </c>
      <c r="C244" t="n">
        <v>2</v>
      </c>
      <c r="D244" t="n">
        <v>3</v>
      </c>
      <c r="E244" t="n">
        <v>3</v>
      </c>
      <c r="F244" t="n">
        <v>5</v>
      </c>
      <c r="G244" t="n">
        <v>2</v>
      </c>
      <c r="H244" t="n">
        <v>5</v>
      </c>
      <c r="I244" t="n">
        <v>1</v>
      </c>
      <c r="J244" t="n">
        <v>1</v>
      </c>
      <c r="K244" t="n">
        <v>2</v>
      </c>
      <c r="L244" t="n">
        <v>4</v>
      </c>
      <c r="M244" t="n">
        <v>4</v>
      </c>
      <c r="N244" t="n">
        <v>2</v>
      </c>
      <c r="O244" t="n">
        <v>4</v>
      </c>
      <c r="P244" t="n">
        <v>4</v>
      </c>
      <c r="Q244" t="n">
        <v>3</v>
      </c>
      <c r="R244" t="n">
        <v>2</v>
      </c>
      <c r="S244" t="n">
        <v>1</v>
      </c>
      <c r="T244" t="n">
        <v>2</v>
      </c>
      <c r="U244">
        <f>(AVERAGE(B244:D244)-1)/4</f>
        <v/>
      </c>
      <c r="V244">
        <f>(AVERAGE(E244:F244)-1)/4</f>
        <v/>
      </c>
      <c r="W244">
        <f>(AVERAGE(G244:I244)-1)/4</f>
        <v/>
      </c>
      <c r="X244">
        <f>(AVERAGE(J244:L244)-1)/4</f>
        <v/>
      </c>
      <c r="Y244">
        <f>(AVERAGE(M244:O244)-1)/4</f>
        <v/>
      </c>
      <c r="Z244">
        <f>(AVERAGE(P244:R244)-1)/4</f>
        <v/>
      </c>
      <c r="AA244">
        <f>(AVERAGE(S244:T244)-1)/4</f>
        <v/>
      </c>
      <c r="AB244">
        <f>AVERAGE(U244:Y244)</f>
        <v/>
      </c>
      <c r="AC244">
        <f>MIN(U244:Y244)</f>
        <v/>
      </c>
      <c r="AD244">
        <f>1-alpha*MAX(0,delta-AC244)</f>
        <v/>
      </c>
      <c r="AE244">
        <f>AB244*AD244</f>
        <v/>
      </c>
      <c r="AF244">
        <f>1+COUNTIF(bounds,"&lt;"&amp;ROUND(AB244,12))</f>
        <v/>
      </c>
      <c r="AG244">
        <f>1+COUNTIF(bounds,"&lt;"&amp;ROUND(AE244,12))</f>
        <v/>
      </c>
      <c r="AH244">
        <f>IF(AD244&lt;1,1,0)</f>
        <v/>
      </c>
      <c r="AI244">
        <f>IF(AF244&lt;&gt;AG244,1,0)</f>
        <v/>
      </c>
      <c r="AJ244">
        <f>IF(AND(AG244&gt;=3,Z244&lt;=0.2),1,0)</f>
        <v/>
      </c>
      <c r="AK244">
        <f>AVERAGE(U244:Z244)</f>
        <v/>
      </c>
      <c r="AL244">
        <f>1+COUNTIF(bounds,"&lt;"&amp;ROUND(AK244,12))</f>
        <v/>
      </c>
      <c r="AM244">
        <f>IF(AI244=1,AB244,NA())</f>
        <v/>
      </c>
      <c r="AN244">
        <f>IF(AI244=0,AB244,NA())</f>
        <v/>
      </c>
    </row>
    <row r="245">
      <c r="A245" t="n">
        <v>237</v>
      </c>
      <c r="B245" t="n">
        <v>3</v>
      </c>
      <c r="C245" t="n">
        <v>2</v>
      </c>
      <c r="D245" t="n">
        <v>1</v>
      </c>
      <c r="E245" t="n">
        <v>1</v>
      </c>
      <c r="F245" t="n">
        <v>2</v>
      </c>
      <c r="G245" t="n">
        <v>2</v>
      </c>
      <c r="H245" t="n">
        <v>2</v>
      </c>
      <c r="I245" t="n">
        <v>5</v>
      </c>
      <c r="J245" t="n">
        <v>2</v>
      </c>
      <c r="K245" t="n">
        <v>1</v>
      </c>
      <c r="L245" t="n">
        <v>1</v>
      </c>
      <c r="M245" t="n">
        <v>2</v>
      </c>
      <c r="N245" t="n">
        <v>5</v>
      </c>
      <c r="O245" t="n">
        <v>3</v>
      </c>
      <c r="P245" t="n">
        <v>2</v>
      </c>
      <c r="Q245" t="n">
        <v>3</v>
      </c>
      <c r="R245" t="n">
        <v>1</v>
      </c>
      <c r="S245" t="n">
        <v>2</v>
      </c>
      <c r="T245" t="n">
        <v>4</v>
      </c>
      <c r="U245">
        <f>(AVERAGE(B245:D245)-1)/4</f>
        <v/>
      </c>
      <c r="V245">
        <f>(AVERAGE(E245:F245)-1)/4</f>
        <v/>
      </c>
      <c r="W245">
        <f>(AVERAGE(G245:I245)-1)/4</f>
        <v/>
      </c>
      <c r="X245">
        <f>(AVERAGE(J245:L245)-1)/4</f>
        <v/>
      </c>
      <c r="Y245">
        <f>(AVERAGE(M245:O245)-1)/4</f>
        <v/>
      </c>
      <c r="Z245">
        <f>(AVERAGE(P245:R245)-1)/4</f>
        <v/>
      </c>
      <c r="AA245">
        <f>(AVERAGE(S245:T245)-1)/4</f>
        <v/>
      </c>
      <c r="AB245">
        <f>AVERAGE(U245:Y245)</f>
        <v/>
      </c>
      <c r="AC245">
        <f>MIN(U245:Y245)</f>
        <v/>
      </c>
      <c r="AD245">
        <f>1-alpha*MAX(0,delta-AC245)</f>
        <v/>
      </c>
      <c r="AE245">
        <f>AB245*AD245</f>
        <v/>
      </c>
      <c r="AF245">
        <f>1+COUNTIF(bounds,"&lt;"&amp;ROUND(AB245,12))</f>
        <v/>
      </c>
      <c r="AG245">
        <f>1+COUNTIF(bounds,"&lt;"&amp;ROUND(AE245,12))</f>
        <v/>
      </c>
      <c r="AH245">
        <f>IF(AD245&lt;1,1,0)</f>
        <v/>
      </c>
      <c r="AI245">
        <f>IF(AF245&lt;&gt;AG245,1,0)</f>
        <v/>
      </c>
      <c r="AJ245">
        <f>IF(AND(AG245&gt;=3,Z245&lt;=0.2),1,0)</f>
        <v/>
      </c>
      <c r="AK245">
        <f>AVERAGE(U245:Z245)</f>
        <v/>
      </c>
      <c r="AL245">
        <f>1+COUNTIF(bounds,"&lt;"&amp;ROUND(AK245,12))</f>
        <v/>
      </c>
      <c r="AM245">
        <f>IF(AI245=1,AB245,NA())</f>
        <v/>
      </c>
      <c r="AN245">
        <f>IF(AI245=0,AB245,NA())</f>
        <v/>
      </c>
    </row>
    <row r="246">
      <c r="A246" t="n">
        <v>238</v>
      </c>
      <c r="B246" t="n">
        <v>5</v>
      </c>
      <c r="C246" t="n">
        <v>1</v>
      </c>
      <c r="D246" t="n">
        <v>5</v>
      </c>
      <c r="E246" t="n">
        <v>4</v>
      </c>
      <c r="F246" t="n">
        <v>1</v>
      </c>
      <c r="G246" t="n">
        <v>5</v>
      </c>
      <c r="H246" t="n">
        <v>1</v>
      </c>
      <c r="I246" t="n">
        <v>3</v>
      </c>
      <c r="J246" t="n">
        <v>2</v>
      </c>
      <c r="K246" t="n">
        <v>4</v>
      </c>
      <c r="L246" t="n">
        <v>4</v>
      </c>
      <c r="M246" t="n">
        <v>5</v>
      </c>
      <c r="N246" t="n">
        <v>4</v>
      </c>
      <c r="O246" t="n">
        <v>2</v>
      </c>
      <c r="P246" t="n">
        <v>2</v>
      </c>
      <c r="Q246" t="n">
        <v>5</v>
      </c>
      <c r="R246" t="n">
        <v>2</v>
      </c>
      <c r="S246" t="n">
        <v>4</v>
      </c>
      <c r="T246" t="n">
        <v>4</v>
      </c>
      <c r="U246">
        <f>(AVERAGE(B246:D246)-1)/4</f>
        <v/>
      </c>
      <c r="V246">
        <f>(AVERAGE(E246:F246)-1)/4</f>
        <v/>
      </c>
      <c r="W246">
        <f>(AVERAGE(G246:I246)-1)/4</f>
        <v/>
      </c>
      <c r="X246">
        <f>(AVERAGE(J246:L246)-1)/4</f>
        <v/>
      </c>
      <c r="Y246">
        <f>(AVERAGE(M246:O246)-1)/4</f>
        <v/>
      </c>
      <c r="Z246">
        <f>(AVERAGE(P246:R246)-1)/4</f>
        <v/>
      </c>
      <c r="AA246">
        <f>(AVERAGE(S246:T246)-1)/4</f>
        <v/>
      </c>
      <c r="AB246">
        <f>AVERAGE(U246:Y246)</f>
        <v/>
      </c>
      <c r="AC246">
        <f>MIN(U246:Y246)</f>
        <v/>
      </c>
      <c r="AD246">
        <f>1-alpha*MAX(0,delta-AC246)</f>
        <v/>
      </c>
      <c r="AE246">
        <f>AB246*AD246</f>
        <v/>
      </c>
      <c r="AF246">
        <f>1+COUNTIF(bounds,"&lt;"&amp;ROUND(AB246,12))</f>
        <v/>
      </c>
      <c r="AG246">
        <f>1+COUNTIF(bounds,"&lt;"&amp;ROUND(AE246,12))</f>
        <v/>
      </c>
      <c r="AH246">
        <f>IF(AD246&lt;1,1,0)</f>
        <v/>
      </c>
      <c r="AI246">
        <f>IF(AF246&lt;&gt;AG246,1,0)</f>
        <v/>
      </c>
      <c r="AJ246">
        <f>IF(AND(AG246&gt;=3,Z246&lt;=0.2),1,0)</f>
        <v/>
      </c>
      <c r="AK246">
        <f>AVERAGE(U246:Z246)</f>
        <v/>
      </c>
      <c r="AL246">
        <f>1+COUNTIF(bounds,"&lt;"&amp;ROUND(AK246,12))</f>
        <v/>
      </c>
      <c r="AM246">
        <f>IF(AI246=1,AB246,NA())</f>
        <v/>
      </c>
      <c r="AN246">
        <f>IF(AI246=0,AB246,NA())</f>
        <v/>
      </c>
    </row>
    <row r="247">
      <c r="A247" t="n">
        <v>239</v>
      </c>
      <c r="B247" t="n">
        <v>1</v>
      </c>
      <c r="C247" t="n">
        <v>3</v>
      </c>
      <c r="D247" t="n">
        <v>4</v>
      </c>
      <c r="E247" t="n">
        <v>4</v>
      </c>
      <c r="F247" t="n">
        <v>1</v>
      </c>
      <c r="G247" t="n">
        <v>3</v>
      </c>
      <c r="H247" t="n">
        <v>5</v>
      </c>
      <c r="I247" t="n">
        <v>3</v>
      </c>
      <c r="J247" t="n">
        <v>3</v>
      </c>
      <c r="K247" t="n">
        <v>3</v>
      </c>
      <c r="L247" t="n">
        <v>5</v>
      </c>
      <c r="M247" t="n">
        <v>2</v>
      </c>
      <c r="N247" t="n">
        <v>4</v>
      </c>
      <c r="O247" t="n">
        <v>4</v>
      </c>
      <c r="P247" t="n">
        <v>2</v>
      </c>
      <c r="Q247" t="n">
        <v>5</v>
      </c>
      <c r="R247" t="n">
        <v>5</v>
      </c>
      <c r="S247" t="n">
        <v>2</v>
      </c>
      <c r="T247" t="n">
        <v>3</v>
      </c>
      <c r="U247">
        <f>(AVERAGE(B247:D247)-1)/4</f>
        <v/>
      </c>
      <c r="V247">
        <f>(AVERAGE(E247:F247)-1)/4</f>
        <v/>
      </c>
      <c r="W247">
        <f>(AVERAGE(G247:I247)-1)/4</f>
        <v/>
      </c>
      <c r="X247">
        <f>(AVERAGE(J247:L247)-1)/4</f>
        <v/>
      </c>
      <c r="Y247">
        <f>(AVERAGE(M247:O247)-1)/4</f>
        <v/>
      </c>
      <c r="Z247">
        <f>(AVERAGE(P247:R247)-1)/4</f>
        <v/>
      </c>
      <c r="AA247">
        <f>(AVERAGE(S247:T247)-1)/4</f>
        <v/>
      </c>
      <c r="AB247">
        <f>AVERAGE(U247:Y247)</f>
        <v/>
      </c>
      <c r="AC247">
        <f>MIN(U247:Y247)</f>
        <v/>
      </c>
      <c r="AD247">
        <f>1-alpha*MAX(0,delta-AC247)</f>
        <v/>
      </c>
      <c r="AE247">
        <f>AB247*AD247</f>
        <v/>
      </c>
      <c r="AF247">
        <f>1+COUNTIF(bounds,"&lt;"&amp;ROUND(AB247,12))</f>
        <v/>
      </c>
      <c r="AG247">
        <f>1+COUNTIF(bounds,"&lt;"&amp;ROUND(AE247,12))</f>
        <v/>
      </c>
      <c r="AH247">
        <f>IF(AD247&lt;1,1,0)</f>
        <v/>
      </c>
      <c r="AI247">
        <f>IF(AF247&lt;&gt;AG247,1,0)</f>
        <v/>
      </c>
      <c r="AJ247">
        <f>IF(AND(AG247&gt;=3,Z247&lt;=0.2),1,0)</f>
        <v/>
      </c>
      <c r="AK247">
        <f>AVERAGE(U247:Z247)</f>
        <v/>
      </c>
      <c r="AL247">
        <f>1+COUNTIF(bounds,"&lt;"&amp;ROUND(AK247,12))</f>
        <v/>
      </c>
      <c r="AM247">
        <f>IF(AI247=1,AB247,NA())</f>
        <v/>
      </c>
      <c r="AN247">
        <f>IF(AI247=0,AB247,NA())</f>
        <v/>
      </c>
    </row>
    <row r="248">
      <c r="A248" t="n">
        <v>240</v>
      </c>
      <c r="B248" t="n">
        <v>4</v>
      </c>
      <c r="C248" t="n">
        <v>4</v>
      </c>
      <c r="D248" t="n">
        <v>1</v>
      </c>
      <c r="E248" t="n">
        <v>2</v>
      </c>
      <c r="F248" t="n">
        <v>5</v>
      </c>
      <c r="G248" t="n">
        <v>3</v>
      </c>
      <c r="H248" t="n">
        <v>3</v>
      </c>
      <c r="I248" t="n">
        <v>3</v>
      </c>
      <c r="J248" t="n">
        <v>5</v>
      </c>
      <c r="K248" t="n">
        <v>4</v>
      </c>
      <c r="L248" t="n">
        <v>5</v>
      </c>
      <c r="M248" t="n">
        <v>4</v>
      </c>
      <c r="N248" t="n">
        <v>1</v>
      </c>
      <c r="O248" t="n">
        <v>2</v>
      </c>
      <c r="P248" t="n">
        <v>3</v>
      </c>
      <c r="Q248" t="n">
        <v>1</v>
      </c>
      <c r="R248" t="n">
        <v>5</v>
      </c>
      <c r="S248" t="n">
        <v>3</v>
      </c>
      <c r="T248" t="n">
        <v>2</v>
      </c>
      <c r="U248">
        <f>(AVERAGE(B248:D248)-1)/4</f>
        <v/>
      </c>
      <c r="V248">
        <f>(AVERAGE(E248:F248)-1)/4</f>
        <v/>
      </c>
      <c r="W248">
        <f>(AVERAGE(G248:I248)-1)/4</f>
        <v/>
      </c>
      <c r="X248">
        <f>(AVERAGE(J248:L248)-1)/4</f>
        <v/>
      </c>
      <c r="Y248">
        <f>(AVERAGE(M248:O248)-1)/4</f>
        <v/>
      </c>
      <c r="Z248">
        <f>(AVERAGE(P248:R248)-1)/4</f>
        <v/>
      </c>
      <c r="AA248">
        <f>(AVERAGE(S248:T248)-1)/4</f>
        <v/>
      </c>
      <c r="AB248">
        <f>AVERAGE(U248:Y248)</f>
        <v/>
      </c>
      <c r="AC248">
        <f>MIN(U248:Y248)</f>
        <v/>
      </c>
      <c r="AD248">
        <f>1-alpha*MAX(0,delta-AC248)</f>
        <v/>
      </c>
      <c r="AE248">
        <f>AB248*AD248</f>
        <v/>
      </c>
      <c r="AF248">
        <f>1+COUNTIF(bounds,"&lt;"&amp;ROUND(AB248,12))</f>
        <v/>
      </c>
      <c r="AG248">
        <f>1+COUNTIF(bounds,"&lt;"&amp;ROUND(AE248,12))</f>
        <v/>
      </c>
      <c r="AH248">
        <f>IF(AD248&lt;1,1,0)</f>
        <v/>
      </c>
      <c r="AI248">
        <f>IF(AF248&lt;&gt;AG248,1,0)</f>
        <v/>
      </c>
      <c r="AJ248">
        <f>IF(AND(AG248&gt;=3,Z248&lt;=0.2),1,0)</f>
        <v/>
      </c>
      <c r="AK248">
        <f>AVERAGE(U248:Z248)</f>
        <v/>
      </c>
      <c r="AL248">
        <f>1+COUNTIF(bounds,"&lt;"&amp;ROUND(AK248,12))</f>
        <v/>
      </c>
      <c r="AM248">
        <f>IF(AI248=1,AB248,NA())</f>
        <v/>
      </c>
      <c r="AN248">
        <f>IF(AI248=0,AB248,NA())</f>
        <v/>
      </c>
    </row>
    <row r="249">
      <c r="A249" t="n">
        <v>241</v>
      </c>
      <c r="B249" t="n">
        <v>5</v>
      </c>
      <c r="C249" t="n">
        <v>4</v>
      </c>
      <c r="D249" t="n">
        <v>5</v>
      </c>
      <c r="E249" t="n">
        <v>3</v>
      </c>
      <c r="F249" t="n">
        <v>1</v>
      </c>
      <c r="G249" t="n">
        <v>4</v>
      </c>
      <c r="H249" t="n">
        <v>2</v>
      </c>
      <c r="I249" t="n">
        <v>4</v>
      </c>
      <c r="J249" t="n">
        <v>4</v>
      </c>
      <c r="K249" t="n">
        <v>5</v>
      </c>
      <c r="L249" t="n">
        <v>4</v>
      </c>
      <c r="M249" t="n">
        <v>2</v>
      </c>
      <c r="N249" t="n">
        <v>4</v>
      </c>
      <c r="O249" t="n">
        <v>3</v>
      </c>
      <c r="P249" t="n">
        <v>2</v>
      </c>
      <c r="Q249" t="n">
        <v>1</v>
      </c>
      <c r="R249" t="n">
        <v>4</v>
      </c>
      <c r="S249" t="n">
        <v>4</v>
      </c>
      <c r="T249" t="n">
        <v>5</v>
      </c>
      <c r="U249">
        <f>(AVERAGE(B249:D249)-1)/4</f>
        <v/>
      </c>
      <c r="V249">
        <f>(AVERAGE(E249:F249)-1)/4</f>
        <v/>
      </c>
      <c r="W249">
        <f>(AVERAGE(G249:I249)-1)/4</f>
        <v/>
      </c>
      <c r="X249">
        <f>(AVERAGE(J249:L249)-1)/4</f>
        <v/>
      </c>
      <c r="Y249">
        <f>(AVERAGE(M249:O249)-1)/4</f>
        <v/>
      </c>
      <c r="Z249">
        <f>(AVERAGE(P249:R249)-1)/4</f>
        <v/>
      </c>
      <c r="AA249">
        <f>(AVERAGE(S249:T249)-1)/4</f>
        <v/>
      </c>
      <c r="AB249">
        <f>AVERAGE(U249:Y249)</f>
        <v/>
      </c>
      <c r="AC249">
        <f>MIN(U249:Y249)</f>
        <v/>
      </c>
      <c r="AD249">
        <f>1-alpha*MAX(0,delta-AC249)</f>
        <v/>
      </c>
      <c r="AE249">
        <f>AB249*AD249</f>
        <v/>
      </c>
      <c r="AF249">
        <f>1+COUNTIF(bounds,"&lt;"&amp;ROUND(AB249,12))</f>
        <v/>
      </c>
      <c r="AG249">
        <f>1+COUNTIF(bounds,"&lt;"&amp;ROUND(AE249,12))</f>
        <v/>
      </c>
      <c r="AH249">
        <f>IF(AD249&lt;1,1,0)</f>
        <v/>
      </c>
      <c r="AI249">
        <f>IF(AF249&lt;&gt;AG249,1,0)</f>
        <v/>
      </c>
      <c r="AJ249">
        <f>IF(AND(AG249&gt;=3,Z249&lt;=0.2),1,0)</f>
        <v/>
      </c>
      <c r="AK249">
        <f>AVERAGE(U249:Z249)</f>
        <v/>
      </c>
      <c r="AL249">
        <f>1+COUNTIF(bounds,"&lt;"&amp;ROUND(AK249,12))</f>
        <v/>
      </c>
      <c r="AM249">
        <f>IF(AI249=1,AB249,NA())</f>
        <v/>
      </c>
      <c r="AN249">
        <f>IF(AI249=0,AB249,NA())</f>
        <v/>
      </c>
    </row>
    <row r="250">
      <c r="A250" t="n">
        <v>242</v>
      </c>
      <c r="B250" t="n">
        <v>5</v>
      </c>
      <c r="C250" t="n">
        <v>4</v>
      </c>
      <c r="D250" t="n">
        <v>5</v>
      </c>
      <c r="E250" t="n">
        <v>3</v>
      </c>
      <c r="F250" t="n">
        <v>2</v>
      </c>
      <c r="G250" t="n">
        <v>4</v>
      </c>
      <c r="H250" t="n">
        <v>3</v>
      </c>
      <c r="I250" t="n">
        <v>1</v>
      </c>
      <c r="J250" t="n">
        <v>4</v>
      </c>
      <c r="K250" t="n">
        <v>1</v>
      </c>
      <c r="L250" t="n">
        <v>1</v>
      </c>
      <c r="M250" t="n">
        <v>2</v>
      </c>
      <c r="N250" t="n">
        <v>4</v>
      </c>
      <c r="O250" t="n">
        <v>5</v>
      </c>
      <c r="P250" t="n">
        <v>4</v>
      </c>
      <c r="Q250" t="n">
        <v>1</v>
      </c>
      <c r="R250" t="n">
        <v>2</v>
      </c>
      <c r="S250" t="n">
        <v>5</v>
      </c>
      <c r="T250" t="n">
        <v>1</v>
      </c>
      <c r="U250">
        <f>(AVERAGE(B250:D250)-1)/4</f>
        <v/>
      </c>
      <c r="V250">
        <f>(AVERAGE(E250:F250)-1)/4</f>
        <v/>
      </c>
      <c r="W250">
        <f>(AVERAGE(G250:I250)-1)/4</f>
        <v/>
      </c>
      <c r="X250">
        <f>(AVERAGE(J250:L250)-1)/4</f>
        <v/>
      </c>
      <c r="Y250">
        <f>(AVERAGE(M250:O250)-1)/4</f>
        <v/>
      </c>
      <c r="Z250">
        <f>(AVERAGE(P250:R250)-1)/4</f>
        <v/>
      </c>
      <c r="AA250">
        <f>(AVERAGE(S250:T250)-1)/4</f>
        <v/>
      </c>
      <c r="AB250">
        <f>AVERAGE(U250:Y250)</f>
        <v/>
      </c>
      <c r="AC250">
        <f>MIN(U250:Y250)</f>
        <v/>
      </c>
      <c r="AD250">
        <f>1-alpha*MAX(0,delta-AC250)</f>
        <v/>
      </c>
      <c r="AE250">
        <f>AB250*AD250</f>
        <v/>
      </c>
      <c r="AF250">
        <f>1+COUNTIF(bounds,"&lt;"&amp;ROUND(AB250,12))</f>
        <v/>
      </c>
      <c r="AG250">
        <f>1+COUNTIF(bounds,"&lt;"&amp;ROUND(AE250,12))</f>
        <v/>
      </c>
      <c r="AH250">
        <f>IF(AD250&lt;1,1,0)</f>
        <v/>
      </c>
      <c r="AI250">
        <f>IF(AF250&lt;&gt;AG250,1,0)</f>
        <v/>
      </c>
      <c r="AJ250">
        <f>IF(AND(AG250&gt;=3,Z250&lt;=0.2),1,0)</f>
        <v/>
      </c>
      <c r="AK250">
        <f>AVERAGE(U250:Z250)</f>
        <v/>
      </c>
      <c r="AL250">
        <f>1+COUNTIF(bounds,"&lt;"&amp;ROUND(AK250,12))</f>
        <v/>
      </c>
      <c r="AM250">
        <f>IF(AI250=1,AB250,NA())</f>
        <v/>
      </c>
      <c r="AN250">
        <f>IF(AI250=0,AB250,NA())</f>
        <v/>
      </c>
    </row>
    <row r="251">
      <c r="A251" t="n">
        <v>243</v>
      </c>
      <c r="B251" t="n">
        <v>5</v>
      </c>
      <c r="C251" t="n">
        <v>4</v>
      </c>
      <c r="D251" t="n">
        <v>4</v>
      </c>
      <c r="E251" t="n">
        <v>1</v>
      </c>
      <c r="F251" t="n">
        <v>5</v>
      </c>
      <c r="G251" t="n">
        <v>4</v>
      </c>
      <c r="H251" t="n">
        <v>5</v>
      </c>
      <c r="I251" t="n">
        <v>1</v>
      </c>
      <c r="J251" t="n">
        <v>2</v>
      </c>
      <c r="K251" t="n">
        <v>3</v>
      </c>
      <c r="L251" t="n">
        <v>5</v>
      </c>
      <c r="M251" t="n">
        <v>4</v>
      </c>
      <c r="N251" t="n">
        <v>2</v>
      </c>
      <c r="O251" t="n">
        <v>5</v>
      </c>
      <c r="P251" t="n">
        <v>5</v>
      </c>
      <c r="Q251" t="n">
        <v>1</v>
      </c>
      <c r="R251" t="n">
        <v>1</v>
      </c>
      <c r="S251" t="n">
        <v>4</v>
      </c>
      <c r="T251" t="n">
        <v>1</v>
      </c>
      <c r="U251">
        <f>(AVERAGE(B251:D251)-1)/4</f>
        <v/>
      </c>
      <c r="V251">
        <f>(AVERAGE(E251:F251)-1)/4</f>
        <v/>
      </c>
      <c r="W251">
        <f>(AVERAGE(G251:I251)-1)/4</f>
        <v/>
      </c>
      <c r="X251">
        <f>(AVERAGE(J251:L251)-1)/4</f>
        <v/>
      </c>
      <c r="Y251">
        <f>(AVERAGE(M251:O251)-1)/4</f>
        <v/>
      </c>
      <c r="Z251">
        <f>(AVERAGE(P251:R251)-1)/4</f>
        <v/>
      </c>
      <c r="AA251">
        <f>(AVERAGE(S251:T251)-1)/4</f>
        <v/>
      </c>
      <c r="AB251">
        <f>AVERAGE(U251:Y251)</f>
        <v/>
      </c>
      <c r="AC251">
        <f>MIN(U251:Y251)</f>
        <v/>
      </c>
      <c r="AD251">
        <f>1-alpha*MAX(0,delta-AC251)</f>
        <v/>
      </c>
      <c r="AE251">
        <f>AB251*AD251</f>
        <v/>
      </c>
      <c r="AF251">
        <f>1+COUNTIF(bounds,"&lt;"&amp;ROUND(AB251,12))</f>
        <v/>
      </c>
      <c r="AG251">
        <f>1+COUNTIF(bounds,"&lt;"&amp;ROUND(AE251,12))</f>
        <v/>
      </c>
      <c r="AH251">
        <f>IF(AD251&lt;1,1,0)</f>
        <v/>
      </c>
      <c r="AI251">
        <f>IF(AF251&lt;&gt;AG251,1,0)</f>
        <v/>
      </c>
      <c r="AJ251">
        <f>IF(AND(AG251&gt;=3,Z251&lt;=0.2),1,0)</f>
        <v/>
      </c>
      <c r="AK251">
        <f>AVERAGE(U251:Z251)</f>
        <v/>
      </c>
      <c r="AL251">
        <f>1+COUNTIF(bounds,"&lt;"&amp;ROUND(AK251,12))</f>
        <v/>
      </c>
      <c r="AM251">
        <f>IF(AI251=1,AB251,NA())</f>
        <v/>
      </c>
      <c r="AN251">
        <f>IF(AI251=0,AB251,NA())</f>
        <v/>
      </c>
    </row>
    <row r="252">
      <c r="A252" t="n">
        <v>244</v>
      </c>
      <c r="B252" t="n">
        <v>3</v>
      </c>
      <c r="C252" t="n">
        <v>3</v>
      </c>
      <c r="D252" t="n">
        <v>4</v>
      </c>
      <c r="E252" t="n">
        <v>2</v>
      </c>
      <c r="F252" t="n">
        <v>3</v>
      </c>
      <c r="G252" t="n">
        <v>5</v>
      </c>
      <c r="H252" t="n">
        <v>5</v>
      </c>
      <c r="I252" t="n">
        <v>1</v>
      </c>
      <c r="J252" t="n">
        <v>2</v>
      </c>
      <c r="K252" t="n">
        <v>4</v>
      </c>
      <c r="L252" t="n">
        <v>5</v>
      </c>
      <c r="M252" t="n">
        <v>4</v>
      </c>
      <c r="N252" t="n">
        <v>5</v>
      </c>
      <c r="O252" t="n">
        <v>5</v>
      </c>
      <c r="P252" t="n">
        <v>3</v>
      </c>
      <c r="Q252" t="n">
        <v>5</v>
      </c>
      <c r="R252" t="n">
        <v>1</v>
      </c>
      <c r="S252" t="n">
        <v>5</v>
      </c>
      <c r="T252" t="n">
        <v>3</v>
      </c>
      <c r="U252">
        <f>(AVERAGE(B252:D252)-1)/4</f>
        <v/>
      </c>
      <c r="V252">
        <f>(AVERAGE(E252:F252)-1)/4</f>
        <v/>
      </c>
      <c r="W252">
        <f>(AVERAGE(G252:I252)-1)/4</f>
        <v/>
      </c>
      <c r="X252">
        <f>(AVERAGE(J252:L252)-1)/4</f>
        <v/>
      </c>
      <c r="Y252">
        <f>(AVERAGE(M252:O252)-1)/4</f>
        <v/>
      </c>
      <c r="Z252">
        <f>(AVERAGE(P252:R252)-1)/4</f>
        <v/>
      </c>
      <c r="AA252">
        <f>(AVERAGE(S252:T252)-1)/4</f>
        <v/>
      </c>
      <c r="AB252">
        <f>AVERAGE(U252:Y252)</f>
        <v/>
      </c>
      <c r="AC252">
        <f>MIN(U252:Y252)</f>
        <v/>
      </c>
      <c r="AD252">
        <f>1-alpha*MAX(0,delta-AC252)</f>
        <v/>
      </c>
      <c r="AE252">
        <f>AB252*AD252</f>
        <v/>
      </c>
      <c r="AF252">
        <f>1+COUNTIF(bounds,"&lt;"&amp;ROUND(AB252,12))</f>
        <v/>
      </c>
      <c r="AG252">
        <f>1+COUNTIF(bounds,"&lt;"&amp;ROUND(AE252,12))</f>
        <v/>
      </c>
      <c r="AH252">
        <f>IF(AD252&lt;1,1,0)</f>
        <v/>
      </c>
      <c r="AI252">
        <f>IF(AF252&lt;&gt;AG252,1,0)</f>
        <v/>
      </c>
      <c r="AJ252">
        <f>IF(AND(AG252&gt;=3,Z252&lt;=0.2),1,0)</f>
        <v/>
      </c>
      <c r="AK252">
        <f>AVERAGE(U252:Z252)</f>
        <v/>
      </c>
      <c r="AL252">
        <f>1+COUNTIF(bounds,"&lt;"&amp;ROUND(AK252,12))</f>
        <v/>
      </c>
      <c r="AM252">
        <f>IF(AI252=1,AB252,NA())</f>
        <v/>
      </c>
      <c r="AN252">
        <f>IF(AI252=0,AB252,NA())</f>
        <v/>
      </c>
    </row>
    <row r="253">
      <c r="A253" t="n">
        <v>245</v>
      </c>
      <c r="B253" t="n">
        <v>4</v>
      </c>
      <c r="C253" t="n">
        <v>1</v>
      </c>
      <c r="D253" t="n">
        <v>1</v>
      </c>
      <c r="E253" t="n">
        <v>1</v>
      </c>
      <c r="F253" t="n">
        <v>5</v>
      </c>
      <c r="G253" t="n">
        <v>2</v>
      </c>
      <c r="H253" t="n">
        <v>1</v>
      </c>
      <c r="I253" t="n">
        <v>4</v>
      </c>
      <c r="J253" t="n">
        <v>4</v>
      </c>
      <c r="K253" t="n">
        <v>2</v>
      </c>
      <c r="L253" t="n">
        <v>3</v>
      </c>
      <c r="M253" t="n">
        <v>1</v>
      </c>
      <c r="N253" t="n">
        <v>1</v>
      </c>
      <c r="O253" t="n">
        <v>3</v>
      </c>
      <c r="P253" t="n">
        <v>1</v>
      </c>
      <c r="Q253" t="n">
        <v>3</v>
      </c>
      <c r="R253" t="n">
        <v>4</v>
      </c>
      <c r="S253" t="n">
        <v>5</v>
      </c>
      <c r="T253" t="n">
        <v>4</v>
      </c>
      <c r="U253">
        <f>(AVERAGE(B253:D253)-1)/4</f>
        <v/>
      </c>
      <c r="V253">
        <f>(AVERAGE(E253:F253)-1)/4</f>
        <v/>
      </c>
      <c r="W253">
        <f>(AVERAGE(G253:I253)-1)/4</f>
        <v/>
      </c>
      <c r="X253">
        <f>(AVERAGE(J253:L253)-1)/4</f>
        <v/>
      </c>
      <c r="Y253">
        <f>(AVERAGE(M253:O253)-1)/4</f>
        <v/>
      </c>
      <c r="Z253">
        <f>(AVERAGE(P253:R253)-1)/4</f>
        <v/>
      </c>
      <c r="AA253">
        <f>(AVERAGE(S253:T253)-1)/4</f>
        <v/>
      </c>
      <c r="AB253">
        <f>AVERAGE(U253:Y253)</f>
        <v/>
      </c>
      <c r="AC253">
        <f>MIN(U253:Y253)</f>
        <v/>
      </c>
      <c r="AD253">
        <f>1-alpha*MAX(0,delta-AC253)</f>
        <v/>
      </c>
      <c r="AE253">
        <f>AB253*AD253</f>
        <v/>
      </c>
      <c r="AF253">
        <f>1+COUNTIF(bounds,"&lt;"&amp;ROUND(AB253,12))</f>
        <v/>
      </c>
      <c r="AG253">
        <f>1+COUNTIF(bounds,"&lt;"&amp;ROUND(AE253,12))</f>
        <v/>
      </c>
      <c r="AH253">
        <f>IF(AD253&lt;1,1,0)</f>
        <v/>
      </c>
      <c r="AI253">
        <f>IF(AF253&lt;&gt;AG253,1,0)</f>
        <v/>
      </c>
      <c r="AJ253">
        <f>IF(AND(AG253&gt;=3,Z253&lt;=0.2),1,0)</f>
        <v/>
      </c>
      <c r="AK253">
        <f>AVERAGE(U253:Z253)</f>
        <v/>
      </c>
      <c r="AL253">
        <f>1+COUNTIF(bounds,"&lt;"&amp;ROUND(AK253,12))</f>
        <v/>
      </c>
      <c r="AM253">
        <f>IF(AI253=1,AB253,NA())</f>
        <v/>
      </c>
      <c r="AN253">
        <f>IF(AI253=0,AB253,NA())</f>
        <v/>
      </c>
    </row>
    <row r="254">
      <c r="A254" t="n">
        <v>246</v>
      </c>
      <c r="B254" t="n">
        <v>3</v>
      </c>
      <c r="C254" t="n">
        <v>2</v>
      </c>
      <c r="D254" t="n">
        <v>4</v>
      </c>
      <c r="E254" t="n">
        <v>5</v>
      </c>
      <c r="F254" t="n">
        <v>3</v>
      </c>
      <c r="G254" t="n">
        <v>1</v>
      </c>
      <c r="H254" t="n">
        <v>3</v>
      </c>
      <c r="I254" t="n">
        <v>2</v>
      </c>
      <c r="J254" t="n">
        <v>3</v>
      </c>
      <c r="K254" t="n">
        <v>4</v>
      </c>
      <c r="L254" t="n">
        <v>5</v>
      </c>
      <c r="M254" t="n">
        <v>4</v>
      </c>
      <c r="N254" t="n">
        <v>2</v>
      </c>
      <c r="O254" t="n">
        <v>1</v>
      </c>
      <c r="P254" t="n">
        <v>1</v>
      </c>
      <c r="Q254" t="n">
        <v>3</v>
      </c>
      <c r="R254" t="n">
        <v>3</v>
      </c>
      <c r="S254" t="n">
        <v>4</v>
      </c>
      <c r="T254" t="n">
        <v>3</v>
      </c>
      <c r="U254">
        <f>(AVERAGE(B254:D254)-1)/4</f>
        <v/>
      </c>
      <c r="V254">
        <f>(AVERAGE(E254:F254)-1)/4</f>
        <v/>
      </c>
      <c r="W254">
        <f>(AVERAGE(G254:I254)-1)/4</f>
        <v/>
      </c>
      <c r="X254">
        <f>(AVERAGE(J254:L254)-1)/4</f>
        <v/>
      </c>
      <c r="Y254">
        <f>(AVERAGE(M254:O254)-1)/4</f>
        <v/>
      </c>
      <c r="Z254">
        <f>(AVERAGE(P254:R254)-1)/4</f>
        <v/>
      </c>
      <c r="AA254">
        <f>(AVERAGE(S254:T254)-1)/4</f>
        <v/>
      </c>
      <c r="AB254">
        <f>AVERAGE(U254:Y254)</f>
        <v/>
      </c>
      <c r="AC254">
        <f>MIN(U254:Y254)</f>
        <v/>
      </c>
      <c r="AD254">
        <f>1-alpha*MAX(0,delta-AC254)</f>
        <v/>
      </c>
      <c r="AE254">
        <f>AB254*AD254</f>
        <v/>
      </c>
      <c r="AF254">
        <f>1+COUNTIF(bounds,"&lt;"&amp;ROUND(AB254,12))</f>
        <v/>
      </c>
      <c r="AG254">
        <f>1+COUNTIF(bounds,"&lt;"&amp;ROUND(AE254,12))</f>
        <v/>
      </c>
      <c r="AH254">
        <f>IF(AD254&lt;1,1,0)</f>
        <v/>
      </c>
      <c r="AI254">
        <f>IF(AF254&lt;&gt;AG254,1,0)</f>
        <v/>
      </c>
      <c r="AJ254">
        <f>IF(AND(AG254&gt;=3,Z254&lt;=0.2),1,0)</f>
        <v/>
      </c>
      <c r="AK254">
        <f>AVERAGE(U254:Z254)</f>
        <v/>
      </c>
      <c r="AL254">
        <f>1+COUNTIF(bounds,"&lt;"&amp;ROUND(AK254,12))</f>
        <v/>
      </c>
      <c r="AM254">
        <f>IF(AI254=1,AB254,NA())</f>
        <v/>
      </c>
      <c r="AN254">
        <f>IF(AI254=0,AB254,NA())</f>
        <v/>
      </c>
    </row>
    <row r="255">
      <c r="A255" t="n">
        <v>247</v>
      </c>
      <c r="B255" t="n">
        <v>5</v>
      </c>
      <c r="C255" t="n">
        <v>2</v>
      </c>
      <c r="D255" t="n">
        <v>5</v>
      </c>
      <c r="E255" t="n">
        <v>2</v>
      </c>
      <c r="F255" t="n">
        <v>2</v>
      </c>
      <c r="G255" t="n">
        <v>1</v>
      </c>
      <c r="H255" t="n">
        <v>2</v>
      </c>
      <c r="I255" t="n">
        <v>1</v>
      </c>
      <c r="J255" t="n">
        <v>1</v>
      </c>
      <c r="K255" t="n">
        <v>4</v>
      </c>
      <c r="L255" t="n">
        <v>2</v>
      </c>
      <c r="M255" t="n">
        <v>4</v>
      </c>
      <c r="N255" t="n">
        <v>3</v>
      </c>
      <c r="O255" t="n">
        <v>2</v>
      </c>
      <c r="P255" t="n">
        <v>3</v>
      </c>
      <c r="Q255" t="n">
        <v>4</v>
      </c>
      <c r="R255" t="n">
        <v>5</v>
      </c>
      <c r="S255" t="n">
        <v>5</v>
      </c>
      <c r="T255" t="n">
        <v>1</v>
      </c>
      <c r="U255">
        <f>(AVERAGE(B255:D255)-1)/4</f>
        <v/>
      </c>
      <c r="V255">
        <f>(AVERAGE(E255:F255)-1)/4</f>
        <v/>
      </c>
      <c r="W255">
        <f>(AVERAGE(G255:I255)-1)/4</f>
        <v/>
      </c>
      <c r="X255">
        <f>(AVERAGE(J255:L255)-1)/4</f>
        <v/>
      </c>
      <c r="Y255">
        <f>(AVERAGE(M255:O255)-1)/4</f>
        <v/>
      </c>
      <c r="Z255">
        <f>(AVERAGE(P255:R255)-1)/4</f>
        <v/>
      </c>
      <c r="AA255">
        <f>(AVERAGE(S255:T255)-1)/4</f>
        <v/>
      </c>
      <c r="AB255">
        <f>AVERAGE(U255:Y255)</f>
        <v/>
      </c>
      <c r="AC255">
        <f>MIN(U255:Y255)</f>
        <v/>
      </c>
      <c r="AD255">
        <f>1-alpha*MAX(0,delta-AC255)</f>
        <v/>
      </c>
      <c r="AE255">
        <f>AB255*AD255</f>
        <v/>
      </c>
      <c r="AF255">
        <f>1+COUNTIF(bounds,"&lt;"&amp;ROUND(AB255,12))</f>
        <v/>
      </c>
      <c r="AG255">
        <f>1+COUNTIF(bounds,"&lt;"&amp;ROUND(AE255,12))</f>
        <v/>
      </c>
      <c r="AH255">
        <f>IF(AD255&lt;1,1,0)</f>
        <v/>
      </c>
      <c r="AI255">
        <f>IF(AF255&lt;&gt;AG255,1,0)</f>
        <v/>
      </c>
      <c r="AJ255">
        <f>IF(AND(AG255&gt;=3,Z255&lt;=0.2),1,0)</f>
        <v/>
      </c>
      <c r="AK255">
        <f>AVERAGE(U255:Z255)</f>
        <v/>
      </c>
      <c r="AL255">
        <f>1+COUNTIF(bounds,"&lt;"&amp;ROUND(AK255,12))</f>
        <v/>
      </c>
      <c r="AM255">
        <f>IF(AI255=1,AB255,NA())</f>
        <v/>
      </c>
      <c r="AN255">
        <f>IF(AI255=0,AB255,NA())</f>
        <v/>
      </c>
    </row>
    <row r="256">
      <c r="A256" t="n">
        <v>248</v>
      </c>
      <c r="B256" t="n">
        <v>2</v>
      </c>
      <c r="C256" t="n">
        <v>4</v>
      </c>
      <c r="D256" t="n">
        <v>1</v>
      </c>
      <c r="E256" t="n">
        <v>4</v>
      </c>
      <c r="F256" t="n">
        <v>1</v>
      </c>
      <c r="G256" t="n">
        <v>1</v>
      </c>
      <c r="H256" t="n">
        <v>5</v>
      </c>
      <c r="I256" t="n">
        <v>2</v>
      </c>
      <c r="J256" t="n">
        <v>5</v>
      </c>
      <c r="K256" t="n">
        <v>3</v>
      </c>
      <c r="L256" t="n">
        <v>4</v>
      </c>
      <c r="M256" t="n">
        <v>2</v>
      </c>
      <c r="N256" t="n">
        <v>2</v>
      </c>
      <c r="O256" t="n">
        <v>4</v>
      </c>
      <c r="P256" t="n">
        <v>2</v>
      </c>
      <c r="Q256" t="n">
        <v>1</v>
      </c>
      <c r="R256" t="n">
        <v>4</v>
      </c>
      <c r="S256" t="n">
        <v>3</v>
      </c>
      <c r="T256" t="n">
        <v>3</v>
      </c>
      <c r="U256">
        <f>(AVERAGE(B256:D256)-1)/4</f>
        <v/>
      </c>
      <c r="V256">
        <f>(AVERAGE(E256:F256)-1)/4</f>
        <v/>
      </c>
      <c r="W256">
        <f>(AVERAGE(G256:I256)-1)/4</f>
        <v/>
      </c>
      <c r="X256">
        <f>(AVERAGE(J256:L256)-1)/4</f>
        <v/>
      </c>
      <c r="Y256">
        <f>(AVERAGE(M256:O256)-1)/4</f>
        <v/>
      </c>
      <c r="Z256">
        <f>(AVERAGE(P256:R256)-1)/4</f>
        <v/>
      </c>
      <c r="AA256">
        <f>(AVERAGE(S256:T256)-1)/4</f>
        <v/>
      </c>
      <c r="AB256">
        <f>AVERAGE(U256:Y256)</f>
        <v/>
      </c>
      <c r="AC256">
        <f>MIN(U256:Y256)</f>
        <v/>
      </c>
      <c r="AD256">
        <f>1-alpha*MAX(0,delta-AC256)</f>
        <v/>
      </c>
      <c r="AE256">
        <f>AB256*AD256</f>
        <v/>
      </c>
      <c r="AF256">
        <f>1+COUNTIF(bounds,"&lt;"&amp;ROUND(AB256,12))</f>
        <v/>
      </c>
      <c r="AG256">
        <f>1+COUNTIF(bounds,"&lt;"&amp;ROUND(AE256,12))</f>
        <v/>
      </c>
      <c r="AH256">
        <f>IF(AD256&lt;1,1,0)</f>
        <v/>
      </c>
      <c r="AI256">
        <f>IF(AF256&lt;&gt;AG256,1,0)</f>
        <v/>
      </c>
      <c r="AJ256">
        <f>IF(AND(AG256&gt;=3,Z256&lt;=0.2),1,0)</f>
        <v/>
      </c>
      <c r="AK256">
        <f>AVERAGE(U256:Z256)</f>
        <v/>
      </c>
      <c r="AL256">
        <f>1+COUNTIF(bounds,"&lt;"&amp;ROUND(AK256,12))</f>
        <v/>
      </c>
      <c r="AM256">
        <f>IF(AI256=1,AB256,NA())</f>
        <v/>
      </c>
      <c r="AN256">
        <f>IF(AI256=0,AB256,NA())</f>
        <v/>
      </c>
    </row>
    <row r="257">
      <c r="A257" t="n">
        <v>249</v>
      </c>
      <c r="B257" t="n">
        <v>4</v>
      </c>
      <c r="C257" t="n">
        <v>3</v>
      </c>
      <c r="D257" t="n">
        <v>5</v>
      </c>
      <c r="E257" t="n">
        <v>1</v>
      </c>
      <c r="F257" t="n">
        <v>2</v>
      </c>
      <c r="G257" t="n">
        <v>2</v>
      </c>
      <c r="H257" t="n">
        <v>1</v>
      </c>
      <c r="I257" t="n">
        <v>5</v>
      </c>
      <c r="J257" t="n">
        <v>3</v>
      </c>
      <c r="K257" t="n">
        <v>3</v>
      </c>
      <c r="L257" t="n">
        <v>5</v>
      </c>
      <c r="M257" t="n">
        <v>4</v>
      </c>
      <c r="N257" t="n">
        <v>3</v>
      </c>
      <c r="O257" t="n">
        <v>5</v>
      </c>
      <c r="P257" t="n">
        <v>2</v>
      </c>
      <c r="Q257" t="n">
        <v>5</v>
      </c>
      <c r="R257" t="n">
        <v>2</v>
      </c>
      <c r="S257" t="n">
        <v>4</v>
      </c>
      <c r="T257" t="n">
        <v>4</v>
      </c>
      <c r="U257">
        <f>(AVERAGE(B257:D257)-1)/4</f>
        <v/>
      </c>
      <c r="V257">
        <f>(AVERAGE(E257:F257)-1)/4</f>
        <v/>
      </c>
      <c r="W257">
        <f>(AVERAGE(G257:I257)-1)/4</f>
        <v/>
      </c>
      <c r="X257">
        <f>(AVERAGE(J257:L257)-1)/4</f>
        <v/>
      </c>
      <c r="Y257">
        <f>(AVERAGE(M257:O257)-1)/4</f>
        <v/>
      </c>
      <c r="Z257">
        <f>(AVERAGE(P257:R257)-1)/4</f>
        <v/>
      </c>
      <c r="AA257">
        <f>(AVERAGE(S257:T257)-1)/4</f>
        <v/>
      </c>
      <c r="AB257">
        <f>AVERAGE(U257:Y257)</f>
        <v/>
      </c>
      <c r="AC257">
        <f>MIN(U257:Y257)</f>
        <v/>
      </c>
      <c r="AD257">
        <f>1-alpha*MAX(0,delta-AC257)</f>
        <v/>
      </c>
      <c r="AE257">
        <f>AB257*AD257</f>
        <v/>
      </c>
      <c r="AF257">
        <f>1+COUNTIF(bounds,"&lt;"&amp;ROUND(AB257,12))</f>
        <v/>
      </c>
      <c r="AG257">
        <f>1+COUNTIF(bounds,"&lt;"&amp;ROUND(AE257,12))</f>
        <v/>
      </c>
      <c r="AH257">
        <f>IF(AD257&lt;1,1,0)</f>
        <v/>
      </c>
      <c r="AI257">
        <f>IF(AF257&lt;&gt;AG257,1,0)</f>
        <v/>
      </c>
      <c r="AJ257">
        <f>IF(AND(AG257&gt;=3,Z257&lt;=0.2),1,0)</f>
        <v/>
      </c>
      <c r="AK257">
        <f>AVERAGE(U257:Z257)</f>
        <v/>
      </c>
      <c r="AL257">
        <f>1+COUNTIF(bounds,"&lt;"&amp;ROUND(AK257,12))</f>
        <v/>
      </c>
      <c r="AM257">
        <f>IF(AI257=1,AB257,NA())</f>
        <v/>
      </c>
      <c r="AN257">
        <f>IF(AI257=0,AB257,NA())</f>
        <v/>
      </c>
    </row>
    <row r="258">
      <c r="A258" t="n">
        <v>250</v>
      </c>
      <c r="B258" t="n">
        <v>1</v>
      </c>
      <c r="C258" t="n">
        <v>3</v>
      </c>
      <c r="D258" t="n">
        <v>5</v>
      </c>
      <c r="E258" t="n">
        <v>4</v>
      </c>
      <c r="F258" t="n">
        <v>5</v>
      </c>
      <c r="G258" t="n">
        <v>3</v>
      </c>
      <c r="H258" t="n">
        <v>1</v>
      </c>
      <c r="I258" t="n">
        <v>4</v>
      </c>
      <c r="J258" t="n">
        <v>5</v>
      </c>
      <c r="K258" t="n">
        <v>2</v>
      </c>
      <c r="L258" t="n">
        <v>5</v>
      </c>
      <c r="M258" t="n">
        <v>2</v>
      </c>
      <c r="N258" t="n">
        <v>4</v>
      </c>
      <c r="O258" t="n">
        <v>2</v>
      </c>
      <c r="P258" t="n">
        <v>3</v>
      </c>
      <c r="Q258" t="n">
        <v>5</v>
      </c>
      <c r="R258" t="n">
        <v>1</v>
      </c>
      <c r="S258" t="n">
        <v>5</v>
      </c>
      <c r="T258" t="n">
        <v>2</v>
      </c>
      <c r="U258">
        <f>(AVERAGE(B258:D258)-1)/4</f>
        <v/>
      </c>
      <c r="V258">
        <f>(AVERAGE(E258:F258)-1)/4</f>
        <v/>
      </c>
      <c r="W258">
        <f>(AVERAGE(G258:I258)-1)/4</f>
        <v/>
      </c>
      <c r="X258">
        <f>(AVERAGE(J258:L258)-1)/4</f>
        <v/>
      </c>
      <c r="Y258">
        <f>(AVERAGE(M258:O258)-1)/4</f>
        <v/>
      </c>
      <c r="Z258">
        <f>(AVERAGE(P258:R258)-1)/4</f>
        <v/>
      </c>
      <c r="AA258">
        <f>(AVERAGE(S258:T258)-1)/4</f>
        <v/>
      </c>
      <c r="AB258">
        <f>AVERAGE(U258:Y258)</f>
        <v/>
      </c>
      <c r="AC258">
        <f>MIN(U258:Y258)</f>
        <v/>
      </c>
      <c r="AD258">
        <f>1-alpha*MAX(0,delta-AC258)</f>
        <v/>
      </c>
      <c r="AE258">
        <f>AB258*AD258</f>
        <v/>
      </c>
      <c r="AF258">
        <f>1+COUNTIF(bounds,"&lt;"&amp;ROUND(AB258,12))</f>
        <v/>
      </c>
      <c r="AG258">
        <f>1+COUNTIF(bounds,"&lt;"&amp;ROUND(AE258,12))</f>
        <v/>
      </c>
      <c r="AH258">
        <f>IF(AD258&lt;1,1,0)</f>
        <v/>
      </c>
      <c r="AI258">
        <f>IF(AF258&lt;&gt;AG258,1,0)</f>
        <v/>
      </c>
      <c r="AJ258">
        <f>IF(AND(AG258&gt;=3,Z258&lt;=0.2),1,0)</f>
        <v/>
      </c>
      <c r="AK258">
        <f>AVERAGE(U258:Z258)</f>
        <v/>
      </c>
      <c r="AL258">
        <f>1+COUNTIF(bounds,"&lt;"&amp;ROUND(AK258,12))</f>
        <v/>
      </c>
      <c r="AM258">
        <f>IF(AI258=1,AB258,NA())</f>
        <v/>
      </c>
      <c r="AN258">
        <f>IF(AI258=0,AB258,NA())</f>
        <v/>
      </c>
    </row>
    <row r="259">
      <c r="A259" t="n">
        <v>251</v>
      </c>
      <c r="B259" t="n">
        <v>4</v>
      </c>
      <c r="C259" t="n">
        <v>1</v>
      </c>
      <c r="D259" t="n">
        <v>5</v>
      </c>
      <c r="E259" t="n">
        <v>4</v>
      </c>
      <c r="F259" t="n">
        <v>4</v>
      </c>
      <c r="G259" t="n">
        <v>3</v>
      </c>
      <c r="H259" t="n">
        <v>4</v>
      </c>
      <c r="I259" t="n">
        <v>5</v>
      </c>
      <c r="J259" t="n">
        <v>2</v>
      </c>
      <c r="K259" t="n">
        <v>3</v>
      </c>
      <c r="L259" t="n">
        <v>1</v>
      </c>
      <c r="M259" t="n">
        <v>5</v>
      </c>
      <c r="N259" t="n">
        <v>4</v>
      </c>
      <c r="O259" t="n">
        <v>5</v>
      </c>
      <c r="P259" t="n">
        <v>5</v>
      </c>
      <c r="Q259" t="n">
        <v>4</v>
      </c>
      <c r="R259" t="n">
        <v>5</v>
      </c>
      <c r="S259" t="n">
        <v>5</v>
      </c>
      <c r="T259" t="n">
        <v>2</v>
      </c>
      <c r="U259">
        <f>(AVERAGE(B259:D259)-1)/4</f>
        <v/>
      </c>
      <c r="V259">
        <f>(AVERAGE(E259:F259)-1)/4</f>
        <v/>
      </c>
      <c r="W259">
        <f>(AVERAGE(G259:I259)-1)/4</f>
        <v/>
      </c>
      <c r="X259">
        <f>(AVERAGE(J259:L259)-1)/4</f>
        <v/>
      </c>
      <c r="Y259">
        <f>(AVERAGE(M259:O259)-1)/4</f>
        <v/>
      </c>
      <c r="Z259">
        <f>(AVERAGE(P259:R259)-1)/4</f>
        <v/>
      </c>
      <c r="AA259">
        <f>(AVERAGE(S259:T259)-1)/4</f>
        <v/>
      </c>
      <c r="AB259">
        <f>AVERAGE(U259:Y259)</f>
        <v/>
      </c>
      <c r="AC259">
        <f>MIN(U259:Y259)</f>
        <v/>
      </c>
      <c r="AD259">
        <f>1-alpha*MAX(0,delta-AC259)</f>
        <v/>
      </c>
      <c r="AE259">
        <f>AB259*AD259</f>
        <v/>
      </c>
      <c r="AF259">
        <f>1+COUNTIF(bounds,"&lt;"&amp;ROUND(AB259,12))</f>
        <v/>
      </c>
      <c r="AG259">
        <f>1+COUNTIF(bounds,"&lt;"&amp;ROUND(AE259,12))</f>
        <v/>
      </c>
      <c r="AH259">
        <f>IF(AD259&lt;1,1,0)</f>
        <v/>
      </c>
      <c r="AI259">
        <f>IF(AF259&lt;&gt;AG259,1,0)</f>
        <v/>
      </c>
      <c r="AJ259">
        <f>IF(AND(AG259&gt;=3,Z259&lt;=0.2),1,0)</f>
        <v/>
      </c>
      <c r="AK259">
        <f>AVERAGE(U259:Z259)</f>
        <v/>
      </c>
      <c r="AL259">
        <f>1+COUNTIF(bounds,"&lt;"&amp;ROUND(AK259,12))</f>
        <v/>
      </c>
      <c r="AM259">
        <f>IF(AI259=1,AB259,NA())</f>
        <v/>
      </c>
      <c r="AN259">
        <f>IF(AI259=0,AB259,NA())</f>
        <v/>
      </c>
    </row>
    <row r="260">
      <c r="A260" t="n">
        <v>252</v>
      </c>
      <c r="B260" t="n">
        <v>2</v>
      </c>
      <c r="C260" t="n">
        <v>1</v>
      </c>
      <c r="D260" t="n">
        <v>1</v>
      </c>
      <c r="E260" t="n">
        <v>5</v>
      </c>
      <c r="F260" t="n">
        <v>4</v>
      </c>
      <c r="G260" t="n">
        <v>5</v>
      </c>
      <c r="H260" t="n">
        <v>3</v>
      </c>
      <c r="I260" t="n">
        <v>5</v>
      </c>
      <c r="J260" t="n">
        <v>2</v>
      </c>
      <c r="K260" t="n">
        <v>5</v>
      </c>
      <c r="L260" t="n">
        <v>5</v>
      </c>
      <c r="M260" t="n">
        <v>4</v>
      </c>
      <c r="N260" t="n">
        <v>5</v>
      </c>
      <c r="O260" t="n">
        <v>3</v>
      </c>
      <c r="P260" t="n">
        <v>3</v>
      </c>
      <c r="Q260" t="n">
        <v>5</v>
      </c>
      <c r="R260" t="n">
        <v>1</v>
      </c>
      <c r="S260" t="n">
        <v>5</v>
      </c>
      <c r="T260" t="n">
        <v>3</v>
      </c>
      <c r="U260">
        <f>(AVERAGE(B260:D260)-1)/4</f>
        <v/>
      </c>
      <c r="V260">
        <f>(AVERAGE(E260:F260)-1)/4</f>
        <v/>
      </c>
      <c r="W260">
        <f>(AVERAGE(G260:I260)-1)/4</f>
        <v/>
      </c>
      <c r="X260">
        <f>(AVERAGE(J260:L260)-1)/4</f>
        <v/>
      </c>
      <c r="Y260">
        <f>(AVERAGE(M260:O260)-1)/4</f>
        <v/>
      </c>
      <c r="Z260">
        <f>(AVERAGE(P260:R260)-1)/4</f>
        <v/>
      </c>
      <c r="AA260">
        <f>(AVERAGE(S260:T260)-1)/4</f>
        <v/>
      </c>
      <c r="AB260">
        <f>AVERAGE(U260:Y260)</f>
        <v/>
      </c>
      <c r="AC260">
        <f>MIN(U260:Y260)</f>
        <v/>
      </c>
      <c r="AD260">
        <f>1-alpha*MAX(0,delta-AC260)</f>
        <v/>
      </c>
      <c r="AE260">
        <f>AB260*AD260</f>
        <v/>
      </c>
      <c r="AF260">
        <f>1+COUNTIF(bounds,"&lt;"&amp;ROUND(AB260,12))</f>
        <v/>
      </c>
      <c r="AG260">
        <f>1+COUNTIF(bounds,"&lt;"&amp;ROUND(AE260,12))</f>
        <v/>
      </c>
      <c r="AH260">
        <f>IF(AD260&lt;1,1,0)</f>
        <v/>
      </c>
      <c r="AI260">
        <f>IF(AF260&lt;&gt;AG260,1,0)</f>
        <v/>
      </c>
      <c r="AJ260">
        <f>IF(AND(AG260&gt;=3,Z260&lt;=0.2),1,0)</f>
        <v/>
      </c>
      <c r="AK260">
        <f>AVERAGE(U260:Z260)</f>
        <v/>
      </c>
      <c r="AL260">
        <f>1+COUNTIF(bounds,"&lt;"&amp;ROUND(AK260,12))</f>
        <v/>
      </c>
      <c r="AM260">
        <f>IF(AI260=1,AB260,NA())</f>
        <v/>
      </c>
      <c r="AN260">
        <f>IF(AI260=0,AB260,NA())</f>
        <v/>
      </c>
    </row>
    <row r="261">
      <c r="A261" t="n">
        <v>253</v>
      </c>
      <c r="B261" t="n">
        <v>4</v>
      </c>
      <c r="C261" t="n">
        <v>5</v>
      </c>
      <c r="D261" t="n">
        <v>5</v>
      </c>
      <c r="E261" t="n">
        <v>4</v>
      </c>
      <c r="F261" t="n">
        <v>2</v>
      </c>
      <c r="G261" t="n">
        <v>2</v>
      </c>
      <c r="H261" t="n">
        <v>3</v>
      </c>
      <c r="I261" t="n">
        <v>4</v>
      </c>
      <c r="J261" t="n">
        <v>4</v>
      </c>
      <c r="K261" t="n">
        <v>2</v>
      </c>
      <c r="L261" t="n">
        <v>2</v>
      </c>
      <c r="M261" t="n">
        <v>5</v>
      </c>
      <c r="N261" t="n">
        <v>5</v>
      </c>
      <c r="O261" t="n">
        <v>2</v>
      </c>
      <c r="P261" t="n">
        <v>1</v>
      </c>
      <c r="Q261" t="n">
        <v>5</v>
      </c>
      <c r="R261" t="n">
        <v>3</v>
      </c>
      <c r="S261" t="n">
        <v>4</v>
      </c>
      <c r="T261" t="n">
        <v>5</v>
      </c>
      <c r="U261">
        <f>(AVERAGE(B261:D261)-1)/4</f>
        <v/>
      </c>
      <c r="V261">
        <f>(AVERAGE(E261:F261)-1)/4</f>
        <v/>
      </c>
      <c r="W261">
        <f>(AVERAGE(G261:I261)-1)/4</f>
        <v/>
      </c>
      <c r="X261">
        <f>(AVERAGE(J261:L261)-1)/4</f>
        <v/>
      </c>
      <c r="Y261">
        <f>(AVERAGE(M261:O261)-1)/4</f>
        <v/>
      </c>
      <c r="Z261">
        <f>(AVERAGE(P261:R261)-1)/4</f>
        <v/>
      </c>
      <c r="AA261">
        <f>(AVERAGE(S261:T261)-1)/4</f>
        <v/>
      </c>
      <c r="AB261">
        <f>AVERAGE(U261:Y261)</f>
        <v/>
      </c>
      <c r="AC261">
        <f>MIN(U261:Y261)</f>
        <v/>
      </c>
      <c r="AD261">
        <f>1-alpha*MAX(0,delta-AC261)</f>
        <v/>
      </c>
      <c r="AE261">
        <f>AB261*AD261</f>
        <v/>
      </c>
      <c r="AF261">
        <f>1+COUNTIF(bounds,"&lt;"&amp;ROUND(AB261,12))</f>
        <v/>
      </c>
      <c r="AG261">
        <f>1+COUNTIF(bounds,"&lt;"&amp;ROUND(AE261,12))</f>
        <v/>
      </c>
      <c r="AH261">
        <f>IF(AD261&lt;1,1,0)</f>
        <v/>
      </c>
      <c r="AI261">
        <f>IF(AF261&lt;&gt;AG261,1,0)</f>
        <v/>
      </c>
      <c r="AJ261">
        <f>IF(AND(AG261&gt;=3,Z261&lt;=0.2),1,0)</f>
        <v/>
      </c>
      <c r="AK261">
        <f>AVERAGE(U261:Z261)</f>
        <v/>
      </c>
      <c r="AL261">
        <f>1+COUNTIF(bounds,"&lt;"&amp;ROUND(AK261,12))</f>
        <v/>
      </c>
      <c r="AM261">
        <f>IF(AI261=1,AB261,NA())</f>
        <v/>
      </c>
      <c r="AN261">
        <f>IF(AI261=0,AB261,NA())</f>
        <v/>
      </c>
    </row>
    <row r="262">
      <c r="A262" t="n">
        <v>254</v>
      </c>
      <c r="B262" t="n">
        <v>4</v>
      </c>
      <c r="C262" t="n">
        <v>5</v>
      </c>
      <c r="D262" t="n">
        <v>5</v>
      </c>
      <c r="E262" t="n">
        <v>3</v>
      </c>
      <c r="F262" t="n">
        <v>4</v>
      </c>
      <c r="G262" t="n">
        <v>5</v>
      </c>
      <c r="H262" t="n">
        <v>5</v>
      </c>
      <c r="I262" t="n">
        <v>3</v>
      </c>
      <c r="J262" t="n">
        <v>1</v>
      </c>
      <c r="K262" t="n">
        <v>5</v>
      </c>
      <c r="L262" t="n">
        <v>1</v>
      </c>
      <c r="M262" t="n">
        <v>2</v>
      </c>
      <c r="N262" t="n">
        <v>2</v>
      </c>
      <c r="O262" t="n">
        <v>5</v>
      </c>
      <c r="P262" t="n">
        <v>1</v>
      </c>
      <c r="Q262" t="n">
        <v>1</v>
      </c>
      <c r="R262" t="n">
        <v>3</v>
      </c>
      <c r="S262" t="n">
        <v>1</v>
      </c>
      <c r="T262" t="n">
        <v>5</v>
      </c>
      <c r="U262">
        <f>(AVERAGE(B262:D262)-1)/4</f>
        <v/>
      </c>
      <c r="V262">
        <f>(AVERAGE(E262:F262)-1)/4</f>
        <v/>
      </c>
      <c r="W262">
        <f>(AVERAGE(G262:I262)-1)/4</f>
        <v/>
      </c>
      <c r="X262">
        <f>(AVERAGE(J262:L262)-1)/4</f>
        <v/>
      </c>
      <c r="Y262">
        <f>(AVERAGE(M262:O262)-1)/4</f>
        <v/>
      </c>
      <c r="Z262">
        <f>(AVERAGE(P262:R262)-1)/4</f>
        <v/>
      </c>
      <c r="AA262">
        <f>(AVERAGE(S262:T262)-1)/4</f>
        <v/>
      </c>
      <c r="AB262">
        <f>AVERAGE(U262:Y262)</f>
        <v/>
      </c>
      <c r="AC262">
        <f>MIN(U262:Y262)</f>
        <v/>
      </c>
      <c r="AD262">
        <f>1-alpha*MAX(0,delta-AC262)</f>
        <v/>
      </c>
      <c r="AE262">
        <f>AB262*AD262</f>
        <v/>
      </c>
      <c r="AF262">
        <f>1+COUNTIF(bounds,"&lt;"&amp;ROUND(AB262,12))</f>
        <v/>
      </c>
      <c r="AG262">
        <f>1+COUNTIF(bounds,"&lt;"&amp;ROUND(AE262,12))</f>
        <v/>
      </c>
      <c r="AH262">
        <f>IF(AD262&lt;1,1,0)</f>
        <v/>
      </c>
      <c r="AI262">
        <f>IF(AF262&lt;&gt;AG262,1,0)</f>
        <v/>
      </c>
      <c r="AJ262">
        <f>IF(AND(AG262&gt;=3,Z262&lt;=0.2),1,0)</f>
        <v/>
      </c>
      <c r="AK262">
        <f>AVERAGE(U262:Z262)</f>
        <v/>
      </c>
      <c r="AL262">
        <f>1+COUNTIF(bounds,"&lt;"&amp;ROUND(AK262,12))</f>
        <v/>
      </c>
      <c r="AM262">
        <f>IF(AI262=1,AB262,NA())</f>
        <v/>
      </c>
      <c r="AN262">
        <f>IF(AI262=0,AB262,NA())</f>
        <v/>
      </c>
    </row>
    <row r="263">
      <c r="A263" t="n">
        <v>255</v>
      </c>
      <c r="B263" t="n">
        <v>3</v>
      </c>
      <c r="C263" t="n">
        <v>4</v>
      </c>
      <c r="D263" t="n">
        <v>5</v>
      </c>
      <c r="E263" t="n">
        <v>5</v>
      </c>
      <c r="F263" t="n">
        <v>1</v>
      </c>
      <c r="G263" t="n">
        <v>1</v>
      </c>
      <c r="H263" t="n">
        <v>4</v>
      </c>
      <c r="I263" t="n">
        <v>3</v>
      </c>
      <c r="J263" t="n">
        <v>2</v>
      </c>
      <c r="K263" t="n">
        <v>1</v>
      </c>
      <c r="L263" t="n">
        <v>3</v>
      </c>
      <c r="M263" t="n">
        <v>5</v>
      </c>
      <c r="N263" t="n">
        <v>5</v>
      </c>
      <c r="O263" t="n">
        <v>3</v>
      </c>
      <c r="P263" t="n">
        <v>3</v>
      </c>
      <c r="Q263" t="n">
        <v>2</v>
      </c>
      <c r="R263" t="n">
        <v>4</v>
      </c>
      <c r="S263" t="n">
        <v>4</v>
      </c>
      <c r="T263" t="n">
        <v>2</v>
      </c>
      <c r="U263">
        <f>(AVERAGE(B263:D263)-1)/4</f>
        <v/>
      </c>
      <c r="V263">
        <f>(AVERAGE(E263:F263)-1)/4</f>
        <v/>
      </c>
      <c r="W263">
        <f>(AVERAGE(G263:I263)-1)/4</f>
        <v/>
      </c>
      <c r="X263">
        <f>(AVERAGE(J263:L263)-1)/4</f>
        <v/>
      </c>
      <c r="Y263">
        <f>(AVERAGE(M263:O263)-1)/4</f>
        <v/>
      </c>
      <c r="Z263">
        <f>(AVERAGE(P263:R263)-1)/4</f>
        <v/>
      </c>
      <c r="AA263">
        <f>(AVERAGE(S263:T263)-1)/4</f>
        <v/>
      </c>
      <c r="AB263">
        <f>AVERAGE(U263:Y263)</f>
        <v/>
      </c>
      <c r="AC263">
        <f>MIN(U263:Y263)</f>
        <v/>
      </c>
      <c r="AD263">
        <f>1-alpha*MAX(0,delta-AC263)</f>
        <v/>
      </c>
      <c r="AE263">
        <f>AB263*AD263</f>
        <v/>
      </c>
      <c r="AF263">
        <f>1+COUNTIF(bounds,"&lt;"&amp;ROUND(AB263,12))</f>
        <v/>
      </c>
      <c r="AG263">
        <f>1+COUNTIF(bounds,"&lt;"&amp;ROUND(AE263,12))</f>
        <v/>
      </c>
      <c r="AH263">
        <f>IF(AD263&lt;1,1,0)</f>
        <v/>
      </c>
      <c r="AI263">
        <f>IF(AF263&lt;&gt;AG263,1,0)</f>
        <v/>
      </c>
      <c r="AJ263">
        <f>IF(AND(AG263&gt;=3,Z263&lt;=0.2),1,0)</f>
        <v/>
      </c>
      <c r="AK263">
        <f>AVERAGE(U263:Z263)</f>
        <v/>
      </c>
      <c r="AL263">
        <f>1+COUNTIF(bounds,"&lt;"&amp;ROUND(AK263,12))</f>
        <v/>
      </c>
      <c r="AM263">
        <f>IF(AI263=1,AB263,NA())</f>
        <v/>
      </c>
      <c r="AN263">
        <f>IF(AI263=0,AB263,NA())</f>
        <v/>
      </c>
    </row>
    <row r="264">
      <c r="A264" t="n">
        <v>256</v>
      </c>
      <c r="B264" t="n">
        <v>3</v>
      </c>
      <c r="C264" t="n">
        <v>2</v>
      </c>
      <c r="D264" t="n">
        <v>5</v>
      </c>
      <c r="E264" t="n">
        <v>2</v>
      </c>
      <c r="F264" t="n">
        <v>5</v>
      </c>
      <c r="G264" t="n">
        <v>5</v>
      </c>
      <c r="H264" t="n">
        <v>3</v>
      </c>
      <c r="I264" t="n">
        <v>4</v>
      </c>
      <c r="J264" t="n">
        <v>1</v>
      </c>
      <c r="K264" t="n">
        <v>3</v>
      </c>
      <c r="L264" t="n">
        <v>3</v>
      </c>
      <c r="M264" t="n">
        <v>5</v>
      </c>
      <c r="N264" t="n">
        <v>1</v>
      </c>
      <c r="O264" t="n">
        <v>1</v>
      </c>
      <c r="P264" t="n">
        <v>1</v>
      </c>
      <c r="Q264" t="n">
        <v>3</v>
      </c>
      <c r="R264" t="n">
        <v>4</v>
      </c>
      <c r="S264" t="n">
        <v>2</v>
      </c>
      <c r="T264" t="n">
        <v>1</v>
      </c>
      <c r="U264">
        <f>(AVERAGE(B264:D264)-1)/4</f>
        <v/>
      </c>
      <c r="V264">
        <f>(AVERAGE(E264:F264)-1)/4</f>
        <v/>
      </c>
      <c r="W264">
        <f>(AVERAGE(G264:I264)-1)/4</f>
        <v/>
      </c>
      <c r="X264">
        <f>(AVERAGE(J264:L264)-1)/4</f>
        <v/>
      </c>
      <c r="Y264">
        <f>(AVERAGE(M264:O264)-1)/4</f>
        <v/>
      </c>
      <c r="Z264">
        <f>(AVERAGE(P264:R264)-1)/4</f>
        <v/>
      </c>
      <c r="AA264">
        <f>(AVERAGE(S264:T264)-1)/4</f>
        <v/>
      </c>
      <c r="AB264">
        <f>AVERAGE(U264:Y264)</f>
        <v/>
      </c>
      <c r="AC264">
        <f>MIN(U264:Y264)</f>
        <v/>
      </c>
      <c r="AD264">
        <f>1-alpha*MAX(0,delta-AC264)</f>
        <v/>
      </c>
      <c r="AE264">
        <f>AB264*AD264</f>
        <v/>
      </c>
      <c r="AF264">
        <f>1+COUNTIF(bounds,"&lt;"&amp;ROUND(AB264,12))</f>
        <v/>
      </c>
      <c r="AG264">
        <f>1+COUNTIF(bounds,"&lt;"&amp;ROUND(AE264,12))</f>
        <v/>
      </c>
      <c r="AH264">
        <f>IF(AD264&lt;1,1,0)</f>
        <v/>
      </c>
      <c r="AI264">
        <f>IF(AF264&lt;&gt;AG264,1,0)</f>
        <v/>
      </c>
      <c r="AJ264">
        <f>IF(AND(AG264&gt;=3,Z264&lt;=0.2),1,0)</f>
        <v/>
      </c>
      <c r="AK264">
        <f>AVERAGE(U264:Z264)</f>
        <v/>
      </c>
      <c r="AL264">
        <f>1+COUNTIF(bounds,"&lt;"&amp;ROUND(AK264,12))</f>
        <v/>
      </c>
      <c r="AM264">
        <f>IF(AI264=1,AB264,NA())</f>
        <v/>
      </c>
      <c r="AN264">
        <f>IF(AI264=0,AB264,NA())</f>
        <v/>
      </c>
    </row>
    <row r="265">
      <c r="A265" t="n">
        <v>257</v>
      </c>
      <c r="B265" t="n">
        <v>1</v>
      </c>
      <c r="C265" t="n">
        <v>3</v>
      </c>
      <c r="D265" t="n">
        <v>5</v>
      </c>
      <c r="E265" t="n">
        <v>2</v>
      </c>
      <c r="F265" t="n">
        <v>5</v>
      </c>
      <c r="G265" t="n">
        <v>4</v>
      </c>
      <c r="H265" t="n">
        <v>1</v>
      </c>
      <c r="I265" t="n">
        <v>4</v>
      </c>
      <c r="J265" t="n">
        <v>3</v>
      </c>
      <c r="K265" t="n">
        <v>4</v>
      </c>
      <c r="L265" t="n">
        <v>3</v>
      </c>
      <c r="M265" t="n">
        <v>2</v>
      </c>
      <c r="N265" t="n">
        <v>3</v>
      </c>
      <c r="O265" t="n">
        <v>2</v>
      </c>
      <c r="P265" t="n">
        <v>2</v>
      </c>
      <c r="Q265" t="n">
        <v>3</v>
      </c>
      <c r="R265" t="n">
        <v>2</v>
      </c>
      <c r="S265" t="n">
        <v>5</v>
      </c>
      <c r="T265" t="n">
        <v>5</v>
      </c>
      <c r="U265">
        <f>(AVERAGE(B265:D265)-1)/4</f>
        <v/>
      </c>
      <c r="V265">
        <f>(AVERAGE(E265:F265)-1)/4</f>
        <v/>
      </c>
      <c r="W265">
        <f>(AVERAGE(G265:I265)-1)/4</f>
        <v/>
      </c>
      <c r="X265">
        <f>(AVERAGE(J265:L265)-1)/4</f>
        <v/>
      </c>
      <c r="Y265">
        <f>(AVERAGE(M265:O265)-1)/4</f>
        <v/>
      </c>
      <c r="Z265">
        <f>(AVERAGE(P265:R265)-1)/4</f>
        <v/>
      </c>
      <c r="AA265">
        <f>(AVERAGE(S265:T265)-1)/4</f>
        <v/>
      </c>
      <c r="AB265">
        <f>AVERAGE(U265:Y265)</f>
        <v/>
      </c>
      <c r="AC265">
        <f>MIN(U265:Y265)</f>
        <v/>
      </c>
      <c r="AD265">
        <f>1-alpha*MAX(0,delta-AC265)</f>
        <v/>
      </c>
      <c r="AE265">
        <f>AB265*AD265</f>
        <v/>
      </c>
      <c r="AF265">
        <f>1+COUNTIF(bounds,"&lt;"&amp;ROUND(AB265,12))</f>
        <v/>
      </c>
      <c r="AG265">
        <f>1+COUNTIF(bounds,"&lt;"&amp;ROUND(AE265,12))</f>
        <v/>
      </c>
      <c r="AH265">
        <f>IF(AD265&lt;1,1,0)</f>
        <v/>
      </c>
      <c r="AI265">
        <f>IF(AF265&lt;&gt;AG265,1,0)</f>
        <v/>
      </c>
      <c r="AJ265">
        <f>IF(AND(AG265&gt;=3,Z265&lt;=0.2),1,0)</f>
        <v/>
      </c>
      <c r="AK265">
        <f>AVERAGE(U265:Z265)</f>
        <v/>
      </c>
      <c r="AL265">
        <f>1+COUNTIF(bounds,"&lt;"&amp;ROUND(AK265,12))</f>
        <v/>
      </c>
      <c r="AM265">
        <f>IF(AI265=1,AB265,NA())</f>
        <v/>
      </c>
      <c r="AN265">
        <f>IF(AI265=0,AB265,NA())</f>
        <v/>
      </c>
    </row>
    <row r="266">
      <c r="A266" t="n">
        <v>258</v>
      </c>
      <c r="B266" t="n">
        <v>4</v>
      </c>
      <c r="C266" t="n">
        <v>4</v>
      </c>
      <c r="D266" t="n">
        <v>3</v>
      </c>
      <c r="E266" t="n">
        <v>5</v>
      </c>
      <c r="F266" t="n">
        <v>4</v>
      </c>
      <c r="G266" t="n">
        <v>3</v>
      </c>
      <c r="H266" t="n">
        <v>2</v>
      </c>
      <c r="I266" t="n">
        <v>4</v>
      </c>
      <c r="J266" t="n">
        <v>5</v>
      </c>
      <c r="K266" t="n">
        <v>3</v>
      </c>
      <c r="L266" t="n">
        <v>5</v>
      </c>
      <c r="M266" t="n">
        <v>2</v>
      </c>
      <c r="N266" t="n">
        <v>4</v>
      </c>
      <c r="O266" t="n">
        <v>4</v>
      </c>
      <c r="P266" t="n">
        <v>3</v>
      </c>
      <c r="Q266" t="n">
        <v>3</v>
      </c>
      <c r="R266" t="n">
        <v>2</v>
      </c>
      <c r="S266" t="n">
        <v>3</v>
      </c>
      <c r="T266" t="n">
        <v>1</v>
      </c>
      <c r="U266">
        <f>(AVERAGE(B266:D266)-1)/4</f>
        <v/>
      </c>
      <c r="V266">
        <f>(AVERAGE(E266:F266)-1)/4</f>
        <v/>
      </c>
      <c r="W266">
        <f>(AVERAGE(G266:I266)-1)/4</f>
        <v/>
      </c>
      <c r="X266">
        <f>(AVERAGE(J266:L266)-1)/4</f>
        <v/>
      </c>
      <c r="Y266">
        <f>(AVERAGE(M266:O266)-1)/4</f>
        <v/>
      </c>
      <c r="Z266">
        <f>(AVERAGE(P266:R266)-1)/4</f>
        <v/>
      </c>
      <c r="AA266">
        <f>(AVERAGE(S266:T266)-1)/4</f>
        <v/>
      </c>
      <c r="AB266">
        <f>AVERAGE(U266:Y266)</f>
        <v/>
      </c>
      <c r="AC266">
        <f>MIN(U266:Y266)</f>
        <v/>
      </c>
      <c r="AD266">
        <f>1-alpha*MAX(0,delta-AC266)</f>
        <v/>
      </c>
      <c r="AE266">
        <f>AB266*AD266</f>
        <v/>
      </c>
      <c r="AF266">
        <f>1+COUNTIF(bounds,"&lt;"&amp;ROUND(AB266,12))</f>
        <v/>
      </c>
      <c r="AG266">
        <f>1+COUNTIF(bounds,"&lt;"&amp;ROUND(AE266,12))</f>
        <v/>
      </c>
      <c r="AH266">
        <f>IF(AD266&lt;1,1,0)</f>
        <v/>
      </c>
      <c r="AI266">
        <f>IF(AF266&lt;&gt;AG266,1,0)</f>
        <v/>
      </c>
      <c r="AJ266">
        <f>IF(AND(AG266&gt;=3,Z266&lt;=0.2),1,0)</f>
        <v/>
      </c>
      <c r="AK266">
        <f>AVERAGE(U266:Z266)</f>
        <v/>
      </c>
      <c r="AL266">
        <f>1+COUNTIF(bounds,"&lt;"&amp;ROUND(AK266,12))</f>
        <v/>
      </c>
      <c r="AM266">
        <f>IF(AI266=1,AB266,NA())</f>
        <v/>
      </c>
      <c r="AN266">
        <f>IF(AI266=0,AB266,NA())</f>
        <v/>
      </c>
    </row>
    <row r="267">
      <c r="A267" t="n">
        <v>259</v>
      </c>
      <c r="B267" t="n">
        <v>2</v>
      </c>
      <c r="C267" t="n">
        <v>3</v>
      </c>
      <c r="D267" t="n">
        <v>4</v>
      </c>
      <c r="E267" t="n">
        <v>1</v>
      </c>
      <c r="F267" t="n">
        <v>1</v>
      </c>
      <c r="G267" t="n">
        <v>3</v>
      </c>
      <c r="H267" t="n">
        <v>2</v>
      </c>
      <c r="I267" t="n">
        <v>5</v>
      </c>
      <c r="J267" t="n">
        <v>2</v>
      </c>
      <c r="K267" t="n">
        <v>3</v>
      </c>
      <c r="L267" t="n">
        <v>2</v>
      </c>
      <c r="M267" t="n">
        <v>2</v>
      </c>
      <c r="N267" t="n">
        <v>1</v>
      </c>
      <c r="O267" t="n">
        <v>3</v>
      </c>
      <c r="P267" t="n">
        <v>2</v>
      </c>
      <c r="Q267" t="n">
        <v>5</v>
      </c>
      <c r="R267" t="n">
        <v>3</v>
      </c>
      <c r="S267" t="n">
        <v>4</v>
      </c>
      <c r="T267" t="n">
        <v>5</v>
      </c>
      <c r="U267">
        <f>(AVERAGE(B267:D267)-1)/4</f>
        <v/>
      </c>
      <c r="V267">
        <f>(AVERAGE(E267:F267)-1)/4</f>
        <v/>
      </c>
      <c r="W267">
        <f>(AVERAGE(G267:I267)-1)/4</f>
        <v/>
      </c>
      <c r="X267">
        <f>(AVERAGE(J267:L267)-1)/4</f>
        <v/>
      </c>
      <c r="Y267">
        <f>(AVERAGE(M267:O267)-1)/4</f>
        <v/>
      </c>
      <c r="Z267">
        <f>(AVERAGE(P267:R267)-1)/4</f>
        <v/>
      </c>
      <c r="AA267">
        <f>(AVERAGE(S267:T267)-1)/4</f>
        <v/>
      </c>
      <c r="AB267">
        <f>AVERAGE(U267:Y267)</f>
        <v/>
      </c>
      <c r="AC267">
        <f>MIN(U267:Y267)</f>
        <v/>
      </c>
      <c r="AD267">
        <f>1-alpha*MAX(0,delta-AC267)</f>
        <v/>
      </c>
      <c r="AE267">
        <f>AB267*AD267</f>
        <v/>
      </c>
      <c r="AF267">
        <f>1+COUNTIF(bounds,"&lt;"&amp;ROUND(AB267,12))</f>
        <v/>
      </c>
      <c r="AG267">
        <f>1+COUNTIF(bounds,"&lt;"&amp;ROUND(AE267,12))</f>
        <v/>
      </c>
      <c r="AH267">
        <f>IF(AD267&lt;1,1,0)</f>
        <v/>
      </c>
      <c r="AI267">
        <f>IF(AF267&lt;&gt;AG267,1,0)</f>
        <v/>
      </c>
      <c r="AJ267">
        <f>IF(AND(AG267&gt;=3,Z267&lt;=0.2),1,0)</f>
        <v/>
      </c>
      <c r="AK267">
        <f>AVERAGE(U267:Z267)</f>
        <v/>
      </c>
      <c r="AL267">
        <f>1+COUNTIF(bounds,"&lt;"&amp;ROUND(AK267,12))</f>
        <v/>
      </c>
      <c r="AM267">
        <f>IF(AI267=1,AB267,NA())</f>
        <v/>
      </c>
      <c r="AN267">
        <f>IF(AI267=0,AB267,NA())</f>
        <v/>
      </c>
    </row>
    <row r="268">
      <c r="A268" t="n">
        <v>260</v>
      </c>
      <c r="B268" t="n">
        <v>3</v>
      </c>
      <c r="C268" t="n">
        <v>4</v>
      </c>
      <c r="D268" t="n">
        <v>5</v>
      </c>
      <c r="E268" t="n">
        <v>1</v>
      </c>
      <c r="F268" t="n">
        <v>3</v>
      </c>
      <c r="G268" t="n">
        <v>1</v>
      </c>
      <c r="H268" t="n">
        <v>5</v>
      </c>
      <c r="I268" t="n">
        <v>5</v>
      </c>
      <c r="J268" t="n">
        <v>3</v>
      </c>
      <c r="K268" t="n">
        <v>2</v>
      </c>
      <c r="L268" t="n">
        <v>3</v>
      </c>
      <c r="M268" t="n">
        <v>4</v>
      </c>
      <c r="N268" t="n">
        <v>2</v>
      </c>
      <c r="O268" t="n">
        <v>1</v>
      </c>
      <c r="P268" t="n">
        <v>4</v>
      </c>
      <c r="Q268" t="n">
        <v>2</v>
      </c>
      <c r="R268" t="n">
        <v>3</v>
      </c>
      <c r="S268" t="n">
        <v>1</v>
      </c>
      <c r="T268" t="n">
        <v>4</v>
      </c>
      <c r="U268">
        <f>(AVERAGE(B268:D268)-1)/4</f>
        <v/>
      </c>
      <c r="V268">
        <f>(AVERAGE(E268:F268)-1)/4</f>
        <v/>
      </c>
      <c r="W268">
        <f>(AVERAGE(G268:I268)-1)/4</f>
        <v/>
      </c>
      <c r="X268">
        <f>(AVERAGE(J268:L268)-1)/4</f>
        <v/>
      </c>
      <c r="Y268">
        <f>(AVERAGE(M268:O268)-1)/4</f>
        <v/>
      </c>
      <c r="Z268">
        <f>(AVERAGE(P268:R268)-1)/4</f>
        <v/>
      </c>
      <c r="AA268">
        <f>(AVERAGE(S268:T268)-1)/4</f>
        <v/>
      </c>
      <c r="AB268">
        <f>AVERAGE(U268:Y268)</f>
        <v/>
      </c>
      <c r="AC268">
        <f>MIN(U268:Y268)</f>
        <v/>
      </c>
      <c r="AD268">
        <f>1-alpha*MAX(0,delta-AC268)</f>
        <v/>
      </c>
      <c r="AE268">
        <f>AB268*AD268</f>
        <v/>
      </c>
      <c r="AF268">
        <f>1+COUNTIF(bounds,"&lt;"&amp;ROUND(AB268,12))</f>
        <v/>
      </c>
      <c r="AG268">
        <f>1+COUNTIF(bounds,"&lt;"&amp;ROUND(AE268,12))</f>
        <v/>
      </c>
      <c r="AH268">
        <f>IF(AD268&lt;1,1,0)</f>
        <v/>
      </c>
      <c r="AI268">
        <f>IF(AF268&lt;&gt;AG268,1,0)</f>
        <v/>
      </c>
      <c r="AJ268">
        <f>IF(AND(AG268&gt;=3,Z268&lt;=0.2),1,0)</f>
        <v/>
      </c>
      <c r="AK268">
        <f>AVERAGE(U268:Z268)</f>
        <v/>
      </c>
      <c r="AL268">
        <f>1+COUNTIF(bounds,"&lt;"&amp;ROUND(AK268,12))</f>
        <v/>
      </c>
      <c r="AM268">
        <f>IF(AI268=1,AB268,NA())</f>
        <v/>
      </c>
      <c r="AN268">
        <f>IF(AI268=0,AB268,NA())</f>
        <v/>
      </c>
    </row>
    <row r="269">
      <c r="A269" t="n">
        <v>261</v>
      </c>
      <c r="B269" t="n">
        <v>4</v>
      </c>
      <c r="C269" t="n">
        <v>4</v>
      </c>
      <c r="D269" t="n">
        <v>5</v>
      </c>
      <c r="E269" t="n">
        <v>5</v>
      </c>
      <c r="F269" t="n">
        <v>3</v>
      </c>
      <c r="G269" t="n">
        <v>3</v>
      </c>
      <c r="H269" t="n">
        <v>3</v>
      </c>
      <c r="I269" t="n">
        <v>5</v>
      </c>
      <c r="J269" t="n">
        <v>1</v>
      </c>
      <c r="K269" t="n">
        <v>2</v>
      </c>
      <c r="L269" t="n">
        <v>4</v>
      </c>
      <c r="M269" t="n">
        <v>2</v>
      </c>
      <c r="N269" t="n">
        <v>2</v>
      </c>
      <c r="O269" t="n">
        <v>5</v>
      </c>
      <c r="P269" t="n">
        <v>1</v>
      </c>
      <c r="Q269" t="n">
        <v>1</v>
      </c>
      <c r="R269" t="n">
        <v>4</v>
      </c>
      <c r="S269" t="n">
        <v>4</v>
      </c>
      <c r="T269" t="n">
        <v>3</v>
      </c>
      <c r="U269">
        <f>(AVERAGE(B269:D269)-1)/4</f>
        <v/>
      </c>
      <c r="V269">
        <f>(AVERAGE(E269:F269)-1)/4</f>
        <v/>
      </c>
      <c r="W269">
        <f>(AVERAGE(G269:I269)-1)/4</f>
        <v/>
      </c>
      <c r="X269">
        <f>(AVERAGE(J269:L269)-1)/4</f>
        <v/>
      </c>
      <c r="Y269">
        <f>(AVERAGE(M269:O269)-1)/4</f>
        <v/>
      </c>
      <c r="Z269">
        <f>(AVERAGE(P269:R269)-1)/4</f>
        <v/>
      </c>
      <c r="AA269">
        <f>(AVERAGE(S269:T269)-1)/4</f>
        <v/>
      </c>
      <c r="AB269">
        <f>AVERAGE(U269:Y269)</f>
        <v/>
      </c>
      <c r="AC269">
        <f>MIN(U269:Y269)</f>
        <v/>
      </c>
      <c r="AD269">
        <f>1-alpha*MAX(0,delta-AC269)</f>
        <v/>
      </c>
      <c r="AE269">
        <f>AB269*AD269</f>
        <v/>
      </c>
      <c r="AF269">
        <f>1+COUNTIF(bounds,"&lt;"&amp;ROUND(AB269,12))</f>
        <v/>
      </c>
      <c r="AG269">
        <f>1+COUNTIF(bounds,"&lt;"&amp;ROUND(AE269,12))</f>
        <v/>
      </c>
      <c r="AH269">
        <f>IF(AD269&lt;1,1,0)</f>
        <v/>
      </c>
      <c r="AI269">
        <f>IF(AF269&lt;&gt;AG269,1,0)</f>
        <v/>
      </c>
      <c r="AJ269">
        <f>IF(AND(AG269&gt;=3,Z269&lt;=0.2),1,0)</f>
        <v/>
      </c>
      <c r="AK269">
        <f>AVERAGE(U269:Z269)</f>
        <v/>
      </c>
      <c r="AL269">
        <f>1+COUNTIF(bounds,"&lt;"&amp;ROUND(AK269,12))</f>
        <v/>
      </c>
      <c r="AM269">
        <f>IF(AI269=1,AB269,NA())</f>
        <v/>
      </c>
      <c r="AN269">
        <f>IF(AI269=0,AB269,NA())</f>
        <v/>
      </c>
    </row>
    <row r="270">
      <c r="A270" t="n">
        <v>262</v>
      </c>
      <c r="B270" t="n">
        <v>3</v>
      </c>
      <c r="C270" t="n">
        <v>2</v>
      </c>
      <c r="D270" t="n">
        <v>4</v>
      </c>
      <c r="E270" t="n">
        <v>4</v>
      </c>
      <c r="F270" t="n">
        <v>1</v>
      </c>
      <c r="G270" t="n">
        <v>2</v>
      </c>
      <c r="H270" t="n">
        <v>1</v>
      </c>
      <c r="I270" t="n">
        <v>4</v>
      </c>
      <c r="J270" t="n">
        <v>4</v>
      </c>
      <c r="K270" t="n">
        <v>4</v>
      </c>
      <c r="L270" t="n">
        <v>3</v>
      </c>
      <c r="M270" t="n">
        <v>2</v>
      </c>
      <c r="N270" t="n">
        <v>2</v>
      </c>
      <c r="O270" t="n">
        <v>2</v>
      </c>
      <c r="P270" t="n">
        <v>1</v>
      </c>
      <c r="Q270" t="n">
        <v>3</v>
      </c>
      <c r="R270" t="n">
        <v>1</v>
      </c>
      <c r="S270" t="n">
        <v>2</v>
      </c>
      <c r="T270" t="n">
        <v>5</v>
      </c>
      <c r="U270">
        <f>(AVERAGE(B270:D270)-1)/4</f>
        <v/>
      </c>
      <c r="V270">
        <f>(AVERAGE(E270:F270)-1)/4</f>
        <v/>
      </c>
      <c r="W270">
        <f>(AVERAGE(G270:I270)-1)/4</f>
        <v/>
      </c>
      <c r="X270">
        <f>(AVERAGE(J270:L270)-1)/4</f>
        <v/>
      </c>
      <c r="Y270">
        <f>(AVERAGE(M270:O270)-1)/4</f>
        <v/>
      </c>
      <c r="Z270">
        <f>(AVERAGE(P270:R270)-1)/4</f>
        <v/>
      </c>
      <c r="AA270">
        <f>(AVERAGE(S270:T270)-1)/4</f>
        <v/>
      </c>
      <c r="AB270">
        <f>AVERAGE(U270:Y270)</f>
        <v/>
      </c>
      <c r="AC270">
        <f>MIN(U270:Y270)</f>
        <v/>
      </c>
      <c r="AD270">
        <f>1-alpha*MAX(0,delta-AC270)</f>
        <v/>
      </c>
      <c r="AE270">
        <f>AB270*AD270</f>
        <v/>
      </c>
      <c r="AF270">
        <f>1+COUNTIF(bounds,"&lt;"&amp;ROUND(AB270,12))</f>
        <v/>
      </c>
      <c r="AG270">
        <f>1+COUNTIF(bounds,"&lt;"&amp;ROUND(AE270,12))</f>
        <v/>
      </c>
      <c r="AH270">
        <f>IF(AD270&lt;1,1,0)</f>
        <v/>
      </c>
      <c r="AI270">
        <f>IF(AF270&lt;&gt;AG270,1,0)</f>
        <v/>
      </c>
      <c r="AJ270">
        <f>IF(AND(AG270&gt;=3,Z270&lt;=0.2),1,0)</f>
        <v/>
      </c>
      <c r="AK270">
        <f>AVERAGE(U270:Z270)</f>
        <v/>
      </c>
      <c r="AL270">
        <f>1+COUNTIF(bounds,"&lt;"&amp;ROUND(AK270,12))</f>
        <v/>
      </c>
      <c r="AM270">
        <f>IF(AI270=1,AB270,NA())</f>
        <v/>
      </c>
      <c r="AN270">
        <f>IF(AI270=0,AB270,NA())</f>
        <v/>
      </c>
    </row>
    <row r="271">
      <c r="A271" t="n">
        <v>263</v>
      </c>
      <c r="B271" t="n">
        <v>5</v>
      </c>
      <c r="C271" t="n">
        <v>5</v>
      </c>
      <c r="D271" t="n">
        <v>1</v>
      </c>
      <c r="E271" t="n">
        <v>2</v>
      </c>
      <c r="F271" t="n">
        <v>3</v>
      </c>
      <c r="G271" t="n">
        <v>2</v>
      </c>
      <c r="H271" t="n">
        <v>4</v>
      </c>
      <c r="I271" t="n">
        <v>3</v>
      </c>
      <c r="J271" t="n">
        <v>4</v>
      </c>
      <c r="K271" t="n">
        <v>3</v>
      </c>
      <c r="L271" t="n">
        <v>3</v>
      </c>
      <c r="M271" t="n">
        <v>3</v>
      </c>
      <c r="N271" t="n">
        <v>2</v>
      </c>
      <c r="O271" t="n">
        <v>2</v>
      </c>
      <c r="P271" t="n">
        <v>4</v>
      </c>
      <c r="Q271" t="n">
        <v>2</v>
      </c>
      <c r="R271" t="n">
        <v>5</v>
      </c>
      <c r="S271" t="n">
        <v>4</v>
      </c>
      <c r="T271" t="n">
        <v>2</v>
      </c>
      <c r="U271">
        <f>(AVERAGE(B271:D271)-1)/4</f>
        <v/>
      </c>
      <c r="V271">
        <f>(AVERAGE(E271:F271)-1)/4</f>
        <v/>
      </c>
      <c r="W271">
        <f>(AVERAGE(G271:I271)-1)/4</f>
        <v/>
      </c>
      <c r="X271">
        <f>(AVERAGE(J271:L271)-1)/4</f>
        <v/>
      </c>
      <c r="Y271">
        <f>(AVERAGE(M271:O271)-1)/4</f>
        <v/>
      </c>
      <c r="Z271">
        <f>(AVERAGE(P271:R271)-1)/4</f>
        <v/>
      </c>
      <c r="AA271">
        <f>(AVERAGE(S271:T271)-1)/4</f>
        <v/>
      </c>
      <c r="AB271">
        <f>AVERAGE(U271:Y271)</f>
        <v/>
      </c>
      <c r="AC271">
        <f>MIN(U271:Y271)</f>
        <v/>
      </c>
      <c r="AD271">
        <f>1-alpha*MAX(0,delta-AC271)</f>
        <v/>
      </c>
      <c r="AE271">
        <f>AB271*AD271</f>
        <v/>
      </c>
      <c r="AF271">
        <f>1+COUNTIF(bounds,"&lt;"&amp;ROUND(AB271,12))</f>
        <v/>
      </c>
      <c r="AG271">
        <f>1+COUNTIF(bounds,"&lt;"&amp;ROUND(AE271,12))</f>
        <v/>
      </c>
      <c r="AH271">
        <f>IF(AD271&lt;1,1,0)</f>
        <v/>
      </c>
      <c r="AI271">
        <f>IF(AF271&lt;&gt;AG271,1,0)</f>
        <v/>
      </c>
      <c r="AJ271">
        <f>IF(AND(AG271&gt;=3,Z271&lt;=0.2),1,0)</f>
        <v/>
      </c>
      <c r="AK271">
        <f>AVERAGE(U271:Z271)</f>
        <v/>
      </c>
      <c r="AL271">
        <f>1+COUNTIF(bounds,"&lt;"&amp;ROUND(AK271,12))</f>
        <v/>
      </c>
      <c r="AM271">
        <f>IF(AI271=1,AB271,NA())</f>
        <v/>
      </c>
      <c r="AN271">
        <f>IF(AI271=0,AB271,NA())</f>
        <v/>
      </c>
    </row>
    <row r="272">
      <c r="A272" t="n">
        <v>264</v>
      </c>
      <c r="B272" t="n">
        <v>3</v>
      </c>
      <c r="C272" t="n">
        <v>1</v>
      </c>
      <c r="D272" t="n">
        <v>3</v>
      </c>
      <c r="E272" t="n">
        <v>1</v>
      </c>
      <c r="F272" t="n">
        <v>1</v>
      </c>
      <c r="G272" t="n">
        <v>2</v>
      </c>
      <c r="H272" t="n">
        <v>1</v>
      </c>
      <c r="I272" t="n">
        <v>4</v>
      </c>
      <c r="J272" t="n">
        <v>2</v>
      </c>
      <c r="K272" t="n">
        <v>1</v>
      </c>
      <c r="L272" t="n">
        <v>4</v>
      </c>
      <c r="M272" t="n">
        <v>1</v>
      </c>
      <c r="N272" t="n">
        <v>1</v>
      </c>
      <c r="O272" t="n">
        <v>5</v>
      </c>
      <c r="P272" t="n">
        <v>2</v>
      </c>
      <c r="Q272" t="n">
        <v>3</v>
      </c>
      <c r="R272" t="n">
        <v>3</v>
      </c>
      <c r="S272" t="n">
        <v>1</v>
      </c>
      <c r="T272" t="n">
        <v>4</v>
      </c>
      <c r="U272">
        <f>(AVERAGE(B272:D272)-1)/4</f>
        <v/>
      </c>
      <c r="V272">
        <f>(AVERAGE(E272:F272)-1)/4</f>
        <v/>
      </c>
      <c r="W272">
        <f>(AVERAGE(G272:I272)-1)/4</f>
        <v/>
      </c>
      <c r="X272">
        <f>(AVERAGE(J272:L272)-1)/4</f>
        <v/>
      </c>
      <c r="Y272">
        <f>(AVERAGE(M272:O272)-1)/4</f>
        <v/>
      </c>
      <c r="Z272">
        <f>(AVERAGE(P272:R272)-1)/4</f>
        <v/>
      </c>
      <c r="AA272">
        <f>(AVERAGE(S272:T272)-1)/4</f>
        <v/>
      </c>
      <c r="AB272">
        <f>AVERAGE(U272:Y272)</f>
        <v/>
      </c>
      <c r="AC272">
        <f>MIN(U272:Y272)</f>
        <v/>
      </c>
      <c r="AD272">
        <f>1-alpha*MAX(0,delta-AC272)</f>
        <v/>
      </c>
      <c r="AE272">
        <f>AB272*AD272</f>
        <v/>
      </c>
      <c r="AF272">
        <f>1+COUNTIF(bounds,"&lt;"&amp;ROUND(AB272,12))</f>
        <v/>
      </c>
      <c r="AG272">
        <f>1+COUNTIF(bounds,"&lt;"&amp;ROUND(AE272,12))</f>
        <v/>
      </c>
      <c r="AH272">
        <f>IF(AD272&lt;1,1,0)</f>
        <v/>
      </c>
      <c r="AI272">
        <f>IF(AF272&lt;&gt;AG272,1,0)</f>
        <v/>
      </c>
      <c r="AJ272">
        <f>IF(AND(AG272&gt;=3,Z272&lt;=0.2),1,0)</f>
        <v/>
      </c>
      <c r="AK272">
        <f>AVERAGE(U272:Z272)</f>
        <v/>
      </c>
      <c r="AL272">
        <f>1+COUNTIF(bounds,"&lt;"&amp;ROUND(AK272,12))</f>
        <v/>
      </c>
      <c r="AM272">
        <f>IF(AI272=1,AB272,NA())</f>
        <v/>
      </c>
      <c r="AN272">
        <f>IF(AI272=0,AB272,NA())</f>
        <v/>
      </c>
    </row>
    <row r="273">
      <c r="A273" t="n">
        <v>265</v>
      </c>
      <c r="B273" t="n">
        <v>3</v>
      </c>
      <c r="C273" t="n">
        <v>2</v>
      </c>
      <c r="D273" t="n">
        <v>5</v>
      </c>
      <c r="E273" t="n">
        <v>4</v>
      </c>
      <c r="F273" t="n">
        <v>3</v>
      </c>
      <c r="G273" t="n">
        <v>4</v>
      </c>
      <c r="H273" t="n">
        <v>3</v>
      </c>
      <c r="I273" t="n">
        <v>1</v>
      </c>
      <c r="J273" t="n">
        <v>3</v>
      </c>
      <c r="K273" t="n">
        <v>1</v>
      </c>
      <c r="L273" t="n">
        <v>3</v>
      </c>
      <c r="M273" t="n">
        <v>1</v>
      </c>
      <c r="N273" t="n">
        <v>5</v>
      </c>
      <c r="O273" t="n">
        <v>5</v>
      </c>
      <c r="P273" t="n">
        <v>1</v>
      </c>
      <c r="Q273" t="n">
        <v>3</v>
      </c>
      <c r="R273" t="n">
        <v>4</v>
      </c>
      <c r="S273" t="n">
        <v>1</v>
      </c>
      <c r="T273" t="n">
        <v>3</v>
      </c>
      <c r="U273">
        <f>(AVERAGE(B273:D273)-1)/4</f>
        <v/>
      </c>
      <c r="V273">
        <f>(AVERAGE(E273:F273)-1)/4</f>
        <v/>
      </c>
      <c r="W273">
        <f>(AVERAGE(G273:I273)-1)/4</f>
        <v/>
      </c>
      <c r="X273">
        <f>(AVERAGE(J273:L273)-1)/4</f>
        <v/>
      </c>
      <c r="Y273">
        <f>(AVERAGE(M273:O273)-1)/4</f>
        <v/>
      </c>
      <c r="Z273">
        <f>(AVERAGE(P273:R273)-1)/4</f>
        <v/>
      </c>
      <c r="AA273">
        <f>(AVERAGE(S273:T273)-1)/4</f>
        <v/>
      </c>
      <c r="AB273">
        <f>AVERAGE(U273:Y273)</f>
        <v/>
      </c>
      <c r="AC273">
        <f>MIN(U273:Y273)</f>
        <v/>
      </c>
      <c r="AD273">
        <f>1-alpha*MAX(0,delta-AC273)</f>
        <v/>
      </c>
      <c r="AE273">
        <f>AB273*AD273</f>
        <v/>
      </c>
      <c r="AF273">
        <f>1+COUNTIF(bounds,"&lt;"&amp;ROUND(AB273,12))</f>
        <v/>
      </c>
      <c r="AG273">
        <f>1+COUNTIF(bounds,"&lt;"&amp;ROUND(AE273,12))</f>
        <v/>
      </c>
      <c r="AH273">
        <f>IF(AD273&lt;1,1,0)</f>
        <v/>
      </c>
      <c r="AI273">
        <f>IF(AF273&lt;&gt;AG273,1,0)</f>
        <v/>
      </c>
      <c r="AJ273">
        <f>IF(AND(AG273&gt;=3,Z273&lt;=0.2),1,0)</f>
        <v/>
      </c>
      <c r="AK273">
        <f>AVERAGE(U273:Z273)</f>
        <v/>
      </c>
      <c r="AL273">
        <f>1+COUNTIF(bounds,"&lt;"&amp;ROUND(AK273,12))</f>
        <v/>
      </c>
      <c r="AM273">
        <f>IF(AI273=1,AB273,NA())</f>
        <v/>
      </c>
      <c r="AN273">
        <f>IF(AI273=0,AB273,NA())</f>
        <v/>
      </c>
    </row>
    <row r="274">
      <c r="A274" t="n">
        <v>266</v>
      </c>
      <c r="B274" t="n">
        <v>4</v>
      </c>
      <c r="C274" t="n">
        <v>2</v>
      </c>
      <c r="D274" t="n">
        <v>4</v>
      </c>
      <c r="E274" t="n">
        <v>2</v>
      </c>
      <c r="F274" t="n">
        <v>2</v>
      </c>
      <c r="G274" t="n">
        <v>1</v>
      </c>
      <c r="H274" t="n">
        <v>5</v>
      </c>
      <c r="I274" t="n">
        <v>3</v>
      </c>
      <c r="J274" t="n">
        <v>3</v>
      </c>
      <c r="K274" t="n">
        <v>4</v>
      </c>
      <c r="L274" t="n">
        <v>1</v>
      </c>
      <c r="M274" t="n">
        <v>2</v>
      </c>
      <c r="N274" t="n">
        <v>5</v>
      </c>
      <c r="O274" t="n">
        <v>3</v>
      </c>
      <c r="P274" t="n">
        <v>5</v>
      </c>
      <c r="Q274" t="n">
        <v>2</v>
      </c>
      <c r="R274" t="n">
        <v>4</v>
      </c>
      <c r="S274" t="n">
        <v>3</v>
      </c>
      <c r="T274" t="n">
        <v>5</v>
      </c>
      <c r="U274">
        <f>(AVERAGE(B274:D274)-1)/4</f>
        <v/>
      </c>
      <c r="V274">
        <f>(AVERAGE(E274:F274)-1)/4</f>
        <v/>
      </c>
      <c r="W274">
        <f>(AVERAGE(G274:I274)-1)/4</f>
        <v/>
      </c>
      <c r="X274">
        <f>(AVERAGE(J274:L274)-1)/4</f>
        <v/>
      </c>
      <c r="Y274">
        <f>(AVERAGE(M274:O274)-1)/4</f>
        <v/>
      </c>
      <c r="Z274">
        <f>(AVERAGE(P274:R274)-1)/4</f>
        <v/>
      </c>
      <c r="AA274">
        <f>(AVERAGE(S274:T274)-1)/4</f>
        <v/>
      </c>
      <c r="AB274">
        <f>AVERAGE(U274:Y274)</f>
        <v/>
      </c>
      <c r="AC274">
        <f>MIN(U274:Y274)</f>
        <v/>
      </c>
      <c r="AD274">
        <f>1-alpha*MAX(0,delta-AC274)</f>
        <v/>
      </c>
      <c r="AE274">
        <f>AB274*AD274</f>
        <v/>
      </c>
      <c r="AF274">
        <f>1+COUNTIF(bounds,"&lt;"&amp;ROUND(AB274,12))</f>
        <v/>
      </c>
      <c r="AG274">
        <f>1+COUNTIF(bounds,"&lt;"&amp;ROUND(AE274,12))</f>
        <v/>
      </c>
      <c r="AH274">
        <f>IF(AD274&lt;1,1,0)</f>
        <v/>
      </c>
      <c r="AI274">
        <f>IF(AF274&lt;&gt;AG274,1,0)</f>
        <v/>
      </c>
      <c r="AJ274">
        <f>IF(AND(AG274&gt;=3,Z274&lt;=0.2),1,0)</f>
        <v/>
      </c>
      <c r="AK274">
        <f>AVERAGE(U274:Z274)</f>
        <v/>
      </c>
      <c r="AL274">
        <f>1+COUNTIF(bounds,"&lt;"&amp;ROUND(AK274,12))</f>
        <v/>
      </c>
      <c r="AM274">
        <f>IF(AI274=1,AB274,NA())</f>
        <v/>
      </c>
      <c r="AN274">
        <f>IF(AI274=0,AB274,NA())</f>
        <v/>
      </c>
    </row>
    <row r="275">
      <c r="A275" t="n">
        <v>267</v>
      </c>
      <c r="B275" t="n">
        <v>2</v>
      </c>
      <c r="C275" t="n">
        <v>2</v>
      </c>
      <c r="D275" t="n">
        <v>4</v>
      </c>
      <c r="E275" t="n">
        <v>1</v>
      </c>
      <c r="F275" t="n">
        <v>3</v>
      </c>
      <c r="G275" t="n">
        <v>3</v>
      </c>
      <c r="H275" t="n">
        <v>3</v>
      </c>
      <c r="I275" t="n">
        <v>5</v>
      </c>
      <c r="J275" t="n">
        <v>4</v>
      </c>
      <c r="K275" t="n">
        <v>3</v>
      </c>
      <c r="L275" t="n">
        <v>1</v>
      </c>
      <c r="M275" t="n">
        <v>2</v>
      </c>
      <c r="N275" t="n">
        <v>4</v>
      </c>
      <c r="O275" t="n">
        <v>1</v>
      </c>
      <c r="P275" t="n">
        <v>3</v>
      </c>
      <c r="Q275" t="n">
        <v>1</v>
      </c>
      <c r="R275" t="n">
        <v>1</v>
      </c>
      <c r="S275" t="n">
        <v>3</v>
      </c>
      <c r="T275" t="n">
        <v>1</v>
      </c>
      <c r="U275">
        <f>(AVERAGE(B275:D275)-1)/4</f>
        <v/>
      </c>
      <c r="V275">
        <f>(AVERAGE(E275:F275)-1)/4</f>
        <v/>
      </c>
      <c r="W275">
        <f>(AVERAGE(G275:I275)-1)/4</f>
        <v/>
      </c>
      <c r="X275">
        <f>(AVERAGE(J275:L275)-1)/4</f>
        <v/>
      </c>
      <c r="Y275">
        <f>(AVERAGE(M275:O275)-1)/4</f>
        <v/>
      </c>
      <c r="Z275">
        <f>(AVERAGE(P275:R275)-1)/4</f>
        <v/>
      </c>
      <c r="AA275">
        <f>(AVERAGE(S275:T275)-1)/4</f>
        <v/>
      </c>
      <c r="AB275">
        <f>AVERAGE(U275:Y275)</f>
        <v/>
      </c>
      <c r="AC275">
        <f>MIN(U275:Y275)</f>
        <v/>
      </c>
      <c r="AD275">
        <f>1-alpha*MAX(0,delta-AC275)</f>
        <v/>
      </c>
      <c r="AE275">
        <f>AB275*AD275</f>
        <v/>
      </c>
      <c r="AF275">
        <f>1+COUNTIF(bounds,"&lt;"&amp;ROUND(AB275,12))</f>
        <v/>
      </c>
      <c r="AG275">
        <f>1+COUNTIF(bounds,"&lt;"&amp;ROUND(AE275,12))</f>
        <v/>
      </c>
      <c r="AH275">
        <f>IF(AD275&lt;1,1,0)</f>
        <v/>
      </c>
      <c r="AI275">
        <f>IF(AF275&lt;&gt;AG275,1,0)</f>
        <v/>
      </c>
      <c r="AJ275">
        <f>IF(AND(AG275&gt;=3,Z275&lt;=0.2),1,0)</f>
        <v/>
      </c>
      <c r="AK275">
        <f>AVERAGE(U275:Z275)</f>
        <v/>
      </c>
      <c r="AL275">
        <f>1+COUNTIF(bounds,"&lt;"&amp;ROUND(AK275,12))</f>
        <v/>
      </c>
      <c r="AM275">
        <f>IF(AI275=1,AB275,NA())</f>
        <v/>
      </c>
      <c r="AN275">
        <f>IF(AI275=0,AB275,NA())</f>
        <v/>
      </c>
    </row>
    <row r="276">
      <c r="A276" t="n">
        <v>268</v>
      </c>
      <c r="B276" t="n">
        <v>4</v>
      </c>
      <c r="C276" t="n">
        <v>4</v>
      </c>
      <c r="D276" t="n">
        <v>2</v>
      </c>
      <c r="E276" t="n">
        <v>5</v>
      </c>
      <c r="F276" t="n">
        <v>1</v>
      </c>
      <c r="G276" t="n">
        <v>5</v>
      </c>
      <c r="H276" t="n">
        <v>3</v>
      </c>
      <c r="I276" t="n">
        <v>2</v>
      </c>
      <c r="J276" t="n">
        <v>1</v>
      </c>
      <c r="K276" t="n">
        <v>1</v>
      </c>
      <c r="L276" t="n">
        <v>1</v>
      </c>
      <c r="M276" t="n">
        <v>5</v>
      </c>
      <c r="N276" t="n">
        <v>4</v>
      </c>
      <c r="O276" t="n">
        <v>1</v>
      </c>
      <c r="P276" t="n">
        <v>1</v>
      </c>
      <c r="Q276" t="n">
        <v>1</v>
      </c>
      <c r="R276" t="n">
        <v>1</v>
      </c>
      <c r="S276" t="n">
        <v>5</v>
      </c>
      <c r="T276" t="n">
        <v>4</v>
      </c>
      <c r="U276">
        <f>(AVERAGE(B276:D276)-1)/4</f>
        <v/>
      </c>
      <c r="V276">
        <f>(AVERAGE(E276:F276)-1)/4</f>
        <v/>
      </c>
      <c r="W276">
        <f>(AVERAGE(G276:I276)-1)/4</f>
        <v/>
      </c>
      <c r="X276">
        <f>(AVERAGE(J276:L276)-1)/4</f>
        <v/>
      </c>
      <c r="Y276">
        <f>(AVERAGE(M276:O276)-1)/4</f>
        <v/>
      </c>
      <c r="Z276">
        <f>(AVERAGE(P276:R276)-1)/4</f>
        <v/>
      </c>
      <c r="AA276">
        <f>(AVERAGE(S276:T276)-1)/4</f>
        <v/>
      </c>
      <c r="AB276">
        <f>AVERAGE(U276:Y276)</f>
        <v/>
      </c>
      <c r="AC276">
        <f>MIN(U276:Y276)</f>
        <v/>
      </c>
      <c r="AD276">
        <f>1-alpha*MAX(0,delta-AC276)</f>
        <v/>
      </c>
      <c r="AE276">
        <f>AB276*AD276</f>
        <v/>
      </c>
      <c r="AF276">
        <f>1+COUNTIF(bounds,"&lt;"&amp;ROUND(AB276,12))</f>
        <v/>
      </c>
      <c r="AG276">
        <f>1+COUNTIF(bounds,"&lt;"&amp;ROUND(AE276,12))</f>
        <v/>
      </c>
      <c r="AH276">
        <f>IF(AD276&lt;1,1,0)</f>
        <v/>
      </c>
      <c r="AI276">
        <f>IF(AF276&lt;&gt;AG276,1,0)</f>
        <v/>
      </c>
      <c r="AJ276">
        <f>IF(AND(AG276&gt;=3,Z276&lt;=0.2),1,0)</f>
        <v/>
      </c>
      <c r="AK276">
        <f>AVERAGE(U276:Z276)</f>
        <v/>
      </c>
      <c r="AL276">
        <f>1+COUNTIF(bounds,"&lt;"&amp;ROUND(AK276,12))</f>
        <v/>
      </c>
      <c r="AM276">
        <f>IF(AI276=1,AB276,NA())</f>
        <v/>
      </c>
      <c r="AN276">
        <f>IF(AI276=0,AB276,NA())</f>
        <v/>
      </c>
    </row>
    <row r="277">
      <c r="A277" t="n">
        <v>269</v>
      </c>
      <c r="B277" t="n">
        <v>1</v>
      </c>
      <c r="C277" t="n">
        <v>3</v>
      </c>
      <c r="D277" t="n">
        <v>4</v>
      </c>
      <c r="E277" t="n">
        <v>5</v>
      </c>
      <c r="F277" t="n">
        <v>3</v>
      </c>
      <c r="G277" t="n">
        <v>4</v>
      </c>
      <c r="H277" t="n">
        <v>2</v>
      </c>
      <c r="I277" t="n">
        <v>4</v>
      </c>
      <c r="J277" t="n">
        <v>2</v>
      </c>
      <c r="K277" t="n">
        <v>5</v>
      </c>
      <c r="L277" t="n">
        <v>2</v>
      </c>
      <c r="M277" t="n">
        <v>3</v>
      </c>
      <c r="N277" t="n">
        <v>1</v>
      </c>
      <c r="O277" t="n">
        <v>2</v>
      </c>
      <c r="P277" t="n">
        <v>1</v>
      </c>
      <c r="Q277" t="n">
        <v>5</v>
      </c>
      <c r="R277" t="n">
        <v>3</v>
      </c>
      <c r="S277" t="n">
        <v>4</v>
      </c>
      <c r="T277" t="n">
        <v>4</v>
      </c>
      <c r="U277">
        <f>(AVERAGE(B277:D277)-1)/4</f>
        <v/>
      </c>
      <c r="V277">
        <f>(AVERAGE(E277:F277)-1)/4</f>
        <v/>
      </c>
      <c r="W277">
        <f>(AVERAGE(G277:I277)-1)/4</f>
        <v/>
      </c>
      <c r="X277">
        <f>(AVERAGE(J277:L277)-1)/4</f>
        <v/>
      </c>
      <c r="Y277">
        <f>(AVERAGE(M277:O277)-1)/4</f>
        <v/>
      </c>
      <c r="Z277">
        <f>(AVERAGE(P277:R277)-1)/4</f>
        <v/>
      </c>
      <c r="AA277">
        <f>(AVERAGE(S277:T277)-1)/4</f>
        <v/>
      </c>
      <c r="AB277">
        <f>AVERAGE(U277:Y277)</f>
        <v/>
      </c>
      <c r="AC277">
        <f>MIN(U277:Y277)</f>
        <v/>
      </c>
      <c r="AD277">
        <f>1-alpha*MAX(0,delta-AC277)</f>
        <v/>
      </c>
      <c r="AE277">
        <f>AB277*AD277</f>
        <v/>
      </c>
      <c r="AF277">
        <f>1+COUNTIF(bounds,"&lt;"&amp;ROUND(AB277,12))</f>
        <v/>
      </c>
      <c r="AG277">
        <f>1+COUNTIF(bounds,"&lt;"&amp;ROUND(AE277,12))</f>
        <v/>
      </c>
      <c r="AH277">
        <f>IF(AD277&lt;1,1,0)</f>
        <v/>
      </c>
      <c r="AI277">
        <f>IF(AF277&lt;&gt;AG277,1,0)</f>
        <v/>
      </c>
      <c r="AJ277">
        <f>IF(AND(AG277&gt;=3,Z277&lt;=0.2),1,0)</f>
        <v/>
      </c>
      <c r="AK277">
        <f>AVERAGE(U277:Z277)</f>
        <v/>
      </c>
      <c r="AL277">
        <f>1+COUNTIF(bounds,"&lt;"&amp;ROUND(AK277,12))</f>
        <v/>
      </c>
      <c r="AM277">
        <f>IF(AI277=1,AB277,NA())</f>
        <v/>
      </c>
      <c r="AN277">
        <f>IF(AI277=0,AB277,NA())</f>
        <v/>
      </c>
    </row>
    <row r="278">
      <c r="A278" t="n">
        <v>270</v>
      </c>
      <c r="B278" t="n">
        <v>5</v>
      </c>
      <c r="C278" t="n">
        <v>5</v>
      </c>
      <c r="D278" t="n">
        <v>5</v>
      </c>
      <c r="E278" t="n">
        <v>4</v>
      </c>
      <c r="F278" t="n">
        <v>1</v>
      </c>
      <c r="G278" t="n">
        <v>5</v>
      </c>
      <c r="H278" t="n">
        <v>2</v>
      </c>
      <c r="I278" t="n">
        <v>1</v>
      </c>
      <c r="J278" t="n">
        <v>1</v>
      </c>
      <c r="K278" t="n">
        <v>3</v>
      </c>
      <c r="L278" t="n">
        <v>5</v>
      </c>
      <c r="M278" t="n">
        <v>4</v>
      </c>
      <c r="N278" t="n">
        <v>5</v>
      </c>
      <c r="O278" t="n">
        <v>4</v>
      </c>
      <c r="P278" t="n">
        <v>3</v>
      </c>
      <c r="Q278" t="n">
        <v>3</v>
      </c>
      <c r="R278" t="n">
        <v>5</v>
      </c>
      <c r="S278" t="n">
        <v>2</v>
      </c>
      <c r="T278" t="n">
        <v>2</v>
      </c>
      <c r="U278">
        <f>(AVERAGE(B278:D278)-1)/4</f>
        <v/>
      </c>
      <c r="V278">
        <f>(AVERAGE(E278:F278)-1)/4</f>
        <v/>
      </c>
      <c r="W278">
        <f>(AVERAGE(G278:I278)-1)/4</f>
        <v/>
      </c>
      <c r="X278">
        <f>(AVERAGE(J278:L278)-1)/4</f>
        <v/>
      </c>
      <c r="Y278">
        <f>(AVERAGE(M278:O278)-1)/4</f>
        <v/>
      </c>
      <c r="Z278">
        <f>(AVERAGE(P278:R278)-1)/4</f>
        <v/>
      </c>
      <c r="AA278">
        <f>(AVERAGE(S278:T278)-1)/4</f>
        <v/>
      </c>
      <c r="AB278">
        <f>AVERAGE(U278:Y278)</f>
        <v/>
      </c>
      <c r="AC278">
        <f>MIN(U278:Y278)</f>
        <v/>
      </c>
      <c r="AD278">
        <f>1-alpha*MAX(0,delta-AC278)</f>
        <v/>
      </c>
      <c r="AE278">
        <f>AB278*AD278</f>
        <v/>
      </c>
      <c r="AF278">
        <f>1+COUNTIF(bounds,"&lt;"&amp;ROUND(AB278,12))</f>
        <v/>
      </c>
      <c r="AG278">
        <f>1+COUNTIF(bounds,"&lt;"&amp;ROUND(AE278,12))</f>
        <v/>
      </c>
      <c r="AH278">
        <f>IF(AD278&lt;1,1,0)</f>
        <v/>
      </c>
      <c r="AI278">
        <f>IF(AF278&lt;&gt;AG278,1,0)</f>
        <v/>
      </c>
      <c r="AJ278">
        <f>IF(AND(AG278&gt;=3,Z278&lt;=0.2),1,0)</f>
        <v/>
      </c>
      <c r="AK278">
        <f>AVERAGE(U278:Z278)</f>
        <v/>
      </c>
      <c r="AL278">
        <f>1+COUNTIF(bounds,"&lt;"&amp;ROUND(AK278,12))</f>
        <v/>
      </c>
      <c r="AM278">
        <f>IF(AI278=1,AB278,NA())</f>
        <v/>
      </c>
      <c r="AN278">
        <f>IF(AI278=0,AB278,NA())</f>
        <v/>
      </c>
    </row>
    <row r="279">
      <c r="A279" t="n">
        <v>271</v>
      </c>
      <c r="B279" t="n">
        <v>2</v>
      </c>
      <c r="C279" t="n">
        <v>5</v>
      </c>
      <c r="D279" t="n">
        <v>5</v>
      </c>
      <c r="E279" t="n">
        <v>2</v>
      </c>
      <c r="F279" t="n">
        <v>1</v>
      </c>
      <c r="G279" t="n">
        <v>2</v>
      </c>
      <c r="H279" t="n">
        <v>5</v>
      </c>
      <c r="I279" t="n">
        <v>5</v>
      </c>
      <c r="J279" t="n">
        <v>5</v>
      </c>
      <c r="K279" t="n">
        <v>1</v>
      </c>
      <c r="L279" t="n">
        <v>5</v>
      </c>
      <c r="M279" t="n">
        <v>2</v>
      </c>
      <c r="N279" t="n">
        <v>1</v>
      </c>
      <c r="O279" t="n">
        <v>1</v>
      </c>
      <c r="P279" t="n">
        <v>1</v>
      </c>
      <c r="Q279" t="n">
        <v>3</v>
      </c>
      <c r="R279" t="n">
        <v>5</v>
      </c>
      <c r="S279" t="n">
        <v>1</v>
      </c>
      <c r="T279" t="n">
        <v>1</v>
      </c>
      <c r="U279">
        <f>(AVERAGE(B279:D279)-1)/4</f>
        <v/>
      </c>
      <c r="V279">
        <f>(AVERAGE(E279:F279)-1)/4</f>
        <v/>
      </c>
      <c r="W279">
        <f>(AVERAGE(G279:I279)-1)/4</f>
        <v/>
      </c>
      <c r="X279">
        <f>(AVERAGE(J279:L279)-1)/4</f>
        <v/>
      </c>
      <c r="Y279">
        <f>(AVERAGE(M279:O279)-1)/4</f>
        <v/>
      </c>
      <c r="Z279">
        <f>(AVERAGE(P279:R279)-1)/4</f>
        <v/>
      </c>
      <c r="AA279">
        <f>(AVERAGE(S279:T279)-1)/4</f>
        <v/>
      </c>
      <c r="AB279">
        <f>AVERAGE(U279:Y279)</f>
        <v/>
      </c>
      <c r="AC279">
        <f>MIN(U279:Y279)</f>
        <v/>
      </c>
      <c r="AD279">
        <f>1-alpha*MAX(0,delta-AC279)</f>
        <v/>
      </c>
      <c r="AE279">
        <f>AB279*AD279</f>
        <v/>
      </c>
      <c r="AF279">
        <f>1+COUNTIF(bounds,"&lt;"&amp;ROUND(AB279,12))</f>
        <v/>
      </c>
      <c r="AG279">
        <f>1+COUNTIF(bounds,"&lt;"&amp;ROUND(AE279,12))</f>
        <v/>
      </c>
      <c r="AH279">
        <f>IF(AD279&lt;1,1,0)</f>
        <v/>
      </c>
      <c r="AI279">
        <f>IF(AF279&lt;&gt;AG279,1,0)</f>
        <v/>
      </c>
      <c r="AJ279">
        <f>IF(AND(AG279&gt;=3,Z279&lt;=0.2),1,0)</f>
        <v/>
      </c>
      <c r="AK279">
        <f>AVERAGE(U279:Z279)</f>
        <v/>
      </c>
      <c r="AL279">
        <f>1+COUNTIF(bounds,"&lt;"&amp;ROUND(AK279,12))</f>
        <v/>
      </c>
      <c r="AM279">
        <f>IF(AI279=1,AB279,NA())</f>
        <v/>
      </c>
      <c r="AN279">
        <f>IF(AI279=0,AB279,NA())</f>
        <v/>
      </c>
    </row>
    <row r="280">
      <c r="A280" t="n">
        <v>272</v>
      </c>
      <c r="B280" t="n">
        <v>2</v>
      </c>
      <c r="C280" t="n">
        <v>1</v>
      </c>
      <c r="D280" t="n">
        <v>1</v>
      </c>
      <c r="E280" t="n">
        <v>1</v>
      </c>
      <c r="F280" t="n">
        <v>3</v>
      </c>
      <c r="G280" t="n">
        <v>1</v>
      </c>
      <c r="H280" t="n">
        <v>1</v>
      </c>
      <c r="I280" t="n">
        <v>4</v>
      </c>
      <c r="J280" t="n">
        <v>4</v>
      </c>
      <c r="K280" t="n">
        <v>4</v>
      </c>
      <c r="L280" t="n">
        <v>5</v>
      </c>
      <c r="M280" t="n">
        <v>3</v>
      </c>
      <c r="N280" t="n">
        <v>4</v>
      </c>
      <c r="O280" t="n">
        <v>3</v>
      </c>
      <c r="P280" t="n">
        <v>3</v>
      </c>
      <c r="Q280" t="n">
        <v>5</v>
      </c>
      <c r="R280" t="n">
        <v>2</v>
      </c>
      <c r="S280" t="n">
        <v>4</v>
      </c>
      <c r="T280" t="n">
        <v>2</v>
      </c>
      <c r="U280">
        <f>(AVERAGE(B280:D280)-1)/4</f>
        <v/>
      </c>
      <c r="V280">
        <f>(AVERAGE(E280:F280)-1)/4</f>
        <v/>
      </c>
      <c r="W280">
        <f>(AVERAGE(G280:I280)-1)/4</f>
        <v/>
      </c>
      <c r="X280">
        <f>(AVERAGE(J280:L280)-1)/4</f>
        <v/>
      </c>
      <c r="Y280">
        <f>(AVERAGE(M280:O280)-1)/4</f>
        <v/>
      </c>
      <c r="Z280">
        <f>(AVERAGE(P280:R280)-1)/4</f>
        <v/>
      </c>
      <c r="AA280">
        <f>(AVERAGE(S280:T280)-1)/4</f>
        <v/>
      </c>
      <c r="AB280">
        <f>AVERAGE(U280:Y280)</f>
        <v/>
      </c>
      <c r="AC280">
        <f>MIN(U280:Y280)</f>
        <v/>
      </c>
      <c r="AD280">
        <f>1-alpha*MAX(0,delta-AC280)</f>
        <v/>
      </c>
      <c r="AE280">
        <f>AB280*AD280</f>
        <v/>
      </c>
      <c r="AF280">
        <f>1+COUNTIF(bounds,"&lt;"&amp;ROUND(AB280,12))</f>
        <v/>
      </c>
      <c r="AG280">
        <f>1+COUNTIF(bounds,"&lt;"&amp;ROUND(AE280,12))</f>
        <v/>
      </c>
      <c r="AH280">
        <f>IF(AD280&lt;1,1,0)</f>
        <v/>
      </c>
      <c r="AI280">
        <f>IF(AF280&lt;&gt;AG280,1,0)</f>
        <v/>
      </c>
      <c r="AJ280">
        <f>IF(AND(AG280&gt;=3,Z280&lt;=0.2),1,0)</f>
        <v/>
      </c>
      <c r="AK280">
        <f>AVERAGE(U280:Z280)</f>
        <v/>
      </c>
      <c r="AL280">
        <f>1+COUNTIF(bounds,"&lt;"&amp;ROUND(AK280,12))</f>
        <v/>
      </c>
      <c r="AM280">
        <f>IF(AI280=1,AB280,NA())</f>
        <v/>
      </c>
      <c r="AN280">
        <f>IF(AI280=0,AB280,NA())</f>
        <v/>
      </c>
    </row>
    <row r="281">
      <c r="A281" t="n">
        <v>273</v>
      </c>
      <c r="B281" t="n">
        <v>4</v>
      </c>
      <c r="C281" t="n">
        <v>5</v>
      </c>
      <c r="D281" t="n">
        <v>2</v>
      </c>
      <c r="E281" t="n">
        <v>2</v>
      </c>
      <c r="F281" t="n">
        <v>4</v>
      </c>
      <c r="G281" t="n">
        <v>2</v>
      </c>
      <c r="H281" t="n">
        <v>2</v>
      </c>
      <c r="I281" t="n">
        <v>1</v>
      </c>
      <c r="J281" t="n">
        <v>5</v>
      </c>
      <c r="K281" t="n">
        <v>3</v>
      </c>
      <c r="L281" t="n">
        <v>5</v>
      </c>
      <c r="M281" t="n">
        <v>5</v>
      </c>
      <c r="N281" t="n">
        <v>2</v>
      </c>
      <c r="O281" t="n">
        <v>2</v>
      </c>
      <c r="P281" t="n">
        <v>5</v>
      </c>
      <c r="Q281" t="n">
        <v>2</v>
      </c>
      <c r="R281" t="n">
        <v>2</v>
      </c>
      <c r="S281" t="n">
        <v>2</v>
      </c>
      <c r="T281" t="n">
        <v>5</v>
      </c>
      <c r="U281">
        <f>(AVERAGE(B281:D281)-1)/4</f>
        <v/>
      </c>
      <c r="V281">
        <f>(AVERAGE(E281:F281)-1)/4</f>
        <v/>
      </c>
      <c r="W281">
        <f>(AVERAGE(G281:I281)-1)/4</f>
        <v/>
      </c>
      <c r="X281">
        <f>(AVERAGE(J281:L281)-1)/4</f>
        <v/>
      </c>
      <c r="Y281">
        <f>(AVERAGE(M281:O281)-1)/4</f>
        <v/>
      </c>
      <c r="Z281">
        <f>(AVERAGE(P281:R281)-1)/4</f>
        <v/>
      </c>
      <c r="AA281">
        <f>(AVERAGE(S281:T281)-1)/4</f>
        <v/>
      </c>
      <c r="AB281">
        <f>AVERAGE(U281:Y281)</f>
        <v/>
      </c>
      <c r="AC281">
        <f>MIN(U281:Y281)</f>
        <v/>
      </c>
      <c r="AD281">
        <f>1-alpha*MAX(0,delta-AC281)</f>
        <v/>
      </c>
      <c r="AE281">
        <f>AB281*AD281</f>
        <v/>
      </c>
      <c r="AF281">
        <f>1+COUNTIF(bounds,"&lt;"&amp;ROUND(AB281,12))</f>
        <v/>
      </c>
      <c r="AG281">
        <f>1+COUNTIF(bounds,"&lt;"&amp;ROUND(AE281,12))</f>
        <v/>
      </c>
      <c r="AH281">
        <f>IF(AD281&lt;1,1,0)</f>
        <v/>
      </c>
      <c r="AI281">
        <f>IF(AF281&lt;&gt;AG281,1,0)</f>
        <v/>
      </c>
      <c r="AJ281">
        <f>IF(AND(AG281&gt;=3,Z281&lt;=0.2),1,0)</f>
        <v/>
      </c>
      <c r="AK281">
        <f>AVERAGE(U281:Z281)</f>
        <v/>
      </c>
      <c r="AL281">
        <f>1+COUNTIF(bounds,"&lt;"&amp;ROUND(AK281,12))</f>
        <v/>
      </c>
      <c r="AM281">
        <f>IF(AI281=1,AB281,NA())</f>
        <v/>
      </c>
      <c r="AN281">
        <f>IF(AI281=0,AB281,NA())</f>
        <v/>
      </c>
    </row>
    <row r="282">
      <c r="A282" t="n">
        <v>274</v>
      </c>
      <c r="B282" t="n">
        <v>5</v>
      </c>
      <c r="C282" t="n">
        <v>2</v>
      </c>
      <c r="D282" t="n">
        <v>4</v>
      </c>
      <c r="E282" t="n">
        <v>2</v>
      </c>
      <c r="F282" t="n">
        <v>4</v>
      </c>
      <c r="G282" t="n">
        <v>5</v>
      </c>
      <c r="H282" t="n">
        <v>2</v>
      </c>
      <c r="I282" t="n">
        <v>1</v>
      </c>
      <c r="J282" t="n">
        <v>5</v>
      </c>
      <c r="K282" t="n">
        <v>1</v>
      </c>
      <c r="L282" t="n">
        <v>2</v>
      </c>
      <c r="M282" t="n">
        <v>4</v>
      </c>
      <c r="N282" t="n">
        <v>3</v>
      </c>
      <c r="O282" t="n">
        <v>2</v>
      </c>
      <c r="P282" t="n">
        <v>5</v>
      </c>
      <c r="Q282" t="n">
        <v>1</v>
      </c>
      <c r="R282" t="n">
        <v>2</v>
      </c>
      <c r="S282" t="n">
        <v>5</v>
      </c>
      <c r="T282" t="n">
        <v>5</v>
      </c>
      <c r="U282">
        <f>(AVERAGE(B282:D282)-1)/4</f>
        <v/>
      </c>
      <c r="V282">
        <f>(AVERAGE(E282:F282)-1)/4</f>
        <v/>
      </c>
      <c r="W282">
        <f>(AVERAGE(G282:I282)-1)/4</f>
        <v/>
      </c>
      <c r="X282">
        <f>(AVERAGE(J282:L282)-1)/4</f>
        <v/>
      </c>
      <c r="Y282">
        <f>(AVERAGE(M282:O282)-1)/4</f>
        <v/>
      </c>
      <c r="Z282">
        <f>(AVERAGE(P282:R282)-1)/4</f>
        <v/>
      </c>
      <c r="AA282">
        <f>(AVERAGE(S282:T282)-1)/4</f>
        <v/>
      </c>
      <c r="AB282">
        <f>AVERAGE(U282:Y282)</f>
        <v/>
      </c>
      <c r="AC282">
        <f>MIN(U282:Y282)</f>
        <v/>
      </c>
      <c r="AD282">
        <f>1-alpha*MAX(0,delta-AC282)</f>
        <v/>
      </c>
      <c r="AE282">
        <f>AB282*AD282</f>
        <v/>
      </c>
      <c r="AF282">
        <f>1+COUNTIF(bounds,"&lt;"&amp;ROUND(AB282,12))</f>
        <v/>
      </c>
      <c r="AG282">
        <f>1+COUNTIF(bounds,"&lt;"&amp;ROUND(AE282,12))</f>
        <v/>
      </c>
      <c r="AH282">
        <f>IF(AD282&lt;1,1,0)</f>
        <v/>
      </c>
      <c r="AI282">
        <f>IF(AF282&lt;&gt;AG282,1,0)</f>
        <v/>
      </c>
      <c r="AJ282">
        <f>IF(AND(AG282&gt;=3,Z282&lt;=0.2),1,0)</f>
        <v/>
      </c>
      <c r="AK282">
        <f>AVERAGE(U282:Z282)</f>
        <v/>
      </c>
      <c r="AL282">
        <f>1+COUNTIF(bounds,"&lt;"&amp;ROUND(AK282,12))</f>
        <v/>
      </c>
      <c r="AM282">
        <f>IF(AI282=1,AB282,NA())</f>
        <v/>
      </c>
      <c r="AN282">
        <f>IF(AI282=0,AB282,NA())</f>
        <v/>
      </c>
    </row>
    <row r="283">
      <c r="A283" t="n">
        <v>275</v>
      </c>
      <c r="B283" t="n">
        <v>1</v>
      </c>
      <c r="C283" t="n">
        <v>4</v>
      </c>
      <c r="D283" t="n">
        <v>1</v>
      </c>
      <c r="E283" t="n">
        <v>4</v>
      </c>
      <c r="F283" t="n">
        <v>2</v>
      </c>
      <c r="G283" t="n">
        <v>1</v>
      </c>
      <c r="H283" t="n">
        <v>2</v>
      </c>
      <c r="I283" t="n">
        <v>3</v>
      </c>
      <c r="J283" t="n">
        <v>5</v>
      </c>
      <c r="K283" t="n">
        <v>1</v>
      </c>
      <c r="L283" t="n">
        <v>5</v>
      </c>
      <c r="M283" t="n">
        <v>1</v>
      </c>
      <c r="N283" t="n">
        <v>1</v>
      </c>
      <c r="O283" t="n">
        <v>2</v>
      </c>
      <c r="P283" t="n">
        <v>3</v>
      </c>
      <c r="Q283" t="n">
        <v>1</v>
      </c>
      <c r="R283" t="n">
        <v>2</v>
      </c>
      <c r="S283" t="n">
        <v>4</v>
      </c>
      <c r="T283" t="n">
        <v>4</v>
      </c>
      <c r="U283">
        <f>(AVERAGE(B283:D283)-1)/4</f>
        <v/>
      </c>
      <c r="V283">
        <f>(AVERAGE(E283:F283)-1)/4</f>
        <v/>
      </c>
      <c r="W283">
        <f>(AVERAGE(G283:I283)-1)/4</f>
        <v/>
      </c>
      <c r="X283">
        <f>(AVERAGE(J283:L283)-1)/4</f>
        <v/>
      </c>
      <c r="Y283">
        <f>(AVERAGE(M283:O283)-1)/4</f>
        <v/>
      </c>
      <c r="Z283">
        <f>(AVERAGE(P283:R283)-1)/4</f>
        <v/>
      </c>
      <c r="AA283">
        <f>(AVERAGE(S283:T283)-1)/4</f>
        <v/>
      </c>
      <c r="AB283">
        <f>AVERAGE(U283:Y283)</f>
        <v/>
      </c>
      <c r="AC283">
        <f>MIN(U283:Y283)</f>
        <v/>
      </c>
      <c r="AD283">
        <f>1-alpha*MAX(0,delta-AC283)</f>
        <v/>
      </c>
      <c r="AE283">
        <f>AB283*AD283</f>
        <v/>
      </c>
      <c r="AF283">
        <f>1+COUNTIF(bounds,"&lt;"&amp;ROUND(AB283,12))</f>
        <v/>
      </c>
      <c r="AG283">
        <f>1+COUNTIF(bounds,"&lt;"&amp;ROUND(AE283,12))</f>
        <v/>
      </c>
      <c r="AH283">
        <f>IF(AD283&lt;1,1,0)</f>
        <v/>
      </c>
      <c r="AI283">
        <f>IF(AF283&lt;&gt;AG283,1,0)</f>
        <v/>
      </c>
      <c r="AJ283">
        <f>IF(AND(AG283&gt;=3,Z283&lt;=0.2),1,0)</f>
        <v/>
      </c>
      <c r="AK283">
        <f>AVERAGE(U283:Z283)</f>
        <v/>
      </c>
      <c r="AL283">
        <f>1+COUNTIF(bounds,"&lt;"&amp;ROUND(AK283,12))</f>
        <v/>
      </c>
      <c r="AM283">
        <f>IF(AI283=1,AB283,NA())</f>
        <v/>
      </c>
      <c r="AN283">
        <f>IF(AI283=0,AB283,NA())</f>
        <v/>
      </c>
    </row>
    <row r="284">
      <c r="A284" t="n">
        <v>276</v>
      </c>
      <c r="B284" t="n">
        <v>3</v>
      </c>
      <c r="C284" t="n">
        <v>2</v>
      </c>
      <c r="D284" t="n">
        <v>4</v>
      </c>
      <c r="E284" t="n">
        <v>1</v>
      </c>
      <c r="F284" t="n">
        <v>5</v>
      </c>
      <c r="G284" t="n">
        <v>5</v>
      </c>
      <c r="H284" t="n">
        <v>5</v>
      </c>
      <c r="I284" t="n">
        <v>1</v>
      </c>
      <c r="J284" t="n">
        <v>4</v>
      </c>
      <c r="K284" t="n">
        <v>5</v>
      </c>
      <c r="L284" t="n">
        <v>5</v>
      </c>
      <c r="M284" t="n">
        <v>1</v>
      </c>
      <c r="N284" t="n">
        <v>3</v>
      </c>
      <c r="O284" t="n">
        <v>4</v>
      </c>
      <c r="P284" t="n">
        <v>5</v>
      </c>
      <c r="Q284" t="n">
        <v>3</v>
      </c>
      <c r="R284" t="n">
        <v>1</v>
      </c>
      <c r="S284" t="n">
        <v>2</v>
      </c>
      <c r="T284" t="n">
        <v>3</v>
      </c>
      <c r="U284">
        <f>(AVERAGE(B284:D284)-1)/4</f>
        <v/>
      </c>
      <c r="V284">
        <f>(AVERAGE(E284:F284)-1)/4</f>
        <v/>
      </c>
      <c r="W284">
        <f>(AVERAGE(G284:I284)-1)/4</f>
        <v/>
      </c>
      <c r="X284">
        <f>(AVERAGE(J284:L284)-1)/4</f>
        <v/>
      </c>
      <c r="Y284">
        <f>(AVERAGE(M284:O284)-1)/4</f>
        <v/>
      </c>
      <c r="Z284">
        <f>(AVERAGE(P284:R284)-1)/4</f>
        <v/>
      </c>
      <c r="AA284">
        <f>(AVERAGE(S284:T284)-1)/4</f>
        <v/>
      </c>
      <c r="AB284">
        <f>AVERAGE(U284:Y284)</f>
        <v/>
      </c>
      <c r="AC284">
        <f>MIN(U284:Y284)</f>
        <v/>
      </c>
      <c r="AD284">
        <f>1-alpha*MAX(0,delta-AC284)</f>
        <v/>
      </c>
      <c r="AE284">
        <f>AB284*AD284</f>
        <v/>
      </c>
      <c r="AF284">
        <f>1+COUNTIF(bounds,"&lt;"&amp;ROUND(AB284,12))</f>
        <v/>
      </c>
      <c r="AG284">
        <f>1+COUNTIF(bounds,"&lt;"&amp;ROUND(AE284,12))</f>
        <v/>
      </c>
      <c r="AH284">
        <f>IF(AD284&lt;1,1,0)</f>
        <v/>
      </c>
      <c r="AI284">
        <f>IF(AF284&lt;&gt;AG284,1,0)</f>
        <v/>
      </c>
      <c r="AJ284">
        <f>IF(AND(AG284&gt;=3,Z284&lt;=0.2),1,0)</f>
        <v/>
      </c>
      <c r="AK284">
        <f>AVERAGE(U284:Z284)</f>
        <v/>
      </c>
      <c r="AL284">
        <f>1+COUNTIF(bounds,"&lt;"&amp;ROUND(AK284,12))</f>
        <v/>
      </c>
      <c r="AM284">
        <f>IF(AI284=1,AB284,NA())</f>
        <v/>
      </c>
      <c r="AN284">
        <f>IF(AI284=0,AB284,NA())</f>
        <v/>
      </c>
    </row>
    <row r="285">
      <c r="A285" t="n">
        <v>277</v>
      </c>
      <c r="B285" t="n">
        <v>5</v>
      </c>
      <c r="C285" t="n">
        <v>2</v>
      </c>
      <c r="D285" t="n">
        <v>5</v>
      </c>
      <c r="E285" t="n">
        <v>1</v>
      </c>
      <c r="F285" t="n">
        <v>2</v>
      </c>
      <c r="G285" t="n">
        <v>2</v>
      </c>
      <c r="H285" t="n">
        <v>5</v>
      </c>
      <c r="I285" t="n">
        <v>1</v>
      </c>
      <c r="J285" t="n">
        <v>4</v>
      </c>
      <c r="K285" t="n">
        <v>2</v>
      </c>
      <c r="L285" t="n">
        <v>1</v>
      </c>
      <c r="M285" t="n">
        <v>4</v>
      </c>
      <c r="N285" t="n">
        <v>4</v>
      </c>
      <c r="O285" t="n">
        <v>3</v>
      </c>
      <c r="P285" t="n">
        <v>2</v>
      </c>
      <c r="Q285" t="n">
        <v>2</v>
      </c>
      <c r="R285" t="n">
        <v>5</v>
      </c>
      <c r="S285" t="n">
        <v>5</v>
      </c>
      <c r="T285" t="n">
        <v>5</v>
      </c>
      <c r="U285">
        <f>(AVERAGE(B285:D285)-1)/4</f>
        <v/>
      </c>
      <c r="V285">
        <f>(AVERAGE(E285:F285)-1)/4</f>
        <v/>
      </c>
      <c r="W285">
        <f>(AVERAGE(G285:I285)-1)/4</f>
        <v/>
      </c>
      <c r="X285">
        <f>(AVERAGE(J285:L285)-1)/4</f>
        <v/>
      </c>
      <c r="Y285">
        <f>(AVERAGE(M285:O285)-1)/4</f>
        <v/>
      </c>
      <c r="Z285">
        <f>(AVERAGE(P285:R285)-1)/4</f>
        <v/>
      </c>
      <c r="AA285">
        <f>(AVERAGE(S285:T285)-1)/4</f>
        <v/>
      </c>
      <c r="AB285">
        <f>AVERAGE(U285:Y285)</f>
        <v/>
      </c>
      <c r="AC285">
        <f>MIN(U285:Y285)</f>
        <v/>
      </c>
      <c r="AD285">
        <f>1-alpha*MAX(0,delta-AC285)</f>
        <v/>
      </c>
      <c r="AE285">
        <f>AB285*AD285</f>
        <v/>
      </c>
      <c r="AF285">
        <f>1+COUNTIF(bounds,"&lt;"&amp;ROUND(AB285,12))</f>
        <v/>
      </c>
      <c r="AG285">
        <f>1+COUNTIF(bounds,"&lt;"&amp;ROUND(AE285,12))</f>
        <v/>
      </c>
      <c r="AH285">
        <f>IF(AD285&lt;1,1,0)</f>
        <v/>
      </c>
      <c r="AI285">
        <f>IF(AF285&lt;&gt;AG285,1,0)</f>
        <v/>
      </c>
      <c r="AJ285">
        <f>IF(AND(AG285&gt;=3,Z285&lt;=0.2),1,0)</f>
        <v/>
      </c>
      <c r="AK285">
        <f>AVERAGE(U285:Z285)</f>
        <v/>
      </c>
      <c r="AL285">
        <f>1+COUNTIF(bounds,"&lt;"&amp;ROUND(AK285,12))</f>
        <v/>
      </c>
      <c r="AM285">
        <f>IF(AI285=1,AB285,NA())</f>
        <v/>
      </c>
      <c r="AN285">
        <f>IF(AI285=0,AB285,NA())</f>
        <v/>
      </c>
    </row>
    <row r="286">
      <c r="A286" t="n">
        <v>278</v>
      </c>
      <c r="B286" t="n">
        <v>3</v>
      </c>
      <c r="C286" t="n">
        <v>2</v>
      </c>
      <c r="D286" t="n">
        <v>2</v>
      </c>
      <c r="E286" t="n">
        <v>5</v>
      </c>
      <c r="F286" t="n">
        <v>3</v>
      </c>
      <c r="G286" t="n">
        <v>3</v>
      </c>
      <c r="H286" t="n">
        <v>3</v>
      </c>
      <c r="I286" t="n">
        <v>3</v>
      </c>
      <c r="J286" t="n">
        <v>2</v>
      </c>
      <c r="K286" t="n">
        <v>3</v>
      </c>
      <c r="L286" t="n">
        <v>4</v>
      </c>
      <c r="M286" t="n">
        <v>2</v>
      </c>
      <c r="N286" t="n">
        <v>1</v>
      </c>
      <c r="O286" t="n">
        <v>2</v>
      </c>
      <c r="P286" t="n">
        <v>5</v>
      </c>
      <c r="Q286" t="n">
        <v>3</v>
      </c>
      <c r="R286" t="n">
        <v>1</v>
      </c>
      <c r="S286" t="n">
        <v>2</v>
      </c>
      <c r="T286" t="n">
        <v>5</v>
      </c>
      <c r="U286">
        <f>(AVERAGE(B286:D286)-1)/4</f>
        <v/>
      </c>
      <c r="V286">
        <f>(AVERAGE(E286:F286)-1)/4</f>
        <v/>
      </c>
      <c r="W286">
        <f>(AVERAGE(G286:I286)-1)/4</f>
        <v/>
      </c>
      <c r="X286">
        <f>(AVERAGE(J286:L286)-1)/4</f>
        <v/>
      </c>
      <c r="Y286">
        <f>(AVERAGE(M286:O286)-1)/4</f>
        <v/>
      </c>
      <c r="Z286">
        <f>(AVERAGE(P286:R286)-1)/4</f>
        <v/>
      </c>
      <c r="AA286">
        <f>(AVERAGE(S286:T286)-1)/4</f>
        <v/>
      </c>
      <c r="AB286">
        <f>AVERAGE(U286:Y286)</f>
        <v/>
      </c>
      <c r="AC286">
        <f>MIN(U286:Y286)</f>
        <v/>
      </c>
      <c r="AD286">
        <f>1-alpha*MAX(0,delta-AC286)</f>
        <v/>
      </c>
      <c r="AE286">
        <f>AB286*AD286</f>
        <v/>
      </c>
      <c r="AF286">
        <f>1+COUNTIF(bounds,"&lt;"&amp;ROUND(AB286,12))</f>
        <v/>
      </c>
      <c r="AG286">
        <f>1+COUNTIF(bounds,"&lt;"&amp;ROUND(AE286,12))</f>
        <v/>
      </c>
      <c r="AH286">
        <f>IF(AD286&lt;1,1,0)</f>
        <v/>
      </c>
      <c r="AI286">
        <f>IF(AF286&lt;&gt;AG286,1,0)</f>
        <v/>
      </c>
      <c r="AJ286">
        <f>IF(AND(AG286&gt;=3,Z286&lt;=0.2),1,0)</f>
        <v/>
      </c>
      <c r="AK286">
        <f>AVERAGE(U286:Z286)</f>
        <v/>
      </c>
      <c r="AL286">
        <f>1+COUNTIF(bounds,"&lt;"&amp;ROUND(AK286,12))</f>
        <v/>
      </c>
      <c r="AM286">
        <f>IF(AI286=1,AB286,NA())</f>
        <v/>
      </c>
      <c r="AN286">
        <f>IF(AI286=0,AB286,NA())</f>
        <v/>
      </c>
    </row>
    <row r="287">
      <c r="A287" t="n">
        <v>279</v>
      </c>
      <c r="B287" t="n">
        <v>1</v>
      </c>
      <c r="C287" t="n">
        <v>1</v>
      </c>
      <c r="D287" t="n">
        <v>5</v>
      </c>
      <c r="E287" t="n">
        <v>1</v>
      </c>
      <c r="F287" t="n">
        <v>2</v>
      </c>
      <c r="G287" t="n">
        <v>1</v>
      </c>
      <c r="H287" t="n">
        <v>4</v>
      </c>
      <c r="I287" t="n">
        <v>3</v>
      </c>
      <c r="J287" t="n">
        <v>3</v>
      </c>
      <c r="K287" t="n">
        <v>3</v>
      </c>
      <c r="L287" t="n">
        <v>1</v>
      </c>
      <c r="M287" t="n">
        <v>5</v>
      </c>
      <c r="N287" t="n">
        <v>5</v>
      </c>
      <c r="O287" t="n">
        <v>4</v>
      </c>
      <c r="P287" t="n">
        <v>1</v>
      </c>
      <c r="Q287" t="n">
        <v>2</v>
      </c>
      <c r="R287" t="n">
        <v>3</v>
      </c>
      <c r="S287" t="n">
        <v>4</v>
      </c>
      <c r="T287" t="n">
        <v>2</v>
      </c>
      <c r="U287">
        <f>(AVERAGE(B287:D287)-1)/4</f>
        <v/>
      </c>
      <c r="V287">
        <f>(AVERAGE(E287:F287)-1)/4</f>
        <v/>
      </c>
      <c r="W287">
        <f>(AVERAGE(G287:I287)-1)/4</f>
        <v/>
      </c>
      <c r="X287">
        <f>(AVERAGE(J287:L287)-1)/4</f>
        <v/>
      </c>
      <c r="Y287">
        <f>(AVERAGE(M287:O287)-1)/4</f>
        <v/>
      </c>
      <c r="Z287">
        <f>(AVERAGE(P287:R287)-1)/4</f>
        <v/>
      </c>
      <c r="AA287">
        <f>(AVERAGE(S287:T287)-1)/4</f>
        <v/>
      </c>
      <c r="AB287">
        <f>AVERAGE(U287:Y287)</f>
        <v/>
      </c>
      <c r="AC287">
        <f>MIN(U287:Y287)</f>
        <v/>
      </c>
      <c r="AD287">
        <f>1-alpha*MAX(0,delta-AC287)</f>
        <v/>
      </c>
      <c r="AE287">
        <f>AB287*AD287</f>
        <v/>
      </c>
      <c r="AF287">
        <f>1+COUNTIF(bounds,"&lt;"&amp;ROUND(AB287,12))</f>
        <v/>
      </c>
      <c r="AG287">
        <f>1+COUNTIF(bounds,"&lt;"&amp;ROUND(AE287,12))</f>
        <v/>
      </c>
      <c r="AH287">
        <f>IF(AD287&lt;1,1,0)</f>
        <v/>
      </c>
      <c r="AI287">
        <f>IF(AF287&lt;&gt;AG287,1,0)</f>
        <v/>
      </c>
      <c r="AJ287">
        <f>IF(AND(AG287&gt;=3,Z287&lt;=0.2),1,0)</f>
        <v/>
      </c>
      <c r="AK287">
        <f>AVERAGE(U287:Z287)</f>
        <v/>
      </c>
      <c r="AL287">
        <f>1+COUNTIF(bounds,"&lt;"&amp;ROUND(AK287,12))</f>
        <v/>
      </c>
      <c r="AM287">
        <f>IF(AI287=1,AB287,NA())</f>
        <v/>
      </c>
      <c r="AN287">
        <f>IF(AI287=0,AB287,NA())</f>
        <v/>
      </c>
    </row>
    <row r="288">
      <c r="A288" t="n">
        <v>280</v>
      </c>
      <c r="B288" t="n">
        <v>1</v>
      </c>
      <c r="C288" t="n">
        <v>4</v>
      </c>
      <c r="D288" t="n">
        <v>4</v>
      </c>
      <c r="E288" t="n">
        <v>1</v>
      </c>
      <c r="F288" t="n">
        <v>1</v>
      </c>
      <c r="G288" t="n">
        <v>1</v>
      </c>
      <c r="H288" t="n">
        <v>1</v>
      </c>
      <c r="I288" t="n">
        <v>2</v>
      </c>
      <c r="J288" t="n">
        <v>1</v>
      </c>
      <c r="K288" t="n">
        <v>5</v>
      </c>
      <c r="L288" t="n">
        <v>3</v>
      </c>
      <c r="M288" t="n">
        <v>2</v>
      </c>
      <c r="N288" t="n">
        <v>4</v>
      </c>
      <c r="O288" t="n">
        <v>5</v>
      </c>
      <c r="P288" t="n">
        <v>4</v>
      </c>
      <c r="Q288" t="n">
        <v>1</v>
      </c>
      <c r="R288" t="n">
        <v>1</v>
      </c>
      <c r="S288" t="n">
        <v>3</v>
      </c>
      <c r="T288" t="n">
        <v>5</v>
      </c>
      <c r="U288">
        <f>(AVERAGE(B288:D288)-1)/4</f>
        <v/>
      </c>
      <c r="V288">
        <f>(AVERAGE(E288:F288)-1)/4</f>
        <v/>
      </c>
      <c r="W288">
        <f>(AVERAGE(G288:I288)-1)/4</f>
        <v/>
      </c>
      <c r="X288">
        <f>(AVERAGE(J288:L288)-1)/4</f>
        <v/>
      </c>
      <c r="Y288">
        <f>(AVERAGE(M288:O288)-1)/4</f>
        <v/>
      </c>
      <c r="Z288">
        <f>(AVERAGE(P288:R288)-1)/4</f>
        <v/>
      </c>
      <c r="AA288">
        <f>(AVERAGE(S288:T288)-1)/4</f>
        <v/>
      </c>
      <c r="AB288">
        <f>AVERAGE(U288:Y288)</f>
        <v/>
      </c>
      <c r="AC288">
        <f>MIN(U288:Y288)</f>
        <v/>
      </c>
      <c r="AD288">
        <f>1-alpha*MAX(0,delta-AC288)</f>
        <v/>
      </c>
      <c r="AE288">
        <f>AB288*AD288</f>
        <v/>
      </c>
      <c r="AF288">
        <f>1+COUNTIF(bounds,"&lt;"&amp;ROUND(AB288,12))</f>
        <v/>
      </c>
      <c r="AG288">
        <f>1+COUNTIF(bounds,"&lt;"&amp;ROUND(AE288,12))</f>
        <v/>
      </c>
      <c r="AH288">
        <f>IF(AD288&lt;1,1,0)</f>
        <v/>
      </c>
      <c r="AI288">
        <f>IF(AF288&lt;&gt;AG288,1,0)</f>
        <v/>
      </c>
      <c r="AJ288">
        <f>IF(AND(AG288&gt;=3,Z288&lt;=0.2),1,0)</f>
        <v/>
      </c>
      <c r="AK288">
        <f>AVERAGE(U288:Z288)</f>
        <v/>
      </c>
      <c r="AL288">
        <f>1+COUNTIF(bounds,"&lt;"&amp;ROUND(AK288,12))</f>
        <v/>
      </c>
      <c r="AM288">
        <f>IF(AI288=1,AB288,NA())</f>
        <v/>
      </c>
      <c r="AN288">
        <f>IF(AI288=0,AB288,NA())</f>
        <v/>
      </c>
    </row>
    <row r="289">
      <c r="A289" t="n">
        <v>281</v>
      </c>
      <c r="B289" t="n">
        <v>3</v>
      </c>
      <c r="C289" t="n">
        <v>3</v>
      </c>
      <c r="D289" t="n">
        <v>1</v>
      </c>
      <c r="E289" t="n">
        <v>1</v>
      </c>
      <c r="F289" t="n">
        <v>3</v>
      </c>
      <c r="G289" t="n">
        <v>5</v>
      </c>
      <c r="H289" t="n">
        <v>1</v>
      </c>
      <c r="I289" t="n">
        <v>1</v>
      </c>
      <c r="J289" t="n">
        <v>1</v>
      </c>
      <c r="K289" t="n">
        <v>5</v>
      </c>
      <c r="L289" t="n">
        <v>2</v>
      </c>
      <c r="M289" t="n">
        <v>4</v>
      </c>
      <c r="N289" t="n">
        <v>3</v>
      </c>
      <c r="O289" t="n">
        <v>5</v>
      </c>
      <c r="P289" t="n">
        <v>3</v>
      </c>
      <c r="Q289" t="n">
        <v>4</v>
      </c>
      <c r="R289" t="n">
        <v>1</v>
      </c>
      <c r="S289" t="n">
        <v>4</v>
      </c>
      <c r="T289" t="n">
        <v>1</v>
      </c>
      <c r="U289">
        <f>(AVERAGE(B289:D289)-1)/4</f>
        <v/>
      </c>
      <c r="V289">
        <f>(AVERAGE(E289:F289)-1)/4</f>
        <v/>
      </c>
      <c r="W289">
        <f>(AVERAGE(G289:I289)-1)/4</f>
        <v/>
      </c>
      <c r="X289">
        <f>(AVERAGE(J289:L289)-1)/4</f>
        <v/>
      </c>
      <c r="Y289">
        <f>(AVERAGE(M289:O289)-1)/4</f>
        <v/>
      </c>
      <c r="Z289">
        <f>(AVERAGE(P289:R289)-1)/4</f>
        <v/>
      </c>
      <c r="AA289">
        <f>(AVERAGE(S289:T289)-1)/4</f>
        <v/>
      </c>
      <c r="AB289">
        <f>AVERAGE(U289:Y289)</f>
        <v/>
      </c>
      <c r="AC289">
        <f>MIN(U289:Y289)</f>
        <v/>
      </c>
      <c r="AD289">
        <f>1-alpha*MAX(0,delta-AC289)</f>
        <v/>
      </c>
      <c r="AE289">
        <f>AB289*AD289</f>
        <v/>
      </c>
      <c r="AF289">
        <f>1+COUNTIF(bounds,"&lt;"&amp;ROUND(AB289,12))</f>
        <v/>
      </c>
      <c r="AG289">
        <f>1+COUNTIF(bounds,"&lt;"&amp;ROUND(AE289,12))</f>
        <v/>
      </c>
      <c r="AH289">
        <f>IF(AD289&lt;1,1,0)</f>
        <v/>
      </c>
      <c r="AI289">
        <f>IF(AF289&lt;&gt;AG289,1,0)</f>
        <v/>
      </c>
      <c r="AJ289">
        <f>IF(AND(AG289&gt;=3,Z289&lt;=0.2),1,0)</f>
        <v/>
      </c>
      <c r="AK289">
        <f>AVERAGE(U289:Z289)</f>
        <v/>
      </c>
      <c r="AL289">
        <f>1+COUNTIF(bounds,"&lt;"&amp;ROUND(AK289,12))</f>
        <v/>
      </c>
      <c r="AM289">
        <f>IF(AI289=1,AB289,NA())</f>
        <v/>
      </c>
      <c r="AN289">
        <f>IF(AI289=0,AB289,NA())</f>
        <v/>
      </c>
    </row>
    <row r="290">
      <c r="A290" t="n">
        <v>282</v>
      </c>
      <c r="B290" t="n">
        <v>1</v>
      </c>
      <c r="C290" t="n">
        <v>4</v>
      </c>
      <c r="D290" t="n">
        <v>5</v>
      </c>
      <c r="E290" t="n">
        <v>2</v>
      </c>
      <c r="F290" t="n">
        <v>5</v>
      </c>
      <c r="G290" t="n">
        <v>3</v>
      </c>
      <c r="H290" t="n">
        <v>5</v>
      </c>
      <c r="I290" t="n">
        <v>1</v>
      </c>
      <c r="J290" t="n">
        <v>1</v>
      </c>
      <c r="K290" t="n">
        <v>1</v>
      </c>
      <c r="L290" t="n">
        <v>3</v>
      </c>
      <c r="M290" t="n">
        <v>2</v>
      </c>
      <c r="N290" t="n">
        <v>3</v>
      </c>
      <c r="O290" t="n">
        <v>1</v>
      </c>
      <c r="P290" t="n">
        <v>2</v>
      </c>
      <c r="Q290" t="n">
        <v>1</v>
      </c>
      <c r="R290" t="n">
        <v>5</v>
      </c>
      <c r="S290" t="n">
        <v>4</v>
      </c>
      <c r="T290" t="n">
        <v>4</v>
      </c>
      <c r="U290">
        <f>(AVERAGE(B290:D290)-1)/4</f>
        <v/>
      </c>
      <c r="V290">
        <f>(AVERAGE(E290:F290)-1)/4</f>
        <v/>
      </c>
      <c r="W290">
        <f>(AVERAGE(G290:I290)-1)/4</f>
        <v/>
      </c>
      <c r="X290">
        <f>(AVERAGE(J290:L290)-1)/4</f>
        <v/>
      </c>
      <c r="Y290">
        <f>(AVERAGE(M290:O290)-1)/4</f>
        <v/>
      </c>
      <c r="Z290">
        <f>(AVERAGE(P290:R290)-1)/4</f>
        <v/>
      </c>
      <c r="AA290">
        <f>(AVERAGE(S290:T290)-1)/4</f>
        <v/>
      </c>
      <c r="AB290">
        <f>AVERAGE(U290:Y290)</f>
        <v/>
      </c>
      <c r="AC290">
        <f>MIN(U290:Y290)</f>
        <v/>
      </c>
      <c r="AD290">
        <f>1-alpha*MAX(0,delta-AC290)</f>
        <v/>
      </c>
      <c r="AE290">
        <f>AB290*AD290</f>
        <v/>
      </c>
      <c r="AF290">
        <f>1+COUNTIF(bounds,"&lt;"&amp;ROUND(AB290,12))</f>
        <v/>
      </c>
      <c r="AG290">
        <f>1+COUNTIF(bounds,"&lt;"&amp;ROUND(AE290,12))</f>
        <v/>
      </c>
      <c r="AH290">
        <f>IF(AD290&lt;1,1,0)</f>
        <v/>
      </c>
      <c r="AI290">
        <f>IF(AF290&lt;&gt;AG290,1,0)</f>
        <v/>
      </c>
      <c r="AJ290">
        <f>IF(AND(AG290&gt;=3,Z290&lt;=0.2),1,0)</f>
        <v/>
      </c>
      <c r="AK290">
        <f>AVERAGE(U290:Z290)</f>
        <v/>
      </c>
      <c r="AL290">
        <f>1+COUNTIF(bounds,"&lt;"&amp;ROUND(AK290,12))</f>
        <v/>
      </c>
      <c r="AM290">
        <f>IF(AI290=1,AB290,NA())</f>
        <v/>
      </c>
      <c r="AN290">
        <f>IF(AI290=0,AB290,NA())</f>
        <v/>
      </c>
    </row>
    <row r="291">
      <c r="A291" t="n">
        <v>283</v>
      </c>
      <c r="B291" t="n">
        <v>3</v>
      </c>
      <c r="C291" t="n">
        <v>2</v>
      </c>
      <c r="D291" t="n">
        <v>5</v>
      </c>
      <c r="E291" t="n">
        <v>1</v>
      </c>
      <c r="F291" t="n">
        <v>1</v>
      </c>
      <c r="G291" t="n">
        <v>2</v>
      </c>
      <c r="H291" t="n">
        <v>3</v>
      </c>
      <c r="I291" t="n">
        <v>1</v>
      </c>
      <c r="J291" t="n">
        <v>4</v>
      </c>
      <c r="K291" t="n">
        <v>1</v>
      </c>
      <c r="L291" t="n">
        <v>4</v>
      </c>
      <c r="M291" t="n">
        <v>5</v>
      </c>
      <c r="N291" t="n">
        <v>3</v>
      </c>
      <c r="O291" t="n">
        <v>4</v>
      </c>
      <c r="P291" t="n">
        <v>1</v>
      </c>
      <c r="Q291" t="n">
        <v>4</v>
      </c>
      <c r="R291" t="n">
        <v>4</v>
      </c>
      <c r="S291" t="n">
        <v>3</v>
      </c>
      <c r="T291" t="n">
        <v>1</v>
      </c>
      <c r="U291">
        <f>(AVERAGE(B291:D291)-1)/4</f>
        <v/>
      </c>
      <c r="V291">
        <f>(AVERAGE(E291:F291)-1)/4</f>
        <v/>
      </c>
      <c r="W291">
        <f>(AVERAGE(G291:I291)-1)/4</f>
        <v/>
      </c>
      <c r="X291">
        <f>(AVERAGE(J291:L291)-1)/4</f>
        <v/>
      </c>
      <c r="Y291">
        <f>(AVERAGE(M291:O291)-1)/4</f>
        <v/>
      </c>
      <c r="Z291">
        <f>(AVERAGE(P291:R291)-1)/4</f>
        <v/>
      </c>
      <c r="AA291">
        <f>(AVERAGE(S291:T291)-1)/4</f>
        <v/>
      </c>
      <c r="AB291">
        <f>AVERAGE(U291:Y291)</f>
        <v/>
      </c>
      <c r="AC291">
        <f>MIN(U291:Y291)</f>
        <v/>
      </c>
      <c r="AD291">
        <f>1-alpha*MAX(0,delta-AC291)</f>
        <v/>
      </c>
      <c r="AE291">
        <f>AB291*AD291</f>
        <v/>
      </c>
      <c r="AF291">
        <f>1+COUNTIF(bounds,"&lt;"&amp;ROUND(AB291,12))</f>
        <v/>
      </c>
      <c r="AG291">
        <f>1+COUNTIF(bounds,"&lt;"&amp;ROUND(AE291,12))</f>
        <v/>
      </c>
      <c r="AH291">
        <f>IF(AD291&lt;1,1,0)</f>
        <v/>
      </c>
      <c r="AI291">
        <f>IF(AF291&lt;&gt;AG291,1,0)</f>
        <v/>
      </c>
      <c r="AJ291">
        <f>IF(AND(AG291&gt;=3,Z291&lt;=0.2),1,0)</f>
        <v/>
      </c>
      <c r="AK291">
        <f>AVERAGE(U291:Z291)</f>
        <v/>
      </c>
      <c r="AL291">
        <f>1+COUNTIF(bounds,"&lt;"&amp;ROUND(AK291,12))</f>
        <v/>
      </c>
      <c r="AM291">
        <f>IF(AI291=1,AB291,NA())</f>
        <v/>
      </c>
      <c r="AN291">
        <f>IF(AI291=0,AB291,NA())</f>
        <v/>
      </c>
    </row>
    <row r="292">
      <c r="A292" t="n">
        <v>284</v>
      </c>
      <c r="B292" t="n">
        <v>1</v>
      </c>
      <c r="C292" t="n">
        <v>3</v>
      </c>
      <c r="D292" t="n">
        <v>5</v>
      </c>
      <c r="E292" t="n">
        <v>4</v>
      </c>
      <c r="F292" t="n">
        <v>4</v>
      </c>
      <c r="G292" t="n">
        <v>1</v>
      </c>
      <c r="H292" t="n">
        <v>2</v>
      </c>
      <c r="I292" t="n">
        <v>2</v>
      </c>
      <c r="J292" t="n">
        <v>4</v>
      </c>
      <c r="K292" t="n">
        <v>4</v>
      </c>
      <c r="L292" t="n">
        <v>5</v>
      </c>
      <c r="M292" t="n">
        <v>3</v>
      </c>
      <c r="N292" t="n">
        <v>1</v>
      </c>
      <c r="O292" t="n">
        <v>2</v>
      </c>
      <c r="P292" t="n">
        <v>4</v>
      </c>
      <c r="Q292" t="n">
        <v>5</v>
      </c>
      <c r="R292" t="n">
        <v>1</v>
      </c>
      <c r="S292" t="n">
        <v>2</v>
      </c>
      <c r="T292" t="n">
        <v>2</v>
      </c>
      <c r="U292">
        <f>(AVERAGE(B292:D292)-1)/4</f>
        <v/>
      </c>
      <c r="V292">
        <f>(AVERAGE(E292:F292)-1)/4</f>
        <v/>
      </c>
      <c r="W292">
        <f>(AVERAGE(G292:I292)-1)/4</f>
        <v/>
      </c>
      <c r="X292">
        <f>(AVERAGE(J292:L292)-1)/4</f>
        <v/>
      </c>
      <c r="Y292">
        <f>(AVERAGE(M292:O292)-1)/4</f>
        <v/>
      </c>
      <c r="Z292">
        <f>(AVERAGE(P292:R292)-1)/4</f>
        <v/>
      </c>
      <c r="AA292">
        <f>(AVERAGE(S292:T292)-1)/4</f>
        <v/>
      </c>
      <c r="AB292">
        <f>AVERAGE(U292:Y292)</f>
        <v/>
      </c>
      <c r="AC292">
        <f>MIN(U292:Y292)</f>
        <v/>
      </c>
      <c r="AD292">
        <f>1-alpha*MAX(0,delta-AC292)</f>
        <v/>
      </c>
      <c r="AE292">
        <f>AB292*AD292</f>
        <v/>
      </c>
      <c r="AF292">
        <f>1+COUNTIF(bounds,"&lt;"&amp;ROUND(AB292,12))</f>
        <v/>
      </c>
      <c r="AG292">
        <f>1+COUNTIF(bounds,"&lt;"&amp;ROUND(AE292,12))</f>
        <v/>
      </c>
      <c r="AH292">
        <f>IF(AD292&lt;1,1,0)</f>
        <v/>
      </c>
      <c r="AI292">
        <f>IF(AF292&lt;&gt;AG292,1,0)</f>
        <v/>
      </c>
      <c r="AJ292">
        <f>IF(AND(AG292&gt;=3,Z292&lt;=0.2),1,0)</f>
        <v/>
      </c>
      <c r="AK292">
        <f>AVERAGE(U292:Z292)</f>
        <v/>
      </c>
      <c r="AL292">
        <f>1+COUNTIF(bounds,"&lt;"&amp;ROUND(AK292,12))</f>
        <v/>
      </c>
      <c r="AM292">
        <f>IF(AI292=1,AB292,NA())</f>
        <v/>
      </c>
      <c r="AN292">
        <f>IF(AI292=0,AB292,NA())</f>
        <v/>
      </c>
    </row>
    <row r="293">
      <c r="A293" t="n">
        <v>285</v>
      </c>
      <c r="B293" t="n">
        <v>3</v>
      </c>
      <c r="C293" t="n">
        <v>2</v>
      </c>
      <c r="D293" t="n">
        <v>2</v>
      </c>
      <c r="E293" t="n">
        <v>5</v>
      </c>
      <c r="F293" t="n">
        <v>3</v>
      </c>
      <c r="G293" t="n">
        <v>5</v>
      </c>
      <c r="H293" t="n">
        <v>5</v>
      </c>
      <c r="I293" t="n">
        <v>5</v>
      </c>
      <c r="J293" t="n">
        <v>3</v>
      </c>
      <c r="K293" t="n">
        <v>1</v>
      </c>
      <c r="L293" t="n">
        <v>5</v>
      </c>
      <c r="M293" t="n">
        <v>3</v>
      </c>
      <c r="N293" t="n">
        <v>3</v>
      </c>
      <c r="O293" t="n">
        <v>5</v>
      </c>
      <c r="P293" t="n">
        <v>3</v>
      </c>
      <c r="Q293" t="n">
        <v>4</v>
      </c>
      <c r="R293" t="n">
        <v>4</v>
      </c>
      <c r="S293" t="n">
        <v>3</v>
      </c>
      <c r="T293" t="n">
        <v>2</v>
      </c>
      <c r="U293">
        <f>(AVERAGE(B293:D293)-1)/4</f>
        <v/>
      </c>
      <c r="V293">
        <f>(AVERAGE(E293:F293)-1)/4</f>
        <v/>
      </c>
      <c r="W293">
        <f>(AVERAGE(G293:I293)-1)/4</f>
        <v/>
      </c>
      <c r="X293">
        <f>(AVERAGE(J293:L293)-1)/4</f>
        <v/>
      </c>
      <c r="Y293">
        <f>(AVERAGE(M293:O293)-1)/4</f>
        <v/>
      </c>
      <c r="Z293">
        <f>(AVERAGE(P293:R293)-1)/4</f>
        <v/>
      </c>
      <c r="AA293">
        <f>(AVERAGE(S293:T293)-1)/4</f>
        <v/>
      </c>
      <c r="AB293">
        <f>AVERAGE(U293:Y293)</f>
        <v/>
      </c>
      <c r="AC293">
        <f>MIN(U293:Y293)</f>
        <v/>
      </c>
      <c r="AD293">
        <f>1-alpha*MAX(0,delta-AC293)</f>
        <v/>
      </c>
      <c r="AE293">
        <f>AB293*AD293</f>
        <v/>
      </c>
      <c r="AF293">
        <f>1+COUNTIF(bounds,"&lt;"&amp;ROUND(AB293,12))</f>
        <v/>
      </c>
      <c r="AG293">
        <f>1+COUNTIF(bounds,"&lt;"&amp;ROUND(AE293,12))</f>
        <v/>
      </c>
      <c r="AH293">
        <f>IF(AD293&lt;1,1,0)</f>
        <v/>
      </c>
      <c r="AI293">
        <f>IF(AF293&lt;&gt;AG293,1,0)</f>
        <v/>
      </c>
      <c r="AJ293">
        <f>IF(AND(AG293&gt;=3,Z293&lt;=0.2),1,0)</f>
        <v/>
      </c>
      <c r="AK293">
        <f>AVERAGE(U293:Z293)</f>
        <v/>
      </c>
      <c r="AL293">
        <f>1+COUNTIF(bounds,"&lt;"&amp;ROUND(AK293,12))</f>
        <v/>
      </c>
      <c r="AM293">
        <f>IF(AI293=1,AB293,NA())</f>
        <v/>
      </c>
      <c r="AN293">
        <f>IF(AI293=0,AB293,NA())</f>
        <v/>
      </c>
    </row>
    <row r="294">
      <c r="A294" t="n">
        <v>286</v>
      </c>
      <c r="B294" t="n">
        <v>3</v>
      </c>
      <c r="C294" t="n">
        <v>5</v>
      </c>
      <c r="D294" t="n">
        <v>4</v>
      </c>
      <c r="E294" t="n">
        <v>2</v>
      </c>
      <c r="F294" t="n">
        <v>2</v>
      </c>
      <c r="G294" t="n">
        <v>3</v>
      </c>
      <c r="H294" t="n">
        <v>5</v>
      </c>
      <c r="I294" t="n">
        <v>1</v>
      </c>
      <c r="J294" t="n">
        <v>1</v>
      </c>
      <c r="K294" t="n">
        <v>2</v>
      </c>
      <c r="L294" t="n">
        <v>1</v>
      </c>
      <c r="M294" t="n">
        <v>1</v>
      </c>
      <c r="N294" t="n">
        <v>5</v>
      </c>
      <c r="O294" t="n">
        <v>3</v>
      </c>
      <c r="P294" t="n">
        <v>5</v>
      </c>
      <c r="Q294" t="n">
        <v>3</v>
      </c>
      <c r="R294" t="n">
        <v>2</v>
      </c>
      <c r="S294" t="n">
        <v>2</v>
      </c>
      <c r="T294" t="n">
        <v>4</v>
      </c>
      <c r="U294">
        <f>(AVERAGE(B294:D294)-1)/4</f>
        <v/>
      </c>
      <c r="V294">
        <f>(AVERAGE(E294:F294)-1)/4</f>
        <v/>
      </c>
      <c r="W294">
        <f>(AVERAGE(G294:I294)-1)/4</f>
        <v/>
      </c>
      <c r="X294">
        <f>(AVERAGE(J294:L294)-1)/4</f>
        <v/>
      </c>
      <c r="Y294">
        <f>(AVERAGE(M294:O294)-1)/4</f>
        <v/>
      </c>
      <c r="Z294">
        <f>(AVERAGE(P294:R294)-1)/4</f>
        <v/>
      </c>
      <c r="AA294">
        <f>(AVERAGE(S294:T294)-1)/4</f>
        <v/>
      </c>
      <c r="AB294">
        <f>AVERAGE(U294:Y294)</f>
        <v/>
      </c>
      <c r="AC294">
        <f>MIN(U294:Y294)</f>
        <v/>
      </c>
      <c r="AD294">
        <f>1-alpha*MAX(0,delta-AC294)</f>
        <v/>
      </c>
      <c r="AE294">
        <f>AB294*AD294</f>
        <v/>
      </c>
      <c r="AF294">
        <f>1+COUNTIF(bounds,"&lt;"&amp;ROUND(AB294,12))</f>
        <v/>
      </c>
      <c r="AG294">
        <f>1+COUNTIF(bounds,"&lt;"&amp;ROUND(AE294,12))</f>
        <v/>
      </c>
      <c r="AH294">
        <f>IF(AD294&lt;1,1,0)</f>
        <v/>
      </c>
      <c r="AI294">
        <f>IF(AF294&lt;&gt;AG294,1,0)</f>
        <v/>
      </c>
      <c r="AJ294">
        <f>IF(AND(AG294&gt;=3,Z294&lt;=0.2),1,0)</f>
        <v/>
      </c>
      <c r="AK294">
        <f>AVERAGE(U294:Z294)</f>
        <v/>
      </c>
      <c r="AL294">
        <f>1+COUNTIF(bounds,"&lt;"&amp;ROUND(AK294,12))</f>
        <v/>
      </c>
      <c r="AM294">
        <f>IF(AI294=1,AB294,NA())</f>
        <v/>
      </c>
      <c r="AN294">
        <f>IF(AI294=0,AB294,NA())</f>
        <v/>
      </c>
    </row>
    <row r="295">
      <c r="A295" t="n">
        <v>287</v>
      </c>
      <c r="B295" t="n">
        <v>2</v>
      </c>
      <c r="C295" t="n">
        <v>2</v>
      </c>
      <c r="D295" t="n">
        <v>4</v>
      </c>
      <c r="E295" t="n">
        <v>4</v>
      </c>
      <c r="F295" t="n">
        <v>1</v>
      </c>
      <c r="G295" t="n">
        <v>1</v>
      </c>
      <c r="H295" t="n">
        <v>1</v>
      </c>
      <c r="I295" t="n">
        <v>2</v>
      </c>
      <c r="J295" t="n">
        <v>3</v>
      </c>
      <c r="K295" t="n">
        <v>2</v>
      </c>
      <c r="L295" t="n">
        <v>4</v>
      </c>
      <c r="M295" t="n">
        <v>5</v>
      </c>
      <c r="N295" t="n">
        <v>3</v>
      </c>
      <c r="O295" t="n">
        <v>5</v>
      </c>
      <c r="P295" t="n">
        <v>5</v>
      </c>
      <c r="Q295" t="n">
        <v>3</v>
      </c>
      <c r="R295" t="n">
        <v>3</v>
      </c>
      <c r="S295" t="n">
        <v>1</v>
      </c>
      <c r="T295" t="n">
        <v>3</v>
      </c>
      <c r="U295">
        <f>(AVERAGE(B295:D295)-1)/4</f>
        <v/>
      </c>
      <c r="V295">
        <f>(AVERAGE(E295:F295)-1)/4</f>
        <v/>
      </c>
      <c r="W295">
        <f>(AVERAGE(G295:I295)-1)/4</f>
        <v/>
      </c>
      <c r="X295">
        <f>(AVERAGE(J295:L295)-1)/4</f>
        <v/>
      </c>
      <c r="Y295">
        <f>(AVERAGE(M295:O295)-1)/4</f>
        <v/>
      </c>
      <c r="Z295">
        <f>(AVERAGE(P295:R295)-1)/4</f>
        <v/>
      </c>
      <c r="AA295">
        <f>(AVERAGE(S295:T295)-1)/4</f>
        <v/>
      </c>
      <c r="AB295">
        <f>AVERAGE(U295:Y295)</f>
        <v/>
      </c>
      <c r="AC295">
        <f>MIN(U295:Y295)</f>
        <v/>
      </c>
      <c r="AD295">
        <f>1-alpha*MAX(0,delta-AC295)</f>
        <v/>
      </c>
      <c r="AE295">
        <f>AB295*AD295</f>
        <v/>
      </c>
      <c r="AF295">
        <f>1+COUNTIF(bounds,"&lt;"&amp;ROUND(AB295,12))</f>
        <v/>
      </c>
      <c r="AG295">
        <f>1+COUNTIF(bounds,"&lt;"&amp;ROUND(AE295,12))</f>
        <v/>
      </c>
      <c r="AH295">
        <f>IF(AD295&lt;1,1,0)</f>
        <v/>
      </c>
      <c r="AI295">
        <f>IF(AF295&lt;&gt;AG295,1,0)</f>
        <v/>
      </c>
      <c r="AJ295">
        <f>IF(AND(AG295&gt;=3,Z295&lt;=0.2),1,0)</f>
        <v/>
      </c>
      <c r="AK295">
        <f>AVERAGE(U295:Z295)</f>
        <v/>
      </c>
      <c r="AL295">
        <f>1+COUNTIF(bounds,"&lt;"&amp;ROUND(AK295,12))</f>
        <v/>
      </c>
      <c r="AM295">
        <f>IF(AI295=1,AB295,NA())</f>
        <v/>
      </c>
      <c r="AN295">
        <f>IF(AI295=0,AB295,NA())</f>
        <v/>
      </c>
    </row>
    <row r="296">
      <c r="A296" t="n">
        <v>288</v>
      </c>
      <c r="B296" t="n">
        <v>4</v>
      </c>
      <c r="C296" t="n">
        <v>1</v>
      </c>
      <c r="D296" t="n">
        <v>3</v>
      </c>
      <c r="E296" t="n">
        <v>5</v>
      </c>
      <c r="F296" t="n">
        <v>3</v>
      </c>
      <c r="G296" t="n">
        <v>3</v>
      </c>
      <c r="H296" t="n">
        <v>5</v>
      </c>
      <c r="I296" t="n">
        <v>2</v>
      </c>
      <c r="J296" t="n">
        <v>3</v>
      </c>
      <c r="K296" t="n">
        <v>1</v>
      </c>
      <c r="L296" t="n">
        <v>3</v>
      </c>
      <c r="M296" t="n">
        <v>1</v>
      </c>
      <c r="N296" t="n">
        <v>2</v>
      </c>
      <c r="O296" t="n">
        <v>4</v>
      </c>
      <c r="P296" t="n">
        <v>4</v>
      </c>
      <c r="Q296" t="n">
        <v>3</v>
      </c>
      <c r="R296" t="n">
        <v>1</v>
      </c>
      <c r="S296" t="n">
        <v>3</v>
      </c>
      <c r="T296" t="n">
        <v>3</v>
      </c>
      <c r="U296">
        <f>(AVERAGE(B296:D296)-1)/4</f>
        <v/>
      </c>
      <c r="V296">
        <f>(AVERAGE(E296:F296)-1)/4</f>
        <v/>
      </c>
      <c r="W296">
        <f>(AVERAGE(G296:I296)-1)/4</f>
        <v/>
      </c>
      <c r="X296">
        <f>(AVERAGE(J296:L296)-1)/4</f>
        <v/>
      </c>
      <c r="Y296">
        <f>(AVERAGE(M296:O296)-1)/4</f>
        <v/>
      </c>
      <c r="Z296">
        <f>(AVERAGE(P296:R296)-1)/4</f>
        <v/>
      </c>
      <c r="AA296">
        <f>(AVERAGE(S296:T296)-1)/4</f>
        <v/>
      </c>
      <c r="AB296">
        <f>AVERAGE(U296:Y296)</f>
        <v/>
      </c>
      <c r="AC296">
        <f>MIN(U296:Y296)</f>
        <v/>
      </c>
      <c r="AD296">
        <f>1-alpha*MAX(0,delta-AC296)</f>
        <v/>
      </c>
      <c r="AE296">
        <f>AB296*AD296</f>
        <v/>
      </c>
      <c r="AF296">
        <f>1+COUNTIF(bounds,"&lt;"&amp;ROUND(AB296,12))</f>
        <v/>
      </c>
      <c r="AG296">
        <f>1+COUNTIF(bounds,"&lt;"&amp;ROUND(AE296,12))</f>
        <v/>
      </c>
      <c r="AH296">
        <f>IF(AD296&lt;1,1,0)</f>
        <v/>
      </c>
      <c r="AI296">
        <f>IF(AF296&lt;&gt;AG296,1,0)</f>
        <v/>
      </c>
      <c r="AJ296">
        <f>IF(AND(AG296&gt;=3,Z296&lt;=0.2),1,0)</f>
        <v/>
      </c>
      <c r="AK296">
        <f>AVERAGE(U296:Z296)</f>
        <v/>
      </c>
      <c r="AL296">
        <f>1+COUNTIF(bounds,"&lt;"&amp;ROUND(AK296,12))</f>
        <v/>
      </c>
      <c r="AM296">
        <f>IF(AI296=1,AB296,NA())</f>
        <v/>
      </c>
      <c r="AN296">
        <f>IF(AI296=0,AB296,NA())</f>
        <v/>
      </c>
    </row>
    <row r="297">
      <c r="A297" t="n">
        <v>289</v>
      </c>
      <c r="B297" t="n">
        <v>4</v>
      </c>
      <c r="C297" t="n">
        <v>1</v>
      </c>
      <c r="D297" t="n">
        <v>4</v>
      </c>
      <c r="E297" t="n">
        <v>4</v>
      </c>
      <c r="F297" t="n">
        <v>1</v>
      </c>
      <c r="G297" t="n">
        <v>2</v>
      </c>
      <c r="H297" t="n">
        <v>5</v>
      </c>
      <c r="I297" t="n">
        <v>2</v>
      </c>
      <c r="J297" t="n">
        <v>4</v>
      </c>
      <c r="K297" t="n">
        <v>2</v>
      </c>
      <c r="L297" t="n">
        <v>5</v>
      </c>
      <c r="M297" t="n">
        <v>1</v>
      </c>
      <c r="N297" t="n">
        <v>5</v>
      </c>
      <c r="O297" t="n">
        <v>2</v>
      </c>
      <c r="P297" t="n">
        <v>1</v>
      </c>
      <c r="Q297" t="n">
        <v>5</v>
      </c>
      <c r="R297" t="n">
        <v>1</v>
      </c>
      <c r="S297" t="n">
        <v>1</v>
      </c>
      <c r="T297" t="n">
        <v>2</v>
      </c>
      <c r="U297">
        <f>(AVERAGE(B297:D297)-1)/4</f>
        <v/>
      </c>
      <c r="V297">
        <f>(AVERAGE(E297:F297)-1)/4</f>
        <v/>
      </c>
      <c r="W297">
        <f>(AVERAGE(G297:I297)-1)/4</f>
        <v/>
      </c>
      <c r="X297">
        <f>(AVERAGE(J297:L297)-1)/4</f>
        <v/>
      </c>
      <c r="Y297">
        <f>(AVERAGE(M297:O297)-1)/4</f>
        <v/>
      </c>
      <c r="Z297">
        <f>(AVERAGE(P297:R297)-1)/4</f>
        <v/>
      </c>
      <c r="AA297">
        <f>(AVERAGE(S297:T297)-1)/4</f>
        <v/>
      </c>
      <c r="AB297">
        <f>AVERAGE(U297:Y297)</f>
        <v/>
      </c>
      <c r="AC297">
        <f>MIN(U297:Y297)</f>
        <v/>
      </c>
      <c r="AD297">
        <f>1-alpha*MAX(0,delta-AC297)</f>
        <v/>
      </c>
      <c r="AE297">
        <f>AB297*AD297</f>
        <v/>
      </c>
      <c r="AF297">
        <f>1+COUNTIF(bounds,"&lt;"&amp;ROUND(AB297,12))</f>
        <v/>
      </c>
      <c r="AG297">
        <f>1+COUNTIF(bounds,"&lt;"&amp;ROUND(AE297,12))</f>
        <v/>
      </c>
      <c r="AH297">
        <f>IF(AD297&lt;1,1,0)</f>
        <v/>
      </c>
      <c r="AI297">
        <f>IF(AF297&lt;&gt;AG297,1,0)</f>
        <v/>
      </c>
      <c r="AJ297">
        <f>IF(AND(AG297&gt;=3,Z297&lt;=0.2),1,0)</f>
        <v/>
      </c>
      <c r="AK297">
        <f>AVERAGE(U297:Z297)</f>
        <v/>
      </c>
      <c r="AL297">
        <f>1+COUNTIF(bounds,"&lt;"&amp;ROUND(AK297,12))</f>
        <v/>
      </c>
      <c r="AM297">
        <f>IF(AI297=1,AB297,NA())</f>
        <v/>
      </c>
      <c r="AN297">
        <f>IF(AI297=0,AB297,NA())</f>
        <v/>
      </c>
    </row>
    <row r="298">
      <c r="A298" t="n">
        <v>290</v>
      </c>
      <c r="B298" t="n">
        <v>1</v>
      </c>
      <c r="C298" t="n">
        <v>1</v>
      </c>
      <c r="D298" t="n">
        <v>3</v>
      </c>
      <c r="E298" t="n">
        <v>1</v>
      </c>
      <c r="F298" t="n">
        <v>3</v>
      </c>
      <c r="G298" t="n">
        <v>5</v>
      </c>
      <c r="H298" t="n">
        <v>1</v>
      </c>
      <c r="I298" t="n">
        <v>3</v>
      </c>
      <c r="J298" t="n">
        <v>5</v>
      </c>
      <c r="K298" t="n">
        <v>1</v>
      </c>
      <c r="L298" t="n">
        <v>5</v>
      </c>
      <c r="M298" t="n">
        <v>2</v>
      </c>
      <c r="N298" t="n">
        <v>4</v>
      </c>
      <c r="O298" t="n">
        <v>3</v>
      </c>
      <c r="P298" t="n">
        <v>5</v>
      </c>
      <c r="Q298" t="n">
        <v>5</v>
      </c>
      <c r="R298" t="n">
        <v>1</v>
      </c>
      <c r="S298" t="n">
        <v>1</v>
      </c>
      <c r="T298" t="n">
        <v>2</v>
      </c>
      <c r="U298">
        <f>(AVERAGE(B298:D298)-1)/4</f>
        <v/>
      </c>
      <c r="V298">
        <f>(AVERAGE(E298:F298)-1)/4</f>
        <v/>
      </c>
      <c r="W298">
        <f>(AVERAGE(G298:I298)-1)/4</f>
        <v/>
      </c>
      <c r="X298">
        <f>(AVERAGE(J298:L298)-1)/4</f>
        <v/>
      </c>
      <c r="Y298">
        <f>(AVERAGE(M298:O298)-1)/4</f>
        <v/>
      </c>
      <c r="Z298">
        <f>(AVERAGE(P298:R298)-1)/4</f>
        <v/>
      </c>
      <c r="AA298">
        <f>(AVERAGE(S298:T298)-1)/4</f>
        <v/>
      </c>
      <c r="AB298">
        <f>AVERAGE(U298:Y298)</f>
        <v/>
      </c>
      <c r="AC298">
        <f>MIN(U298:Y298)</f>
        <v/>
      </c>
      <c r="AD298">
        <f>1-alpha*MAX(0,delta-AC298)</f>
        <v/>
      </c>
      <c r="AE298">
        <f>AB298*AD298</f>
        <v/>
      </c>
      <c r="AF298">
        <f>1+COUNTIF(bounds,"&lt;"&amp;ROUND(AB298,12))</f>
        <v/>
      </c>
      <c r="AG298">
        <f>1+COUNTIF(bounds,"&lt;"&amp;ROUND(AE298,12))</f>
        <v/>
      </c>
      <c r="AH298">
        <f>IF(AD298&lt;1,1,0)</f>
        <v/>
      </c>
      <c r="AI298">
        <f>IF(AF298&lt;&gt;AG298,1,0)</f>
        <v/>
      </c>
      <c r="AJ298">
        <f>IF(AND(AG298&gt;=3,Z298&lt;=0.2),1,0)</f>
        <v/>
      </c>
      <c r="AK298">
        <f>AVERAGE(U298:Z298)</f>
        <v/>
      </c>
      <c r="AL298">
        <f>1+COUNTIF(bounds,"&lt;"&amp;ROUND(AK298,12))</f>
        <v/>
      </c>
      <c r="AM298">
        <f>IF(AI298=1,AB298,NA())</f>
        <v/>
      </c>
      <c r="AN298">
        <f>IF(AI298=0,AB298,NA())</f>
        <v/>
      </c>
    </row>
    <row r="299">
      <c r="A299" t="n">
        <v>291</v>
      </c>
      <c r="B299" t="n">
        <v>4</v>
      </c>
      <c r="C299" t="n">
        <v>4</v>
      </c>
      <c r="D299" t="n">
        <v>4</v>
      </c>
      <c r="E299" t="n">
        <v>2</v>
      </c>
      <c r="F299" t="n">
        <v>3</v>
      </c>
      <c r="G299" t="n">
        <v>5</v>
      </c>
      <c r="H299" t="n">
        <v>3</v>
      </c>
      <c r="I299" t="n">
        <v>3</v>
      </c>
      <c r="J299" t="n">
        <v>5</v>
      </c>
      <c r="K299" t="n">
        <v>1</v>
      </c>
      <c r="L299" t="n">
        <v>5</v>
      </c>
      <c r="M299" t="n">
        <v>5</v>
      </c>
      <c r="N299" t="n">
        <v>2</v>
      </c>
      <c r="O299" t="n">
        <v>5</v>
      </c>
      <c r="P299" t="n">
        <v>3</v>
      </c>
      <c r="Q299" t="n">
        <v>5</v>
      </c>
      <c r="R299" t="n">
        <v>5</v>
      </c>
      <c r="S299" t="n">
        <v>4</v>
      </c>
      <c r="T299" t="n">
        <v>4</v>
      </c>
      <c r="U299">
        <f>(AVERAGE(B299:D299)-1)/4</f>
        <v/>
      </c>
      <c r="V299">
        <f>(AVERAGE(E299:F299)-1)/4</f>
        <v/>
      </c>
      <c r="W299">
        <f>(AVERAGE(G299:I299)-1)/4</f>
        <v/>
      </c>
      <c r="X299">
        <f>(AVERAGE(J299:L299)-1)/4</f>
        <v/>
      </c>
      <c r="Y299">
        <f>(AVERAGE(M299:O299)-1)/4</f>
        <v/>
      </c>
      <c r="Z299">
        <f>(AVERAGE(P299:R299)-1)/4</f>
        <v/>
      </c>
      <c r="AA299">
        <f>(AVERAGE(S299:T299)-1)/4</f>
        <v/>
      </c>
      <c r="AB299">
        <f>AVERAGE(U299:Y299)</f>
        <v/>
      </c>
      <c r="AC299">
        <f>MIN(U299:Y299)</f>
        <v/>
      </c>
      <c r="AD299">
        <f>1-alpha*MAX(0,delta-AC299)</f>
        <v/>
      </c>
      <c r="AE299">
        <f>AB299*AD299</f>
        <v/>
      </c>
      <c r="AF299">
        <f>1+COUNTIF(bounds,"&lt;"&amp;ROUND(AB299,12))</f>
        <v/>
      </c>
      <c r="AG299">
        <f>1+COUNTIF(bounds,"&lt;"&amp;ROUND(AE299,12))</f>
        <v/>
      </c>
      <c r="AH299">
        <f>IF(AD299&lt;1,1,0)</f>
        <v/>
      </c>
      <c r="AI299">
        <f>IF(AF299&lt;&gt;AG299,1,0)</f>
        <v/>
      </c>
      <c r="AJ299">
        <f>IF(AND(AG299&gt;=3,Z299&lt;=0.2),1,0)</f>
        <v/>
      </c>
      <c r="AK299">
        <f>AVERAGE(U299:Z299)</f>
        <v/>
      </c>
      <c r="AL299">
        <f>1+COUNTIF(bounds,"&lt;"&amp;ROUND(AK299,12))</f>
        <v/>
      </c>
      <c r="AM299">
        <f>IF(AI299=1,AB299,NA())</f>
        <v/>
      </c>
      <c r="AN299">
        <f>IF(AI299=0,AB299,NA())</f>
        <v/>
      </c>
    </row>
    <row r="300">
      <c r="A300" t="n">
        <v>292</v>
      </c>
      <c r="B300" t="n">
        <v>1</v>
      </c>
      <c r="C300" t="n">
        <v>3</v>
      </c>
      <c r="D300" t="n">
        <v>3</v>
      </c>
      <c r="E300" t="n">
        <v>5</v>
      </c>
      <c r="F300" t="n">
        <v>5</v>
      </c>
      <c r="G300" t="n">
        <v>1</v>
      </c>
      <c r="H300" t="n">
        <v>2</v>
      </c>
      <c r="I300" t="n">
        <v>5</v>
      </c>
      <c r="J300" t="n">
        <v>5</v>
      </c>
      <c r="K300" t="n">
        <v>3</v>
      </c>
      <c r="L300" t="n">
        <v>5</v>
      </c>
      <c r="M300" t="n">
        <v>1</v>
      </c>
      <c r="N300" t="n">
        <v>3</v>
      </c>
      <c r="O300" t="n">
        <v>5</v>
      </c>
      <c r="P300" t="n">
        <v>4</v>
      </c>
      <c r="Q300" t="n">
        <v>1</v>
      </c>
      <c r="R300" t="n">
        <v>4</v>
      </c>
      <c r="S300" t="n">
        <v>1</v>
      </c>
      <c r="T300" t="n">
        <v>2</v>
      </c>
      <c r="U300">
        <f>(AVERAGE(B300:D300)-1)/4</f>
        <v/>
      </c>
      <c r="V300">
        <f>(AVERAGE(E300:F300)-1)/4</f>
        <v/>
      </c>
      <c r="W300">
        <f>(AVERAGE(G300:I300)-1)/4</f>
        <v/>
      </c>
      <c r="X300">
        <f>(AVERAGE(J300:L300)-1)/4</f>
        <v/>
      </c>
      <c r="Y300">
        <f>(AVERAGE(M300:O300)-1)/4</f>
        <v/>
      </c>
      <c r="Z300">
        <f>(AVERAGE(P300:R300)-1)/4</f>
        <v/>
      </c>
      <c r="AA300">
        <f>(AVERAGE(S300:T300)-1)/4</f>
        <v/>
      </c>
      <c r="AB300">
        <f>AVERAGE(U300:Y300)</f>
        <v/>
      </c>
      <c r="AC300">
        <f>MIN(U300:Y300)</f>
        <v/>
      </c>
      <c r="AD300">
        <f>1-alpha*MAX(0,delta-AC300)</f>
        <v/>
      </c>
      <c r="AE300">
        <f>AB300*AD300</f>
        <v/>
      </c>
      <c r="AF300">
        <f>1+COUNTIF(bounds,"&lt;"&amp;ROUND(AB300,12))</f>
        <v/>
      </c>
      <c r="AG300">
        <f>1+COUNTIF(bounds,"&lt;"&amp;ROUND(AE300,12))</f>
        <v/>
      </c>
      <c r="AH300">
        <f>IF(AD300&lt;1,1,0)</f>
        <v/>
      </c>
      <c r="AI300">
        <f>IF(AF300&lt;&gt;AG300,1,0)</f>
        <v/>
      </c>
      <c r="AJ300">
        <f>IF(AND(AG300&gt;=3,Z300&lt;=0.2),1,0)</f>
        <v/>
      </c>
      <c r="AK300">
        <f>AVERAGE(U300:Z300)</f>
        <v/>
      </c>
      <c r="AL300">
        <f>1+COUNTIF(bounds,"&lt;"&amp;ROUND(AK300,12))</f>
        <v/>
      </c>
      <c r="AM300">
        <f>IF(AI300=1,AB300,NA())</f>
        <v/>
      </c>
      <c r="AN300">
        <f>IF(AI300=0,AB300,NA())</f>
        <v/>
      </c>
    </row>
    <row r="301">
      <c r="A301" t="n">
        <v>293</v>
      </c>
      <c r="B301" t="n">
        <v>1</v>
      </c>
      <c r="C301" t="n">
        <v>4</v>
      </c>
      <c r="D301" t="n">
        <v>2</v>
      </c>
      <c r="E301" t="n">
        <v>2</v>
      </c>
      <c r="F301" t="n">
        <v>1</v>
      </c>
      <c r="G301" t="n">
        <v>3</v>
      </c>
      <c r="H301" t="n">
        <v>1</v>
      </c>
      <c r="I301" t="n">
        <v>2</v>
      </c>
      <c r="J301" t="n">
        <v>3</v>
      </c>
      <c r="K301" t="n">
        <v>5</v>
      </c>
      <c r="L301" t="n">
        <v>5</v>
      </c>
      <c r="M301" t="n">
        <v>1</v>
      </c>
      <c r="N301" t="n">
        <v>4</v>
      </c>
      <c r="O301" t="n">
        <v>4</v>
      </c>
      <c r="P301" t="n">
        <v>3</v>
      </c>
      <c r="Q301" t="n">
        <v>2</v>
      </c>
      <c r="R301" t="n">
        <v>5</v>
      </c>
      <c r="S301" t="n">
        <v>5</v>
      </c>
      <c r="T301" t="n">
        <v>4</v>
      </c>
      <c r="U301">
        <f>(AVERAGE(B301:D301)-1)/4</f>
        <v/>
      </c>
      <c r="V301">
        <f>(AVERAGE(E301:F301)-1)/4</f>
        <v/>
      </c>
      <c r="W301">
        <f>(AVERAGE(G301:I301)-1)/4</f>
        <v/>
      </c>
      <c r="X301">
        <f>(AVERAGE(J301:L301)-1)/4</f>
        <v/>
      </c>
      <c r="Y301">
        <f>(AVERAGE(M301:O301)-1)/4</f>
        <v/>
      </c>
      <c r="Z301">
        <f>(AVERAGE(P301:R301)-1)/4</f>
        <v/>
      </c>
      <c r="AA301">
        <f>(AVERAGE(S301:T301)-1)/4</f>
        <v/>
      </c>
      <c r="AB301">
        <f>AVERAGE(U301:Y301)</f>
        <v/>
      </c>
      <c r="AC301">
        <f>MIN(U301:Y301)</f>
        <v/>
      </c>
      <c r="AD301">
        <f>1-alpha*MAX(0,delta-AC301)</f>
        <v/>
      </c>
      <c r="AE301">
        <f>AB301*AD301</f>
        <v/>
      </c>
      <c r="AF301">
        <f>1+COUNTIF(bounds,"&lt;"&amp;ROUND(AB301,12))</f>
        <v/>
      </c>
      <c r="AG301">
        <f>1+COUNTIF(bounds,"&lt;"&amp;ROUND(AE301,12))</f>
        <v/>
      </c>
      <c r="AH301">
        <f>IF(AD301&lt;1,1,0)</f>
        <v/>
      </c>
      <c r="AI301">
        <f>IF(AF301&lt;&gt;AG301,1,0)</f>
        <v/>
      </c>
      <c r="AJ301">
        <f>IF(AND(AG301&gt;=3,Z301&lt;=0.2),1,0)</f>
        <v/>
      </c>
      <c r="AK301">
        <f>AVERAGE(U301:Z301)</f>
        <v/>
      </c>
      <c r="AL301">
        <f>1+COUNTIF(bounds,"&lt;"&amp;ROUND(AK301,12))</f>
        <v/>
      </c>
      <c r="AM301">
        <f>IF(AI301=1,AB301,NA())</f>
        <v/>
      </c>
      <c r="AN301">
        <f>IF(AI301=0,AB301,NA())</f>
        <v/>
      </c>
    </row>
    <row r="302">
      <c r="A302" t="n">
        <v>294</v>
      </c>
      <c r="B302" t="n">
        <v>3</v>
      </c>
      <c r="C302" t="n">
        <v>3</v>
      </c>
      <c r="D302" t="n">
        <v>4</v>
      </c>
      <c r="E302" t="n">
        <v>4</v>
      </c>
      <c r="F302" t="n">
        <v>5</v>
      </c>
      <c r="G302" t="n">
        <v>4</v>
      </c>
      <c r="H302" t="n">
        <v>5</v>
      </c>
      <c r="I302" t="n">
        <v>5</v>
      </c>
      <c r="J302" t="n">
        <v>5</v>
      </c>
      <c r="K302" t="n">
        <v>1</v>
      </c>
      <c r="L302" t="n">
        <v>4</v>
      </c>
      <c r="M302" t="n">
        <v>5</v>
      </c>
      <c r="N302" t="n">
        <v>4</v>
      </c>
      <c r="O302" t="n">
        <v>1</v>
      </c>
      <c r="P302" t="n">
        <v>1</v>
      </c>
      <c r="Q302" t="n">
        <v>4</v>
      </c>
      <c r="R302" t="n">
        <v>1</v>
      </c>
      <c r="S302" t="n">
        <v>2</v>
      </c>
      <c r="T302" t="n">
        <v>1</v>
      </c>
      <c r="U302">
        <f>(AVERAGE(B302:D302)-1)/4</f>
        <v/>
      </c>
      <c r="V302">
        <f>(AVERAGE(E302:F302)-1)/4</f>
        <v/>
      </c>
      <c r="W302">
        <f>(AVERAGE(G302:I302)-1)/4</f>
        <v/>
      </c>
      <c r="X302">
        <f>(AVERAGE(J302:L302)-1)/4</f>
        <v/>
      </c>
      <c r="Y302">
        <f>(AVERAGE(M302:O302)-1)/4</f>
        <v/>
      </c>
      <c r="Z302">
        <f>(AVERAGE(P302:R302)-1)/4</f>
        <v/>
      </c>
      <c r="AA302">
        <f>(AVERAGE(S302:T302)-1)/4</f>
        <v/>
      </c>
      <c r="AB302">
        <f>AVERAGE(U302:Y302)</f>
        <v/>
      </c>
      <c r="AC302">
        <f>MIN(U302:Y302)</f>
        <v/>
      </c>
      <c r="AD302">
        <f>1-alpha*MAX(0,delta-AC302)</f>
        <v/>
      </c>
      <c r="AE302">
        <f>AB302*AD302</f>
        <v/>
      </c>
      <c r="AF302">
        <f>1+COUNTIF(bounds,"&lt;"&amp;ROUND(AB302,12))</f>
        <v/>
      </c>
      <c r="AG302">
        <f>1+COUNTIF(bounds,"&lt;"&amp;ROUND(AE302,12))</f>
        <v/>
      </c>
      <c r="AH302">
        <f>IF(AD302&lt;1,1,0)</f>
        <v/>
      </c>
      <c r="AI302">
        <f>IF(AF302&lt;&gt;AG302,1,0)</f>
        <v/>
      </c>
      <c r="AJ302">
        <f>IF(AND(AG302&gt;=3,Z302&lt;=0.2),1,0)</f>
        <v/>
      </c>
      <c r="AK302">
        <f>AVERAGE(U302:Z302)</f>
        <v/>
      </c>
      <c r="AL302">
        <f>1+COUNTIF(bounds,"&lt;"&amp;ROUND(AK302,12))</f>
        <v/>
      </c>
      <c r="AM302">
        <f>IF(AI302=1,AB302,NA())</f>
        <v/>
      </c>
      <c r="AN302">
        <f>IF(AI302=0,AB302,NA())</f>
        <v/>
      </c>
    </row>
    <row r="303">
      <c r="A303" t="n">
        <v>295</v>
      </c>
      <c r="B303" t="n">
        <v>5</v>
      </c>
      <c r="C303" t="n">
        <v>4</v>
      </c>
      <c r="D303" t="n">
        <v>2</v>
      </c>
      <c r="E303" t="n">
        <v>1</v>
      </c>
      <c r="F303" t="n">
        <v>3</v>
      </c>
      <c r="G303" t="n">
        <v>5</v>
      </c>
      <c r="H303" t="n">
        <v>3</v>
      </c>
      <c r="I303" t="n">
        <v>5</v>
      </c>
      <c r="J303" t="n">
        <v>1</v>
      </c>
      <c r="K303" t="n">
        <v>4</v>
      </c>
      <c r="L303" t="n">
        <v>1</v>
      </c>
      <c r="M303" t="n">
        <v>4</v>
      </c>
      <c r="N303" t="n">
        <v>3</v>
      </c>
      <c r="O303" t="n">
        <v>2</v>
      </c>
      <c r="P303" t="n">
        <v>2</v>
      </c>
      <c r="Q303" t="n">
        <v>5</v>
      </c>
      <c r="R303" t="n">
        <v>3</v>
      </c>
      <c r="S303" t="n">
        <v>5</v>
      </c>
      <c r="T303" t="n">
        <v>4</v>
      </c>
      <c r="U303">
        <f>(AVERAGE(B303:D303)-1)/4</f>
        <v/>
      </c>
      <c r="V303">
        <f>(AVERAGE(E303:F303)-1)/4</f>
        <v/>
      </c>
      <c r="W303">
        <f>(AVERAGE(G303:I303)-1)/4</f>
        <v/>
      </c>
      <c r="X303">
        <f>(AVERAGE(J303:L303)-1)/4</f>
        <v/>
      </c>
      <c r="Y303">
        <f>(AVERAGE(M303:O303)-1)/4</f>
        <v/>
      </c>
      <c r="Z303">
        <f>(AVERAGE(P303:R303)-1)/4</f>
        <v/>
      </c>
      <c r="AA303">
        <f>(AVERAGE(S303:T303)-1)/4</f>
        <v/>
      </c>
      <c r="AB303">
        <f>AVERAGE(U303:Y303)</f>
        <v/>
      </c>
      <c r="AC303">
        <f>MIN(U303:Y303)</f>
        <v/>
      </c>
      <c r="AD303">
        <f>1-alpha*MAX(0,delta-AC303)</f>
        <v/>
      </c>
      <c r="AE303">
        <f>AB303*AD303</f>
        <v/>
      </c>
      <c r="AF303">
        <f>1+COUNTIF(bounds,"&lt;"&amp;ROUND(AB303,12))</f>
        <v/>
      </c>
      <c r="AG303">
        <f>1+COUNTIF(bounds,"&lt;"&amp;ROUND(AE303,12))</f>
        <v/>
      </c>
      <c r="AH303">
        <f>IF(AD303&lt;1,1,0)</f>
        <v/>
      </c>
      <c r="AI303">
        <f>IF(AF303&lt;&gt;AG303,1,0)</f>
        <v/>
      </c>
      <c r="AJ303">
        <f>IF(AND(AG303&gt;=3,Z303&lt;=0.2),1,0)</f>
        <v/>
      </c>
      <c r="AK303">
        <f>AVERAGE(U303:Z303)</f>
        <v/>
      </c>
      <c r="AL303">
        <f>1+COUNTIF(bounds,"&lt;"&amp;ROUND(AK303,12))</f>
        <v/>
      </c>
      <c r="AM303">
        <f>IF(AI303=1,AB303,NA())</f>
        <v/>
      </c>
      <c r="AN303">
        <f>IF(AI303=0,AB303,NA())</f>
        <v/>
      </c>
    </row>
    <row r="304">
      <c r="A304" t="n">
        <v>296</v>
      </c>
      <c r="B304" t="n">
        <v>2</v>
      </c>
      <c r="C304" t="n">
        <v>3</v>
      </c>
      <c r="D304" t="n">
        <v>2</v>
      </c>
      <c r="E304" t="n">
        <v>4</v>
      </c>
      <c r="F304" t="n">
        <v>2</v>
      </c>
      <c r="G304" t="n">
        <v>5</v>
      </c>
      <c r="H304" t="n">
        <v>3</v>
      </c>
      <c r="I304" t="n">
        <v>3</v>
      </c>
      <c r="J304" t="n">
        <v>4</v>
      </c>
      <c r="K304" t="n">
        <v>4</v>
      </c>
      <c r="L304" t="n">
        <v>1</v>
      </c>
      <c r="M304" t="n">
        <v>3</v>
      </c>
      <c r="N304" t="n">
        <v>1</v>
      </c>
      <c r="O304" t="n">
        <v>3</v>
      </c>
      <c r="P304" t="n">
        <v>3</v>
      </c>
      <c r="Q304" t="n">
        <v>3</v>
      </c>
      <c r="R304" t="n">
        <v>3</v>
      </c>
      <c r="S304" t="n">
        <v>3</v>
      </c>
      <c r="T304" t="n">
        <v>5</v>
      </c>
      <c r="U304">
        <f>(AVERAGE(B304:D304)-1)/4</f>
        <v/>
      </c>
      <c r="V304">
        <f>(AVERAGE(E304:F304)-1)/4</f>
        <v/>
      </c>
      <c r="W304">
        <f>(AVERAGE(G304:I304)-1)/4</f>
        <v/>
      </c>
      <c r="X304">
        <f>(AVERAGE(J304:L304)-1)/4</f>
        <v/>
      </c>
      <c r="Y304">
        <f>(AVERAGE(M304:O304)-1)/4</f>
        <v/>
      </c>
      <c r="Z304">
        <f>(AVERAGE(P304:R304)-1)/4</f>
        <v/>
      </c>
      <c r="AA304">
        <f>(AVERAGE(S304:T304)-1)/4</f>
        <v/>
      </c>
      <c r="AB304">
        <f>AVERAGE(U304:Y304)</f>
        <v/>
      </c>
      <c r="AC304">
        <f>MIN(U304:Y304)</f>
        <v/>
      </c>
      <c r="AD304">
        <f>1-alpha*MAX(0,delta-AC304)</f>
        <v/>
      </c>
      <c r="AE304">
        <f>AB304*AD304</f>
        <v/>
      </c>
      <c r="AF304">
        <f>1+COUNTIF(bounds,"&lt;"&amp;ROUND(AB304,12))</f>
        <v/>
      </c>
      <c r="AG304">
        <f>1+COUNTIF(bounds,"&lt;"&amp;ROUND(AE304,12))</f>
        <v/>
      </c>
      <c r="AH304">
        <f>IF(AD304&lt;1,1,0)</f>
        <v/>
      </c>
      <c r="AI304">
        <f>IF(AF304&lt;&gt;AG304,1,0)</f>
        <v/>
      </c>
      <c r="AJ304">
        <f>IF(AND(AG304&gt;=3,Z304&lt;=0.2),1,0)</f>
        <v/>
      </c>
      <c r="AK304">
        <f>AVERAGE(U304:Z304)</f>
        <v/>
      </c>
      <c r="AL304">
        <f>1+COUNTIF(bounds,"&lt;"&amp;ROUND(AK304,12))</f>
        <v/>
      </c>
      <c r="AM304">
        <f>IF(AI304=1,AB304,NA())</f>
        <v/>
      </c>
      <c r="AN304">
        <f>IF(AI304=0,AB304,NA())</f>
        <v/>
      </c>
    </row>
    <row r="305">
      <c r="A305" t="n">
        <v>297</v>
      </c>
      <c r="B305" t="n">
        <v>4</v>
      </c>
      <c r="C305" t="n">
        <v>3</v>
      </c>
      <c r="D305" t="n">
        <v>3</v>
      </c>
      <c r="E305" t="n">
        <v>5</v>
      </c>
      <c r="F305" t="n">
        <v>5</v>
      </c>
      <c r="G305" t="n">
        <v>5</v>
      </c>
      <c r="H305" t="n">
        <v>1</v>
      </c>
      <c r="I305" t="n">
        <v>1</v>
      </c>
      <c r="J305" t="n">
        <v>1</v>
      </c>
      <c r="K305" t="n">
        <v>3</v>
      </c>
      <c r="L305" t="n">
        <v>1</v>
      </c>
      <c r="M305" t="n">
        <v>3</v>
      </c>
      <c r="N305" t="n">
        <v>5</v>
      </c>
      <c r="O305" t="n">
        <v>2</v>
      </c>
      <c r="P305" t="n">
        <v>4</v>
      </c>
      <c r="Q305" t="n">
        <v>3</v>
      </c>
      <c r="R305" t="n">
        <v>2</v>
      </c>
      <c r="S305" t="n">
        <v>3</v>
      </c>
      <c r="T305" t="n">
        <v>3</v>
      </c>
      <c r="U305">
        <f>(AVERAGE(B305:D305)-1)/4</f>
        <v/>
      </c>
      <c r="V305">
        <f>(AVERAGE(E305:F305)-1)/4</f>
        <v/>
      </c>
      <c r="W305">
        <f>(AVERAGE(G305:I305)-1)/4</f>
        <v/>
      </c>
      <c r="X305">
        <f>(AVERAGE(J305:L305)-1)/4</f>
        <v/>
      </c>
      <c r="Y305">
        <f>(AVERAGE(M305:O305)-1)/4</f>
        <v/>
      </c>
      <c r="Z305">
        <f>(AVERAGE(P305:R305)-1)/4</f>
        <v/>
      </c>
      <c r="AA305">
        <f>(AVERAGE(S305:T305)-1)/4</f>
        <v/>
      </c>
      <c r="AB305">
        <f>AVERAGE(U305:Y305)</f>
        <v/>
      </c>
      <c r="AC305">
        <f>MIN(U305:Y305)</f>
        <v/>
      </c>
      <c r="AD305">
        <f>1-alpha*MAX(0,delta-AC305)</f>
        <v/>
      </c>
      <c r="AE305">
        <f>AB305*AD305</f>
        <v/>
      </c>
      <c r="AF305">
        <f>1+COUNTIF(bounds,"&lt;"&amp;ROUND(AB305,12))</f>
        <v/>
      </c>
      <c r="AG305">
        <f>1+COUNTIF(bounds,"&lt;"&amp;ROUND(AE305,12))</f>
        <v/>
      </c>
      <c r="AH305">
        <f>IF(AD305&lt;1,1,0)</f>
        <v/>
      </c>
      <c r="AI305">
        <f>IF(AF305&lt;&gt;AG305,1,0)</f>
        <v/>
      </c>
      <c r="AJ305">
        <f>IF(AND(AG305&gt;=3,Z305&lt;=0.2),1,0)</f>
        <v/>
      </c>
      <c r="AK305">
        <f>AVERAGE(U305:Z305)</f>
        <v/>
      </c>
      <c r="AL305">
        <f>1+COUNTIF(bounds,"&lt;"&amp;ROUND(AK305,12))</f>
        <v/>
      </c>
      <c r="AM305">
        <f>IF(AI305=1,AB305,NA())</f>
        <v/>
      </c>
      <c r="AN305">
        <f>IF(AI305=0,AB305,NA())</f>
        <v/>
      </c>
    </row>
    <row r="306">
      <c r="A306" t="n">
        <v>298</v>
      </c>
      <c r="B306" t="n">
        <v>4</v>
      </c>
      <c r="C306" t="n">
        <v>2</v>
      </c>
      <c r="D306" t="n">
        <v>5</v>
      </c>
      <c r="E306" t="n">
        <v>1</v>
      </c>
      <c r="F306" t="n">
        <v>4</v>
      </c>
      <c r="G306" t="n">
        <v>3</v>
      </c>
      <c r="H306" t="n">
        <v>4</v>
      </c>
      <c r="I306" t="n">
        <v>5</v>
      </c>
      <c r="J306" t="n">
        <v>2</v>
      </c>
      <c r="K306" t="n">
        <v>5</v>
      </c>
      <c r="L306" t="n">
        <v>3</v>
      </c>
      <c r="M306" t="n">
        <v>5</v>
      </c>
      <c r="N306" t="n">
        <v>2</v>
      </c>
      <c r="O306" t="n">
        <v>5</v>
      </c>
      <c r="P306" t="n">
        <v>3</v>
      </c>
      <c r="Q306" t="n">
        <v>2</v>
      </c>
      <c r="R306" t="n">
        <v>5</v>
      </c>
      <c r="S306" t="n">
        <v>3</v>
      </c>
      <c r="T306" t="n">
        <v>5</v>
      </c>
      <c r="U306">
        <f>(AVERAGE(B306:D306)-1)/4</f>
        <v/>
      </c>
      <c r="V306">
        <f>(AVERAGE(E306:F306)-1)/4</f>
        <v/>
      </c>
      <c r="W306">
        <f>(AVERAGE(G306:I306)-1)/4</f>
        <v/>
      </c>
      <c r="X306">
        <f>(AVERAGE(J306:L306)-1)/4</f>
        <v/>
      </c>
      <c r="Y306">
        <f>(AVERAGE(M306:O306)-1)/4</f>
        <v/>
      </c>
      <c r="Z306">
        <f>(AVERAGE(P306:R306)-1)/4</f>
        <v/>
      </c>
      <c r="AA306">
        <f>(AVERAGE(S306:T306)-1)/4</f>
        <v/>
      </c>
      <c r="AB306">
        <f>AVERAGE(U306:Y306)</f>
        <v/>
      </c>
      <c r="AC306">
        <f>MIN(U306:Y306)</f>
        <v/>
      </c>
      <c r="AD306">
        <f>1-alpha*MAX(0,delta-AC306)</f>
        <v/>
      </c>
      <c r="AE306">
        <f>AB306*AD306</f>
        <v/>
      </c>
      <c r="AF306">
        <f>1+COUNTIF(bounds,"&lt;"&amp;ROUND(AB306,12))</f>
        <v/>
      </c>
      <c r="AG306">
        <f>1+COUNTIF(bounds,"&lt;"&amp;ROUND(AE306,12))</f>
        <v/>
      </c>
      <c r="AH306">
        <f>IF(AD306&lt;1,1,0)</f>
        <v/>
      </c>
      <c r="AI306">
        <f>IF(AF306&lt;&gt;AG306,1,0)</f>
        <v/>
      </c>
      <c r="AJ306">
        <f>IF(AND(AG306&gt;=3,Z306&lt;=0.2),1,0)</f>
        <v/>
      </c>
      <c r="AK306">
        <f>AVERAGE(U306:Z306)</f>
        <v/>
      </c>
      <c r="AL306">
        <f>1+COUNTIF(bounds,"&lt;"&amp;ROUND(AK306,12))</f>
        <v/>
      </c>
      <c r="AM306">
        <f>IF(AI306=1,AB306,NA())</f>
        <v/>
      </c>
      <c r="AN306">
        <f>IF(AI306=0,AB306,NA())</f>
        <v/>
      </c>
    </row>
    <row r="307">
      <c r="A307" t="n">
        <v>299</v>
      </c>
      <c r="B307" t="n">
        <v>4</v>
      </c>
      <c r="C307" t="n">
        <v>4</v>
      </c>
      <c r="D307" t="n">
        <v>5</v>
      </c>
      <c r="E307" t="n">
        <v>2</v>
      </c>
      <c r="F307" t="n">
        <v>3</v>
      </c>
      <c r="G307" t="n">
        <v>4</v>
      </c>
      <c r="H307" t="n">
        <v>5</v>
      </c>
      <c r="I307" t="n">
        <v>3</v>
      </c>
      <c r="J307" t="n">
        <v>2</v>
      </c>
      <c r="K307" t="n">
        <v>4</v>
      </c>
      <c r="L307" t="n">
        <v>5</v>
      </c>
      <c r="M307" t="n">
        <v>3</v>
      </c>
      <c r="N307" t="n">
        <v>4</v>
      </c>
      <c r="O307" t="n">
        <v>2</v>
      </c>
      <c r="P307" t="n">
        <v>4</v>
      </c>
      <c r="Q307" t="n">
        <v>3</v>
      </c>
      <c r="R307" t="n">
        <v>4</v>
      </c>
      <c r="S307" t="n">
        <v>1</v>
      </c>
      <c r="T307" t="n">
        <v>2</v>
      </c>
      <c r="U307">
        <f>(AVERAGE(B307:D307)-1)/4</f>
        <v/>
      </c>
      <c r="V307">
        <f>(AVERAGE(E307:F307)-1)/4</f>
        <v/>
      </c>
      <c r="W307">
        <f>(AVERAGE(G307:I307)-1)/4</f>
        <v/>
      </c>
      <c r="X307">
        <f>(AVERAGE(J307:L307)-1)/4</f>
        <v/>
      </c>
      <c r="Y307">
        <f>(AVERAGE(M307:O307)-1)/4</f>
        <v/>
      </c>
      <c r="Z307">
        <f>(AVERAGE(P307:R307)-1)/4</f>
        <v/>
      </c>
      <c r="AA307">
        <f>(AVERAGE(S307:T307)-1)/4</f>
        <v/>
      </c>
      <c r="AB307">
        <f>AVERAGE(U307:Y307)</f>
        <v/>
      </c>
      <c r="AC307">
        <f>MIN(U307:Y307)</f>
        <v/>
      </c>
      <c r="AD307">
        <f>1-alpha*MAX(0,delta-AC307)</f>
        <v/>
      </c>
      <c r="AE307">
        <f>AB307*AD307</f>
        <v/>
      </c>
      <c r="AF307">
        <f>1+COUNTIF(bounds,"&lt;"&amp;ROUND(AB307,12))</f>
        <v/>
      </c>
      <c r="AG307">
        <f>1+COUNTIF(bounds,"&lt;"&amp;ROUND(AE307,12))</f>
        <v/>
      </c>
      <c r="AH307">
        <f>IF(AD307&lt;1,1,0)</f>
        <v/>
      </c>
      <c r="AI307">
        <f>IF(AF307&lt;&gt;AG307,1,0)</f>
        <v/>
      </c>
      <c r="AJ307">
        <f>IF(AND(AG307&gt;=3,Z307&lt;=0.2),1,0)</f>
        <v/>
      </c>
      <c r="AK307">
        <f>AVERAGE(U307:Z307)</f>
        <v/>
      </c>
      <c r="AL307">
        <f>1+COUNTIF(bounds,"&lt;"&amp;ROUND(AK307,12))</f>
        <v/>
      </c>
      <c r="AM307">
        <f>IF(AI307=1,AB307,NA())</f>
        <v/>
      </c>
      <c r="AN307">
        <f>IF(AI307=0,AB307,NA())</f>
        <v/>
      </c>
    </row>
    <row r="308">
      <c r="A308" t="n">
        <v>300</v>
      </c>
      <c r="B308" t="n">
        <v>4</v>
      </c>
      <c r="C308" t="n">
        <v>4</v>
      </c>
      <c r="D308" t="n">
        <v>4</v>
      </c>
      <c r="E308" t="n">
        <v>1</v>
      </c>
      <c r="F308" t="n">
        <v>1</v>
      </c>
      <c r="G308" t="n">
        <v>5</v>
      </c>
      <c r="H308" t="n">
        <v>2</v>
      </c>
      <c r="I308" t="n">
        <v>4</v>
      </c>
      <c r="J308" t="n">
        <v>4</v>
      </c>
      <c r="K308" t="n">
        <v>2</v>
      </c>
      <c r="L308" t="n">
        <v>3</v>
      </c>
      <c r="M308" t="n">
        <v>2</v>
      </c>
      <c r="N308" t="n">
        <v>2</v>
      </c>
      <c r="O308" t="n">
        <v>1</v>
      </c>
      <c r="P308" t="n">
        <v>5</v>
      </c>
      <c r="Q308" t="n">
        <v>3</v>
      </c>
      <c r="R308" t="n">
        <v>4</v>
      </c>
      <c r="S308" t="n">
        <v>5</v>
      </c>
      <c r="T308" t="n">
        <v>4</v>
      </c>
      <c r="U308">
        <f>(AVERAGE(B308:D308)-1)/4</f>
        <v/>
      </c>
      <c r="V308">
        <f>(AVERAGE(E308:F308)-1)/4</f>
        <v/>
      </c>
      <c r="W308">
        <f>(AVERAGE(G308:I308)-1)/4</f>
        <v/>
      </c>
      <c r="X308">
        <f>(AVERAGE(J308:L308)-1)/4</f>
        <v/>
      </c>
      <c r="Y308">
        <f>(AVERAGE(M308:O308)-1)/4</f>
        <v/>
      </c>
      <c r="Z308">
        <f>(AVERAGE(P308:R308)-1)/4</f>
        <v/>
      </c>
      <c r="AA308">
        <f>(AVERAGE(S308:T308)-1)/4</f>
        <v/>
      </c>
      <c r="AB308">
        <f>AVERAGE(U308:Y308)</f>
        <v/>
      </c>
      <c r="AC308">
        <f>MIN(U308:Y308)</f>
        <v/>
      </c>
      <c r="AD308">
        <f>1-alpha*MAX(0,delta-AC308)</f>
        <v/>
      </c>
      <c r="AE308">
        <f>AB308*AD308</f>
        <v/>
      </c>
      <c r="AF308">
        <f>1+COUNTIF(bounds,"&lt;"&amp;ROUND(AB308,12))</f>
        <v/>
      </c>
      <c r="AG308">
        <f>1+COUNTIF(bounds,"&lt;"&amp;ROUND(AE308,12))</f>
        <v/>
      </c>
      <c r="AH308">
        <f>IF(AD308&lt;1,1,0)</f>
        <v/>
      </c>
      <c r="AI308">
        <f>IF(AF308&lt;&gt;AG308,1,0)</f>
        <v/>
      </c>
      <c r="AJ308">
        <f>IF(AND(AG308&gt;=3,Z308&lt;=0.2),1,0)</f>
        <v/>
      </c>
      <c r="AK308">
        <f>AVERAGE(U308:Z308)</f>
        <v/>
      </c>
      <c r="AL308">
        <f>1+COUNTIF(bounds,"&lt;"&amp;ROUND(AK308,12))</f>
        <v/>
      </c>
      <c r="AM308">
        <f>IF(AI308=1,AB308,NA())</f>
        <v/>
      </c>
      <c r="AN308">
        <f>IF(AI308=0,AB308,NA())</f>
        <v/>
      </c>
    </row>
    <row r="309">
      <c r="A309" t="n">
        <v>301</v>
      </c>
      <c r="B309" t="n">
        <v>4</v>
      </c>
      <c r="C309" t="n">
        <v>5</v>
      </c>
      <c r="D309" t="n">
        <v>3</v>
      </c>
      <c r="E309" t="n">
        <v>2</v>
      </c>
      <c r="F309" t="n">
        <v>4</v>
      </c>
      <c r="G309" t="n">
        <v>4</v>
      </c>
      <c r="H309" t="n">
        <v>1</v>
      </c>
      <c r="I309" t="n">
        <v>1</v>
      </c>
      <c r="J309" t="n">
        <v>1</v>
      </c>
      <c r="K309" t="n">
        <v>5</v>
      </c>
      <c r="L309" t="n">
        <v>2</v>
      </c>
      <c r="M309" t="n">
        <v>2</v>
      </c>
      <c r="N309" t="n">
        <v>2</v>
      </c>
      <c r="O309" t="n">
        <v>3</v>
      </c>
      <c r="P309" t="n">
        <v>3</v>
      </c>
      <c r="Q309" t="n">
        <v>5</v>
      </c>
      <c r="R309" t="n">
        <v>4</v>
      </c>
      <c r="S309" t="n">
        <v>2</v>
      </c>
      <c r="T309" t="n">
        <v>1</v>
      </c>
      <c r="U309">
        <f>(AVERAGE(B309:D309)-1)/4</f>
        <v/>
      </c>
      <c r="V309">
        <f>(AVERAGE(E309:F309)-1)/4</f>
        <v/>
      </c>
      <c r="W309">
        <f>(AVERAGE(G309:I309)-1)/4</f>
        <v/>
      </c>
      <c r="X309">
        <f>(AVERAGE(J309:L309)-1)/4</f>
        <v/>
      </c>
      <c r="Y309">
        <f>(AVERAGE(M309:O309)-1)/4</f>
        <v/>
      </c>
      <c r="Z309">
        <f>(AVERAGE(P309:R309)-1)/4</f>
        <v/>
      </c>
      <c r="AA309">
        <f>(AVERAGE(S309:T309)-1)/4</f>
        <v/>
      </c>
      <c r="AB309">
        <f>AVERAGE(U309:Y309)</f>
        <v/>
      </c>
      <c r="AC309">
        <f>MIN(U309:Y309)</f>
        <v/>
      </c>
      <c r="AD309">
        <f>1-alpha*MAX(0,delta-AC309)</f>
        <v/>
      </c>
      <c r="AE309">
        <f>AB309*AD309</f>
        <v/>
      </c>
      <c r="AF309">
        <f>1+COUNTIF(bounds,"&lt;"&amp;ROUND(AB309,12))</f>
        <v/>
      </c>
      <c r="AG309">
        <f>1+COUNTIF(bounds,"&lt;"&amp;ROUND(AE309,12))</f>
        <v/>
      </c>
      <c r="AH309">
        <f>IF(AD309&lt;1,1,0)</f>
        <v/>
      </c>
      <c r="AI309">
        <f>IF(AF309&lt;&gt;AG309,1,0)</f>
        <v/>
      </c>
      <c r="AJ309">
        <f>IF(AND(AG309&gt;=3,Z309&lt;=0.2),1,0)</f>
        <v/>
      </c>
      <c r="AK309">
        <f>AVERAGE(U309:Z309)</f>
        <v/>
      </c>
      <c r="AL309">
        <f>1+COUNTIF(bounds,"&lt;"&amp;ROUND(AK309,12))</f>
        <v/>
      </c>
      <c r="AM309">
        <f>IF(AI309=1,AB309,NA())</f>
        <v/>
      </c>
      <c r="AN309">
        <f>IF(AI309=0,AB309,NA())</f>
        <v/>
      </c>
    </row>
    <row r="310">
      <c r="A310" t="n">
        <v>302</v>
      </c>
      <c r="B310" t="n">
        <v>2</v>
      </c>
      <c r="C310" t="n">
        <v>1</v>
      </c>
      <c r="D310" t="n">
        <v>5</v>
      </c>
      <c r="E310" t="n">
        <v>3</v>
      </c>
      <c r="F310" t="n">
        <v>2</v>
      </c>
      <c r="G310" t="n">
        <v>5</v>
      </c>
      <c r="H310" t="n">
        <v>3</v>
      </c>
      <c r="I310" t="n">
        <v>5</v>
      </c>
      <c r="J310" t="n">
        <v>4</v>
      </c>
      <c r="K310" t="n">
        <v>1</v>
      </c>
      <c r="L310" t="n">
        <v>3</v>
      </c>
      <c r="M310" t="n">
        <v>1</v>
      </c>
      <c r="N310" t="n">
        <v>2</v>
      </c>
      <c r="O310" t="n">
        <v>2</v>
      </c>
      <c r="P310" t="n">
        <v>4</v>
      </c>
      <c r="Q310" t="n">
        <v>4</v>
      </c>
      <c r="R310" t="n">
        <v>1</v>
      </c>
      <c r="S310" t="n">
        <v>2</v>
      </c>
      <c r="T310" t="n">
        <v>4</v>
      </c>
      <c r="U310">
        <f>(AVERAGE(B310:D310)-1)/4</f>
        <v/>
      </c>
      <c r="V310">
        <f>(AVERAGE(E310:F310)-1)/4</f>
        <v/>
      </c>
      <c r="W310">
        <f>(AVERAGE(G310:I310)-1)/4</f>
        <v/>
      </c>
      <c r="X310">
        <f>(AVERAGE(J310:L310)-1)/4</f>
        <v/>
      </c>
      <c r="Y310">
        <f>(AVERAGE(M310:O310)-1)/4</f>
        <v/>
      </c>
      <c r="Z310">
        <f>(AVERAGE(P310:R310)-1)/4</f>
        <v/>
      </c>
      <c r="AA310">
        <f>(AVERAGE(S310:T310)-1)/4</f>
        <v/>
      </c>
      <c r="AB310">
        <f>AVERAGE(U310:Y310)</f>
        <v/>
      </c>
      <c r="AC310">
        <f>MIN(U310:Y310)</f>
        <v/>
      </c>
      <c r="AD310">
        <f>1-alpha*MAX(0,delta-AC310)</f>
        <v/>
      </c>
      <c r="AE310">
        <f>AB310*AD310</f>
        <v/>
      </c>
      <c r="AF310">
        <f>1+COUNTIF(bounds,"&lt;"&amp;ROUND(AB310,12))</f>
        <v/>
      </c>
      <c r="AG310">
        <f>1+COUNTIF(bounds,"&lt;"&amp;ROUND(AE310,12))</f>
        <v/>
      </c>
      <c r="AH310">
        <f>IF(AD310&lt;1,1,0)</f>
        <v/>
      </c>
      <c r="AI310">
        <f>IF(AF310&lt;&gt;AG310,1,0)</f>
        <v/>
      </c>
      <c r="AJ310">
        <f>IF(AND(AG310&gt;=3,Z310&lt;=0.2),1,0)</f>
        <v/>
      </c>
      <c r="AK310">
        <f>AVERAGE(U310:Z310)</f>
        <v/>
      </c>
      <c r="AL310">
        <f>1+COUNTIF(bounds,"&lt;"&amp;ROUND(AK310,12))</f>
        <v/>
      </c>
      <c r="AM310">
        <f>IF(AI310=1,AB310,NA())</f>
        <v/>
      </c>
      <c r="AN310">
        <f>IF(AI310=0,AB310,NA())</f>
        <v/>
      </c>
    </row>
    <row r="311">
      <c r="A311" t="n">
        <v>303</v>
      </c>
      <c r="B311" t="n">
        <v>1</v>
      </c>
      <c r="C311" t="n">
        <v>5</v>
      </c>
      <c r="D311" t="n">
        <v>2</v>
      </c>
      <c r="E311" t="n">
        <v>3</v>
      </c>
      <c r="F311" t="n">
        <v>5</v>
      </c>
      <c r="G311" t="n">
        <v>2</v>
      </c>
      <c r="H311" t="n">
        <v>4</v>
      </c>
      <c r="I311" t="n">
        <v>5</v>
      </c>
      <c r="J311" t="n">
        <v>3</v>
      </c>
      <c r="K311" t="n">
        <v>4</v>
      </c>
      <c r="L311" t="n">
        <v>2</v>
      </c>
      <c r="M311" t="n">
        <v>1</v>
      </c>
      <c r="N311" t="n">
        <v>2</v>
      </c>
      <c r="O311" t="n">
        <v>5</v>
      </c>
      <c r="P311" t="n">
        <v>4</v>
      </c>
      <c r="Q311" t="n">
        <v>1</v>
      </c>
      <c r="R311" t="n">
        <v>2</v>
      </c>
      <c r="S311" t="n">
        <v>2</v>
      </c>
      <c r="T311" t="n">
        <v>3</v>
      </c>
      <c r="U311">
        <f>(AVERAGE(B311:D311)-1)/4</f>
        <v/>
      </c>
      <c r="V311">
        <f>(AVERAGE(E311:F311)-1)/4</f>
        <v/>
      </c>
      <c r="W311">
        <f>(AVERAGE(G311:I311)-1)/4</f>
        <v/>
      </c>
      <c r="X311">
        <f>(AVERAGE(J311:L311)-1)/4</f>
        <v/>
      </c>
      <c r="Y311">
        <f>(AVERAGE(M311:O311)-1)/4</f>
        <v/>
      </c>
      <c r="Z311">
        <f>(AVERAGE(P311:R311)-1)/4</f>
        <v/>
      </c>
      <c r="AA311">
        <f>(AVERAGE(S311:T311)-1)/4</f>
        <v/>
      </c>
      <c r="AB311">
        <f>AVERAGE(U311:Y311)</f>
        <v/>
      </c>
      <c r="AC311">
        <f>MIN(U311:Y311)</f>
        <v/>
      </c>
      <c r="AD311">
        <f>1-alpha*MAX(0,delta-AC311)</f>
        <v/>
      </c>
      <c r="AE311">
        <f>AB311*AD311</f>
        <v/>
      </c>
      <c r="AF311">
        <f>1+COUNTIF(bounds,"&lt;"&amp;ROUND(AB311,12))</f>
        <v/>
      </c>
      <c r="AG311">
        <f>1+COUNTIF(bounds,"&lt;"&amp;ROUND(AE311,12))</f>
        <v/>
      </c>
      <c r="AH311">
        <f>IF(AD311&lt;1,1,0)</f>
        <v/>
      </c>
      <c r="AI311">
        <f>IF(AF311&lt;&gt;AG311,1,0)</f>
        <v/>
      </c>
      <c r="AJ311">
        <f>IF(AND(AG311&gt;=3,Z311&lt;=0.2),1,0)</f>
        <v/>
      </c>
      <c r="AK311">
        <f>AVERAGE(U311:Z311)</f>
        <v/>
      </c>
      <c r="AL311">
        <f>1+COUNTIF(bounds,"&lt;"&amp;ROUND(AK311,12))</f>
        <v/>
      </c>
      <c r="AM311">
        <f>IF(AI311=1,AB311,NA())</f>
        <v/>
      </c>
      <c r="AN311">
        <f>IF(AI311=0,AB311,NA())</f>
        <v/>
      </c>
    </row>
    <row r="312">
      <c r="A312" t="n">
        <v>304</v>
      </c>
      <c r="B312" t="n">
        <v>5</v>
      </c>
      <c r="C312" t="n">
        <v>1</v>
      </c>
      <c r="D312" t="n">
        <v>2</v>
      </c>
      <c r="E312" t="n">
        <v>2</v>
      </c>
      <c r="F312" t="n">
        <v>4</v>
      </c>
      <c r="G312" t="n">
        <v>5</v>
      </c>
      <c r="H312" t="n">
        <v>2</v>
      </c>
      <c r="I312" t="n">
        <v>5</v>
      </c>
      <c r="J312" t="n">
        <v>1</v>
      </c>
      <c r="K312" t="n">
        <v>3</v>
      </c>
      <c r="L312" t="n">
        <v>5</v>
      </c>
      <c r="M312" t="n">
        <v>4</v>
      </c>
      <c r="N312" t="n">
        <v>1</v>
      </c>
      <c r="O312" t="n">
        <v>2</v>
      </c>
      <c r="P312" t="n">
        <v>3</v>
      </c>
      <c r="Q312" t="n">
        <v>1</v>
      </c>
      <c r="R312" t="n">
        <v>5</v>
      </c>
      <c r="S312" t="n">
        <v>4</v>
      </c>
      <c r="T312" t="n">
        <v>5</v>
      </c>
      <c r="U312">
        <f>(AVERAGE(B312:D312)-1)/4</f>
        <v/>
      </c>
      <c r="V312">
        <f>(AVERAGE(E312:F312)-1)/4</f>
        <v/>
      </c>
      <c r="W312">
        <f>(AVERAGE(G312:I312)-1)/4</f>
        <v/>
      </c>
      <c r="X312">
        <f>(AVERAGE(J312:L312)-1)/4</f>
        <v/>
      </c>
      <c r="Y312">
        <f>(AVERAGE(M312:O312)-1)/4</f>
        <v/>
      </c>
      <c r="Z312">
        <f>(AVERAGE(P312:R312)-1)/4</f>
        <v/>
      </c>
      <c r="AA312">
        <f>(AVERAGE(S312:T312)-1)/4</f>
        <v/>
      </c>
      <c r="AB312">
        <f>AVERAGE(U312:Y312)</f>
        <v/>
      </c>
      <c r="AC312">
        <f>MIN(U312:Y312)</f>
        <v/>
      </c>
      <c r="AD312">
        <f>1-alpha*MAX(0,delta-AC312)</f>
        <v/>
      </c>
      <c r="AE312">
        <f>AB312*AD312</f>
        <v/>
      </c>
      <c r="AF312">
        <f>1+COUNTIF(bounds,"&lt;"&amp;ROUND(AB312,12))</f>
        <v/>
      </c>
      <c r="AG312">
        <f>1+COUNTIF(bounds,"&lt;"&amp;ROUND(AE312,12))</f>
        <v/>
      </c>
      <c r="AH312">
        <f>IF(AD312&lt;1,1,0)</f>
        <v/>
      </c>
      <c r="AI312">
        <f>IF(AF312&lt;&gt;AG312,1,0)</f>
        <v/>
      </c>
      <c r="AJ312">
        <f>IF(AND(AG312&gt;=3,Z312&lt;=0.2),1,0)</f>
        <v/>
      </c>
      <c r="AK312">
        <f>AVERAGE(U312:Z312)</f>
        <v/>
      </c>
      <c r="AL312">
        <f>1+COUNTIF(bounds,"&lt;"&amp;ROUND(AK312,12))</f>
        <v/>
      </c>
      <c r="AM312">
        <f>IF(AI312=1,AB312,NA())</f>
        <v/>
      </c>
      <c r="AN312">
        <f>IF(AI312=0,AB312,NA())</f>
        <v/>
      </c>
    </row>
    <row r="313">
      <c r="A313" t="n">
        <v>305</v>
      </c>
      <c r="B313" t="n">
        <v>4</v>
      </c>
      <c r="C313" t="n">
        <v>2</v>
      </c>
      <c r="D313" t="n">
        <v>3</v>
      </c>
      <c r="E313" t="n">
        <v>2</v>
      </c>
      <c r="F313" t="n">
        <v>5</v>
      </c>
      <c r="G313" t="n">
        <v>3</v>
      </c>
      <c r="H313" t="n">
        <v>1</v>
      </c>
      <c r="I313" t="n">
        <v>2</v>
      </c>
      <c r="J313" t="n">
        <v>2</v>
      </c>
      <c r="K313" t="n">
        <v>4</v>
      </c>
      <c r="L313" t="n">
        <v>4</v>
      </c>
      <c r="M313" t="n">
        <v>2</v>
      </c>
      <c r="N313" t="n">
        <v>5</v>
      </c>
      <c r="O313" t="n">
        <v>3</v>
      </c>
      <c r="P313" t="n">
        <v>5</v>
      </c>
      <c r="Q313" t="n">
        <v>1</v>
      </c>
      <c r="R313" t="n">
        <v>5</v>
      </c>
      <c r="S313" t="n">
        <v>3</v>
      </c>
      <c r="T313" t="n">
        <v>2</v>
      </c>
      <c r="U313">
        <f>(AVERAGE(B313:D313)-1)/4</f>
        <v/>
      </c>
      <c r="V313">
        <f>(AVERAGE(E313:F313)-1)/4</f>
        <v/>
      </c>
      <c r="W313">
        <f>(AVERAGE(G313:I313)-1)/4</f>
        <v/>
      </c>
      <c r="X313">
        <f>(AVERAGE(J313:L313)-1)/4</f>
        <v/>
      </c>
      <c r="Y313">
        <f>(AVERAGE(M313:O313)-1)/4</f>
        <v/>
      </c>
      <c r="Z313">
        <f>(AVERAGE(P313:R313)-1)/4</f>
        <v/>
      </c>
      <c r="AA313">
        <f>(AVERAGE(S313:T313)-1)/4</f>
        <v/>
      </c>
      <c r="AB313">
        <f>AVERAGE(U313:Y313)</f>
        <v/>
      </c>
      <c r="AC313">
        <f>MIN(U313:Y313)</f>
        <v/>
      </c>
      <c r="AD313">
        <f>1-alpha*MAX(0,delta-AC313)</f>
        <v/>
      </c>
      <c r="AE313">
        <f>AB313*AD313</f>
        <v/>
      </c>
      <c r="AF313">
        <f>1+COUNTIF(bounds,"&lt;"&amp;ROUND(AB313,12))</f>
        <v/>
      </c>
      <c r="AG313">
        <f>1+COUNTIF(bounds,"&lt;"&amp;ROUND(AE313,12))</f>
        <v/>
      </c>
      <c r="AH313">
        <f>IF(AD313&lt;1,1,0)</f>
        <v/>
      </c>
      <c r="AI313">
        <f>IF(AF313&lt;&gt;AG313,1,0)</f>
        <v/>
      </c>
      <c r="AJ313">
        <f>IF(AND(AG313&gt;=3,Z313&lt;=0.2),1,0)</f>
        <v/>
      </c>
      <c r="AK313">
        <f>AVERAGE(U313:Z313)</f>
        <v/>
      </c>
      <c r="AL313">
        <f>1+COUNTIF(bounds,"&lt;"&amp;ROUND(AK313,12))</f>
        <v/>
      </c>
      <c r="AM313">
        <f>IF(AI313=1,AB313,NA())</f>
        <v/>
      </c>
      <c r="AN313">
        <f>IF(AI313=0,AB313,NA())</f>
        <v/>
      </c>
    </row>
    <row r="314">
      <c r="A314" t="n">
        <v>306</v>
      </c>
      <c r="B314" t="n">
        <v>2</v>
      </c>
      <c r="C314" t="n">
        <v>1</v>
      </c>
      <c r="D314" t="n">
        <v>5</v>
      </c>
      <c r="E314" t="n">
        <v>1</v>
      </c>
      <c r="F314" t="n">
        <v>5</v>
      </c>
      <c r="G314" t="n">
        <v>2</v>
      </c>
      <c r="H314" t="n">
        <v>3</v>
      </c>
      <c r="I314" t="n">
        <v>4</v>
      </c>
      <c r="J314" t="n">
        <v>4</v>
      </c>
      <c r="K314" t="n">
        <v>3</v>
      </c>
      <c r="L314" t="n">
        <v>2</v>
      </c>
      <c r="M314" t="n">
        <v>2</v>
      </c>
      <c r="N314" t="n">
        <v>2</v>
      </c>
      <c r="O314" t="n">
        <v>3</v>
      </c>
      <c r="P314" t="n">
        <v>5</v>
      </c>
      <c r="Q314" t="n">
        <v>5</v>
      </c>
      <c r="R314" t="n">
        <v>5</v>
      </c>
      <c r="S314" t="n">
        <v>2</v>
      </c>
      <c r="T314" t="n">
        <v>4</v>
      </c>
      <c r="U314">
        <f>(AVERAGE(B314:D314)-1)/4</f>
        <v/>
      </c>
      <c r="V314">
        <f>(AVERAGE(E314:F314)-1)/4</f>
        <v/>
      </c>
      <c r="W314">
        <f>(AVERAGE(G314:I314)-1)/4</f>
        <v/>
      </c>
      <c r="X314">
        <f>(AVERAGE(J314:L314)-1)/4</f>
        <v/>
      </c>
      <c r="Y314">
        <f>(AVERAGE(M314:O314)-1)/4</f>
        <v/>
      </c>
      <c r="Z314">
        <f>(AVERAGE(P314:R314)-1)/4</f>
        <v/>
      </c>
      <c r="AA314">
        <f>(AVERAGE(S314:T314)-1)/4</f>
        <v/>
      </c>
      <c r="AB314">
        <f>AVERAGE(U314:Y314)</f>
        <v/>
      </c>
      <c r="AC314">
        <f>MIN(U314:Y314)</f>
        <v/>
      </c>
      <c r="AD314">
        <f>1-alpha*MAX(0,delta-AC314)</f>
        <v/>
      </c>
      <c r="AE314">
        <f>AB314*AD314</f>
        <v/>
      </c>
      <c r="AF314">
        <f>1+COUNTIF(bounds,"&lt;"&amp;ROUND(AB314,12))</f>
        <v/>
      </c>
      <c r="AG314">
        <f>1+COUNTIF(bounds,"&lt;"&amp;ROUND(AE314,12))</f>
        <v/>
      </c>
      <c r="AH314">
        <f>IF(AD314&lt;1,1,0)</f>
        <v/>
      </c>
      <c r="AI314">
        <f>IF(AF314&lt;&gt;AG314,1,0)</f>
        <v/>
      </c>
      <c r="AJ314">
        <f>IF(AND(AG314&gt;=3,Z314&lt;=0.2),1,0)</f>
        <v/>
      </c>
      <c r="AK314">
        <f>AVERAGE(U314:Z314)</f>
        <v/>
      </c>
      <c r="AL314">
        <f>1+COUNTIF(bounds,"&lt;"&amp;ROUND(AK314,12))</f>
        <v/>
      </c>
      <c r="AM314">
        <f>IF(AI314=1,AB314,NA())</f>
        <v/>
      </c>
      <c r="AN314">
        <f>IF(AI314=0,AB314,NA())</f>
        <v/>
      </c>
    </row>
    <row r="315">
      <c r="A315" t="n">
        <v>307</v>
      </c>
      <c r="B315" t="n">
        <v>3</v>
      </c>
      <c r="C315" t="n">
        <v>4</v>
      </c>
      <c r="D315" t="n">
        <v>2</v>
      </c>
      <c r="E315" t="n">
        <v>5</v>
      </c>
      <c r="F315" t="n">
        <v>2</v>
      </c>
      <c r="G315" t="n">
        <v>1</v>
      </c>
      <c r="H315" t="n">
        <v>2</v>
      </c>
      <c r="I315" t="n">
        <v>4</v>
      </c>
      <c r="J315" t="n">
        <v>3</v>
      </c>
      <c r="K315" t="n">
        <v>2</v>
      </c>
      <c r="L315" t="n">
        <v>2</v>
      </c>
      <c r="M315" t="n">
        <v>2</v>
      </c>
      <c r="N315" t="n">
        <v>3</v>
      </c>
      <c r="O315" t="n">
        <v>1</v>
      </c>
      <c r="P315" t="n">
        <v>4</v>
      </c>
      <c r="Q315" t="n">
        <v>1</v>
      </c>
      <c r="R315" t="n">
        <v>5</v>
      </c>
      <c r="S315" t="n">
        <v>1</v>
      </c>
      <c r="T315" t="n">
        <v>4</v>
      </c>
      <c r="U315">
        <f>(AVERAGE(B315:D315)-1)/4</f>
        <v/>
      </c>
      <c r="V315">
        <f>(AVERAGE(E315:F315)-1)/4</f>
        <v/>
      </c>
      <c r="W315">
        <f>(AVERAGE(G315:I315)-1)/4</f>
        <v/>
      </c>
      <c r="X315">
        <f>(AVERAGE(J315:L315)-1)/4</f>
        <v/>
      </c>
      <c r="Y315">
        <f>(AVERAGE(M315:O315)-1)/4</f>
        <v/>
      </c>
      <c r="Z315">
        <f>(AVERAGE(P315:R315)-1)/4</f>
        <v/>
      </c>
      <c r="AA315">
        <f>(AVERAGE(S315:T315)-1)/4</f>
        <v/>
      </c>
      <c r="AB315">
        <f>AVERAGE(U315:Y315)</f>
        <v/>
      </c>
      <c r="AC315">
        <f>MIN(U315:Y315)</f>
        <v/>
      </c>
      <c r="AD315">
        <f>1-alpha*MAX(0,delta-AC315)</f>
        <v/>
      </c>
      <c r="AE315">
        <f>AB315*AD315</f>
        <v/>
      </c>
      <c r="AF315">
        <f>1+COUNTIF(bounds,"&lt;"&amp;ROUND(AB315,12))</f>
        <v/>
      </c>
      <c r="AG315">
        <f>1+COUNTIF(bounds,"&lt;"&amp;ROUND(AE315,12))</f>
        <v/>
      </c>
      <c r="AH315">
        <f>IF(AD315&lt;1,1,0)</f>
        <v/>
      </c>
      <c r="AI315">
        <f>IF(AF315&lt;&gt;AG315,1,0)</f>
        <v/>
      </c>
      <c r="AJ315">
        <f>IF(AND(AG315&gt;=3,Z315&lt;=0.2),1,0)</f>
        <v/>
      </c>
      <c r="AK315">
        <f>AVERAGE(U315:Z315)</f>
        <v/>
      </c>
      <c r="AL315">
        <f>1+COUNTIF(bounds,"&lt;"&amp;ROUND(AK315,12))</f>
        <v/>
      </c>
      <c r="AM315">
        <f>IF(AI315=1,AB315,NA())</f>
        <v/>
      </c>
      <c r="AN315">
        <f>IF(AI315=0,AB315,NA())</f>
        <v/>
      </c>
    </row>
    <row r="316">
      <c r="A316" t="n">
        <v>308</v>
      </c>
      <c r="B316" t="n">
        <v>3</v>
      </c>
      <c r="C316" t="n">
        <v>5</v>
      </c>
      <c r="D316" t="n">
        <v>5</v>
      </c>
      <c r="E316" t="n">
        <v>2</v>
      </c>
      <c r="F316" t="n">
        <v>4</v>
      </c>
      <c r="G316" t="n">
        <v>3</v>
      </c>
      <c r="H316" t="n">
        <v>5</v>
      </c>
      <c r="I316" t="n">
        <v>1</v>
      </c>
      <c r="J316" t="n">
        <v>5</v>
      </c>
      <c r="K316" t="n">
        <v>4</v>
      </c>
      <c r="L316" t="n">
        <v>2</v>
      </c>
      <c r="M316" t="n">
        <v>4</v>
      </c>
      <c r="N316" t="n">
        <v>3</v>
      </c>
      <c r="O316" t="n">
        <v>2</v>
      </c>
      <c r="P316" t="n">
        <v>3</v>
      </c>
      <c r="Q316" t="n">
        <v>2</v>
      </c>
      <c r="R316" t="n">
        <v>5</v>
      </c>
      <c r="S316" t="n">
        <v>5</v>
      </c>
      <c r="T316" t="n">
        <v>5</v>
      </c>
      <c r="U316">
        <f>(AVERAGE(B316:D316)-1)/4</f>
        <v/>
      </c>
      <c r="V316">
        <f>(AVERAGE(E316:F316)-1)/4</f>
        <v/>
      </c>
      <c r="W316">
        <f>(AVERAGE(G316:I316)-1)/4</f>
        <v/>
      </c>
      <c r="X316">
        <f>(AVERAGE(J316:L316)-1)/4</f>
        <v/>
      </c>
      <c r="Y316">
        <f>(AVERAGE(M316:O316)-1)/4</f>
        <v/>
      </c>
      <c r="Z316">
        <f>(AVERAGE(P316:R316)-1)/4</f>
        <v/>
      </c>
      <c r="AA316">
        <f>(AVERAGE(S316:T316)-1)/4</f>
        <v/>
      </c>
      <c r="AB316">
        <f>AVERAGE(U316:Y316)</f>
        <v/>
      </c>
      <c r="AC316">
        <f>MIN(U316:Y316)</f>
        <v/>
      </c>
      <c r="AD316">
        <f>1-alpha*MAX(0,delta-AC316)</f>
        <v/>
      </c>
      <c r="AE316">
        <f>AB316*AD316</f>
        <v/>
      </c>
      <c r="AF316">
        <f>1+COUNTIF(bounds,"&lt;"&amp;ROUND(AB316,12))</f>
        <v/>
      </c>
      <c r="AG316">
        <f>1+COUNTIF(bounds,"&lt;"&amp;ROUND(AE316,12))</f>
        <v/>
      </c>
      <c r="AH316">
        <f>IF(AD316&lt;1,1,0)</f>
        <v/>
      </c>
      <c r="AI316">
        <f>IF(AF316&lt;&gt;AG316,1,0)</f>
        <v/>
      </c>
      <c r="AJ316">
        <f>IF(AND(AG316&gt;=3,Z316&lt;=0.2),1,0)</f>
        <v/>
      </c>
      <c r="AK316">
        <f>AVERAGE(U316:Z316)</f>
        <v/>
      </c>
      <c r="AL316">
        <f>1+COUNTIF(bounds,"&lt;"&amp;ROUND(AK316,12))</f>
        <v/>
      </c>
      <c r="AM316">
        <f>IF(AI316=1,AB316,NA())</f>
        <v/>
      </c>
      <c r="AN316">
        <f>IF(AI316=0,AB316,NA())</f>
        <v/>
      </c>
    </row>
    <row r="317">
      <c r="A317" t="n">
        <v>309</v>
      </c>
      <c r="B317" t="n">
        <v>3</v>
      </c>
      <c r="C317" t="n">
        <v>4</v>
      </c>
      <c r="D317" t="n">
        <v>1</v>
      </c>
      <c r="E317" t="n">
        <v>5</v>
      </c>
      <c r="F317" t="n">
        <v>1</v>
      </c>
      <c r="G317" t="n">
        <v>4</v>
      </c>
      <c r="H317" t="n">
        <v>1</v>
      </c>
      <c r="I317" t="n">
        <v>2</v>
      </c>
      <c r="J317" t="n">
        <v>5</v>
      </c>
      <c r="K317" t="n">
        <v>3</v>
      </c>
      <c r="L317" t="n">
        <v>2</v>
      </c>
      <c r="M317" t="n">
        <v>1</v>
      </c>
      <c r="N317" t="n">
        <v>1</v>
      </c>
      <c r="O317" t="n">
        <v>3</v>
      </c>
      <c r="P317" t="n">
        <v>4</v>
      </c>
      <c r="Q317" t="n">
        <v>2</v>
      </c>
      <c r="R317" t="n">
        <v>2</v>
      </c>
      <c r="S317" t="n">
        <v>5</v>
      </c>
      <c r="T317" t="n">
        <v>4</v>
      </c>
      <c r="U317">
        <f>(AVERAGE(B317:D317)-1)/4</f>
        <v/>
      </c>
      <c r="V317">
        <f>(AVERAGE(E317:F317)-1)/4</f>
        <v/>
      </c>
      <c r="W317">
        <f>(AVERAGE(G317:I317)-1)/4</f>
        <v/>
      </c>
      <c r="X317">
        <f>(AVERAGE(J317:L317)-1)/4</f>
        <v/>
      </c>
      <c r="Y317">
        <f>(AVERAGE(M317:O317)-1)/4</f>
        <v/>
      </c>
      <c r="Z317">
        <f>(AVERAGE(P317:R317)-1)/4</f>
        <v/>
      </c>
      <c r="AA317">
        <f>(AVERAGE(S317:T317)-1)/4</f>
        <v/>
      </c>
      <c r="AB317">
        <f>AVERAGE(U317:Y317)</f>
        <v/>
      </c>
      <c r="AC317">
        <f>MIN(U317:Y317)</f>
        <v/>
      </c>
      <c r="AD317">
        <f>1-alpha*MAX(0,delta-AC317)</f>
        <v/>
      </c>
      <c r="AE317">
        <f>AB317*AD317</f>
        <v/>
      </c>
      <c r="AF317">
        <f>1+COUNTIF(bounds,"&lt;"&amp;ROUND(AB317,12))</f>
        <v/>
      </c>
      <c r="AG317">
        <f>1+COUNTIF(bounds,"&lt;"&amp;ROUND(AE317,12))</f>
        <v/>
      </c>
      <c r="AH317">
        <f>IF(AD317&lt;1,1,0)</f>
        <v/>
      </c>
      <c r="AI317">
        <f>IF(AF317&lt;&gt;AG317,1,0)</f>
        <v/>
      </c>
      <c r="AJ317">
        <f>IF(AND(AG317&gt;=3,Z317&lt;=0.2),1,0)</f>
        <v/>
      </c>
      <c r="AK317">
        <f>AVERAGE(U317:Z317)</f>
        <v/>
      </c>
      <c r="AL317">
        <f>1+COUNTIF(bounds,"&lt;"&amp;ROUND(AK317,12))</f>
        <v/>
      </c>
      <c r="AM317">
        <f>IF(AI317=1,AB317,NA())</f>
        <v/>
      </c>
      <c r="AN317">
        <f>IF(AI317=0,AB317,NA())</f>
        <v/>
      </c>
    </row>
    <row r="318">
      <c r="A318" t="n">
        <v>310</v>
      </c>
      <c r="B318" t="n">
        <v>2</v>
      </c>
      <c r="C318" t="n">
        <v>3</v>
      </c>
      <c r="D318" t="n">
        <v>3</v>
      </c>
      <c r="E318" t="n">
        <v>3</v>
      </c>
      <c r="F318" t="n">
        <v>1</v>
      </c>
      <c r="G318" t="n">
        <v>4</v>
      </c>
      <c r="H318" t="n">
        <v>3</v>
      </c>
      <c r="I318" t="n">
        <v>5</v>
      </c>
      <c r="J318" t="n">
        <v>5</v>
      </c>
      <c r="K318" t="n">
        <v>4</v>
      </c>
      <c r="L318" t="n">
        <v>5</v>
      </c>
      <c r="M318" t="n">
        <v>4</v>
      </c>
      <c r="N318" t="n">
        <v>2</v>
      </c>
      <c r="O318" t="n">
        <v>2</v>
      </c>
      <c r="P318" t="n">
        <v>2</v>
      </c>
      <c r="Q318" t="n">
        <v>4</v>
      </c>
      <c r="R318" t="n">
        <v>3</v>
      </c>
      <c r="S318" t="n">
        <v>5</v>
      </c>
      <c r="T318" t="n">
        <v>3</v>
      </c>
      <c r="U318">
        <f>(AVERAGE(B318:D318)-1)/4</f>
        <v/>
      </c>
      <c r="V318">
        <f>(AVERAGE(E318:F318)-1)/4</f>
        <v/>
      </c>
      <c r="W318">
        <f>(AVERAGE(G318:I318)-1)/4</f>
        <v/>
      </c>
      <c r="X318">
        <f>(AVERAGE(J318:L318)-1)/4</f>
        <v/>
      </c>
      <c r="Y318">
        <f>(AVERAGE(M318:O318)-1)/4</f>
        <v/>
      </c>
      <c r="Z318">
        <f>(AVERAGE(P318:R318)-1)/4</f>
        <v/>
      </c>
      <c r="AA318">
        <f>(AVERAGE(S318:T318)-1)/4</f>
        <v/>
      </c>
      <c r="AB318">
        <f>AVERAGE(U318:Y318)</f>
        <v/>
      </c>
      <c r="AC318">
        <f>MIN(U318:Y318)</f>
        <v/>
      </c>
      <c r="AD318">
        <f>1-alpha*MAX(0,delta-AC318)</f>
        <v/>
      </c>
      <c r="AE318">
        <f>AB318*AD318</f>
        <v/>
      </c>
      <c r="AF318">
        <f>1+COUNTIF(bounds,"&lt;"&amp;ROUND(AB318,12))</f>
        <v/>
      </c>
      <c r="AG318">
        <f>1+COUNTIF(bounds,"&lt;"&amp;ROUND(AE318,12))</f>
        <v/>
      </c>
      <c r="AH318">
        <f>IF(AD318&lt;1,1,0)</f>
        <v/>
      </c>
      <c r="AI318">
        <f>IF(AF318&lt;&gt;AG318,1,0)</f>
        <v/>
      </c>
      <c r="AJ318">
        <f>IF(AND(AG318&gt;=3,Z318&lt;=0.2),1,0)</f>
        <v/>
      </c>
      <c r="AK318">
        <f>AVERAGE(U318:Z318)</f>
        <v/>
      </c>
      <c r="AL318">
        <f>1+COUNTIF(bounds,"&lt;"&amp;ROUND(AK318,12))</f>
        <v/>
      </c>
      <c r="AM318">
        <f>IF(AI318=1,AB318,NA())</f>
        <v/>
      </c>
      <c r="AN318">
        <f>IF(AI318=0,AB318,NA())</f>
        <v/>
      </c>
    </row>
    <row r="319">
      <c r="A319" t="n">
        <v>311</v>
      </c>
      <c r="B319" t="n">
        <v>2</v>
      </c>
      <c r="C319" t="n">
        <v>4</v>
      </c>
      <c r="D319" t="n">
        <v>2</v>
      </c>
      <c r="E319" t="n">
        <v>4</v>
      </c>
      <c r="F319" t="n">
        <v>4</v>
      </c>
      <c r="G319" t="n">
        <v>4</v>
      </c>
      <c r="H319" t="n">
        <v>3</v>
      </c>
      <c r="I319" t="n">
        <v>4</v>
      </c>
      <c r="J319" t="n">
        <v>2</v>
      </c>
      <c r="K319" t="n">
        <v>5</v>
      </c>
      <c r="L319" t="n">
        <v>5</v>
      </c>
      <c r="M319" t="n">
        <v>5</v>
      </c>
      <c r="N319" t="n">
        <v>3</v>
      </c>
      <c r="O319" t="n">
        <v>2</v>
      </c>
      <c r="P319" t="n">
        <v>2</v>
      </c>
      <c r="Q319" t="n">
        <v>4</v>
      </c>
      <c r="R319" t="n">
        <v>4</v>
      </c>
      <c r="S319" t="n">
        <v>3</v>
      </c>
      <c r="T319" t="n">
        <v>2</v>
      </c>
      <c r="U319">
        <f>(AVERAGE(B319:D319)-1)/4</f>
        <v/>
      </c>
      <c r="V319">
        <f>(AVERAGE(E319:F319)-1)/4</f>
        <v/>
      </c>
      <c r="W319">
        <f>(AVERAGE(G319:I319)-1)/4</f>
        <v/>
      </c>
      <c r="X319">
        <f>(AVERAGE(J319:L319)-1)/4</f>
        <v/>
      </c>
      <c r="Y319">
        <f>(AVERAGE(M319:O319)-1)/4</f>
        <v/>
      </c>
      <c r="Z319">
        <f>(AVERAGE(P319:R319)-1)/4</f>
        <v/>
      </c>
      <c r="AA319">
        <f>(AVERAGE(S319:T319)-1)/4</f>
        <v/>
      </c>
      <c r="AB319">
        <f>AVERAGE(U319:Y319)</f>
        <v/>
      </c>
      <c r="AC319">
        <f>MIN(U319:Y319)</f>
        <v/>
      </c>
      <c r="AD319">
        <f>1-alpha*MAX(0,delta-AC319)</f>
        <v/>
      </c>
      <c r="AE319">
        <f>AB319*AD319</f>
        <v/>
      </c>
      <c r="AF319">
        <f>1+COUNTIF(bounds,"&lt;"&amp;ROUND(AB319,12))</f>
        <v/>
      </c>
      <c r="AG319">
        <f>1+COUNTIF(bounds,"&lt;"&amp;ROUND(AE319,12))</f>
        <v/>
      </c>
      <c r="AH319">
        <f>IF(AD319&lt;1,1,0)</f>
        <v/>
      </c>
      <c r="AI319">
        <f>IF(AF319&lt;&gt;AG319,1,0)</f>
        <v/>
      </c>
      <c r="AJ319">
        <f>IF(AND(AG319&gt;=3,Z319&lt;=0.2),1,0)</f>
        <v/>
      </c>
      <c r="AK319">
        <f>AVERAGE(U319:Z319)</f>
        <v/>
      </c>
      <c r="AL319">
        <f>1+COUNTIF(bounds,"&lt;"&amp;ROUND(AK319,12))</f>
        <v/>
      </c>
      <c r="AM319">
        <f>IF(AI319=1,AB319,NA())</f>
        <v/>
      </c>
      <c r="AN319">
        <f>IF(AI319=0,AB319,NA())</f>
        <v/>
      </c>
    </row>
    <row r="320">
      <c r="A320" t="n">
        <v>312</v>
      </c>
      <c r="B320" t="n">
        <v>5</v>
      </c>
      <c r="C320" t="n">
        <v>2</v>
      </c>
      <c r="D320" t="n">
        <v>4</v>
      </c>
      <c r="E320" t="n">
        <v>1</v>
      </c>
      <c r="F320" t="n">
        <v>2</v>
      </c>
      <c r="G320" t="n">
        <v>2</v>
      </c>
      <c r="H320" t="n">
        <v>1</v>
      </c>
      <c r="I320" t="n">
        <v>1</v>
      </c>
      <c r="J320" t="n">
        <v>5</v>
      </c>
      <c r="K320" t="n">
        <v>4</v>
      </c>
      <c r="L320" t="n">
        <v>3</v>
      </c>
      <c r="M320" t="n">
        <v>1</v>
      </c>
      <c r="N320" t="n">
        <v>3</v>
      </c>
      <c r="O320" t="n">
        <v>4</v>
      </c>
      <c r="P320" t="n">
        <v>4</v>
      </c>
      <c r="Q320" t="n">
        <v>4</v>
      </c>
      <c r="R320" t="n">
        <v>3</v>
      </c>
      <c r="S320" t="n">
        <v>2</v>
      </c>
      <c r="T320" t="n">
        <v>4</v>
      </c>
      <c r="U320">
        <f>(AVERAGE(B320:D320)-1)/4</f>
        <v/>
      </c>
      <c r="V320">
        <f>(AVERAGE(E320:F320)-1)/4</f>
        <v/>
      </c>
      <c r="W320">
        <f>(AVERAGE(G320:I320)-1)/4</f>
        <v/>
      </c>
      <c r="X320">
        <f>(AVERAGE(J320:L320)-1)/4</f>
        <v/>
      </c>
      <c r="Y320">
        <f>(AVERAGE(M320:O320)-1)/4</f>
        <v/>
      </c>
      <c r="Z320">
        <f>(AVERAGE(P320:R320)-1)/4</f>
        <v/>
      </c>
      <c r="AA320">
        <f>(AVERAGE(S320:T320)-1)/4</f>
        <v/>
      </c>
      <c r="AB320">
        <f>AVERAGE(U320:Y320)</f>
        <v/>
      </c>
      <c r="AC320">
        <f>MIN(U320:Y320)</f>
        <v/>
      </c>
      <c r="AD320">
        <f>1-alpha*MAX(0,delta-AC320)</f>
        <v/>
      </c>
      <c r="AE320">
        <f>AB320*AD320</f>
        <v/>
      </c>
      <c r="AF320">
        <f>1+COUNTIF(bounds,"&lt;"&amp;ROUND(AB320,12))</f>
        <v/>
      </c>
      <c r="AG320">
        <f>1+COUNTIF(bounds,"&lt;"&amp;ROUND(AE320,12))</f>
        <v/>
      </c>
      <c r="AH320">
        <f>IF(AD320&lt;1,1,0)</f>
        <v/>
      </c>
      <c r="AI320">
        <f>IF(AF320&lt;&gt;AG320,1,0)</f>
        <v/>
      </c>
      <c r="AJ320">
        <f>IF(AND(AG320&gt;=3,Z320&lt;=0.2),1,0)</f>
        <v/>
      </c>
      <c r="AK320">
        <f>AVERAGE(U320:Z320)</f>
        <v/>
      </c>
      <c r="AL320">
        <f>1+COUNTIF(bounds,"&lt;"&amp;ROUND(AK320,12))</f>
        <v/>
      </c>
      <c r="AM320">
        <f>IF(AI320=1,AB320,NA())</f>
        <v/>
      </c>
      <c r="AN320">
        <f>IF(AI320=0,AB320,NA())</f>
        <v/>
      </c>
    </row>
    <row r="321">
      <c r="A321" t="n">
        <v>313</v>
      </c>
      <c r="B321" t="n">
        <v>3</v>
      </c>
      <c r="C321" t="n">
        <v>4</v>
      </c>
      <c r="D321" t="n">
        <v>3</v>
      </c>
      <c r="E321" t="n">
        <v>3</v>
      </c>
      <c r="F321" t="n">
        <v>3</v>
      </c>
      <c r="G321" t="n">
        <v>2</v>
      </c>
      <c r="H321" t="n">
        <v>3</v>
      </c>
      <c r="I321" t="n">
        <v>1</v>
      </c>
      <c r="J321" t="n">
        <v>3</v>
      </c>
      <c r="K321" t="n">
        <v>1</v>
      </c>
      <c r="L321" t="n">
        <v>1</v>
      </c>
      <c r="M321" t="n">
        <v>2</v>
      </c>
      <c r="N321" t="n">
        <v>1</v>
      </c>
      <c r="O321" t="n">
        <v>1</v>
      </c>
      <c r="P321" t="n">
        <v>5</v>
      </c>
      <c r="Q321" t="n">
        <v>2</v>
      </c>
      <c r="R321" t="n">
        <v>4</v>
      </c>
      <c r="S321" t="n">
        <v>2</v>
      </c>
      <c r="T321" t="n">
        <v>1</v>
      </c>
      <c r="U321">
        <f>(AVERAGE(B321:D321)-1)/4</f>
        <v/>
      </c>
      <c r="V321">
        <f>(AVERAGE(E321:F321)-1)/4</f>
        <v/>
      </c>
      <c r="W321">
        <f>(AVERAGE(G321:I321)-1)/4</f>
        <v/>
      </c>
      <c r="X321">
        <f>(AVERAGE(J321:L321)-1)/4</f>
        <v/>
      </c>
      <c r="Y321">
        <f>(AVERAGE(M321:O321)-1)/4</f>
        <v/>
      </c>
      <c r="Z321">
        <f>(AVERAGE(P321:R321)-1)/4</f>
        <v/>
      </c>
      <c r="AA321">
        <f>(AVERAGE(S321:T321)-1)/4</f>
        <v/>
      </c>
      <c r="AB321">
        <f>AVERAGE(U321:Y321)</f>
        <v/>
      </c>
      <c r="AC321">
        <f>MIN(U321:Y321)</f>
        <v/>
      </c>
      <c r="AD321">
        <f>1-alpha*MAX(0,delta-AC321)</f>
        <v/>
      </c>
      <c r="AE321">
        <f>AB321*AD321</f>
        <v/>
      </c>
      <c r="AF321">
        <f>1+COUNTIF(bounds,"&lt;"&amp;ROUND(AB321,12))</f>
        <v/>
      </c>
      <c r="AG321">
        <f>1+COUNTIF(bounds,"&lt;"&amp;ROUND(AE321,12))</f>
        <v/>
      </c>
      <c r="AH321">
        <f>IF(AD321&lt;1,1,0)</f>
        <v/>
      </c>
      <c r="AI321">
        <f>IF(AF321&lt;&gt;AG321,1,0)</f>
        <v/>
      </c>
      <c r="AJ321">
        <f>IF(AND(AG321&gt;=3,Z321&lt;=0.2),1,0)</f>
        <v/>
      </c>
      <c r="AK321">
        <f>AVERAGE(U321:Z321)</f>
        <v/>
      </c>
      <c r="AL321">
        <f>1+COUNTIF(bounds,"&lt;"&amp;ROUND(AK321,12))</f>
        <v/>
      </c>
      <c r="AM321">
        <f>IF(AI321=1,AB321,NA())</f>
        <v/>
      </c>
      <c r="AN321">
        <f>IF(AI321=0,AB321,NA())</f>
        <v/>
      </c>
    </row>
    <row r="322">
      <c r="A322" t="n">
        <v>314</v>
      </c>
      <c r="B322" t="n">
        <v>2</v>
      </c>
      <c r="C322" t="n">
        <v>4</v>
      </c>
      <c r="D322" t="n">
        <v>5</v>
      </c>
      <c r="E322" t="n">
        <v>3</v>
      </c>
      <c r="F322" t="n">
        <v>2</v>
      </c>
      <c r="G322" t="n">
        <v>4</v>
      </c>
      <c r="H322" t="n">
        <v>2</v>
      </c>
      <c r="I322" t="n">
        <v>5</v>
      </c>
      <c r="J322" t="n">
        <v>1</v>
      </c>
      <c r="K322" t="n">
        <v>4</v>
      </c>
      <c r="L322" t="n">
        <v>1</v>
      </c>
      <c r="M322" t="n">
        <v>5</v>
      </c>
      <c r="N322" t="n">
        <v>2</v>
      </c>
      <c r="O322" t="n">
        <v>3</v>
      </c>
      <c r="P322" t="n">
        <v>4</v>
      </c>
      <c r="Q322" t="n">
        <v>1</v>
      </c>
      <c r="R322" t="n">
        <v>2</v>
      </c>
      <c r="S322" t="n">
        <v>2</v>
      </c>
      <c r="T322" t="n">
        <v>1</v>
      </c>
      <c r="U322">
        <f>(AVERAGE(B322:D322)-1)/4</f>
        <v/>
      </c>
      <c r="V322">
        <f>(AVERAGE(E322:F322)-1)/4</f>
        <v/>
      </c>
      <c r="W322">
        <f>(AVERAGE(G322:I322)-1)/4</f>
        <v/>
      </c>
      <c r="X322">
        <f>(AVERAGE(J322:L322)-1)/4</f>
        <v/>
      </c>
      <c r="Y322">
        <f>(AVERAGE(M322:O322)-1)/4</f>
        <v/>
      </c>
      <c r="Z322">
        <f>(AVERAGE(P322:R322)-1)/4</f>
        <v/>
      </c>
      <c r="AA322">
        <f>(AVERAGE(S322:T322)-1)/4</f>
        <v/>
      </c>
      <c r="AB322">
        <f>AVERAGE(U322:Y322)</f>
        <v/>
      </c>
      <c r="AC322">
        <f>MIN(U322:Y322)</f>
        <v/>
      </c>
      <c r="AD322">
        <f>1-alpha*MAX(0,delta-AC322)</f>
        <v/>
      </c>
      <c r="AE322">
        <f>AB322*AD322</f>
        <v/>
      </c>
      <c r="AF322">
        <f>1+COUNTIF(bounds,"&lt;"&amp;ROUND(AB322,12))</f>
        <v/>
      </c>
      <c r="AG322">
        <f>1+COUNTIF(bounds,"&lt;"&amp;ROUND(AE322,12))</f>
        <v/>
      </c>
      <c r="AH322">
        <f>IF(AD322&lt;1,1,0)</f>
        <v/>
      </c>
      <c r="AI322">
        <f>IF(AF322&lt;&gt;AG322,1,0)</f>
        <v/>
      </c>
      <c r="AJ322">
        <f>IF(AND(AG322&gt;=3,Z322&lt;=0.2),1,0)</f>
        <v/>
      </c>
      <c r="AK322">
        <f>AVERAGE(U322:Z322)</f>
        <v/>
      </c>
      <c r="AL322">
        <f>1+COUNTIF(bounds,"&lt;"&amp;ROUND(AK322,12))</f>
        <v/>
      </c>
      <c r="AM322">
        <f>IF(AI322=1,AB322,NA())</f>
        <v/>
      </c>
      <c r="AN322">
        <f>IF(AI322=0,AB322,NA())</f>
        <v/>
      </c>
    </row>
    <row r="323">
      <c r="A323" t="n">
        <v>315</v>
      </c>
      <c r="B323" t="n">
        <v>4</v>
      </c>
      <c r="C323" t="n">
        <v>1</v>
      </c>
      <c r="D323" t="n">
        <v>1</v>
      </c>
      <c r="E323" t="n">
        <v>2</v>
      </c>
      <c r="F323" t="n">
        <v>2</v>
      </c>
      <c r="G323" t="n">
        <v>5</v>
      </c>
      <c r="H323" t="n">
        <v>5</v>
      </c>
      <c r="I323" t="n">
        <v>4</v>
      </c>
      <c r="J323" t="n">
        <v>2</v>
      </c>
      <c r="K323" t="n">
        <v>4</v>
      </c>
      <c r="L323" t="n">
        <v>1</v>
      </c>
      <c r="M323" t="n">
        <v>1</v>
      </c>
      <c r="N323" t="n">
        <v>2</v>
      </c>
      <c r="O323" t="n">
        <v>2</v>
      </c>
      <c r="P323" t="n">
        <v>4</v>
      </c>
      <c r="Q323" t="n">
        <v>1</v>
      </c>
      <c r="R323" t="n">
        <v>2</v>
      </c>
      <c r="S323" t="n">
        <v>4</v>
      </c>
      <c r="T323" t="n">
        <v>3</v>
      </c>
      <c r="U323">
        <f>(AVERAGE(B323:D323)-1)/4</f>
        <v/>
      </c>
      <c r="V323">
        <f>(AVERAGE(E323:F323)-1)/4</f>
        <v/>
      </c>
      <c r="W323">
        <f>(AVERAGE(G323:I323)-1)/4</f>
        <v/>
      </c>
      <c r="X323">
        <f>(AVERAGE(J323:L323)-1)/4</f>
        <v/>
      </c>
      <c r="Y323">
        <f>(AVERAGE(M323:O323)-1)/4</f>
        <v/>
      </c>
      <c r="Z323">
        <f>(AVERAGE(P323:R323)-1)/4</f>
        <v/>
      </c>
      <c r="AA323">
        <f>(AVERAGE(S323:T323)-1)/4</f>
        <v/>
      </c>
      <c r="AB323">
        <f>AVERAGE(U323:Y323)</f>
        <v/>
      </c>
      <c r="AC323">
        <f>MIN(U323:Y323)</f>
        <v/>
      </c>
      <c r="AD323">
        <f>1-alpha*MAX(0,delta-AC323)</f>
        <v/>
      </c>
      <c r="AE323">
        <f>AB323*AD323</f>
        <v/>
      </c>
      <c r="AF323">
        <f>1+COUNTIF(bounds,"&lt;"&amp;ROUND(AB323,12))</f>
        <v/>
      </c>
      <c r="AG323">
        <f>1+COUNTIF(bounds,"&lt;"&amp;ROUND(AE323,12))</f>
        <v/>
      </c>
      <c r="AH323">
        <f>IF(AD323&lt;1,1,0)</f>
        <v/>
      </c>
      <c r="AI323">
        <f>IF(AF323&lt;&gt;AG323,1,0)</f>
        <v/>
      </c>
      <c r="AJ323">
        <f>IF(AND(AG323&gt;=3,Z323&lt;=0.2),1,0)</f>
        <v/>
      </c>
      <c r="AK323">
        <f>AVERAGE(U323:Z323)</f>
        <v/>
      </c>
      <c r="AL323">
        <f>1+COUNTIF(bounds,"&lt;"&amp;ROUND(AK323,12))</f>
        <v/>
      </c>
      <c r="AM323">
        <f>IF(AI323=1,AB323,NA())</f>
        <v/>
      </c>
      <c r="AN323">
        <f>IF(AI323=0,AB323,NA())</f>
        <v/>
      </c>
    </row>
    <row r="324">
      <c r="A324" t="n">
        <v>316</v>
      </c>
      <c r="B324" t="n">
        <v>2</v>
      </c>
      <c r="C324" t="n">
        <v>2</v>
      </c>
      <c r="D324" t="n">
        <v>1</v>
      </c>
      <c r="E324" t="n">
        <v>3</v>
      </c>
      <c r="F324" t="n">
        <v>1</v>
      </c>
      <c r="G324" t="n">
        <v>3</v>
      </c>
      <c r="H324" t="n">
        <v>2</v>
      </c>
      <c r="I324" t="n">
        <v>1</v>
      </c>
      <c r="J324" t="n">
        <v>4</v>
      </c>
      <c r="K324" t="n">
        <v>4</v>
      </c>
      <c r="L324" t="n">
        <v>3</v>
      </c>
      <c r="M324" t="n">
        <v>1</v>
      </c>
      <c r="N324" t="n">
        <v>1</v>
      </c>
      <c r="O324" t="n">
        <v>5</v>
      </c>
      <c r="P324" t="n">
        <v>1</v>
      </c>
      <c r="Q324" t="n">
        <v>1</v>
      </c>
      <c r="R324" t="n">
        <v>4</v>
      </c>
      <c r="S324" t="n">
        <v>3</v>
      </c>
      <c r="T324" t="n">
        <v>1</v>
      </c>
      <c r="U324">
        <f>(AVERAGE(B324:D324)-1)/4</f>
        <v/>
      </c>
      <c r="V324">
        <f>(AVERAGE(E324:F324)-1)/4</f>
        <v/>
      </c>
      <c r="W324">
        <f>(AVERAGE(G324:I324)-1)/4</f>
        <v/>
      </c>
      <c r="X324">
        <f>(AVERAGE(J324:L324)-1)/4</f>
        <v/>
      </c>
      <c r="Y324">
        <f>(AVERAGE(M324:O324)-1)/4</f>
        <v/>
      </c>
      <c r="Z324">
        <f>(AVERAGE(P324:R324)-1)/4</f>
        <v/>
      </c>
      <c r="AA324">
        <f>(AVERAGE(S324:T324)-1)/4</f>
        <v/>
      </c>
      <c r="AB324">
        <f>AVERAGE(U324:Y324)</f>
        <v/>
      </c>
      <c r="AC324">
        <f>MIN(U324:Y324)</f>
        <v/>
      </c>
      <c r="AD324">
        <f>1-alpha*MAX(0,delta-AC324)</f>
        <v/>
      </c>
      <c r="AE324">
        <f>AB324*AD324</f>
        <v/>
      </c>
      <c r="AF324">
        <f>1+COUNTIF(bounds,"&lt;"&amp;ROUND(AB324,12))</f>
        <v/>
      </c>
      <c r="AG324">
        <f>1+COUNTIF(bounds,"&lt;"&amp;ROUND(AE324,12))</f>
        <v/>
      </c>
      <c r="AH324">
        <f>IF(AD324&lt;1,1,0)</f>
        <v/>
      </c>
      <c r="AI324">
        <f>IF(AF324&lt;&gt;AG324,1,0)</f>
        <v/>
      </c>
      <c r="AJ324">
        <f>IF(AND(AG324&gt;=3,Z324&lt;=0.2),1,0)</f>
        <v/>
      </c>
      <c r="AK324">
        <f>AVERAGE(U324:Z324)</f>
        <v/>
      </c>
      <c r="AL324">
        <f>1+COUNTIF(bounds,"&lt;"&amp;ROUND(AK324,12))</f>
        <v/>
      </c>
      <c r="AM324">
        <f>IF(AI324=1,AB324,NA())</f>
        <v/>
      </c>
      <c r="AN324">
        <f>IF(AI324=0,AB324,NA())</f>
        <v/>
      </c>
    </row>
    <row r="325">
      <c r="A325" t="n">
        <v>317</v>
      </c>
      <c r="B325" t="n">
        <v>5</v>
      </c>
      <c r="C325" t="n">
        <v>2</v>
      </c>
      <c r="D325" t="n">
        <v>3</v>
      </c>
      <c r="E325" t="n">
        <v>4</v>
      </c>
      <c r="F325" t="n">
        <v>5</v>
      </c>
      <c r="G325" t="n">
        <v>2</v>
      </c>
      <c r="H325" t="n">
        <v>5</v>
      </c>
      <c r="I325" t="n">
        <v>3</v>
      </c>
      <c r="J325" t="n">
        <v>2</v>
      </c>
      <c r="K325" t="n">
        <v>1</v>
      </c>
      <c r="L325" t="n">
        <v>3</v>
      </c>
      <c r="M325" t="n">
        <v>2</v>
      </c>
      <c r="N325" t="n">
        <v>1</v>
      </c>
      <c r="O325" t="n">
        <v>1</v>
      </c>
      <c r="P325" t="n">
        <v>3</v>
      </c>
      <c r="Q325" t="n">
        <v>4</v>
      </c>
      <c r="R325" t="n">
        <v>3</v>
      </c>
      <c r="S325" t="n">
        <v>2</v>
      </c>
      <c r="T325" t="n">
        <v>5</v>
      </c>
      <c r="U325">
        <f>(AVERAGE(B325:D325)-1)/4</f>
        <v/>
      </c>
      <c r="V325">
        <f>(AVERAGE(E325:F325)-1)/4</f>
        <v/>
      </c>
      <c r="W325">
        <f>(AVERAGE(G325:I325)-1)/4</f>
        <v/>
      </c>
      <c r="X325">
        <f>(AVERAGE(J325:L325)-1)/4</f>
        <v/>
      </c>
      <c r="Y325">
        <f>(AVERAGE(M325:O325)-1)/4</f>
        <v/>
      </c>
      <c r="Z325">
        <f>(AVERAGE(P325:R325)-1)/4</f>
        <v/>
      </c>
      <c r="AA325">
        <f>(AVERAGE(S325:T325)-1)/4</f>
        <v/>
      </c>
      <c r="AB325">
        <f>AVERAGE(U325:Y325)</f>
        <v/>
      </c>
      <c r="AC325">
        <f>MIN(U325:Y325)</f>
        <v/>
      </c>
      <c r="AD325">
        <f>1-alpha*MAX(0,delta-AC325)</f>
        <v/>
      </c>
      <c r="AE325">
        <f>AB325*AD325</f>
        <v/>
      </c>
      <c r="AF325">
        <f>1+COUNTIF(bounds,"&lt;"&amp;ROUND(AB325,12))</f>
        <v/>
      </c>
      <c r="AG325">
        <f>1+COUNTIF(bounds,"&lt;"&amp;ROUND(AE325,12))</f>
        <v/>
      </c>
      <c r="AH325">
        <f>IF(AD325&lt;1,1,0)</f>
        <v/>
      </c>
      <c r="AI325">
        <f>IF(AF325&lt;&gt;AG325,1,0)</f>
        <v/>
      </c>
      <c r="AJ325">
        <f>IF(AND(AG325&gt;=3,Z325&lt;=0.2),1,0)</f>
        <v/>
      </c>
      <c r="AK325">
        <f>AVERAGE(U325:Z325)</f>
        <v/>
      </c>
      <c r="AL325">
        <f>1+COUNTIF(bounds,"&lt;"&amp;ROUND(AK325,12))</f>
        <v/>
      </c>
      <c r="AM325">
        <f>IF(AI325=1,AB325,NA())</f>
        <v/>
      </c>
      <c r="AN325">
        <f>IF(AI325=0,AB325,NA())</f>
        <v/>
      </c>
    </row>
    <row r="326">
      <c r="A326" t="n">
        <v>318</v>
      </c>
      <c r="B326" t="n">
        <v>1</v>
      </c>
      <c r="C326" t="n">
        <v>2</v>
      </c>
      <c r="D326" t="n">
        <v>3</v>
      </c>
      <c r="E326" t="n">
        <v>2</v>
      </c>
      <c r="F326" t="n">
        <v>1</v>
      </c>
      <c r="G326" t="n">
        <v>3</v>
      </c>
      <c r="H326" t="n">
        <v>5</v>
      </c>
      <c r="I326" t="n">
        <v>2</v>
      </c>
      <c r="J326" t="n">
        <v>3</v>
      </c>
      <c r="K326" t="n">
        <v>1</v>
      </c>
      <c r="L326" t="n">
        <v>1</v>
      </c>
      <c r="M326" t="n">
        <v>5</v>
      </c>
      <c r="N326" t="n">
        <v>5</v>
      </c>
      <c r="O326" t="n">
        <v>2</v>
      </c>
      <c r="P326" t="n">
        <v>3</v>
      </c>
      <c r="Q326" t="n">
        <v>1</v>
      </c>
      <c r="R326" t="n">
        <v>4</v>
      </c>
      <c r="S326" t="n">
        <v>3</v>
      </c>
      <c r="T326" t="n">
        <v>3</v>
      </c>
      <c r="U326">
        <f>(AVERAGE(B326:D326)-1)/4</f>
        <v/>
      </c>
      <c r="V326">
        <f>(AVERAGE(E326:F326)-1)/4</f>
        <v/>
      </c>
      <c r="W326">
        <f>(AVERAGE(G326:I326)-1)/4</f>
        <v/>
      </c>
      <c r="X326">
        <f>(AVERAGE(J326:L326)-1)/4</f>
        <v/>
      </c>
      <c r="Y326">
        <f>(AVERAGE(M326:O326)-1)/4</f>
        <v/>
      </c>
      <c r="Z326">
        <f>(AVERAGE(P326:R326)-1)/4</f>
        <v/>
      </c>
      <c r="AA326">
        <f>(AVERAGE(S326:T326)-1)/4</f>
        <v/>
      </c>
      <c r="AB326">
        <f>AVERAGE(U326:Y326)</f>
        <v/>
      </c>
      <c r="AC326">
        <f>MIN(U326:Y326)</f>
        <v/>
      </c>
      <c r="AD326">
        <f>1-alpha*MAX(0,delta-AC326)</f>
        <v/>
      </c>
      <c r="AE326">
        <f>AB326*AD326</f>
        <v/>
      </c>
      <c r="AF326">
        <f>1+COUNTIF(bounds,"&lt;"&amp;ROUND(AB326,12))</f>
        <v/>
      </c>
      <c r="AG326">
        <f>1+COUNTIF(bounds,"&lt;"&amp;ROUND(AE326,12))</f>
        <v/>
      </c>
      <c r="AH326">
        <f>IF(AD326&lt;1,1,0)</f>
        <v/>
      </c>
      <c r="AI326">
        <f>IF(AF326&lt;&gt;AG326,1,0)</f>
        <v/>
      </c>
      <c r="AJ326">
        <f>IF(AND(AG326&gt;=3,Z326&lt;=0.2),1,0)</f>
        <v/>
      </c>
      <c r="AK326">
        <f>AVERAGE(U326:Z326)</f>
        <v/>
      </c>
      <c r="AL326">
        <f>1+COUNTIF(bounds,"&lt;"&amp;ROUND(AK326,12))</f>
        <v/>
      </c>
      <c r="AM326">
        <f>IF(AI326=1,AB326,NA())</f>
        <v/>
      </c>
      <c r="AN326">
        <f>IF(AI326=0,AB326,NA())</f>
        <v/>
      </c>
    </row>
    <row r="327">
      <c r="A327" t="n">
        <v>319</v>
      </c>
      <c r="B327" t="n">
        <v>3</v>
      </c>
      <c r="C327" t="n">
        <v>1</v>
      </c>
      <c r="D327" t="n">
        <v>4</v>
      </c>
      <c r="E327" t="n">
        <v>4</v>
      </c>
      <c r="F327" t="n">
        <v>5</v>
      </c>
      <c r="G327" t="n">
        <v>3</v>
      </c>
      <c r="H327" t="n">
        <v>2</v>
      </c>
      <c r="I327" t="n">
        <v>3</v>
      </c>
      <c r="J327" t="n">
        <v>4</v>
      </c>
      <c r="K327" t="n">
        <v>5</v>
      </c>
      <c r="L327" t="n">
        <v>3</v>
      </c>
      <c r="M327" t="n">
        <v>1</v>
      </c>
      <c r="N327" t="n">
        <v>1</v>
      </c>
      <c r="O327" t="n">
        <v>5</v>
      </c>
      <c r="P327" t="n">
        <v>2</v>
      </c>
      <c r="Q327" t="n">
        <v>3</v>
      </c>
      <c r="R327" t="n">
        <v>4</v>
      </c>
      <c r="S327" t="n">
        <v>4</v>
      </c>
      <c r="T327" t="n">
        <v>3</v>
      </c>
      <c r="U327">
        <f>(AVERAGE(B327:D327)-1)/4</f>
        <v/>
      </c>
      <c r="V327">
        <f>(AVERAGE(E327:F327)-1)/4</f>
        <v/>
      </c>
      <c r="W327">
        <f>(AVERAGE(G327:I327)-1)/4</f>
        <v/>
      </c>
      <c r="X327">
        <f>(AVERAGE(J327:L327)-1)/4</f>
        <v/>
      </c>
      <c r="Y327">
        <f>(AVERAGE(M327:O327)-1)/4</f>
        <v/>
      </c>
      <c r="Z327">
        <f>(AVERAGE(P327:R327)-1)/4</f>
        <v/>
      </c>
      <c r="AA327">
        <f>(AVERAGE(S327:T327)-1)/4</f>
        <v/>
      </c>
      <c r="AB327">
        <f>AVERAGE(U327:Y327)</f>
        <v/>
      </c>
      <c r="AC327">
        <f>MIN(U327:Y327)</f>
        <v/>
      </c>
      <c r="AD327">
        <f>1-alpha*MAX(0,delta-AC327)</f>
        <v/>
      </c>
      <c r="AE327">
        <f>AB327*AD327</f>
        <v/>
      </c>
      <c r="AF327">
        <f>1+COUNTIF(bounds,"&lt;"&amp;ROUND(AB327,12))</f>
        <v/>
      </c>
      <c r="AG327">
        <f>1+COUNTIF(bounds,"&lt;"&amp;ROUND(AE327,12))</f>
        <v/>
      </c>
      <c r="AH327">
        <f>IF(AD327&lt;1,1,0)</f>
        <v/>
      </c>
      <c r="AI327">
        <f>IF(AF327&lt;&gt;AG327,1,0)</f>
        <v/>
      </c>
      <c r="AJ327">
        <f>IF(AND(AG327&gt;=3,Z327&lt;=0.2),1,0)</f>
        <v/>
      </c>
      <c r="AK327">
        <f>AVERAGE(U327:Z327)</f>
        <v/>
      </c>
      <c r="AL327">
        <f>1+COUNTIF(bounds,"&lt;"&amp;ROUND(AK327,12))</f>
        <v/>
      </c>
      <c r="AM327">
        <f>IF(AI327=1,AB327,NA())</f>
        <v/>
      </c>
      <c r="AN327">
        <f>IF(AI327=0,AB327,NA())</f>
        <v/>
      </c>
    </row>
    <row r="328">
      <c r="A328" t="n">
        <v>320</v>
      </c>
      <c r="B328" t="n">
        <v>5</v>
      </c>
      <c r="C328" t="n">
        <v>2</v>
      </c>
      <c r="D328" t="n">
        <v>2</v>
      </c>
      <c r="E328" t="n">
        <v>1</v>
      </c>
      <c r="F328" t="n">
        <v>5</v>
      </c>
      <c r="G328" t="n">
        <v>1</v>
      </c>
      <c r="H328" t="n">
        <v>3</v>
      </c>
      <c r="I328" t="n">
        <v>1</v>
      </c>
      <c r="J328" t="n">
        <v>1</v>
      </c>
      <c r="K328" t="n">
        <v>3</v>
      </c>
      <c r="L328" t="n">
        <v>2</v>
      </c>
      <c r="M328" t="n">
        <v>2</v>
      </c>
      <c r="N328" t="n">
        <v>5</v>
      </c>
      <c r="O328" t="n">
        <v>3</v>
      </c>
      <c r="P328" t="n">
        <v>5</v>
      </c>
      <c r="Q328" t="n">
        <v>3</v>
      </c>
      <c r="R328" t="n">
        <v>1</v>
      </c>
      <c r="S328" t="n">
        <v>3</v>
      </c>
      <c r="T328" t="n">
        <v>4</v>
      </c>
      <c r="U328">
        <f>(AVERAGE(B328:D328)-1)/4</f>
        <v/>
      </c>
      <c r="V328">
        <f>(AVERAGE(E328:F328)-1)/4</f>
        <v/>
      </c>
      <c r="W328">
        <f>(AVERAGE(G328:I328)-1)/4</f>
        <v/>
      </c>
      <c r="X328">
        <f>(AVERAGE(J328:L328)-1)/4</f>
        <v/>
      </c>
      <c r="Y328">
        <f>(AVERAGE(M328:O328)-1)/4</f>
        <v/>
      </c>
      <c r="Z328">
        <f>(AVERAGE(P328:R328)-1)/4</f>
        <v/>
      </c>
      <c r="AA328">
        <f>(AVERAGE(S328:T328)-1)/4</f>
        <v/>
      </c>
      <c r="AB328">
        <f>AVERAGE(U328:Y328)</f>
        <v/>
      </c>
      <c r="AC328">
        <f>MIN(U328:Y328)</f>
        <v/>
      </c>
      <c r="AD328">
        <f>1-alpha*MAX(0,delta-AC328)</f>
        <v/>
      </c>
      <c r="AE328">
        <f>AB328*AD328</f>
        <v/>
      </c>
      <c r="AF328">
        <f>1+COUNTIF(bounds,"&lt;"&amp;ROUND(AB328,12))</f>
        <v/>
      </c>
      <c r="AG328">
        <f>1+COUNTIF(bounds,"&lt;"&amp;ROUND(AE328,12))</f>
        <v/>
      </c>
      <c r="AH328">
        <f>IF(AD328&lt;1,1,0)</f>
        <v/>
      </c>
      <c r="AI328">
        <f>IF(AF328&lt;&gt;AG328,1,0)</f>
        <v/>
      </c>
      <c r="AJ328">
        <f>IF(AND(AG328&gt;=3,Z328&lt;=0.2),1,0)</f>
        <v/>
      </c>
      <c r="AK328">
        <f>AVERAGE(U328:Z328)</f>
        <v/>
      </c>
      <c r="AL328">
        <f>1+COUNTIF(bounds,"&lt;"&amp;ROUND(AK328,12))</f>
        <v/>
      </c>
      <c r="AM328">
        <f>IF(AI328=1,AB328,NA())</f>
        <v/>
      </c>
      <c r="AN328">
        <f>IF(AI328=0,AB328,NA())</f>
        <v/>
      </c>
    </row>
    <row r="329">
      <c r="A329" t="n">
        <v>321</v>
      </c>
      <c r="B329" t="n">
        <v>4</v>
      </c>
      <c r="C329" t="n">
        <v>3</v>
      </c>
      <c r="D329" t="n">
        <v>1</v>
      </c>
      <c r="E329" t="n">
        <v>1</v>
      </c>
      <c r="F329" t="n">
        <v>3</v>
      </c>
      <c r="G329" t="n">
        <v>5</v>
      </c>
      <c r="H329" t="n">
        <v>3</v>
      </c>
      <c r="I329" t="n">
        <v>3</v>
      </c>
      <c r="J329" t="n">
        <v>4</v>
      </c>
      <c r="K329" t="n">
        <v>5</v>
      </c>
      <c r="L329" t="n">
        <v>1</v>
      </c>
      <c r="M329" t="n">
        <v>1</v>
      </c>
      <c r="N329" t="n">
        <v>5</v>
      </c>
      <c r="O329" t="n">
        <v>3</v>
      </c>
      <c r="P329" t="n">
        <v>1</v>
      </c>
      <c r="Q329" t="n">
        <v>3</v>
      </c>
      <c r="R329" t="n">
        <v>1</v>
      </c>
      <c r="S329" t="n">
        <v>3</v>
      </c>
      <c r="T329" t="n">
        <v>3</v>
      </c>
      <c r="U329">
        <f>(AVERAGE(B329:D329)-1)/4</f>
        <v/>
      </c>
      <c r="V329">
        <f>(AVERAGE(E329:F329)-1)/4</f>
        <v/>
      </c>
      <c r="W329">
        <f>(AVERAGE(G329:I329)-1)/4</f>
        <v/>
      </c>
      <c r="X329">
        <f>(AVERAGE(J329:L329)-1)/4</f>
        <v/>
      </c>
      <c r="Y329">
        <f>(AVERAGE(M329:O329)-1)/4</f>
        <v/>
      </c>
      <c r="Z329">
        <f>(AVERAGE(P329:R329)-1)/4</f>
        <v/>
      </c>
      <c r="AA329">
        <f>(AVERAGE(S329:T329)-1)/4</f>
        <v/>
      </c>
      <c r="AB329">
        <f>AVERAGE(U329:Y329)</f>
        <v/>
      </c>
      <c r="AC329">
        <f>MIN(U329:Y329)</f>
        <v/>
      </c>
      <c r="AD329">
        <f>1-alpha*MAX(0,delta-AC329)</f>
        <v/>
      </c>
      <c r="AE329">
        <f>AB329*AD329</f>
        <v/>
      </c>
      <c r="AF329">
        <f>1+COUNTIF(bounds,"&lt;"&amp;ROUND(AB329,12))</f>
        <v/>
      </c>
      <c r="AG329">
        <f>1+COUNTIF(bounds,"&lt;"&amp;ROUND(AE329,12))</f>
        <v/>
      </c>
      <c r="AH329">
        <f>IF(AD329&lt;1,1,0)</f>
        <v/>
      </c>
      <c r="AI329">
        <f>IF(AF329&lt;&gt;AG329,1,0)</f>
        <v/>
      </c>
      <c r="AJ329">
        <f>IF(AND(AG329&gt;=3,Z329&lt;=0.2),1,0)</f>
        <v/>
      </c>
      <c r="AK329">
        <f>AVERAGE(U329:Z329)</f>
        <v/>
      </c>
      <c r="AL329">
        <f>1+COUNTIF(bounds,"&lt;"&amp;ROUND(AK329,12))</f>
        <v/>
      </c>
      <c r="AM329">
        <f>IF(AI329=1,AB329,NA())</f>
        <v/>
      </c>
      <c r="AN329">
        <f>IF(AI329=0,AB329,NA())</f>
        <v/>
      </c>
    </row>
    <row r="330">
      <c r="A330" t="n">
        <v>322</v>
      </c>
      <c r="B330" t="n">
        <v>1</v>
      </c>
      <c r="C330" t="n">
        <v>5</v>
      </c>
      <c r="D330" t="n">
        <v>4</v>
      </c>
      <c r="E330" t="n">
        <v>1</v>
      </c>
      <c r="F330" t="n">
        <v>2</v>
      </c>
      <c r="G330" t="n">
        <v>4</v>
      </c>
      <c r="H330" t="n">
        <v>4</v>
      </c>
      <c r="I330" t="n">
        <v>2</v>
      </c>
      <c r="J330" t="n">
        <v>1</v>
      </c>
      <c r="K330" t="n">
        <v>1</v>
      </c>
      <c r="L330" t="n">
        <v>4</v>
      </c>
      <c r="M330" t="n">
        <v>1</v>
      </c>
      <c r="N330" t="n">
        <v>3</v>
      </c>
      <c r="O330" t="n">
        <v>2</v>
      </c>
      <c r="P330" t="n">
        <v>4</v>
      </c>
      <c r="Q330" t="n">
        <v>4</v>
      </c>
      <c r="R330" t="n">
        <v>1</v>
      </c>
      <c r="S330" t="n">
        <v>1</v>
      </c>
      <c r="T330" t="n">
        <v>4</v>
      </c>
      <c r="U330">
        <f>(AVERAGE(B330:D330)-1)/4</f>
        <v/>
      </c>
      <c r="V330">
        <f>(AVERAGE(E330:F330)-1)/4</f>
        <v/>
      </c>
      <c r="W330">
        <f>(AVERAGE(G330:I330)-1)/4</f>
        <v/>
      </c>
      <c r="X330">
        <f>(AVERAGE(J330:L330)-1)/4</f>
        <v/>
      </c>
      <c r="Y330">
        <f>(AVERAGE(M330:O330)-1)/4</f>
        <v/>
      </c>
      <c r="Z330">
        <f>(AVERAGE(P330:R330)-1)/4</f>
        <v/>
      </c>
      <c r="AA330">
        <f>(AVERAGE(S330:T330)-1)/4</f>
        <v/>
      </c>
      <c r="AB330">
        <f>AVERAGE(U330:Y330)</f>
        <v/>
      </c>
      <c r="AC330">
        <f>MIN(U330:Y330)</f>
        <v/>
      </c>
      <c r="AD330">
        <f>1-alpha*MAX(0,delta-AC330)</f>
        <v/>
      </c>
      <c r="AE330">
        <f>AB330*AD330</f>
        <v/>
      </c>
      <c r="AF330">
        <f>1+COUNTIF(bounds,"&lt;"&amp;ROUND(AB330,12))</f>
        <v/>
      </c>
      <c r="AG330">
        <f>1+COUNTIF(bounds,"&lt;"&amp;ROUND(AE330,12))</f>
        <v/>
      </c>
      <c r="AH330">
        <f>IF(AD330&lt;1,1,0)</f>
        <v/>
      </c>
      <c r="AI330">
        <f>IF(AF330&lt;&gt;AG330,1,0)</f>
        <v/>
      </c>
      <c r="AJ330">
        <f>IF(AND(AG330&gt;=3,Z330&lt;=0.2),1,0)</f>
        <v/>
      </c>
      <c r="AK330">
        <f>AVERAGE(U330:Z330)</f>
        <v/>
      </c>
      <c r="AL330">
        <f>1+COUNTIF(bounds,"&lt;"&amp;ROUND(AK330,12))</f>
        <v/>
      </c>
      <c r="AM330">
        <f>IF(AI330=1,AB330,NA())</f>
        <v/>
      </c>
      <c r="AN330">
        <f>IF(AI330=0,AB330,NA())</f>
        <v/>
      </c>
    </row>
    <row r="331">
      <c r="A331" t="n">
        <v>323</v>
      </c>
      <c r="B331" t="n">
        <v>3</v>
      </c>
      <c r="C331" t="n">
        <v>1</v>
      </c>
      <c r="D331" t="n">
        <v>5</v>
      </c>
      <c r="E331" t="n">
        <v>2</v>
      </c>
      <c r="F331" t="n">
        <v>4</v>
      </c>
      <c r="G331" t="n">
        <v>5</v>
      </c>
      <c r="H331" t="n">
        <v>2</v>
      </c>
      <c r="I331" t="n">
        <v>5</v>
      </c>
      <c r="J331" t="n">
        <v>5</v>
      </c>
      <c r="K331" t="n">
        <v>4</v>
      </c>
      <c r="L331" t="n">
        <v>4</v>
      </c>
      <c r="M331" t="n">
        <v>4</v>
      </c>
      <c r="N331" t="n">
        <v>2</v>
      </c>
      <c r="O331" t="n">
        <v>2</v>
      </c>
      <c r="P331" t="n">
        <v>1</v>
      </c>
      <c r="Q331" t="n">
        <v>1</v>
      </c>
      <c r="R331" t="n">
        <v>4</v>
      </c>
      <c r="S331" t="n">
        <v>3</v>
      </c>
      <c r="T331" t="n">
        <v>2</v>
      </c>
      <c r="U331">
        <f>(AVERAGE(B331:D331)-1)/4</f>
        <v/>
      </c>
      <c r="V331">
        <f>(AVERAGE(E331:F331)-1)/4</f>
        <v/>
      </c>
      <c r="W331">
        <f>(AVERAGE(G331:I331)-1)/4</f>
        <v/>
      </c>
      <c r="X331">
        <f>(AVERAGE(J331:L331)-1)/4</f>
        <v/>
      </c>
      <c r="Y331">
        <f>(AVERAGE(M331:O331)-1)/4</f>
        <v/>
      </c>
      <c r="Z331">
        <f>(AVERAGE(P331:R331)-1)/4</f>
        <v/>
      </c>
      <c r="AA331">
        <f>(AVERAGE(S331:T331)-1)/4</f>
        <v/>
      </c>
      <c r="AB331">
        <f>AVERAGE(U331:Y331)</f>
        <v/>
      </c>
      <c r="AC331">
        <f>MIN(U331:Y331)</f>
        <v/>
      </c>
      <c r="AD331">
        <f>1-alpha*MAX(0,delta-AC331)</f>
        <v/>
      </c>
      <c r="AE331">
        <f>AB331*AD331</f>
        <v/>
      </c>
      <c r="AF331">
        <f>1+COUNTIF(bounds,"&lt;"&amp;ROUND(AB331,12))</f>
        <v/>
      </c>
      <c r="AG331">
        <f>1+COUNTIF(bounds,"&lt;"&amp;ROUND(AE331,12))</f>
        <v/>
      </c>
      <c r="AH331">
        <f>IF(AD331&lt;1,1,0)</f>
        <v/>
      </c>
      <c r="AI331">
        <f>IF(AF331&lt;&gt;AG331,1,0)</f>
        <v/>
      </c>
      <c r="AJ331">
        <f>IF(AND(AG331&gt;=3,Z331&lt;=0.2),1,0)</f>
        <v/>
      </c>
      <c r="AK331">
        <f>AVERAGE(U331:Z331)</f>
        <v/>
      </c>
      <c r="AL331">
        <f>1+COUNTIF(bounds,"&lt;"&amp;ROUND(AK331,12))</f>
        <v/>
      </c>
      <c r="AM331">
        <f>IF(AI331=1,AB331,NA())</f>
        <v/>
      </c>
      <c r="AN331">
        <f>IF(AI331=0,AB331,NA())</f>
        <v/>
      </c>
    </row>
    <row r="332">
      <c r="A332" t="n">
        <v>324</v>
      </c>
      <c r="B332" t="n">
        <v>2</v>
      </c>
      <c r="C332" t="n">
        <v>2</v>
      </c>
      <c r="D332" t="n">
        <v>4</v>
      </c>
      <c r="E332" t="n">
        <v>1</v>
      </c>
      <c r="F332" t="n">
        <v>5</v>
      </c>
      <c r="G332" t="n">
        <v>4</v>
      </c>
      <c r="H332" t="n">
        <v>1</v>
      </c>
      <c r="I332" t="n">
        <v>2</v>
      </c>
      <c r="J332" t="n">
        <v>1</v>
      </c>
      <c r="K332" t="n">
        <v>3</v>
      </c>
      <c r="L332" t="n">
        <v>2</v>
      </c>
      <c r="M332" t="n">
        <v>2</v>
      </c>
      <c r="N332" t="n">
        <v>5</v>
      </c>
      <c r="O332" t="n">
        <v>2</v>
      </c>
      <c r="P332" t="n">
        <v>3</v>
      </c>
      <c r="Q332" t="n">
        <v>3</v>
      </c>
      <c r="R332" t="n">
        <v>1</v>
      </c>
      <c r="S332" t="n">
        <v>5</v>
      </c>
      <c r="T332" t="n">
        <v>5</v>
      </c>
      <c r="U332">
        <f>(AVERAGE(B332:D332)-1)/4</f>
        <v/>
      </c>
      <c r="V332">
        <f>(AVERAGE(E332:F332)-1)/4</f>
        <v/>
      </c>
      <c r="W332">
        <f>(AVERAGE(G332:I332)-1)/4</f>
        <v/>
      </c>
      <c r="X332">
        <f>(AVERAGE(J332:L332)-1)/4</f>
        <v/>
      </c>
      <c r="Y332">
        <f>(AVERAGE(M332:O332)-1)/4</f>
        <v/>
      </c>
      <c r="Z332">
        <f>(AVERAGE(P332:R332)-1)/4</f>
        <v/>
      </c>
      <c r="AA332">
        <f>(AVERAGE(S332:T332)-1)/4</f>
        <v/>
      </c>
      <c r="AB332">
        <f>AVERAGE(U332:Y332)</f>
        <v/>
      </c>
      <c r="AC332">
        <f>MIN(U332:Y332)</f>
        <v/>
      </c>
      <c r="AD332">
        <f>1-alpha*MAX(0,delta-AC332)</f>
        <v/>
      </c>
      <c r="AE332">
        <f>AB332*AD332</f>
        <v/>
      </c>
      <c r="AF332">
        <f>1+COUNTIF(bounds,"&lt;"&amp;ROUND(AB332,12))</f>
        <v/>
      </c>
      <c r="AG332">
        <f>1+COUNTIF(bounds,"&lt;"&amp;ROUND(AE332,12))</f>
        <v/>
      </c>
      <c r="AH332">
        <f>IF(AD332&lt;1,1,0)</f>
        <v/>
      </c>
      <c r="AI332">
        <f>IF(AF332&lt;&gt;AG332,1,0)</f>
        <v/>
      </c>
      <c r="AJ332">
        <f>IF(AND(AG332&gt;=3,Z332&lt;=0.2),1,0)</f>
        <v/>
      </c>
      <c r="AK332">
        <f>AVERAGE(U332:Z332)</f>
        <v/>
      </c>
      <c r="AL332">
        <f>1+COUNTIF(bounds,"&lt;"&amp;ROUND(AK332,12))</f>
        <v/>
      </c>
      <c r="AM332">
        <f>IF(AI332=1,AB332,NA())</f>
        <v/>
      </c>
      <c r="AN332">
        <f>IF(AI332=0,AB332,NA())</f>
        <v/>
      </c>
    </row>
    <row r="333">
      <c r="A333" t="n">
        <v>325</v>
      </c>
      <c r="B333" t="n">
        <v>5</v>
      </c>
      <c r="C333" t="n">
        <v>1</v>
      </c>
      <c r="D333" t="n">
        <v>3</v>
      </c>
      <c r="E333" t="n">
        <v>2</v>
      </c>
      <c r="F333" t="n">
        <v>3</v>
      </c>
      <c r="G333" t="n">
        <v>3</v>
      </c>
      <c r="H333" t="n">
        <v>4</v>
      </c>
      <c r="I333" t="n">
        <v>1</v>
      </c>
      <c r="J333" t="n">
        <v>1</v>
      </c>
      <c r="K333" t="n">
        <v>4</v>
      </c>
      <c r="L333" t="n">
        <v>5</v>
      </c>
      <c r="M333" t="n">
        <v>5</v>
      </c>
      <c r="N333" t="n">
        <v>5</v>
      </c>
      <c r="O333" t="n">
        <v>2</v>
      </c>
      <c r="P333" t="n">
        <v>1</v>
      </c>
      <c r="Q333" t="n">
        <v>1</v>
      </c>
      <c r="R333" t="n">
        <v>3</v>
      </c>
      <c r="S333" t="n">
        <v>4</v>
      </c>
      <c r="T333" t="n">
        <v>1</v>
      </c>
      <c r="U333">
        <f>(AVERAGE(B333:D333)-1)/4</f>
        <v/>
      </c>
      <c r="V333">
        <f>(AVERAGE(E333:F333)-1)/4</f>
        <v/>
      </c>
      <c r="W333">
        <f>(AVERAGE(G333:I333)-1)/4</f>
        <v/>
      </c>
      <c r="X333">
        <f>(AVERAGE(J333:L333)-1)/4</f>
        <v/>
      </c>
      <c r="Y333">
        <f>(AVERAGE(M333:O333)-1)/4</f>
        <v/>
      </c>
      <c r="Z333">
        <f>(AVERAGE(P333:R333)-1)/4</f>
        <v/>
      </c>
      <c r="AA333">
        <f>(AVERAGE(S333:T333)-1)/4</f>
        <v/>
      </c>
      <c r="AB333">
        <f>AVERAGE(U333:Y333)</f>
        <v/>
      </c>
      <c r="AC333">
        <f>MIN(U333:Y333)</f>
        <v/>
      </c>
      <c r="AD333">
        <f>1-alpha*MAX(0,delta-AC333)</f>
        <v/>
      </c>
      <c r="AE333">
        <f>AB333*AD333</f>
        <v/>
      </c>
      <c r="AF333">
        <f>1+COUNTIF(bounds,"&lt;"&amp;ROUND(AB333,12))</f>
        <v/>
      </c>
      <c r="AG333">
        <f>1+COUNTIF(bounds,"&lt;"&amp;ROUND(AE333,12))</f>
        <v/>
      </c>
      <c r="AH333">
        <f>IF(AD333&lt;1,1,0)</f>
        <v/>
      </c>
      <c r="AI333">
        <f>IF(AF333&lt;&gt;AG333,1,0)</f>
        <v/>
      </c>
      <c r="AJ333">
        <f>IF(AND(AG333&gt;=3,Z333&lt;=0.2),1,0)</f>
        <v/>
      </c>
      <c r="AK333">
        <f>AVERAGE(U333:Z333)</f>
        <v/>
      </c>
      <c r="AL333">
        <f>1+COUNTIF(bounds,"&lt;"&amp;ROUND(AK333,12))</f>
        <v/>
      </c>
      <c r="AM333">
        <f>IF(AI333=1,AB333,NA())</f>
        <v/>
      </c>
      <c r="AN333">
        <f>IF(AI333=0,AB333,NA())</f>
        <v/>
      </c>
    </row>
    <row r="334">
      <c r="A334" t="n">
        <v>326</v>
      </c>
      <c r="B334" t="n">
        <v>2</v>
      </c>
      <c r="C334" t="n">
        <v>5</v>
      </c>
      <c r="D334" t="n">
        <v>2</v>
      </c>
      <c r="E334" t="n">
        <v>4</v>
      </c>
      <c r="F334" t="n">
        <v>3</v>
      </c>
      <c r="G334" t="n">
        <v>1</v>
      </c>
      <c r="H334" t="n">
        <v>1</v>
      </c>
      <c r="I334" t="n">
        <v>3</v>
      </c>
      <c r="J334" t="n">
        <v>4</v>
      </c>
      <c r="K334" t="n">
        <v>1</v>
      </c>
      <c r="L334" t="n">
        <v>4</v>
      </c>
      <c r="M334" t="n">
        <v>2</v>
      </c>
      <c r="N334" t="n">
        <v>4</v>
      </c>
      <c r="O334" t="n">
        <v>3</v>
      </c>
      <c r="P334" t="n">
        <v>2</v>
      </c>
      <c r="Q334" t="n">
        <v>1</v>
      </c>
      <c r="R334" t="n">
        <v>3</v>
      </c>
      <c r="S334" t="n">
        <v>4</v>
      </c>
      <c r="T334" t="n">
        <v>4</v>
      </c>
      <c r="U334">
        <f>(AVERAGE(B334:D334)-1)/4</f>
        <v/>
      </c>
      <c r="V334">
        <f>(AVERAGE(E334:F334)-1)/4</f>
        <v/>
      </c>
      <c r="W334">
        <f>(AVERAGE(G334:I334)-1)/4</f>
        <v/>
      </c>
      <c r="X334">
        <f>(AVERAGE(J334:L334)-1)/4</f>
        <v/>
      </c>
      <c r="Y334">
        <f>(AVERAGE(M334:O334)-1)/4</f>
        <v/>
      </c>
      <c r="Z334">
        <f>(AVERAGE(P334:R334)-1)/4</f>
        <v/>
      </c>
      <c r="AA334">
        <f>(AVERAGE(S334:T334)-1)/4</f>
        <v/>
      </c>
      <c r="AB334">
        <f>AVERAGE(U334:Y334)</f>
        <v/>
      </c>
      <c r="AC334">
        <f>MIN(U334:Y334)</f>
        <v/>
      </c>
      <c r="AD334">
        <f>1-alpha*MAX(0,delta-AC334)</f>
        <v/>
      </c>
      <c r="AE334">
        <f>AB334*AD334</f>
        <v/>
      </c>
      <c r="AF334">
        <f>1+COUNTIF(bounds,"&lt;"&amp;ROUND(AB334,12))</f>
        <v/>
      </c>
      <c r="AG334">
        <f>1+COUNTIF(bounds,"&lt;"&amp;ROUND(AE334,12))</f>
        <v/>
      </c>
      <c r="AH334">
        <f>IF(AD334&lt;1,1,0)</f>
        <v/>
      </c>
      <c r="AI334">
        <f>IF(AF334&lt;&gt;AG334,1,0)</f>
        <v/>
      </c>
      <c r="AJ334">
        <f>IF(AND(AG334&gt;=3,Z334&lt;=0.2),1,0)</f>
        <v/>
      </c>
      <c r="AK334">
        <f>AVERAGE(U334:Z334)</f>
        <v/>
      </c>
      <c r="AL334">
        <f>1+COUNTIF(bounds,"&lt;"&amp;ROUND(AK334,12))</f>
        <v/>
      </c>
      <c r="AM334">
        <f>IF(AI334=1,AB334,NA())</f>
        <v/>
      </c>
      <c r="AN334">
        <f>IF(AI334=0,AB334,NA())</f>
        <v/>
      </c>
    </row>
    <row r="335">
      <c r="A335" t="n">
        <v>327</v>
      </c>
      <c r="B335" t="n">
        <v>2</v>
      </c>
      <c r="C335" t="n">
        <v>4</v>
      </c>
      <c r="D335" t="n">
        <v>5</v>
      </c>
      <c r="E335" t="n">
        <v>4</v>
      </c>
      <c r="F335" t="n">
        <v>1</v>
      </c>
      <c r="G335" t="n">
        <v>2</v>
      </c>
      <c r="H335" t="n">
        <v>5</v>
      </c>
      <c r="I335" t="n">
        <v>1</v>
      </c>
      <c r="J335" t="n">
        <v>2</v>
      </c>
      <c r="K335" t="n">
        <v>5</v>
      </c>
      <c r="L335" t="n">
        <v>1</v>
      </c>
      <c r="M335" t="n">
        <v>5</v>
      </c>
      <c r="N335" t="n">
        <v>3</v>
      </c>
      <c r="O335" t="n">
        <v>2</v>
      </c>
      <c r="P335" t="n">
        <v>3</v>
      </c>
      <c r="Q335" t="n">
        <v>4</v>
      </c>
      <c r="R335" t="n">
        <v>4</v>
      </c>
      <c r="S335" t="n">
        <v>5</v>
      </c>
      <c r="T335" t="n">
        <v>1</v>
      </c>
      <c r="U335">
        <f>(AVERAGE(B335:D335)-1)/4</f>
        <v/>
      </c>
      <c r="V335">
        <f>(AVERAGE(E335:F335)-1)/4</f>
        <v/>
      </c>
      <c r="W335">
        <f>(AVERAGE(G335:I335)-1)/4</f>
        <v/>
      </c>
      <c r="X335">
        <f>(AVERAGE(J335:L335)-1)/4</f>
        <v/>
      </c>
      <c r="Y335">
        <f>(AVERAGE(M335:O335)-1)/4</f>
        <v/>
      </c>
      <c r="Z335">
        <f>(AVERAGE(P335:R335)-1)/4</f>
        <v/>
      </c>
      <c r="AA335">
        <f>(AVERAGE(S335:T335)-1)/4</f>
        <v/>
      </c>
      <c r="AB335">
        <f>AVERAGE(U335:Y335)</f>
        <v/>
      </c>
      <c r="AC335">
        <f>MIN(U335:Y335)</f>
        <v/>
      </c>
      <c r="AD335">
        <f>1-alpha*MAX(0,delta-AC335)</f>
        <v/>
      </c>
      <c r="AE335">
        <f>AB335*AD335</f>
        <v/>
      </c>
      <c r="AF335">
        <f>1+COUNTIF(bounds,"&lt;"&amp;ROUND(AB335,12))</f>
        <v/>
      </c>
      <c r="AG335">
        <f>1+COUNTIF(bounds,"&lt;"&amp;ROUND(AE335,12))</f>
        <v/>
      </c>
      <c r="AH335">
        <f>IF(AD335&lt;1,1,0)</f>
        <v/>
      </c>
      <c r="AI335">
        <f>IF(AF335&lt;&gt;AG335,1,0)</f>
        <v/>
      </c>
      <c r="AJ335">
        <f>IF(AND(AG335&gt;=3,Z335&lt;=0.2),1,0)</f>
        <v/>
      </c>
      <c r="AK335">
        <f>AVERAGE(U335:Z335)</f>
        <v/>
      </c>
      <c r="AL335">
        <f>1+COUNTIF(bounds,"&lt;"&amp;ROUND(AK335,12))</f>
        <v/>
      </c>
      <c r="AM335">
        <f>IF(AI335=1,AB335,NA())</f>
        <v/>
      </c>
      <c r="AN335">
        <f>IF(AI335=0,AB335,NA())</f>
        <v/>
      </c>
    </row>
    <row r="336">
      <c r="A336" t="n">
        <v>328</v>
      </c>
      <c r="B336" t="n">
        <v>4</v>
      </c>
      <c r="C336" t="n">
        <v>3</v>
      </c>
      <c r="D336" t="n">
        <v>1</v>
      </c>
      <c r="E336" t="n">
        <v>5</v>
      </c>
      <c r="F336" t="n">
        <v>4</v>
      </c>
      <c r="G336" t="n">
        <v>3</v>
      </c>
      <c r="H336" t="n">
        <v>3</v>
      </c>
      <c r="I336" t="n">
        <v>2</v>
      </c>
      <c r="J336" t="n">
        <v>2</v>
      </c>
      <c r="K336" t="n">
        <v>1</v>
      </c>
      <c r="L336" t="n">
        <v>5</v>
      </c>
      <c r="M336" t="n">
        <v>2</v>
      </c>
      <c r="N336" t="n">
        <v>4</v>
      </c>
      <c r="O336" t="n">
        <v>3</v>
      </c>
      <c r="P336" t="n">
        <v>5</v>
      </c>
      <c r="Q336" t="n">
        <v>5</v>
      </c>
      <c r="R336" t="n">
        <v>4</v>
      </c>
      <c r="S336" t="n">
        <v>4</v>
      </c>
      <c r="T336" t="n">
        <v>3</v>
      </c>
      <c r="U336">
        <f>(AVERAGE(B336:D336)-1)/4</f>
        <v/>
      </c>
      <c r="V336">
        <f>(AVERAGE(E336:F336)-1)/4</f>
        <v/>
      </c>
      <c r="W336">
        <f>(AVERAGE(G336:I336)-1)/4</f>
        <v/>
      </c>
      <c r="X336">
        <f>(AVERAGE(J336:L336)-1)/4</f>
        <v/>
      </c>
      <c r="Y336">
        <f>(AVERAGE(M336:O336)-1)/4</f>
        <v/>
      </c>
      <c r="Z336">
        <f>(AVERAGE(P336:R336)-1)/4</f>
        <v/>
      </c>
      <c r="AA336">
        <f>(AVERAGE(S336:T336)-1)/4</f>
        <v/>
      </c>
      <c r="AB336">
        <f>AVERAGE(U336:Y336)</f>
        <v/>
      </c>
      <c r="AC336">
        <f>MIN(U336:Y336)</f>
        <v/>
      </c>
      <c r="AD336">
        <f>1-alpha*MAX(0,delta-AC336)</f>
        <v/>
      </c>
      <c r="AE336">
        <f>AB336*AD336</f>
        <v/>
      </c>
      <c r="AF336">
        <f>1+COUNTIF(bounds,"&lt;"&amp;ROUND(AB336,12))</f>
        <v/>
      </c>
      <c r="AG336">
        <f>1+COUNTIF(bounds,"&lt;"&amp;ROUND(AE336,12))</f>
        <v/>
      </c>
      <c r="AH336">
        <f>IF(AD336&lt;1,1,0)</f>
        <v/>
      </c>
      <c r="AI336">
        <f>IF(AF336&lt;&gt;AG336,1,0)</f>
        <v/>
      </c>
      <c r="AJ336">
        <f>IF(AND(AG336&gt;=3,Z336&lt;=0.2),1,0)</f>
        <v/>
      </c>
      <c r="AK336">
        <f>AVERAGE(U336:Z336)</f>
        <v/>
      </c>
      <c r="AL336">
        <f>1+COUNTIF(bounds,"&lt;"&amp;ROUND(AK336,12))</f>
        <v/>
      </c>
      <c r="AM336">
        <f>IF(AI336=1,AB336,NA())</f>
        <v/>
      </c>
      <c r="AN336">
        <f>IF(AI336=0,AB336,NA())</f>
        <v/>
      </c>
    </row>
    <row r="337">
      <c r="A337" t="n">
        <v>329</v>
      </c>
      <c r="B337" t="n">
        <v>2</v>
      </c>
      <c r="C337" t="n">
        <v>4</v>
      </c>
      <c r="D337" t="n">
        <v>1</v>
      </c>
      <c r="E337" t="n">
        <v>5</v>
      </c>
      <c r="F337" t="n">
        <v>4</v>
      </c>
      <c r="G337" t="n">
        <v>1</v>
      </c>
      <c r="H337" t="n">
        <v>4</v>
      </c>
      <c r="I337" t="n">
        <v>4</v>
      </c>
      <c r="J337" t="n">
        <v>1</v>
      </c>
      <c r="K337" t="n">
        <v>2</v>
      </c>
      <c r="L337" t="n">
        <v>3</v>
      </c>
      <c r="M337" t="n">
        <v>1</v>
      </c>
      <c r="N337" t="n">
        <v>2</v>
      </c>
      <c r="O337" t="n">
        <v>3</v>
      </c>
      <c r="P337" t="n">
        <v>5</v>
      </c>
      <c r="Q337" t="n">
        <v>3</v>
      </c>
      <c r="R337" t="n">
        <v>4</v>
      </c>
      <c r="S337" t="n">
        <v>3</v>
      </c>
      <c r="T337" t="n">
        <v>3</v>
      </c>
      <c r="U337">
        <f>(AVERAGE(B337:D337)-1)/4</f>
        <v/>
      </c>
      <c r="V337">
        <f>(AVERAGE(E337:F337)-1)/4</f>
        <v/>
      </c>
      <c r="W337">
        <f>(AVERAGE(G337:I337)-1)/4</f>
        <v/>
      </c>
      <c r="X337">
        <f>(AVERAGE(J337:L337)-1)/4</f>
        <v/>
      </c>
      <c r="Y337">
        <f>(AVERAGE(M337:O337)-1)/4</f>
        <v/>
      </c>
      <c r="Z337">
        <f>(AVERAGE(P337:R337)-1)/4</f>
        <v/>
      </c>
      <c r="AA337">
        <f>(AVERAGE(S337:T337)-1)/4</f>
        <v/>
      </c>
      <c r="AB337">
        <f>AVERAGE(U337:Y337)</f>
        <v/>
      </c>
      <c r="AC337">
        <f>MIN(U337:Y337)</f>
        <v/>
      </c>
      <c r="AD337">
        <f>1-alpha*MAX(0,delta-AC337)</f>
        <v/>
      </c>
      <c r="AE337">
        <f>AB337*AD337</f>
        <v/>
      </c>
      <c r="AF337">
        <f>1+COUNTIF(bounds,"&lt;"&amp;ROUND(AB337,12))</f>
        <v/>
      </c>
      <c r="AG337">
        <f>1+COUNTIF(bounds,"&lt;"&amp;ROUND(AE337,12))</f>
        <v/>
      </c>
      <c r="AH337">
        <f>IF(AD337&lt;1,1,0)</f>
        <v/>
      </c>
      <c r="AI337">
        <f>IF(AF337&lt;&gt;AG337,1,0)</f>
        <v/>
      </c>
      <c r="AJ337">
        <f>IF(AND(AG337&gt;=3,Z337&lt;=0.2),1,0)</f>
        <v/>
      </c>
      <c r="AK337">
        <f>AVERAGE(U337:Z337)</f>
        <v/>
      </c>
      <c r="AL337">
        <f>1+COUNTIF(bounds,"&lt;"&amp;ROUND(AK337,12))</f>
        <v/>
      </c>
      <c r="AM337">
        <f>IF(AI337=1,AB337,NA())</f>
        <v/>
      </c>
      <c r="AN337">
        <f>IF(AI337=0,AB337,NA())</f>
        <v/>
      </c>
    </row>
    <row r="338">
      <c r="A338" t="n">
        <v>330</v>
      </c>
      <c r="B338" t="n">
        <v>5</v>
      </c>
      <c r="C338" t="n">
        <v>5</v>
      </c>
      <c r="D338" t="n">
        <v>4</v>
      </c>
      <c r="E338" t="n">
        <v>3</v>
      </c>
      <c r="F338" t="n">
        <v>3</v>
      </c>
      <c r="G338" t="n">
        <v>3</v>
      </c>
      <c r="H338" t="n">
        <v>2</v>
      </c>
      <c r="I338" t="n">
        <v>5</v>
      </c>
      <c r="J338" t="n">
        <v>2</v>
      </c>
      <c r="K338" t="n">
        <v>3</v>
      </c>
      <c r="L338" t="n">
        <v>3</v>
      </c>
      <c r="M338" t="n">
        <v>2</v>
      </c>
      <c r="N338" t="n">
        <v>3</v>
      </c>
      <c r="O338" t="n">
        <v>5</v>
      </c>
      <c r="P338" t="n">
        <v>2</v>
      </c>
      <c r="Q338" t="n">
        <v>3</v>
      </c>
      <c r="R338" t="n">
        <v>2</v>
      </c>
      <c r="S338" t="n">
        <v>3</v>
      </c>
      <c r="T338" t="n">
        <v>1</v>
      </c>
      <c r="U338">
        <f>(AVERAGE(B338:D338)-1)/4</f>
        <v/>
      </c>
      <c r="V338">
        <f>(AVERAGE(E338:F338)-1)/4</f>
        <v/>
      </c>
      <c r="W338">
        <f>(AVERAGE(G338:I338)-1)/4</f>
        <v/>
      </c>
      <c r="X338">
        <f>(AVERAGE(J338:L338)-1)/4</f>
        <v/>
      </c>
      <c r="Y338">
        <f>(AVERAGE(M338:O338)-1)/4</f>
        <v/>
      </c>
      <c r="Z338">
        <f>(AVERAGE(P338:R338)-1)/4</f>
        <v/>
      </c>
      <c r="AA338">
        <f>(AVERAGE(S338:T338)-1)/4</f>
        <v/>
      </c>
      <c r="AB338">
        <f>AVERAGE(U338:Y338)</f>
        <v/>
      </c>
      <c r="AC338">
        <f>MIN(U338:Y338)</f>
        <v/>
      </c>
      <c r="AD338">
        <f>1-alpha*MAX(0,delta-AC338)</f>
        <v/>
      </c>
      <c r="AE338">
        <f>AB338*AD338</f>
        <v/>
      </c>
      <c r="AF338">
        <f>1+COUNTIF(bounds,"&lt;"&amp;ROUND(AB338,12))</f>
        <v/>
      </c>
      <c r="AG338">
        <f>1+COUNTIF(bounds,"&lt;"&amp;ROUND(AE338,12))</f>
        <v/>
      </c>
      <c r="AH338">
        <f>IF(AD338&lt;1,1,0)</f>
        <v/>
      </c>
      <c r="AI338">
        <f>IF(AF338&lt;&gt;AG338,1,0)</f>
        <v/>
      </c>
      <c r="AJ338">
        <f>IF(AND(AG338&gt;=3,Z338&lt;=0.2),1,0)</f>
        <v/>
      </c>
      <c r="AK338">
        <f>AVERAGE(U338:Z338)</f>
        <v/>
      </c>
      <c r="AL338">
        <f>1+COUNTIF(bounds,"&lt;"&amp;ROUND(AK338,12))</f>
        <v/>
      </c>
      <c r="AM338">
        <f>IF(AI338=1,AB338,NA())</f>
        <v/>
      </c>
      <c r="AN338">
        <f>IF(AI338=0,AB338,NA())</f>
        <v/>
      </c>
    </row>
    <row r="339">
      <c r="A339" t="n">
        <v>331</v>
      </c>
      <c r="B339" t="n">
        <v>2</v>
      </c>
      <c r="C339" t="n">
        <v>5</v>
      </c>
      <c r="D339" t="n">
        <v>4</v>
      </c>
      <c r="E339" t="n">
        <v>1</v>
      </c>
      <c r="F339" t="n">
        <v>3</v>
      </c>
      <c r="G339" t="n">
        <v>3</v>
      </c>
      <c r="H339" t="n">
        <v>2</v>
      </c>
      <c r="I339" t="n">
        <v>4</v>
      </c>
      <c r="J339" t="n">
        <v>1</v>
      </c>
      <c r="K339" t="n">
        <v>1</v>
      </c>
      <c r="L339" t="n">
        <v>2</v>
      </c>
      <c r="M339" t="n">
        <v>2</v>
      </c>
      <c r="N339" t="n">
        <v>5</v>
      </c>
      <c r="O339" t="n">
        <v>4</v>
      </c>
      <c r="P339" t="n">
        <v>2</v>
      </c>
      <c r="Q339" t="n">
        <v>3</v>
      </c>
      <c r="R339" t="n">
        <v>4</v>
      </c>
      <c r="S339" t="n">
        <v>3</v>
      </c>
      <c r="T339" t="n">
        <v>2</v>
      </c>
      <c r="U339">
        <f>(AVERAGE(B339:D339)-1)/4</f>
        <v/>
      </c>
      <c r="V339">
        <f>(AVERAGE(E339:F339)-1)/4</f>
        <v/>
      </c>
      <c r="W339">
        <f>(AVERAGE(G339:I339)-1)/4</f>
        <v/>
      </c>
      <c r="X339">
        <f>(AVERAGE(J339:L339)-1)/4</f>
        <v/>
      </c>
      <c r="Y339">
        <f>(AVERAGE(M339:O339)-1)/4</f>
        <v/>
      </c>
      <c r="Z339">
        <f>(AVERAGE(P339:R339)-1)/4</f>
        <v/>
      </c>
      <c r="AA339">
        <f>(AVERAGE(S339:T339)-1)/4</f>
        <v/>
      </c>
      <c r="AB339">
        <f>AVERAGE(U339:Y339)</f>
        <v/>
      </c>
      <c r="AC339">
        <f>MIN(U339:Y339)</f>
        <v/>
      </c>
      <c r="AD339">
        <f>1-alpha*MAX(0,delta-AC339)</f>
        <v/>
      </c>
      <c r="AE339">
        <f>AB339*AD339</f>
        <v/>
      </c>
      <c r="AF339">
        <f>1+COUNTIF(bounds,"&lt;"&amp;ROUND(AB339,12))</f>
        <v/>
      </c>
      <c r="AG339">
        <f>1+COUNTIF(bounds,"&lt;"&amp;ROUND(AE339,12))</f>
        <v/>
      </c>
      <c r="AH339">
        <f>IF(AD339&lt;1,1,0)</f>
        <v/>
      </c>
      <c r="AI339">
        <f>IF(AF339&lt;&gt;AG339,1,0)</f>
        <v/>
      </c>
      <c r="AJ339">
        <f>IF(AND(AG339&gt;=3,Z339&lt;=0.2),1,0)</f>
        <v/>
      </c>
      <c r="AK339">
        <f>AVERAGE(U339:Z339)</f>
        <v/>
      </c>
      <c r="AL339">
        <f>1+COUNTIF(bounds,"&lt;"&amp;ROUND(AK339,12))</f>
        <v/>
      </c>
      <c r="AM339">
        <f>IF(AI339=1,AB339,NA())</f>
        <v/>
      </c>
      <c r="AN339">
        <f>IF(AI339=0,AB339,NA())</f>
        <v/>
      </c>
    </row>
    <row r="340">
      <c r="A340" t="n">
        <v>332</v>
      </c>
      <c r="B340" t="n">
        <v>4</v>
      </c>
      <c r="C340" t="n">
        <v>1</v>
      </c>
      <c r="D340" t="n">
        <v>4</v>
      </c>
      <c r="E340" t="n">
        <v>1</v>
      </c>
      <c r="F340" t="n">
        <v>2</v>
      </c>
      <c r="G340" t="n">
        <v>3</v>
      </c>
      <c r="H340" t="n">
        <v>1</v>
      </c>
      <c r="I340" t="n">
        <v>2</v>
      </c>
      <c r="J340" t="n">
        <v>1</v>
      </c>
      <c r="K340" t="n">
        <v>1</v>
      </c>
      <c r="L340" t="n">
        <v>4</v>
      </c>
      <c r="M340" t="n">
        <v>2</v>
      </c>
      <c r="N340" t="n">
        <v>5</v>
      </c>
      <c r="O340" t="n">
        <v>1</v>
      </c>
      <c r="P340" t="n">
        <v>3</v>
      </c>
      <c r="Q340" t="n">
        <v>4</v>
      </c>
      <c r="R340" t="n">
        <v>4</v>
      </c>
      <c r="S340" t="n">
        <v>4</v>
      </c>
      <c r="T340" t="n">
        <v>4</v>
      </c>
      <c r="U340">
        <f>(AVERAGE(B340:D340)-1)/4</f>
        <v/>
      </c>
      <c r="V340">
        <f>(AVERAGE(E340:F340)-1)/4</f>
        <v/>
      </c>
      <c r="W340">
        <f>(AVERAGE(G340:I340)-1)/4</f>
        <v/>
      </c>
      <c r="X340">
        <f>(AVERAGE(J340:L340)-1)/4</f>
        <v/>
      </c>
      <c r="Y340">
        <f>(AVERAGE(M340:O340)-1)/4</f>
        <v/>
      </c>
      <c r="Z340">
        <f>(AVERAGE(P340:R340)-1)/4</f>
        <v/>
      </c>
      <c r="AA340">
        <f>(AVERAGE(S340:T340)-1)/4</f>
        <v/>
      </c>
      <c r="AB340">
        <f>AVERAGE(U340:Y340)</f>
        <v/>
      </c>
      <c r="AC340">
        <f>MIN(U340:Y340)</f>
        <v/>
      </c>
      <c r="AD340">
        <f>1-alpha*MAX(0,delta-AC340)</f>
        <v/>
      </c>
      <c r="AE340">
        <f>AB340*AD340</f>
        <v/>
      </c>
      <c r="AF340">
        <f>1+COUNTIF(bounds,"&lt;"&amp;ROUND(AB340,12))</f>
        <v/>
      </c>
      <c r="AG340">
        <f>1+COUNTIF(bounds,"&lt;"&amp;ROUND(AE340,12))</f>
        <v/>
      </c>
      <c r="AH340">
        <f>IF(AD340&lt;1,1,0)</f>
        <v/>
      </c>
      <c r="AI340">
        <f>IF(AF340&lt;&gt;AG340,1,0)</f>
        <v/>
      </c>
      <c r="AJ340">
        <f>IF(AND(AG340&gt;=3,Z340&lt;=0.2),1,0)</f>
        <v/>
      </c>
      <c r="AK340">
        <f>AVERAGE(U340:Z340)</f>
        <v/>
      </c>
      <c r="AL340">
        <f>1+COUNTIF(bounds,"&lt;"&amp;ROUND(AK340,12))</f>
        <v/>
      </c>
      <c r="AM340">
        <f>IF(AI340=1,AB340,NA())</f>
        <v/>
      </c>
      <c r="AN340">
        <f>IF(AI340=0,AB340,NA())</f>
        <v/>
      </c>
    </row>
    <row r="341">
      <c r="A341" t="n">
        <v>333</v>
      </c>
      <c r="B341" t="n">
        <v>5</v>
      </c>
      <c r="C341" t="n">
        <v>2</v>
      </c>
      <c r="D341" t="n">
        <v>2</v>
      </c>
      <c r="E341" t="n">
        <v>2</v>
      </c>
      <c r="F341" t="n">
        <v>2</v>
      </c>
      <c r="G341" t="n">
        <v>1</v>
      </c>
      <c r="H341" t="n">
        <v>1</v>
      </c>
      <c r="I341" t="n">
        <v>3</v>
      </c>
      <c r="J341" t="n">
        <v>5</v>
      </c>
      <c r="K341" t="n">
        <v>5</v>
      </c>
      <c r="L341" t="n">
        <v>1</v>
      </c>
      <c r="M341" t="n">
        <v>2</v>
      </c>
      <c r="N341" t="n">
        <v>3</v>
      </c>
      <c r="O341" t="n">
        <v>2</v>
      </c>
      <c r="P341" t="n">
        <v>4</v>
      </c>
      <c r="Q341" t="n">
        <v>5</v>
      </c>
      <c r="R341" t="n">
        <v>2</v>
      </c>
      <c r="S341" t="n">
        <v>4</v>
      </c>
      <c r="T341" t="n">
        <v>4</v>
      </c>
      <c r="U341">
        <f>(AVERAGE(B341:D341)-1)/4</f>
        <v/>
      </c>
      <c r="V341">
        <f>(AVERAGE(E341:F341)-1)/4</f>
        <v/>
      </c>
      <c r="W341">
        <f>(AVERAGE(G341:I341)-1)/4</f>
        <v/>
      </c>
      <c r="X341">
        <f>(AVERAGE(J341:L341)-1)/4</f>
        <v/>
      </c>
      <c r="Y341">
        <f>(AVERAGE(M341:O341)-1)/4</f>
        <v/>
      </c>
      <c r="Z341">
        <f>(AVERAGE(P341:R341)-1)/4</f>
        <v/>
      </c>
      <c r="AA341">
        <f>(AVERAGE(S341:T341)-1)/4</f>
        <v/>
      </c>
      <c r="AB341">
        <f>AVERAGE(U341:Y341)</f>
        <v/>
      </c>
      <c r="AC341">
        <f>MIN(U341:Y341)</f>
        <v/>
      </c>
      <c r="AD341">
        <f>1-alpha*MAX(0,delta-AC341)</f>
        <v/>
      </c>
      <c r="AE341">
        <f>AB341*AD341</f>
        <v/>
      </c>
      <c r="AF341">
        <f>1+COUNTIF(bounds,"&lt;"&amp;ROUND(AB341,12))</f>
        <v/>
      </c>
      <c r="AG341">
        <f>1+COUNTIF(bounds,"&lt;"&amp;ROUND(AE341,12))</f>
        <v/>
      </c>
      <c r="AH341">
        <f>IF(AD341&lt;1,1,0)</f>
        <v/>
      </c>
      <c r="AI341">
        <f>IF(AF341&lt;&gt;AG341,1,0)</f>
        <v/>
      </c>
      <c r="AJ341">
        <f>IF(AND(AG341&gt;=3,Z341&lt;=0.2),1,0)</f>
        <v/>
      </c>
      <c r="AK341">
        <f>AVERAGE(U341:Z341)</f>
        <v/>
      </c>
      <c r="AL341">
        <f>1+COUNTIF(bounds,"&lt;"&amp;ROUND(AK341,12))</f>
        <v/>
      </c>
      <c r="AM341">
        <f>IF(AI341=1,AB341,NA())</f>
        <v/>
      </c>
      <c r="AN341">
        <f>IF(AI341=0,AB341,NA())</f>
        <v/>
      </c>
    </row>
    <row r="342">
      <c r="A342" t="n">
        <v>334</v>
      </c>
      <c r="B342" t="n">
        <v>3</v>
      </c>
      <c r="C342" t="n">
        <v>5</v>
      </c>
      <c r="D342" t="n">
        <v>1</v>
      </c>
      <c r="E342" t="n">
        <v>5</v>
      </c>
      <c r="F342" t="n">
        <v>3</v>
      </c>
      <c r="G342" t="n">
        <v>2</v>
      </c>
      <c r="H342" t="n">
        <v>4</v>
      </c>
      <c r="I342" t="n">
        <v>5</v>
      </c>
      <c r="J342" t="n">
        <v>4</v>
      </c>
      <c r="K342" t="n">
        <v>2</v>
      </c>
      <c r="L342" t="n">
        <v>5</v>
      </c>
      <c r="M342" t="n">
        <v>1</v>
      </c>
      <c r="N342" t="n">
        <v>4</v>
      </c>
      <c r="O342" t="n">
        <v>2</v>
      </c>
      <c r="P342" t="n">
        <v>4</v>
      </c>
      <c r="Q342" t="n">
        <v>1</v>
      </c>
      <c r="R342" t="n">
        <v>3</v>
      </c>
      <c r="S342" t="n">
        <v>1</v>
      </c>
      <c r="T342" t="n">
        <v>4</v>
      </c>
      <c r="U342">
        <f>(AVERAGE(B342:D342)-1)/4</f>
        <v/>
      </c>
      <c r="V342">
        <f>(AVERAGE(E342:F342)-1)/4</f>
        <v/>
      </c>
      <c r="W342">
        <f>(AVERAGE(G342:I342)-1)/4</f>
        <v/>
      </c>
      <c r="X342">
        <f>(AVERAGE(J342:L342)-1)/4</f>
        <v/>
      </c>
      <c r="Y342">
        <f>(AVERAGE(M342:O342)-1)/4</f>
        <v/>
      </c>
      <c r="Z342">
        <f>(AVERAGE(P342:R342)-1)/4</f>
        <v/>
      </c>
      <c r="AA342">
        <f>(AVERAGE(S342:T342)-1)/4</f>
        <v/>
      </c>
      <c r="AB342">
        <f>AVERAGE(U342:Y342)</f>
        <v/>
      </c>
      <c r="AC342">
        <f>MIN(U342:Y342)</f>
        <v/>
      </c>
      <c r="AD342">
        <f>1-alpha*MAX(0,delta-AC342)</f>
        <v/>
      </c>
      <c r="AE342">
        <f>AB342*AD342</f>
        <v/>
      </c>
      <c r="AF342">
        <f>1+COUNTIF(bounds,"&lt;"&amp;ROUND(AB342,12))</f>
        <v/>
      </c>
      <c r="AG342">
        <f>1+COUNTIF(bounds,"&lt;"&amp;ROUND(AE342,12))</f>
        <v/>
      </c>
      <c r="AH342">
        <f>IF(AD342&lt;1,1,0)</f>
        <v/>
      </c>
      <c r="AI342">
        <f>IF(AF342&lt;&gt;AG342,1,0)</f>
        <v/>
      </c>
      <c r="AJ342">
        <f>IF(AND(AG342&gt;=3,Z342&lt;=0.2),1,0)</f>
        <v/>
      </c>
      <c r="AK342">
        <f>AVERAGE(U342:Z342)</f>
        <v/>
      </c>
      <c r="AL342">
        <f>1+COUNTIF(bounds,"&lt;"&amp;ROUND(AK342,12))</f>
        <v/>
      </c>
      <c r="AM342">
        <f>IF(AI342=1,AB342,NA())</f>
        <v/>
      </c>
      <c r="AN342">
        <f>IF(AI342=0,AB342,NA())</f>
        <v/>
      </c>
    </row>
    <row r="343">
      <c r="A343" t="n">
        <v>335</v>
      </c>
      <c r="B343" t="n">
        <v>4</v>
      </c>
      <c r="C343" t="n">
        <v>3</v>
      </c>
      <c r="D343" t="n">
        <v>4</v>
      </c>
      <c r="E343" t="n">
        <v>2</v>
      </c>
      <c r="F343" t="n">
        <v>4</v>
      </c>
      <c r="G343" t="n">
        <v>1</v>
      </c>
      <c r="H343" t="n">
        <v>3</v>
      </c>
      <c r="I343" t="n">
        <v>1</v>
      </c>
      <c r="J343" t="n">
        <v>1</v>
      </c>
      <c r="K343" t="n">
        <v>1</v>
      </c>
      <c r="L343" t="n">
        <v>5</v>
      </c>
      <c r="M343" t="n">
        <v>1</v>
      </c>
      <c r="N343" t="n">
        <v>4</v>
      </c>
      <c r="O343" t="n">
        <v>5</v>
      </c>
      <c r="P343" t="n">
        <v>2</v>
      </c>
      <c r="Q343" t="n">
        <v>1</v>
      </c>
      <c r="R343" t="n">
        <v>5</v>
      </c>
      <c r="S343" t="n">
        <v>4</v>
      </c>
      <c r="T343" t="n">
        <v>5</v>
      </c>
      <c r="U343">
        <f>(AVERAGE(B343:D343)-1)/4</f>
        <v/>
      </c>
      <c r="V343">
        <f>(AVERAGE(E343:F343)-1)/4</f>
        <v/>
      </c>
      <c r="W343">
        <f>(AVERAGE(G343:I343)-1)/4</f>
        <v/>
      </c>
      <c r="X343">
        <f>(AVERAGE(J343:L343)-1)/4</f>
        <v/>
      </c>
      <c r="Y343">
        <f>(AVERAGE(M343:O343)-1)/4</f>
        <v/>
      </c>
      <c r="Z343">
        <f>(AVERAGE(P343:R343)-1)/4</f>
        <v/>
      </c>
      <c r="AA343">
        <f>(AVERAGE(S343:T343)-1)/4</f>
        <v/>
      </c>
      <c r="AB343">
        <f>AVERAGE(U343:Y343)</f>
        <v/>
      </c>
      <c r="AC343">
        <f>MIN(U343:Y343)</f>
        <v/>
      </c>
      <c r="AD343">
        <f>1-alpha*MAX(0,delta-AC343)</f>
        <v/>
      </c>
      <c r="AE343">
        <f>AB343*AD343</f>
        <v/>
      </c>
      <c r="AF343">
        <f>1+COUNTIF(bounds,"&lt;"&amp;ROUND(AB343,12))</f>
        <v/>
      </c>
      <c r="AG343">
        <f>1+COUNTIF(bounds,"&lt;"&amp;ROUND(AE343,12))</f>
        <v/>
      </c>
      <c r="AH343">
        <f>IF(AD343&lt;1,1,0)</f>
        <v/>
      </c>
      <c r="AI343">
        <f>IF(AF343&lt;&gt;AG343,1,0)</f>
        <v/>
      </c>
      <c r="AJ343">
        <f>IF(AND(AG343&gt;=3,Z343&lt;=0.2),1,0)</f>
        <v/>
      </c>
      <c r="AK343">
        <f>AVERAGE(U343:Z343)</f>
        <v/>
      </c>
      <c r="AL343">
        <f>1+COUNTIF(bounds,"&lt;"&amp;ROUND(AK343,12))</f>
        <v/>
      </c>
      <c r="AM343">
        <f>IF(AI343=1,AB343,NA())</f>
        <v/>
      </c>
      <c r="AN343">
        <f>IF(AI343=0,AB343,NA())</f>
        <v/>
      </c>
    </row>
    <row r="344">
      <c r="A344" t="n">
        <v>336</v>
      </c>
      <c r="B344" t="n">
        <v>1</v>
      </c>
      <c r="C344" t="n">
        <v>5</v>
      </c>
      <c r="D344" t="n">
        <v>1</v>
      </c>
      <c r="E344" t="n">
        <v>1</v>
      </c>
      <c r="F344" t="n">
        <v>3</v>
      </c>
      <c r="G344" t="n">
        <v>4</v>
      </c>
      <c r="H344" t="n">
        <v>1</v>
      </c>
      <c r="I344" t="n">
        <v>4</v>
      </c>
      <c r="J344" t="n">
        <v>4</v>
      </c>
      <c r="K344" t="n">
        <v>3</v>
      </c>
      <c r="L344" t="n">
        <v>5</v>
      </c>
      <c r="M344" t="n">
        <v>2</v>
      </c>
      <c r="N344" t="n">
        <v>3</v>
      </c>
      <c r="O344" t="n">
        <v>4</v>
      </c>
      <c r="P344" t="n">
        <v>1</v>
      </c>
      <c r="Q344" t="n">
        <v>4</v>
      </c>
      <c r="R344" t="n">
        <v>2</v>
      </c>
      <c r="S344" t="n">
        <v>3</v>
      </c>
      <c r="T344" t="n">
        <v>4</v>
      </c>
      <c r="U344">
        <f>(AVERAGE(B344:D344)-1)/4</f>
        <v/>
      </c>
      <c r="V344">
        <f>(AVERAGE(E344:F344)-1)/4</f>
        <v/>
      </c>
      <c r="W344">
        <f>(AVERAGE(G344:I344)-1)/4</f>
        <v/>
      </c>
      <c r="X344">
        <f>(AVERAGE(J344:L344)-1)/4</f>
        <v/>
      </c>
      <c r="Y344">
        <f>(AVERAGE(M344:O344)-1)/4</f>
        <v/>
      </c>
      <c r="Z344">
        <f>(AVERAGE(P344:R344)-1)/4</f>
        <v/>
      </c>
      <c r="AA344">
        <f>(AVERAGE(S344:T344)-1)/4</f>
        <v/>
      </c>
      <c r="AB344">
        <f>AVERAGE(U344:Y344)</f>
        <v/>
      </c>
      <c r="AC344">
        <f>MIN(U344:Y344)</f>
        <v/>
      </c>
      <c r="AD344">
        <f>1-alpha*MAX(0,delta-AC344)</f>
        <v/>
      </c>
      <c r="AE344">
        <f>AB344*AD344</f>
        <v/>
      </c>
      <c r="AF344">
        <f>1+COUNTIF(bounds,"&lt;"&amp;ROUND(AB344,12))</f>
        <v/>
      </c>
      <c r="AG344">
        <f>1+COUNTIF(bounds,"&lt;"&amp;ROUND(AE344,12))</f>
        <v/>
      </c>
      <c r="AH344">
        <f>IF(AD344&lt;1,1,0)</f>
        <v/>
      </c>
      <c r="AI344">
        <f>IF(AF344&lt;&gt;AG344,1,0)</f>
        <v/>
      </c>
      <c r="AJ344">
        <f>IF(AND(AG344&gt;=3,Z344&lt;=0.2),1,0)</f>
        <v/>
      </c>
      <c r="AK344">
        <f>AVERAGE(U344:Z344)</f>
        <v/>
      </c>
      <c r="AL344">
        <f>1+COUNTIF(bounds,"&lt;"&amp;ROUND(AK344,12))</f>
        <v/>
      </c>
      <c r="AM344">
        <f>IF(AI344=1,AB344,NA())</f>
        <v/>
      </c>
      <c r="AN344">
        <f>IF(AI344=0,AB344,NA())</f>
        <v/>
      </c>
    </row>
    <row r="345">
      <c r="A345" t="n">
        <v>337</v>
      </c>
      <c r="B345" t="n">
        <v>5</v>
      </c>
      <c r="C345" t="n">
        <v>1</v>
      </c>
      <c r="D345" t="n">
        <v>4</v>
      </c>
      <c r="E345" t="n">
        <v>2</v>
      </c>
      <c r="F345" t="n">
        <v>4</v>
      </c>
      <c r="G345" t="n">
        <v>4</v>
      </c>
      <c r="H345" t="n">
        <v>2</v>
      </c>
      <c r="I345" t="n">
        <v>1</v>
      </c>
      <c r="J345" t="n">
        <v>4</v>
      </c>
      <c r="K345" t="n">
        <v>2</v>
      </c>
      <c r="L345" t="n">
        <v>5</v>
      </c>
      <c r="M345" t="n">
        <v>2</v>
      </c>
      <c r="N345" t="n">
        <v>1</v>
      </c>
      <c r="O345" t="n">
        <v>2</v>
      </c>
      <c r="P345" t="n">
        <v>1</v>
      </c>
      <c r="Q345" t="n">
        <v>5</v>
      </c>
      <c r="R345" t="n">
        <v>4</v>
      </c>
      <c r="S345" t="n">
        <v>2</v>
      </c>
      <c r="T345" t="n">
        <v>3</v>
      </c>
      <c r="U345">
        <f>(AVERAGE(B345:D345)-1)/4</f>
        <v/>
      </c>
      <c r="V345">
        <f>(AVERAGE(E345:F345)-1)/4</f>
        <v/>
      </c>
      <c r="W345">
        <f>(AVERAGE(G345:I345)-1)/4</f>
        <v/>
      </c>
      <c r="X345">
        <f>(AVERAGE(J345:L345)-1)/4</f>
        <v/>
      </c>
      <c r="Y345">
        <f>(AVERAGE(M345:O345)-1)/4</f>
        <v/>
      </c>
      <c r="Z345">
        <f>(AVERAGE(P345:R345)-1)/4</f>
        <v/>
      </c>
      <c r="AA345">
        <f>(AVERAGE(S345:T345)-1)/4</f>
        <v/>
      </c>
      <c r="AB345">
        <f>AVERAGE(U345:Y345)</f>
        <v/>
      </c>
      <c r="AC345">
        <f>MIN(U345:Y345)</f>
        <v/>
      </c>
      <c r="AD345">
        <f>1-alpha*MAX(0,delta-AC345)</f>
        <v/>
      </c>
      <c r="AE345">
        <f>AB345*AD345</f>
        <v/>
      </c>
      <c r="AF345">
        <f>1+COUNTIF(bounds,"&lt;"&amp;ROUND(AB345,12))</f>
        <v/>
      </c>
      <c r="AG345">
        <f>1+COUNTIF(bounds,"&lt;"&amp;ROUND(AE345,12))</f>
        <v/>
      </c>
      <c r="AH345">
        <f>IF(AD345&lt;1,1,0)</f>
        <v/>
      </c>
      <c r="AI345">
        <f>IF(AF345&lt;&gt;AG345,1,0)</f>
        <v/>
      </c>
      <c r="AJ345">
        <f>IF(AND(AG345&gt;=3,Z345&lt;=0.2),1,0)</f>
        <v/>
      </c>
      <c r="AK345">
        <f>AVERAGE(U345:Z345)</f>
        <v/>
      </c>
      <c r="AL345">
        <f>1+COUNTIF(bounds,"&lt;"&amp;ROUND(AK345,12))</f>
        <v/>
      </c>
      <c r="AM345">
        <f>IF(AI345=1,AB345,NA())</f>
        <v/>
      </c>
      <c r="AN345">
        <f>IF(AI345=0,AB345,NA())</f>
        <v/>
      </c>
    </row>
    <row r="346">
      <c r="A346" t="n">
        <v>338</v>
      </c>
      <c r="B346" t="n">
        <v>2</v>
      </c>
      <c r="C346" t="n">
        <v>2</v>
      </c>
      <c r="D346" t="n">
        <v>5</v>
      </c>
      <c r="E346" t="n">
        <v>2</v>
      </c>
      <c r="F346" t="n">
        <v>4</v>
      </c>
      <c r="G346" t="n">
        <v>2</v>
      </c>
      <c r="H346" t="n">
        <v>3</v>
      </c>
      <c r="I346" t="n">
        <v>3</v>
      </c>
      <c r="J346" t="n">
        <v>4</v>
      </c>
      <c r="K346" t="n">
        <v>4</v>
      </c>
      <c r="L346" t="n">
        <v>5</v>
      </c>
      <c r="M346" t="n">
        <v>1</v>
      </c>
      <c r="N346" t="n">
        <v>2</v>
      </c>
      <c r="O346" t="n">
        <v>1</v>
      </c>
      <c r="P346" t="n">
        <v>4</v>
      </c>
      <c r="Q346" t="n">
        <v>2</v>
      </c>
      <c r="R346" t="n">
        <v>2</v>
      </c>
      <c r="S346" t="n">
        <v>2</v>
      </c>
      <c r="T346" t="n">
        <v>5</v>
      </c>
      <c r="U346">
        <f>(AVERAGE(B346:D346)-1)/4</f>
        <v/>
      </c>
      <c r="V346">
        <f>(AVERAGE(E346:F346)-1)/4</f>
        <v/>
      </c>
      <c r="W346">
        <f>(AVERAGE(G346:I346)-1)/4</f>
        <v/>
      </c>
      <c r="X346">
        <f>(AVERAGE(J346:L346)-1)/4</f>
        <v/>
      </c>
      <c r="Y346">
        <f>(AVERAGE(M346:O346)-1)/4</f>
        <v/>
      </c>
      <c r="Z346">
        <f>(AVERAGE(P346:R346)-1)/4</f>
        <v/>
      </c>
      <c r="AA346">
        <f>(AVERAGE(S346:T346)-1)/4</f>
        <v/>
      </c>
      <c r="AB346">
        <f>AVERAGE(U346:Y346)</f>
        <v/>
      </c>
      <c r="AC346">
        <f>MIN(U346:Y346)</f>
        <v/>
      </c>
      <c r="AD346">
        <f>1-alpha*MAX(0,delta-AC346)</f>
        <v/>
      </c>
      <c r="AE346">
        <f>AB346*AD346</f>
        <v/>
      </c>
      <c r="AF346">
        <f>1+COUNTIF(bounds,"&lt;"&amp;ROUND(AB346,12))</f>
        <v/>
      </c>
      <c r="AG346">
        <f>1+COUNTIF(bounds,"&lt;"&amp;ROUND(AE346,12))</f>
        <v/>
      </c>
      <c r="AH346">
        <f>IF(AD346&lt;1,1,0)</f>
        <v/>
      </c>
      <c r="AI346">
        <f>IF(AF346&lt;&gt;AG346,1,0)</f>
        <v/>
      </c>
      <c r="AJ346">
        <f>IF(AND(AG346&gt;=3,Z346&lt;=0.2),1,0)</f>
        <v/>
      </c>
      <c r="AK346">
        <f>AVERAGE(U346:Z346)</f>
        <v/>
      </c>
      <c r="AL346">
        <f>1+COUNTIF(bounds,"&lt;"&amp;ROUND(AK346,12))</f>
        <v/>
      </c>
      <c r="AM346">
        <f>IF(AI346=1,AB346,NA())</f>
        <v/>
      </c>
      <c r="AN346">
        <f>IF(AI346=0,AB346,NA())</f>
        <v/>
      </c>
    </row>
    <row r="347">
      <c r="A347" t="n">
        <v>339</v>
      </c>
      <c r="B347" t="n">
        <v>2</v>
      </c>
      <c r="C347" t="n">
        <v>3</v>
      </c>
      <c r="D347" t="n">
        <v>4</v>
      </c>
      <c r="E347" t="n">
        <v>4</v>
      </c>
      <c r="F347" t="n">
        <v>2</v>
      </c>
      <c r="G347" t="n">
        <v>4</v>
      </c>
      <c r="H347" t="n">
        <v>3</v>
      </c>
      <c r="I347" t="n">
        <v>4</v>
      </c>
      <c r="J347" t="n">
        <v>1</v>
      </c>
      <c r="K347" t="n">
        <v>2</v>
      </c>
      <c r="L347" t="n">
        <v>2</v>
      </c>
      <c r="M347" t="n">
        <v>4</v>
      </c>
      <c r="N347" t="n">
        <v>4</v>
      </c>
      <c r="O347" t="n">
        <v>1</v>
      </c>
      <c r="P347" t="n">
        <v>1</v>
      </c>
      <c r="Q347" t="n">
        <v>3</v>
      </c>
      <c r="R347" t="n">
        <v>1</v>
      </c>
      <c r="S347" t="n">
        <v>4</v>
      </c>
      <c r="T347" t="n">
        <v>5</v>
      </c>
      <c r="U347">
        <f>(AVERAGE(B347:D347)-1)/4</f>
        <v/>
      </c>
      <c r="V347">
        <f>(AVERAGE(E347:F347)-1)/4</f>
        <v/>
      </c>
      <c r="W347">
        <f>(AVERAGE(G347:I347)-1)/4</f>
        <v/>
      </c>
      <c r="X347">
        <f>(AVERAGE(J347:L347)-1)/4</f>
        <v/>
      </c>
      <c r="Y347">
        <f>(AVERAGE(M347:O347)-1)/4</f>
        <v/>
      </c>
      <c r="Z347">
        <f>(AVERAGE(P347:R347)-1)/4</f>
        <v/>
      </c>
      <c r="AA347">
        <f>(AVERAGE(S347:T347)-1)/4</f>
        <v/>
      </c>
      <c r="AB347">
        <f>AVERAGE(U347:Y347)</f>
        <v/>
      </c>
      <c r="AC347">
        <f>MIN(U347:Y347)</f>
        <v/>
      </c>
      <c r="AD347">
        <f>1-alpha*MAX(0,delta-AC347)</f>
        <v/>
      </c>
      <c r="AE347">
        <f>AB347*AD347</f>
        <v/>
      </c>
      <c r="AF347">
        <f>1+COUNTIF(bounds,"&lt;"&amp;ROUND(AB347,12))</f>
        <v/>
      </c>
      <c r="AG347">
        <f>1+COUNTIF(bounds,"&lt;"&amp;ROUND(AE347,12))</f>
        <v/>
      </c>
      <c r="AH347">
        <f>IF(AD347&lt;1,1,0)</f>
        <v/>
      </c>
      <c r="AI347">
        <f>IF(AF347&lt;&gt;AG347,1,0)</f>
        <v/>
      </c>
      <c r="AJ347">
        <f>IF(AND(AG347&gt;=3,Z347&lt;=0.2),1,0)</f>
        <v/>
      </c>
      <c r="AK347">
        <f>AVERAGE(U347:Z347)</f>
        <v/>
      </c>
      <c r="AL347">
        <f>1+COUNTIF(bounds,"&lt;"&amp;ROUND(AK347,12))</f>
        <v/>
      </c>
      <c r="AM347">
        <f>IF(AI347=1,AB347,NA())</f>
        <v/>
      </c>
      <c r="AN347">
        <f>IF(AI347=0,AB347,NA())</f>
        <v/>
      </c>
    </row>
    <row r="348">
      <c r="A348" t="n">
        <v>340</v>
      </c>
      <c r="B348" t="n">
        <v>1</v>
      </c>
      <c r="C348" t="n">
        <v>4</v>
      </c>
      <c r="D348" t="n">
        <v>5</v>
      </c>
      <c r="E348" t="n">
        <v>2</v>
      </c>
      <c r="F348" t="n">
        <v>1</v>
      </c>
      <c r="G348" t="n">
        <v>1</v>
      </c>
      <c r="H348" t="n">
        <v>2</v>
      </c>
      <c r="I348" t="n">
        <v>1</v>
      </c>
      <c r="J348" t="n">
        <v>2</v>
      </c>
      <c r="K348" t="n">
        <v>5</v>
      </c>
      <c r="L348" t="n">
        <v>5</v>
      </c>
      <c r="M348" t="n">
        <v>4</v>
      </c>
      <c r="N348" t="n">
        <v>4</v>
      </c>
      <c r="O348" t="n">
        <v>1</v>
      </c>
      <c r="P348" t="n">
        <v>5</v>
      </c>
      <c r="Q348" t="n">
        <v>3</v>
      </c>
      <c r="R348" t="n">
        <v>4</v>
      </c>
      <c r="S348" t="n">
        <v>4</v>
      </c>
      <c r="T348" t="n">
        <v>3</v>
      </c>
      <c r="U348">
        <f>(AVERAGE(B348:D348)-1)/4</f>
        <v/>
      </c>
      <c r="V348">
        <f>(AVERAGE(E348:F348)-1)/4</f>
        <v/>
      </c>
      <c r="W348">
        <f>(AVERAGE(G348:I348)-1)/4</f>
        <v/>
      </c>
      <c r="X348">
        <f>(AVERAGE(J348:L348)-1)/4</f>
        <v/>
      </c>
      <c r="Y348">
        <f>(AVERAGE(M348:O348)-1)/4</f>
        <v/>
      </c>
      <c r="Z348">
        <f>(AVERAGE(P348:R348)-1)/4</f>
        <v/>
      </c>
      <c r="AA348">
        <f>(AVERAGE(S348:T348)-1)/4</f>
        <v/>
      </c>
      <c r="AB348">
        <f>AVERAGE(U348:Y348)</f>
        <v/>
      </c>
      <c r="AC348">
        <f>MIN(U348:Y348)</f>
        <v/>
      </c>
      <c r="AD348">
        <f>1-alpha*MAX(0,delta-AC348)</f>
        <v/>
      </c>
      <c r="AE348">
        <f>AB348*AD348</f>
        <v/>
      </c>
      <c r="AF348">
        <f>1+COUNTIF(bounds,"&lt;"&amp;ROUND(AB348,12))</f>
        <v/>
      </c>
      <c r="AG348">
        <f>1+COUNTIF(bounds,"&lt;"&amp;ROUND(AE348,12))</f>
        <v/>
      </c>
      <c r="AH348">
        <f>IF(AD348&lt;1,1,0)</f>
        <v/>
      </c>
      <c r="AI348">
        <f>IF(AF348&lt;&gt;AG348,1,0)</f>
        <v/>
      </c>
      <c r="AJ348">
        <f>IF(AND(AG348&gt;=3,Z348&lt;=0.2),1,0)</f>
        <v/>
      </c>
      <c r="AK348">
        <f>AVERAGE(U348:Z348)</f>
        <v/>
      </c>
      <c r="AL348">
        <f>1+COUNTIF(bounds,"&lt;"&amp;ROUND(AK348,12))</f>
        <v/>
      </c>
      <c r="AM348">
        <f>IF(AI348=1,AB348,NA())</f>
        <v/>
      </c>
      <c r="AN348">
        <f>IF(AI348=0,AB348,NA())</f>
        <v/>
      </c>
    </row>
    <row r="349">
      <c r="A349" t="n">
        <v>341</v>
      </c>
      <c r="B349" t="n">
        <v>3</v>
      </c>
      <c r="C349" t="n">
        <v>5</v>
      </c>
      <c r="D349" t="n">
        <v>2</v>
      </c>
      <c r="E349" t="n">
        <v>2</v>
      </c>
      <c r="F349" t="n">
        <v>5</v>
      </c>
      <c r="G349" t="n">
        <v>1</v>
      </c>
      <c r="H349" t="n">
        <v>5</v>
      </c>
      <c r="I349" t="n">
        <v>4</v>
      </c>
      <c r="J349" t="n">
        <v>5</v>
      </c>
      <c r="K349" t="n">
        <v>3</v>
      </c>
      <c r="L349" t="n">
        <v>1</v>
      </c>
      <c r="M349" t="n">
        <v>4</v>
      </c>
      <c r="N349" t="n">
        <v>1</v>
      </c>
      <c r="O349" t="n">
        <v>3</v>
      </c>
      <c r="P349" t="n">
        <v>1</v>
      </c>
      <c r="Q349" t="n">
        <v>5</v>
      </c>
      <c r="R349" t="n">
        <v>1</v>
      </c>
      <c r="S349" t="n">
        <v>4</v>
      </c>
      <c r="T349" t="n">
        <v>1</v>
      </c>
      <c r="U349">
        <f>(AVERAGE(B349:D349)-1)/4</f>
        <v/>
      </c>
      <c r="V349">
        <f>(AVERAGE(E349:F349)-1)/4</f>
        <v/>
      </c>
      <c r="W349">
        <f>(AVERAGE(G349:I349)-1)/4</f>
        <v/>
      </c>
      <c r="X349">
        <f>(AVERAGE(J349:L349)-1)/4</f>
        <v/>
      </c>
      <c r="Y349">
        <f>(AVERAGE(M349:O349)-1)/4</f>
        <v/>
      </c>
      <c r="Z349">
        <f>(AVERAGE(P349:R349)-1)/4</f>
        <v/>
      </c>
      <c r="AA349">
        <f>(AVERAGE(S349:T349)-1)/4</f>
        <v/>
      </c>
      <c r="AB349">
        <f>AVERAGE(U349:Y349)</f>
        <v/>
      </c>
      <c r="AC349">
        <f>MIN(U349:Y349)</f>
        <v/>
      </c>
      <c r="AD349">
        <f>1-alpha*MAX(0,delta-AC349)</f>
        <v/>
      </c>
      <c r="AE349">
        <f>AB349*AD349</f>
        <v/>
      </c>
      <c r="AF349">
        <f>1+COUNTIF(bounds,"&lt;"&amp;ROUND(AB349,12))</f>
        <v/>
      </c>
      <c r="AG349">
        <f>1+COUNTIF(bounds,"&lt;"&amp;ROUND(AE349,12))</f>
        <v/>
      </c>
      <c r="AH349">
        <f>IF(AD349&lt;1,1,0)</f>
        <v/>
      </c>
      <c r="AI349">
        <f>IF(AF349&lt;&gt;AG349,1,0)</f>
        <v/>
      </c>
      <c r="AJ349">
        <f>IF(AND(AG349&gt;=3,Z349&lt;=0.2),1,0)</f>
        <v/>
      </c>
      <c r="AK349">
        <f>AVERAGE(U349:Z349)</f>
        <v/>
      </c>
      <c r="AL349">
        <f>1+COUNTIF(bounds,"&lt;"&amp;ROUND(AK349,12))</f>
        <v/>
      </c>
      <c r="AM349">
        <f>IF(AI349=1,AB349,NA())</f>
        <v/>
      </c>
      <c r="AN349">
        <f>IF(AI349=0,AB349,NA())</f>
        <v/>
      </c>
    </row>
    <row r="350">
      <c r="A350" t="n">
        <v>342</v>
      </c>
      <c r="B350" t="n">
        <v>3</v>
      </c>
      <c r="C350" t="n">
        <v>2</v>
      </c>
      <c r="D350" t="n">
        <v>2</v>
      </c>
      <c r="E350" t="n">
        <v>3</v>
      </c>
      <c r="F350" t="n">
        <v>5</v>
      </c>
      <c r="G350" t="n">
        <v>3</v>
      </c>
      <c r="H350" t="n">
        <v>2</v>
      </c>
      <c r="I350" t="n">
        <v>4</v>
      </c>
      <c r="J350" t="n">
        <v>4</v>
      </c>
      <c r="K350" t="n">
        <v>2</v>
      </c>
      <c r="L350" t="n">
        <v>1</v>
      </c>
      <c r="M350" t="n">
        <v>3</v>
      </c>
      <c r="N350" t="n">
        <v>2</v>
      </c>
      <c r="O350" t="n">
        <v>2</v>
      </c>
      <c r="P350" t="n">
        <v>1</v>
      </c>
      <c r="Q350" t="n">
        <v>5</v>
      </c>
      <c r="R350" t="n">
        <v>1</v>
      </c>
      <c r="S350" t="n">
        <v>5</v>
      </c>
      <c r="T350" t="n">
        <v>4</v>
      </c>
      <c r="U350">
        <f>(AVERAGE(B350:D350)-1)/4</f>
        <v/>
      </c>
      <c r="V350">
        <f>(AVERAGE(E350:F350)-1)/4</f>
        <v/>
      </c>
      <c r="W350">
        <f>(AVERAGE(G350:I350)-1)/4</f>
        <v/>
      </c>
      <c r="X350">
        <f>(AVERAGE(J350:L350)-1)/4</f>
        <v/>
      </c>
      <c r="Y350">
        <f>(AVERAGE(M350:O350)-1)/4</f>
        <v/>
      </c>
      <c r="Z350">
        <f>(AVERAGE(P350:R350)-1)/4</f>
        <v/>
      </c>
      <c r="AA350">
        <f>(AVERAGE(S350:T350)-1)/4</f>
        <v/>
      </c>
      <c r="AB350">
        <f>AVERAGE(U350:Y350)</f>
        <v/>
      </c>
      <c r="AC350">
        <f>MIN(U350:Y350)</f>
        <v/>
      </c>
      <c r="AD350">
        <f>1-alpha*MAX(0,delta-AC350)</f>
        <v/>
      </c>
      <c r="AE350">
        <f>AB350*AD350</f>
        <v/>
      </c>
      <c r="AF350">
        <f>1+COUNTIF(bounds,"&lt;"&amp;ROUND(AB350,12))</f>
        <v/>
      </c>
      <c r="AG350">
        <f>1+COUNTIF(bounds,"&lt;"&amp;ROUND(AE350,12))</f>
        <v/>
      </c>
      <c r="AH350">
        <f>IF(AD350&lt;1,1,0)</f>
        <v/>
      </c>
      <c r="AI350">
        <f>IF(AF350&lt;&gt;AG350,1,0)</f>
        <v/>
      </c>
      <c r="AJ350">
        <f>IF(AND(AG350&gt;=3,Z350&lt;=0.2),1,0)</f>
        <v/>
      </c>
      <c r="AK350">
        <f>AVERAGE(U350:Z350)</f>
        <v/>
      </c>
      <c r="AL350">
        <f>1+COUNTIF(bounds,"&lt;"&amp;ROUND(AK350,12))</f>
        <v/>
      </c>
      <c r="AM350">
        <f>IF(AI350=1,AB350,NA())</f>
        <v/>
      </c>
      <c r="AN350">
        <f>IF(AI350=0,AB350,NA())</f>
        <v/>
      </c>
    </row>
    <row r="351">
      <c r="A351" t="n">
        <v>343</v>
      </c>
      <c r="B351" t="n">
        <v>4</v>
      </c>
      <c r="C351" t="n">
        <v>1</v>
      </c>
      <c r="D351" t="n">
        <v>5</v>
      </c>
      <c r="E351" t="n">
        <v>2</v>
      </c>
      <c r="F351" t="n">
        <v>2</v>
      </c>
      <c r="G351" t="n">
        <v>3</v>
      </c>
      <c r="H351" t="n">
        <v>2</v>
      </c>
      <c r="I351" t="n">
        <v>3</v>
      </c>
      <c r="J351" t="n">
        <v>1</v>
      </c>
      <c r="K351" t="n">
        <v>3</v>
      </c>
      <c r="L351" t="n">
        <v>4</v>
      </c>
      <c r="M351" t="n">
        <v>5</v>
      </c>
      <c r="N351" t="n">
        <v>2</v>
      </c>
      <c r="O351" t="n">
        <v>4</v>
      </c>
      <c r="P351" t="n">
        <v>1</v>
      </c>
      <c r="Q351" t="n">
        <v>5</v>
      </c>
      <c r="R351" t="n">
        <v>1</v>
      </c>
      <c r="S351" t="n">
        <v>3</v>
      </c>
      <c r="T351" t="n">
        <v>4</v>
      </c>
      <c r="U351">
        <f>(AVERAGE(B351:D351)-1)/4</f>
        <v/>
      </c>
      <c r="V351">
        <f>(AVERAGE(E351:F351)-1)/4</f>
        <v/>
      </c>
      <c r="W351">
        <f>(AVERAGE(G351:I351)-1)/4</f>
        <v/>
      </c>
      <c r="X351">
        <f>(AVERAGE(J351:L351)-1)/4</f>
        <v/>
      </c>
      <c r="Y351">
        <f>(AVERAGE(M351:O351)-1)/4</f>
        <v/>
      </c>
      <c r="Z351">
        <f>(AVERAGE(P351:R351)-1)/4</f>
        <v/>
      </c>
      <c r="AA351">
        <f>(AVERAGE(S351:T351)-1)/4</f>
        <v/>
      </c>
      <c r="AB351">
        <f>AVERAGE(U351:Y351)</f>
        <v/>
      </c>
      <c r="AC351">
        <f>MIN(U351:Y351)</f>
        <v/>
      </c>
      <c r="AD351">
        <f>1-alpha*MAX(0,delta-AC351)</f>
        <v/>
      </c>
      <c r="AE351">
        <f>AB351*AD351</f>
        <v/>
      </c>
      <c r="AF351">
        <f>1+COUNTIF(bounds,"&lt;"&amp;ROUND(AB351,12))</f>
        <v/>
      </c>
      <c r="AG351">
        <f>1+COUNTIF(bounds,"&lt;"&amp;ROUND(AE351,12))</f>
        <v/>
      </c>
      <c r="AH351">
        <f>IF(AD351&lt;1,1,0)</f>
        <v/>
      </c>
      <c r="AI351">
        <f>IF(AF351&lt;&gt;AG351,1,0)</f>
        <v/>
      </c>
      <c r="AJ351">
        <f>IF(AND(AG351&gt;=3,Z351&lt;=0.2),1,0)</f>
        <v/>
      </c>
      <c r="AK351">
        <f>AVERAGE(U351:Z351)</f>
        <v/>
      </c>
      <c r="AL351">
        <f>1+COUNTIF(bounds,"&lt;"&amp;ROUND(AK351,12))</f>
        <v/>
      </c>
      <c r="AM351">
        <f>IF(AI351=1,AB351,NA())</f>
        <v/>
      </c>
      <c r="AN351">
        <f>IF(AI351=0,AB351,NA())</f>
        <v/>
      </c>
    </row>
    <row r="352">
      <c r="A352" t="n">
        <v>344</v>
      </c>
      <c r="B352" t="n">
        <v>4</v>
      </c>
      <c r="C352" t="n">
        <v>2</v>
      </c>
      <c r="D352" t="n">
        <v>4</v>
      </c>
      <c r="E352" t="n">
        <v>1</v>
      </c>
      <c r="F352" t="n">
        <v>4</v>
      </c>
      <c r="G352" t="n">
        <v>3</v>
      </c>
      <c r="H352" t="n">
        <v>2</v>
      </c>
      <c r="I352" t="n">
        <v>4</v>
      </c>
      <c r="J352" t="n">
        <v>1</v>
      </c>
      <c r="K352" t="n">
        <v>1</v>
      </c>
      <c r="L352" t="n">
        <v>3</v>
      </c>
      <c r="M352" t="n">
        <v>3</v>
      </c>
      <c r="N352" t="n">
        <v>3</v>
      </c>
      <c r="O352" t="n">
        <v>1</v>
      </c>
      <c r="P352" t="n">
        <v>5</v>
      </c>
      <c r="Q352" t="n">
        <v>4</v>
      </c>
      <c r="R352" t="n">
        <v>4</v>
      </c>
      <c r="S352" t="n">
        <v>3</v>
      </c>
      <c r="T352" t="n">
        <v>3</v>
      </c>
      <c r="U352">
        <f>(AVERAGE(B352:D352)-1)/4</f>
        <v/>
      </c>
      <c r="V352">
        <f>(AVERAGE(E352:F352)-1)/4</f>
        <v/>
      </c>
      <c r="W352">
        <f>(AVERAGE(G352:I352)-1)/4</f>
        <v/>
      </c>
      <c r="X352">
        <f>(AVERAGE(J352:L352)-1)/4</f>
        <v/>
      </c>
      <c r="Y352">
        <f>(AVERAGE(M352:O352)-1)/4</f>
        <v/>
      </c>
      <c r="Z352">
        <f>(AVERAGE(P352:R352)-1)/4</f>
        <v/>
      </c>
      <c r="AA352">
        <f>(AVERAGE(S352:T352)-1)/4</f>
        <v/>
      </c>
      <c r="AB352">
        <f>AVERAGE(U352:Y352)</f>
        <v/>
      </c>
      <c r="AC352">
        <f>MIN(U352:Y352)</f>
        <v/>
      </c>
      <c r="AD352">
        <f>1-alpha*MAX(0,delta-AC352)</f>
        <v/>
      </c>
      <c r="AE352">
        <f>AB352*AD352</f>
        <v/>
      </c>
      <c r="AF352">
        <f>1+COUNTIF(bounds,"&lt;"&amp;ROUND(AB352,12))</f>
        <v/>
      </c>
      <c r="AG352">
        <f>1+COUNTIF(bounds,"&lt;"&amp;ROUND(AE352,12))</f>
        <v/>
      </c>
      <c r="AH352">
        <f>IF(AD352&lt;1,1,0)</f>
        <v/>
      </c>
      <c r="AI352">
        <f>IF(AF352&lt;&gt;AG352,1,0)</f>
        <v/>
      </c>
      <c r="AJ352">
        <f>IF(AND(AG352&gt;=3,Z352&lt;=0.2),1,0)</f>
        <v/>
      </c>
      <c r="AK352">
        <f>AVERAGE(U352:Z352)</f>
        <v/>
      </c>
      <c r="AL352">
        <f>1+COUNTIF(bounds,"&lt;"&amp;ROUND(AK352,12))</f>
        <v/>
      </c>
      <c r="AM352">
        <f>IF(AI352=1,AB352,NA())</f>
        <v/>
      </c>
      <c r="AN352">
        <f>IF(AI352=0,AB352,NA())</f>
        <v/>
      </c>
    </row>
    <row r="353">
      <c r="A353" t="n">
        <v>345</v>
      </c>
      <c r="B353" t="n">
        <v>1</v>
      </c>
      <c r="C353" t="n">
        <v>4</v>
      </c>
      <c r="D353" t="n">
        <v>5</v>
      </c>
      <c r="E353" t="n">
        <v>5</v>
      </c>
      <c r="F353" t="n">
        <v>5</v>
      </c>
      <c r="G353" t="n">
        <v>4</v>
      </c>
      <c r="H353" t="n">
        <v>4</v>
      </c>
      <c r="I353" t="n">
        <v>1</v>
      </c>
      <c r="J353" t="n">
        <v>4</v>
      </c>
      <c r="K353" t="n">
        <v>2</v>
      </c>
      <c r="L353" t="n">
        <v>1</v>
      </c>
      <c r="M353" t="n">
        <v>1</v>
      </c>
      <c r="N353" t="n">
        <v>1</v>
      </c>
      <c r="O353" t="n">
        <v>5</v>
      </c>
      <c r="P353" t="n">
        <v>2</v>
      </c>
      <c r="Q353" t="n">
        <v>5</v>
      </c>
      <c r="R353" t="n">
        <v>3</v>
      </c>
      <c r="S353" t="n">
        <v>2</v>
      </c>
      <c r="T353" t="n">
        <v>5</v>
      </c>
      <c r="U353">
        <f>(AVERAGE(B353:D353)-1)/4</f>
        <v/>
      </c>
      <c r="V353">
        <f>(AVERAGE(E353:F353)-1)/4</f>
        <v/>
      </c>
      <c r="W353">
        <f>(AVERAGE(G353:I353)-1)/4</f>
        <v/>
      </c>
      <c r="X353">
        <f>(AVERAGE(J353:L353)-1)/4</f>
        <v/>
      </c>
      <c r="Y353">
        <f>(AVERAGE(M353:O353)-1)/4</f>
        <v/>
      </c>
      <c r="Z353">
        <f>(AVERAGE(P353:R353)-1)/4</f>
        <v/>
      </c>
      <c r="AA353">
        <f>(AVERAGE(S353:T353)-1)/4</f>
        <v/>
      </c>
      <c r="AB353">
        <f>AVERAGE(U353:Y353)</f>
        <v/>
      </c>
      <c r="AC353">
        <f>MIN(U353:Y353)</f>
        <v/>
      </c>
      <c r="AD353">
        <f>1-alpha*MAX(0,delta-AC353)</f>
        <v/>
      </c>
      <c r="AE353">
        <f>AB353*AD353</f>
        <v/>
      </c>
      <c r="AF353">
        <f>1+COUNTIF(bounds,"&lt;"&amp;ROUND(AB353,12))</f>
        <v/>
      </c>
      <c r="AG353">
        <f>1+COUNTIF(bounds,"&lt;"&amp;ROUND(AE353,12))</f>
        <v/>
      </c>
      <c r="AH353">
        <f>IF(AD353&lt;1,1,0)</f>
        <v/>
      </c>
      <c r="AI353">
        <f>IF(AF353&lt;&gt;AG353,1,0)</f>
        <v/>
      </c>
      <c r="AJ353">
        <f>IF(AND(AG353&gt;=3,Z353&lt;=0.2),1,0)</f>
        <v/>
      </c>
      <c r="AK353">
        <f>AVERAGE(U353:Z353)</f>
        <v/>
      </c>
      <c r="AL353">
        <f>1+COUNTIF(bounds,"&lt;"&amp;ROUND(AK353,12))</f>
        <v/>
      </c>
      <c r="AM353">
        <f>IF(AI353=1,AB353,NA())</f>
        <v/>
      </c>
      <c r="AN353">
        <f>IF(AI353=0,AB353,NA())</f>
        <v/>
      </c>
    </row>
    <row r="354">
      <c r="A354" t="n">
        <v>346</v>
      </c>
      <c r="B354" t="n">
        <v>5</v>
      </c>
      <c r="C354" t="n">
        <v>1</v>
      </c>
      <c r="D354" t="n">
        <v>1</v>
      </c>
      <c r="E354" t="n">
        <v>5</v>
      </c>
      <c r="F354" t="n">
        <v>5</v>
      </c>
      <c r="G354" t="n">
        <v>5</v>
      </c>
      <c r="H354" t="n">
        <v>1</v>
      </c>
      <c r="I354" t="n">
        <v>3</v>
      </c>
      <c r="J354" t="n">
        <v>3</v>
      </c>
      <c r="K354" t="n">
        <v>3</v>
      </c>
      <c r="L354" t="n">
        <v>3</v>
      </c>
      <c r="M354" t="n">
        <v>3</v>
      </c>
      <c r="N354" t="n">
        <v>2</v>
      </c>
      <c r="O354" t="n">
        <v>1</v>
      </c>
      <c r="P354" t="n">
        <v>5</v>
      </c>
      <c r="Q354" t="n">
        <v>4</v>
      </c>
      <c r="R354" t="n">
        <v>3</v>
      </c>
      <c r="S354" t="n">
        <v>2</v>
      </c>
      <c r="T354" t="n">
        <v>2</v>
      </c>
      <c r="U354">
        <f>(AVERAGE(B354:D354)-1)/4</f>
        <v/>
      </c>
      <c r="V354">
        <f>(AVERAGE(E354:F354)-1)/4</f>
        <v/>
      </c>
      <c r="W354">
        <f>(AVERAGE(G354:I354)-1)/4</f>
        <v/>
      </c>
      <c r="X354">
        <f>(AVERAGE(J354:L354)-1)/4</f>
        <v/>
      </c>
      <c r="Y354">
        <f>(AVERAGE(M354:O354)-1)/4</f>
        <v/>
      </c>
      <c r="Z354">
        <f>(AVERAGE(P354:R354)-1)/4</f>
        <v/>
      </c>
      <c r="AA354">
        <f>(AVERAGE(S354:T354)-1)/4</f>
        <v/>
      </c>
      <c r="AB354">
        <f>AVERAGE(U354:Y354)</f>
        <v/>
      </c>
      <c r="AC354">
        <f>MIN(U354:Y354)</f>
        <v/>
      </c>
      <c r="AD354">
        <f>1-alpha*MAX(0,delta-AC354)</f>
        <v/>
      </c>
      <c r="AE354">
        <f>AB354*AD354</f>
        <v/>
      </c>
      <c r="AF354">
        <f>1+COUNTIF(bounds,"&lt;"&amp;ROUND(AB354,12))</f>
        <v/>
      </c>
      <c r="AG354">
        <f>1+COUNTIF(bounds,"&lt;"&amp;ROUND(AE354,12))</f>
        <v/>
      </c>
      <c r="AH354">
        <f>IF(AD354&lt;1,1,0)</f>
        <v/>
      </c>
      <c r="AI354">
        <f>IF(AF354&lt;&gt;AG354,1,0)</f>
        <v/>
      </c>
      <c r="AJ354">
        <f>IF(AND(AG354&gt;=3,Z354&lt;=0.2),1,0)</f>
        <v/>
      </c>
      <c r="AK354">
        <f>AVERAGE(U354:Z354)</f>
        <v/>
      </c>
      <c r="AL354">
        <f>1+COUNTIF(bounds,"&lt;"&amp;ROUND(AK354,12))</f>
        <v/>
      </c>
      <c r="AM354">
        <f>IF(AI354=1,AB354,NA())</f>
        <v/>
      </c>
      <c r="AN354">
        <f>IF(AI354=0,AB354,NA())</f>
        <v/>
      </c>
    </row>
    <row r="355">
      <c r="A355" t="n">
        <v>347</v>
      </c>
      <c r="B355" t="n">
        <v>4</v>
      </c>
      <c r="C355" t="n">
        <v>2</v>
      </c>
      <c r="D355" t="n">
        <v>5</v>
      </c>
      <c r="E355" t="n">
        <v>4</v>
      </c>
      <c r="F355" t="n">
        <v>2</v>
      </c>
      <c r="G355" t="n">
        <v>3</v>
      </c>
      <c r="H355" t="n">
        <v>5</v>
      </c>
      <c r="I355" t="n">
        <v>5</v>
      </c>
      <c r="J355" t="n">
        <v>1</v>
      </c>
      <c r="K355" t="n">
        <v>1</v>
      </c>
      <c r="L355" t="n">
        <v>2</v>
      </c>
      <c r="M355" t="n">
        <v>1</v>
      </c>
      <c r="N355" t="n">
        <v>3</v>
      </c>
      <c r="O355" t="n">
        <v>3</v>
      </c>
      <c r="P355" t="n">
        <v>1</v>
      </c>
      <c r="Q355" t="n">
        <v>2</v>
      </c>
      <c r="R355" t="n">
        <v>3</v>
      </c>
      <c r="S355" t="n">
        <v>2</v>
      </c>
      <c r="T355" t="n">
        <v>4</v>
      </c>
      <c r="U355">
        <f>(AVERAGE(B355:D355)-1)/4</f>
        <v/>
      </c>
      <c r="V355">
        <f>(AVERAGE(E355:F355)-1)/4</f>
        <v/>
      </c>
      <c r="W355">
        <f>(AVERAGE(G355:I355)-1)/4</f>
        <v/>
      </c>
      <c r="X355">
        <f>(AVERAGE(J355:L355)-1)/4</f>
        <v/>
      </c>
      <c r="Y355">
        <f>(AVERAGE(M355:O355)-1)/4</f>
        <v/>
      </c>
      <c r="Z355">
        <f>(AVERAGE(P355:R355)-1)/4</f>
        <v/>
      </c>
      <c r="AA355">
        <f>(AVERAGE(S355:T355)-1)/4</f>
        <v/>
      </c>
      <c r="AB355">
        <f>AVERAGE(U355:Y355)</f>
        <v/>
      </c>
      <c r="AC355">
        <f>MIN(U355:Y355)</f>
        <v/>
      </c>
      <c r="AD355">
        <f>1-alpha*MAX(0,delta-AC355)</f>
        <v/>
      </c>
      <c r="AE355">
        <f>AB355*AD355</f>
        <v/>
      </c>
      <c r="AF355">
        <f>1+COUNTIF(bounds,"&lt;"&amp;ROUND(AB355,12))</f>
        <v/>
      </c>
      <c r="AG355">
        <f>1+COUNTIF(bounds,"&lt;"&amp;ROUND(AE355,12))</f>
        <v/>
      </c>
      <c r="AH355">
        <f>IF(AD355&lt;1,1,0)</f>
        <v/>
      </c>
      <c r="AI355">
        <f>IF(AF355&lt;&gt;AG355,1,0)</f>
        <v/>
      </c>
      <c r="AJ355">
        <f>IF(AND(AG355&gt;=3,Z355&lt;=0.2),1,0)</f>
        <v/>
      </c>
      <c r="AK355">
        <f>AVERAGE(U355:Z355)</f>
        <v/>
      </c>
      <c r="AL355">
        <f>1+COUNTIF(bounds,"&lt;"&amp;ROUND(AK355,12))</f>
        <v/>
      </c>
      <c r="AM355">
        <f>IF(AI355=1,AB355,NA())</f>
        <v/>
      </c>
      <c r="AN355">
        <f>IF(AI355=0,AB355,NA())</f>
        <v/>
      </c>
    </row>
    <row r="356">
      <c r="A356" t="n">
        <v>348</v>
      </c>
      <c r="B356" t="n">
        <v>3</v>
      </c>
      <c r="C356" t="n">
        <v>3</v>
      </c>
      <c r="D356" t="n">
        <v>4</v>
      </c>
      <c r="E356" t="n">
        <v>4</v>
      </c>
      <c r="F356" t="n">
        <v>5</v>
      </c>
      <c r="G356" t="n">
        <v>1</v>
      </c>
      <c r="H356" t="n">
        <v>1</v>
      </c>
      <c r="I356" t="n">
        <v>4</v>
      </c>
      <c r="J356" t="n">
        <v>1</v>
      </c>
      <c r="K356" t="n">
        <v>1</v>
      </c>
      <c r="L356" t="n">
        <v>2</v>
      </c>
      <c r="M356" t="n">
        <v>1</v>
      </c>
      <c r="N356" t="n">
        <v>5</v>
      </c>
      <c r="O356" t="n">
        <v>2</v>
      </c>
      <c r="P356" t="n">
        <v>4</v>
      </c>
      <c r="Q356" t="n">
        <v>3</v>
      </c>
      <c r="R356" t="n">
        <v>1</v>
      </c>
      <c r="S356" t="n">
        <v>5</v>
      </c>
      <c r="T356" t="n">
        <v>1</v>
      </c>
      <c r="U356">
        <f>(AVERAGE(B356:D356)-1)/4</f>
        <v/>
      </c>
      <c r="V356">
        <f>(AVERAGE(E356:F356)-1)/4</f>
        <v/>
      </c>
      <c r="W356">
        <f>(AVERAGE(G356:I356)-1)/4</f>
        <v/>
      </c>
      <c r="X356">
        <f>(AVERAGE(J356:L356)-1)/4</f>
        <v/>
      </c>
      <c r="Y356">
        <f>(AVERAGE(M356:O356)-1)/4</f>
        <v/>
      </c>
      <c r="Z356">
        <f>(AVERAGE(P356:R356)-1)/4</f>
        <v/>
      </c>
      <c r="AA356">
        <f>(AVERAGE(S356:T356)-1)/4</f>
        <v/>
      </c>
      <c r="AB356">
        <f>AVERAGE(U356:Y356)</f>
        <v/>
      </c>
      <c r="AC356">
        <f>MIN(U356:Y356)</f>
        <v/>
      </c>
      <c r="AD356">
        <f>1-alpha*MAX(0,delta-AC356)</f>
        <v/>
      </c>
      <c r="AE356">
        <f>AB356*AD356</f>
        <v/>
      </c>
      <c r="AF356">
        <f>1+COUNTIF(bounds,"&lt;"&amp;ROUND(AB356,12))</f>
        <v/>
      </c>
      <c r="AG356">
        <f>1+COUNTIF(bounds,"&lt;"&amp;ROUND(AE356,12))</f>
        <v/>
      </c>
      <c r="AH356">
        <f>IF(AD356&lt;1,1,0)</f>
        <v/>
      </c>
      <c r="AI356">
        <f>IF(AF356&lt;&gt;AG356,1,0)</f>
        <v/>
      </c>
      <c r="AJ356">
        <f>IF(AND(AG356&gt;=3,Z356&lt;=0.2),1,0)</f>
        <v/>
      </c>
      <c r="AK356">
        <f>AVERAGE(U356:Z356)</f>
        <v/>
      </c>
      <c r="AL356">
        <f>1+COUNTIF(bounds,"&lt;"&amp;ROUND(AK356,12))</f>
        <v/>
      </c>
      <c r="AM356">
        <f>IF(AI356=1,AB356,NA())</f>
        <v/>
      </c>
      <c r="AN356">
        <f>IF(AI356=0,AB356,NA())</f>
        <v/>
      </c>
    </row>
    <row r="357">
      <c r="A357" t="n">
        <v>349</v>
      </c>
      <c r="B357" t="n">
        <v>5</v>
      </c>
      <c r="C357" t="n">
        <v>3</v>
      </c>
      <c r="D357" t="n">
        <v>3</v>
      </c>
      <c r="E357" t="n">
        <v>5</v>
      </c>
      <c r="F357" t="n">
        <v>4</v>
      </c>
      <c r="G357" t="n">
        <v>1</v>
      </c>
      <c r="H357" t="n">
        <v>3</v>
      </c>
      <c r="I357" t="n">
        <v>1</v>
      </c>
      <c r="J357" t="n">
        <v>3</v>
      </c>
      <c r="K357" t="n">
        <v>4</v>
      </c>
      <c r="L357" t="n">
        <v>5</v>
      </c>
      <c r="M357" t="n">
        <v>5</v>
      </c>
      <c r="N357" t="n">
        <v>1</v>
      </c>
      <c r="O357" t="n">
        <v>3</v>
      </c>
      <c r="P357" t="n">
        <v>5</v>
      </c>
      <c r="Q357" t="n">
        <v>1</v>
      </c>
      <c r="R357" t="n">
        <v>2</v>
      </c>
      <c r="S357" t="n">
        <v>5</v>
      </c>
      <c r="T357" t="n">
        <v>3</v>
      </c>
      <c r="U357">
        <f>(AVERAGE(B357:D357)-1)/4</f>
        <v/>
      </c>
      <c r="V357">
        <f>(AVERAGE(E357:F357)-1)/4</f>
        <v/>
      </c>
      <c r="W357">
        <f>(AVERAGE(G357:I357)-1)/4</f>
        <v/>
      </c>
      <c r="X357">
        <f>(AVERAGE(J357:L357)-1)/4</f>
        <v/>
      </c>
      <c r="Y357">
        <f>(AVERAGE(M357:O357)-1)/4</f>
        <v/>
      </c>
      <c r="Z357">
        <f>(AVERAGE(P357:R357)-1)/4</f>
        <v/>
      </c>
      <c r="AA357">
        <f>(AVERAGE(S357:T357)-1)/4</f>
        <v/>
      </c>
      <c r="AB357">
        <f>AVERAGE(U357:Y357)</f>
        <v/>
      </c>
      <c r="AC357">
        <f>MIN(U357:Y357)</f>
        <v/>
      </c>
      <c r="AD357">
        <f>1-alpha*MAX(0,delta-AC357)</f>
        <v/>
      </c>
      <c r="AE357">
        <f>AB357*AD357</f>
        <v/>
      </c>
      <c r="AF357">
        <f>1+COUNTIF(bounds,"&lt;"&amp;ROUND(AB357,12))</f>
        <v/>
      </c>
      <c r="AG357">
        <f>1+COUNTIF(bounds,"&lt;"&amp;ROUND(AE357,12))</f>
        <v/>
      </c>
      <c r="AH357">
        <f>IF(AD357&lt;1,1,0)</f>
        <v/>
      </c>
      <c r="AI357">
        <f>IF(AF357&lt;&gt;AG357,1,0)</f>
        <v/>
      </c>
      <c r="AJ357">
        <f>IF(AND(AG357&gt;=3,Z357&lt;=0.2),1,0)</f>
        <v/>
      </c>
      <c r="AK357">
        <f>AVERAGE(U357:Z357)</f>
        <v/>
      </c>
      <c r="AL357">
        <f>1+COUNTIF(bounds,"&lt;"&amp;ROUND(AK357,12))</f>
        <v/>
      </c>
      <c r="AM357">
        <f>IF(AI357=1,AB357,NA())</f>
        <v/>
      </c>
      <c r="AN357">
        <f>IF(AI357=0,AB357,NA())</f>
        <v/>
      </c>
    </row>
    <row r="358">
      <c r="A358" t="n">
        <v>350</v>
      </c>
      <c r="B358" t="n">
        <v>1</v>
      </c>
      <c r="C358" t="n">
        <v>5</v>
      </c>
      <c r="D358" t="n">
        <v>5</v>
      </c>
      <c r="E358" t="n">
        <v>2</v>
      </c>
      <c r="F358" t="n">
        <v>1</v>
      </c>
      <c r="G358" t="n">
        <v>4</v>
      </c>
      <c r="H358" t="n">
        <v>4</v>
      </c>
      <c r="I358" t="n">
        <v>4</v>
      </c>
      <c r="J358" t="n">
        <v>3</v>
      </c>
      <c r="K358" t="n">
        <v>1</v>
      </c>
      <c r="L358" t="n">
        <v>5</v>
      </c>
      <c r="M358" t="n">
        <v>2</v>
      </c>
      <c r="N358" t="n">
        <v>2</v>
      </c>
      <c r="O358" t="n">
        <v>3</v>
      </c>
      <c r="P358" t="n">
        <v>2</v>
      </c>
      <c r="Q358" t="n">
        <v>5</v>
      </c>
      <c r="R358" t="n">
        <v>3</v>
      </c>
      <c r="S358" t="n">
        <v>4</v>
      </c>
      <c r="T358" t="n">
        <v>5</v>
      </c>
      <c r="U358">
        <f>(AVERAGE(B358:D358)-1)/4</f>
        <v/>
      </c>
      <c r="V358">
        <f>(AVERAGE(E358:F358)-1)/4</f>
        <v/>
      </c>
      <c r="W358">
        <f>(AVERAGE(G358:I358)-1)/4</f>
        <v/>
      </c>
      <c r="X358">
        <f>(AVERAGE(J358:L358)-1)/4</f>
        <v/>
      </c>
      <c r="Y358">
        <f>(AVERAGE(M358:O358)-1)/4</f>
        <v/>
      </c>
      <c r="Z358">
        <f>(AVERAGE(P358:R358)-1)/4</f>
        <v/>
      </c>
      <c r="AA358">
        <f>(AVERAGE(S358:T358)-1)/4</f>
        <v/>
      </c>
      <c r="AB358">
        <f>AVERAGE(U358:Y358)</f>
        <v/>
      </c>
      <c r="AC358">
        <f>MIN(U358:Y358)</f>
        <v/>
      </c>
      <c r="AD358">
        <f>1-alpha*MAX(0,delta-AC358)</f>
        <v/>
      </c>
      <c r="AE358">
        <f>AB358*AD358</f>
        <v/>
      </c>
      <c r="AF358">
        <f>1+COUNTIF(bounds,"&lt;"&amp;ROUND(AB358,12))</f>
        <v/>
      </c>
      <c r="AG358">
        <f>1+COUNTIF(bounds,"&lt;"&amp;ROUND(AE358,12))</f>
        <v/>
      </c>
      <c r="AH358">
        <f>IF(AD358&lt;1,1,0)</f>
        <v/>
      </c>
      <c r="AI358">
        <f>IF(AF358&lt;&gt;AG358,1,0)</f>
        <v/>
      </c>
      <c r="AJ358">
        <f>IF(AND(AG358&gt;=3,Z358&lt;=0.2),1,0)</f>
        <v/>
      </c>
      <c r="AK358">
        <f>AVERAGE(U358:Z358)</f>
        <v/>
      </c>
      <c r="AL358">
        <f>1+COUNTIF(bounds,"&lt;"&amp;ROUND(AK358,12))</f>
        <v/>
      </c>
      <c r="AM358">
        <f>IF(AI358=1,AB358,NA())</f>
        <v/>
      </c>
      <c r="AN358">
        <f>IF(AI358=0,AB358,NA())</f>
        <v/>
      </c>
    </row>
    <row r="359">
      <c r="A359" t="n">
        <v>351</v>
      </c>
      <c r="B359" t="n">
        <v>1</v>
      </c>
      <c r="C359" t="n">
        <v>2</v>
      </c>
      <c r="D359" t="n">
        <v>5</v>
      </c>
      <c r="E359" t="n">
        <v>1</v>
      </c>
      <c r="F359" t="n">
        <v>1</v>
      </c>
      <c r="G359" t="n">
        <v>5</v>
      </c>
      <c r="H359" t="n">
        <v>5</v>
      </c>
      <c r="I359" t="n">
        <v>5</v>
      </c>
      <c r="J359" t="n">
        <v>1</v>
      </c>
      <c r="K359" t="n">
        <v>3</v>
      </c>
      <c r="L359" t="n">
        <v>3</v>
      </c>
      <c r="M359" t="n">
        <v>4</v>
      </c>
      <c r="N359" t="n">
        <v>1</v>
      </c>
      <c r="O359" t="n">
        <v>3</v>
      </c>
      <c r="P359" t="n">
        <v>4</v>
      </c>
      <c r="Q359" t="n">
        <v>5</v>
      </c>
      <c r="R359" t="n">
        <v>3</v>
      </c>
      <c r="S359" t="n">
        <v>3</v>
      </c>
      <c r="T359" t="n">
        <v>1</v>
      </c>
      <c r="U359">
        <f>(AVERAGE(B359:D359)-1)/4</f>
        <v/>
      </c>
      <c r="V359">
        <f>(AVERAGE(E359:F359)-1)/4</f>
        <v/>
      </c>
      <c r="W359">
        <f>(AVERAGE(G359:I359)-1)/4</f>
        <v/>
      </c>
      <c r="X359">
        <f>(AVERAGE(J359:L359)-1)/4</f>
        <v/>
      </c>
      <c r="Y359">
        <f>(AVERAGE(M359:O359)-1)/4</f>
        <v/>
      </c>
      <c r="Z359">
        <f>(AVERAGE(P359:R359)-1)/4</f>
        <v/>
      </c>
      <c r="AA359">
        <f>(AVERAGE(S359:T359)-1)/4</f>
        <v/>
      </c>
      <c r="AB359">
        <f>AVERAGE(U359:Y359)</f>
        <v/>
      </c>
      <c r="AC359">
        <f>MIN(U359:Y359)</f>
        <v/>
      </c>
      <c r="AD359">
        <f>1-alpha*MAX(0,delta-AC359)</f>
        <v/>
      </c>
      <c r="AE359">
        <f>AB359*AD359</f>
        <v/>
      </c>
      <c r="AF359">
        <f>1+COUNTIF(bounds,"&lt;"&amp;ROUND(AB359,12))</f>
        <v/>
      </c>
      <c r="AG359">
        <f>1+COUNTIF(bounds,"&lt;"&amp;ROUND(AE359,12))</f>
        <v/>
      </c>
      <c r="AH359">
        <f>IF(AD359&lt;1,1,0)</f>
        <v/>
      </c>
      <c r="AI359">
        <f>IF(AF359&lt;&gt;AG359,1,0)</f>
        <v/>
      </c>
      <c r="AJ359">
        <f>IF(AND(AG359&gt;=3,Z359&lt;=0.2),1,0)</f>
        <v/>
      </c>
      <c r="AK359">
        <f>AVERAGE(U359:Z359)</f>
        <v/>
      </c>
      <c r="AL359">
        <f>1+COUNTIF(bounds,"&lt;"&amp;ROUND(AK359,12))</f>
        <v/>
      </c>
      <c r="AM359">
        <f>IF(AI359=1,AB359,NA())</f>
        <v/>
      </c>
      <c r="AN359">
        <f>IF(AI359=0,AB359,NA())</f>
        <v/>
      </c>
    </row>
    <row r="360">
      <c r="A360" t="n">
        <v>352</v>
      </c>
      <c r="B360" t="n">
        <v>3</v>
      </c>
      <c r="C360" t="n">
        <v>2</v>
      </c>
      <c r="D360" t="n">
        <v>2</v>
      </c>
      <c r="E360" t="n">
        <v>3</v>
      </c>
      <c r="F360" t="n">
        <v>1</v>
      </c>
      <c r="G360" t="n">
        <v>1</v>
      </c>
      <c r="H360" t="n">
        <v>5</v>
      </c>
      <c r="I360" t="n">
        <v>2</v>
      </c>
      <c r="J360" t="n">
        <v>3</v>
      </c>
      <c r="K360" t="n">
        <v>1</v>
      </c>
      <c r="L360" t="n">
        <v>3</v>
      </c>
      <c r="M360" t="n">
        <v>3</v>
      </c>
      <c r="N360" t="n">
        <v>4</v>
      </c>
      <c r="O360" t="n">
        <v>2</v>
      </c>
      <c r="P360" t="n">
        <v>2</v>
      </c>
      <c r="Q360" t="n">
        <v>1</v>
      </c>
      <c r="R360" t="n">
        <v>5</v>
      </c>
      <c r="S360" t="n">
        <v>4</v>
      </c>
      <c r="T360" t="n">
        <v>5</v>
      </c>
      <c r="U360">
        <f>(AVERAGE(B360:D360)-1)/4</f>
        <v/>
      </c>
      <c r="V360">
        <f>(AVERAGE(E360:F360)-1)/4</f>
        <v/>
      </c>
      <c r="W360">
        <f>(AVERAGE(G360:I360)-1)/4</f>
        <v/>
      </c>
      <c r="X360">
        <f>(AVERAGE(J360:L360)-1)/4</f>
        <v/>
      </c>
      <c r="Y360">
        <f>(AVERAGE(M360:O360)-1)/4</f>
        <v/>
      </c>
      <c r="Z360">
        <f>(AVERAGE(P360:R360)-1)/4</f>
        <v/>
      </c>
      <c r="AA360">
        <f>(AVERAGE(S360:T360)-1)/4</f>
        <v/>
      </c>
      <c r="AB360">
        <f>AVERAGE(U360:Y360)</f>
        <v/>
      </c>
      <c r="AC360">
        <f>MIN(U360:Y360)</f>
        <v/>
      </c>
      <c r="AD360">
        <f>1-alpha*MAX(0,delta-AC360)</f>
        <v/>
      </c>
      <c r="AE360">
        <f>AB360*AD360</f>
        <v/>
      </c>
      <c r="AF360">
        <f>1+COUNTIF(bounds,"&lt;"&amp;ROUND(AB360,12))</f>
        <v/>
      </c>
      <c r="AG360">
        <f>1+COUNTIF(bounds,"&lt;"&amp;ROUND(AE360,12))</f>
        <v/>
      </c>
      <c r="AH360">
        <f>IF(AD360&lt;1,1,0)</f>
        <v/>
      </c>
      <c r="AI360">
        <f>IF(AF360&lt;&gt;AG360,1,0)</f>
        <v/>
      </c>
      <c r="AJ360">
        <f>IF(AND(AG360&gt;=3,Z360&lt;=0.2),1,0)</f>
        <v/>
      </c>
      <c r="AK360">
        <f>AVERAGE(U360:Z360)</f>
        <v/>
      </c>
      <c r="AL360">
        <f>1+COUNTIF(bounds,"&lt;"&amp;ROUND(AK360,12))</f>
        <v/>
      </c>
      <c r="AM360">
        <f>IF(AI360=1,AB360,NA())</f>
        <v/>
      </c>
      <c r="AN360">
        <f>IF(AI360=0,AB360,NA())</f>
        <v/>
      </c>
    </row>
    <row r="361">
      <c r="A361" t="n">
        <v>353</v>
      </c>
      <c r="B361" t="n">
        <v>4</v>
      </c>
      <c r="C361" t="n">
        <v>4</v>
      </c>
      <c r="D361" t="n">
        <v>1</v>
      </c>
      <c r="E361" t="n">
        <v>4</v>
      </c>
      <c r="F361" t="n">
        <v>4</v>
      </c>
      <c r="G361" t="n">
        <v>2</v>
      </c>
      <c r="H361" t="n">
        <v>4</v>
      </c>
      <c r="I361" t="n">
        <v>5</v>
      </c>
      <c r="J361" t="n">
        <v>4</v>
      </c>
      <c r="K361" t="n">
        <v>2</v>
      </c>
      <c r="L361" t="n">
        <v>1</v>
      </c>
      <c r="M361" t="n">
        <v>2</v>
      </c>
      <c r="N361" t="n">
        <v>5</v>
      </c>
      <c r="O361" t="n">
        <v>5</v>
      </c>
      <c r="P361" t="n">
        <v>5</v>
      </c>
      <c r="Q361" t="n">
        <v>5</v>
      </c>
      <c r="R361" t="n">
        <v>4</v>
      </c>
      <c r="S361" t="n">
        <v>2</v>
      </c>
      <c r="T361" t="n">
        <v>1</v>
      </c>
      <c r="U361">
        <f>(AVERAGE(B361:D361)-1)/4</f>
        <v/>
      </c>
      <c r="V361">
        <f>(AVERAGE(E361:F361)-1)/4</f>
        <v/>
      </c>
      <c r="W361">
        <f>(AVERAGE(G361:I361)-1)/4</f>
        <v/>
      </c>
      <c r="X361">
        <f>(AVERAGE(J361:L361)-1)/4</f>
        <v/>
      </c>
      <c r="Y361">
        <f>(AVERAGE(M361:O361)-1)/4</f>
        <v/>
      </c>
      <c r="Z361">
        <f>(AVERAGE(P361:R361)-1)/4</f>
        <v/>
      </c>
      <c r="AA361">
        <f>(AVERAGE(S361:T361)-1)/4</f>
        <v/>
      </c>
      <c r="AB361">
        <f>AVERAGE(U361:Y361)</f>
        <v/>
      </c>
      <c r="AC361">
        <f>MIN(U361:Y361)</f>
        <v/>
      </c>
      <c r="AD361">
        <f>1-alpha*MAX(0,delta-AC361)</f>
        <v/>
      </c>
      <c r="AE361">
        <f>AB361*AD361</f>
        <v/>
      </c>
      <c r="AF361">
        <f>1+COUNTIF(bounds,"&lt;"&amp;ROUND(AB361,12))</f>
        <v/>
      </c>
      <c r="AG361">
        <f>1+COUNTIF(bounds,"&lt;"&amp;ROUND(AE361,12))</f>
        <v/>
      </c>
      <c r="AH361">
        <f>IF(AD361&lt;1,1,0)</f>
        <v/>
      </c>
      <c r="AI361">
        <f>IF(AF361&lt;&gt;AG361,1,0)</f>
        <v/>
      </c>
      <c r="AJ361">
        <f>IF(AND(AG361&gt;=3,Z361&lt;=0.2),1,0)</f>
        <v/>
      </c>
      <c r="AK361">
        <f>AVERAGE(U361:Z361)</f>
        <v/>
      </c>
      <c r="AL361">
        <f>1+COUNTIF(bounds,"&lt;"&amp;ROUND(AK361,12))</f>
        <v/>
      </c>
      <c r="AM361">
        <f>IF(AI361=1,AB361,NA())</f>
        <v/>
      </c>
      <c r="AN361">
        <f>IF(AI361=0,AB361,NA())</f>
        <v/>
      </c>
    </row>
    <row r="362">
      <c r="A362" t="n">
        <v>354</v>
      </c>
      <c r="B362" t="n">
        <v>3</v>
      </c>
      <c r="C362" t="n">
        <v>5</v>
      </c>
      <c r="D362" t="n">
        <v>5</v>
      </c>
      <c r="E362" t="n">
        <v>1</v>
      </c>
      <c r="F362" t="n">
        <v>3</v>
      </c>
      <c r="G362" t="n">
        <v>2</v>
      </c>
      <c r="H362" t="n">
        <v>2</v>
      </c>
      <c r="I362" t="n">
        <v>5</v>
      </c>
      <c r="J362" t="n">
        <v>1</v>
      </c>
      <c r="K362" t="n">
        <v>3</v>
      </c>
      <c r="L362" t="n">
        <v>1</v>
      </c>
      <c r="M362" t="n">
        <v>4</v>
      </c>
      <c r="N362" t="n">
        <v>2</v>
      </c>
      <c r="O362" t="n">
        <v>2</v>
      </c>
      <c r="P362" t="n">
        <v>4</v>
      </c>
      <c r="Q362" t="n">
        <v>5</v>
      </c>
      <c r="R362" t="n">
        <v>3</v>
      </c>
      <c r="S362" t="n">
        <v>5</v>
      </c>
      <c r="T362" t="n">
        <v>5</v>
      </c>
      <c r="U362">
        <f>(AVERAGE(B362:D362)-1)/4</f>
        <v/>
      </c>
      <c r="V362">
        <f>(AVERAGE(E362:F362)-1)/4</f>
        <v/>
      </c>
      <c r="W362">
        <f>(AVERAGE(G362:I362)-1)/4</f>
        <v/>
      </c>
      <c r="X362">
        <f>(AVERAGE(J362:L362)-1)/4</f>
        <v/>
      </c>
      <c r="Y362">
        <f>(AVERAGE(M362:O362)-1)/4</f>
        <v/>
      </c>
      <c r="Z362">
        <f>(AVERAGE(P362:R362)-1)/4</f>
        <v/>
      </c>
      <c r="AA362">
        <f>(AVERAGE(S362:T362)-1)/4</f>
        <v/>
      </c>
      <c r="AB362">
        <f>AVERAGE(U362:Y362)</f>
        <v/>
      </c>
      <c r="AC362">
        <f>MIN(U362:Y362)</f>
        <v/>
      </c>
      <c r="AD362">
        <f>1-alpha*MAX(0,delta-AC362)</f>
        <v/>
      </c>
      <c r="AE362">
        <f>AB362*AD362</f>
        <v/>
      </c>
      <c r="AF362">
        <f>1+COUNTIF(bounds,"&lt;"&amp;ROUND(AB362,12))</f>
        <v/>
      </c>
      <c r="AG362">
        <f>1+COUNTIF(bounds,"&lt;"&amp;ROUND(AE362,12))</f>
        <v/>
      </c>
      <c r="AH362">
        <f>IF(AD362&lt;1,1,0)</f>
        <v/>
      </c>
      <c r="AI362">
        <f>IF(AF362&lt;&gt;AG362,1,0)</f>
        <v/>
      </c>
      <c r="AJ362">
        <f>IF(AND(AG362&gt;=3,Z362&lt;=0.2),1,0)</f>
        <v/>
      </c>
      <c r="AK362">
        <f>AVERAGE(U362:Z362)</f>
        <v/>
      </c>
      <c r="AL362">
        <f>1+COUNTIF(bounds,"&lt;"&amp;ROUND(AK362,12))</f>
        <v/>
      </c>
      <c r="AM362">
        <f>IF(AI362=1,AB362,NA())</f>
        <v/>
      </c>
      <c r="AN362">
        <f>IF(AI362=0,AB362,NA())</f>
        <v/>
      </c>
    </row>
    <row r="363">
      <c r="A363" t="n">
        <v>355</v>
      </c>
      <c r="B363" t="n">
        <v>4</v>
      </c>
      <c r="C363" t="n">
        <v>5</v>
      </c>
      <c r="D363" t="n">
        <v>4</v>
      </c>
      <c r="E363" t="n">
        <v>4</v>
      </c>
      <c r="F363" t="n">
        <v>1</v>
      </c>
      <c r="G363" t="n">
        <v>1</v>
      </c>
      <c r="H363" t="n">
        <v>5</v>
      </c>
      <c r="I363" t="n">
        <v>3</v>
      </c>
      <c r="J363" t="n">
        <v>1</v>
      </c>
      <c r="K363" t="n">
        <v>1</v>
      </c>
      <c r="L363" t="n">
        <v>2</v>
      </c>
      <c r="M363" t="n">
        <v>5</v>
      </c>
      <c r="N363" t="n">
        <v>1</v>
      </c>
      <c r="O363" t="n">
        <v>4</v>
      </c>
      <c r="P363" t="n">
        <v>3</v>
      </c>
      <c r="Q363" t="n">
        <v>3</v>
      </c>
      <c r="R363" t="n">
        <v>3</v>
      </c>
      <c r="S363" t="n">
        <v>2</v>
      </c>
      <c r="T363" t="n">
        <v>2</v>
      </c>
      <c r="U363">
        <f>(AVERAGE(B363:D363)-1)/4</f>
        <v/>
      </c>
      <c r="V363">
        <f>(AVERAGE(E363:F363)-1)/4</f>
        <v/>
      </c>
      <c r="W363">
        <f>(AVERAGE(G363:I363)-1)/4</f>
        <v/>
      </c>
      <c r="X363">
        <f>(AVERAGE(J363:L363)-1)/4</f>
        <v/>
      </c>
      <c r="Y363">
        <f>(AVERAGE(M363:O363)-1)/4</f>
        <v/>
      </c>
      <c r="Z363">
        <f>(AVERAGE(P363:R363)-1)/4</f>
        <v/>
      </c>
      <c r="AA363">
        <f>(AVERAGE(S363:T363)-1)/4</f>
        <v/>
      </c>
      <c r="AB363">
        <f>AVERAGE(U363:Y363)</f>
        <v/>
      </c>
      <c r="AC363">
        <f>MIN(U363:Y363)</f>
        <v/>
      </c>
      <c r="AD363">
        <f>1-alpha*MAX(0,delta-AC363)</f>
        <v/>
      </c>
      <c r="AE363">
        <f>AB363*AD363</f>
        <v/>
      </c>
      <c r="AF363">
        <f>1+COUNTIF(bounds,"&lt;"&amp;ROUND(AB363,12))</f>
        <v/>
      </c>
      <c r="AG363">
        <f>1+COUNTIF(bounds,"&lt;"&amp;ROUND(AE363,12))</f>
        <v/>
      </c>
      <c r="AH363">
        <f>IF(AD363&lt;1,1,0)</f>
        <v/>
      </c>
      <c r="AI363">
        <f>IF(AF363&lt;&gt;AG363,1,0)</f>
        <v/>
      </c>
      <c r="AJ363">
        <f>IF(AND(AG363&gt;=3,Z363&lt;=0.2),1,0)</f>
        <v/>
      </c>
      <c r="AK363">
        <f>AVERAGE(U363:Z363)</f>
        <v/>
      </c>
      <c r="AL363">
        <f>1+COUNTIF(bounds,"&lt;"&amp;ROUND(AK363,12))</f>
        <v/>
      </c>
      <c r="AM363">
        <f>IF(AI363=1,AB363,NA())</f>
        <v/>
      </c>
      <c r="AN363">
        <f>IF(AI363=0,AB363,NA())</f>
        <v/>
      </c>
    </row>
    <row r="364">
      <c r="A364" t="n">
        <v>356</v>
      </c>
      <c r="B364" t="n">
        <v>5</v>
      </c>
      <c r="C364" t="n">
        <v>2</v>
      </c>
      <c r="D364" t="n">
        <v>1</v>
      </c>
      <c r="E364" t="n">
        <v>2</v>
      </c>
      <c r="F364" t="n">
        <v>3</v>
      </c>
      <c r="G364" t="n">
        <v>5</v>
      </c>
      <c r="H364" t="n">
        <v>3</v>
      </c>
      <c r="I364" t="n">
        <v>2</v>
      </c>
      <c r="J364" t="n">
        <v>2</v>
      </c>
      <c r="K364" t="n">
        <v>3</v>
      </c>
      <c r="L364" t="n">
        <v>1</v>
      </c>
      <c r="M364" t="n">
        <v>5</v>
      </c>
      <c r="N364" t="n">
        <v>3</v>
      </c>
      <c r="O364" t="n">
        <v>1</v>
      </c>
      <c r="P364" t="n">
        <v>1</v>
      </c>
      <c r="Q364" t="n">
        <v>5</v>
      </c>
      <c r="R364" t="n">
        <v>1</v>
      </c>
      <c r="S364" t="n">
        <v>2</v>
      </c>
      <c r="T364" t="n">
        <v>4</v>
      </c>
      <c r="U364">
        <f>(AVERAGE(B364:D364)-1)/4</f>
        <v/>
      </c>
      <c r="V364">
        <f>(AVERAGE(E364:F364)-1)/4</f>
        <v/>
      </c>
      <c r="W364">
        <f>(AVERAGE(G364:I364)-1)/4</f>
        <v/>
      </c>
      <c r="X364">
        <f>(AVERAGE(J364:L364)-1)/4</f>
        <v/>
      </c>
      <c r="Y364">
        <f>(AVERAGE(M364:O364)-1)/4</f>
        <v/>
      </c>
      <c r="Z364">
        <f>(AVERAGE(P364:R364)-1)/4</f>
        <v/>
      </c>
      <c r="AA364">
        <f>(AVERAGE(S364:T364)-1)/4</f>
        <v/>
      </c>
      <c r="AB364">
        <f>AVERAGE(U364:Y364)</f>
        <v/>
      </c>
      <c r="AC364">
        <f>MIN(U364:Y364)</f>
        <v/>
      </c>
      <c r="AD364">
        <f>1-alpha*MAX(0,delta-AC364)</f>
        <v/>
      </c>
      <c r="AE364">
        <f>AB364*AD364</f>
        <v/>
      </c>
      <c r="AF364">
        <f>1+COUNTIF(bounds,"&lt;"&amp;ROUND(AB364,12))</f>
        <v/>
      </c>
      <c r="AG364">
        <f>1+COUNTIF(bounds,"&lt;"&amp;ROUND(AE364,12))</f>
        <v/>
      </c>
      <c r="AH364">
        <f>IF(AD364&lt;1,1,0)</f>
        <v/>
      </c>
      <c r="AI364">
        <f>IF(AF364&lt;&gt;AG364,1,0)</f>
        <v/>
      </c>
      <c r="AJ364">
        <f>IF(AND(AG364&gt;=3,Z364&lt;=0.2),1,0)</f>
        <v/>
      </c>
      <c r="AK364">
        <f>AVERAGE(U364:Z364)</f>
        <v/>
      </c>
      <c r="AL364">
        <f>1+COUNTIF(bounds,"&lt;"&amp;ROUND(AK364,12))</f>
        <v/>
      </c>
      <c r="AM364">
        <f>IF(AI364=1,AB364,NA())</f>
        <v/>
      </c>
      <c r="AN364">
        <f>IF(AI364=0,AB364,NA())</f>
        <v/>
      </c>
    </row>
    <row r="365">
      <c r="A365" t="n">
        <v>357</v>
      </c>
      <c r="B365" t="n">
        <v>1</v>
      </c>
      <c r="C365" t="n">
        <v>3</v>
      </c>
      <c r="D365" t="n">
        <v>1</v>
      </c>
      <c r="E365" t="n">
        <v>3</v>
      </c>
      <c r="F365" t="n">
        <v>3</v>
      </c>
      <c r="G365" t="n">
        <v>2</v>
      </c>
      <c r="H365" t="n">
        <v>3</v>
      </c>
      <c r="I365" t="n">
        <v>4</v>
      </c>
      <c r="J365" t="n">
        <v>3</v>
      </c>
      <c r="K365" t="n">
        <v>1</v>
      </c>
      <c r="L365" t="n">
        <v>1</v>
      </c>
      <c r="M365" t="n">
        <v>4</v>
      </c>
      <c r="N365" t="n">
        <v>1</v>
      </c>
      <c r="O365" t="n">
        <v>5</v>
      </c>
      <c r="P365" t="n">
        <v>3</v>
      </c>
      <c r="Q365" t="n">
        <v>5</v>
      </c>
      <c r="R365" t="n">
        <v>5</v>
      </c>
      <c r="S365" t="n">
        <v>1</v>
      </c>
      <c r="T365" t="n">
        <v>3</v>
      </c>
      <c r="U365">
        <f>(AVERAGE(B365:D365)-1)/4</f>
        <v/>
      </c>
      <c r="V365">
        <f>(AVERAGE(E365:F365)-1)/4</f>
        <v/>
      </c>
      <c r="W365">
        <f>(AVERAGE(G365:I365)-1)/4</f>
        <v/>
      </c>
      <c r="X365">
        <f>(AVERAGE(J365:L365)-1)/4</f>
        <v/>
      </c>
      <c r="Y365">
        <f>(AVERAGE(M365:O365)-1)/4</f>
        <v/>
      </c>
      <c r="Z365">
        <f>(AVERAGE(P365:R365)-1)/4</f>
        <v/>
      </c>
      <c r="AA365">
        <f>(AVERAGE(S365:T365)-1)/4</f>
        <v/>
      </c>
      <c r="AB365">
        <f>AVERAGE(U365:Y365)</f>
        <v/>
      </c>
      <c r="AC365">
        <f>MIN(U365:Y365)</f>
        <v/>
      </c>
      <c r="AD365">
        <f>1-alpha*MAX(0,delta-AC365)</f>
        <v/>
      </c>
      <c r="AE365">
        <f>AB365*AD365</f>
        <v/>
      </c>
      <c r="AF365">
        <f>1+COUNTIF(bounds,"&lt;"&amp;ROUND(AB365,12))</f>
        <v/>
      </c>
      <c r="AG365">
        <f>1+COUNTIF(bounds,"&lt;"&amp;ROUND(AE365,12))</f>
        <v/>
      </c>
      <c r="AH365">
        <f>IF(AD365&lt;1,1,0)</f>
        <v/>
      </c>
      <c r="AI365">
        <f>IF(AF365&lt;&gt;AG365,1,0)</f>
        <v/>
      </c>
      <c r="AJ365">
        <f>IF(AND(AG365&gt;=3,Z365&lt;=0.2),1,0)</f>
        <v/>
      </c>
      <c r="AK365">
        <f>AVERAGE(U365:Z365)</f>
        <v/>
      </c>
      <c r="AL365">
        <f>1+COUNTIF(bounds,"&lt;"&amp;ROUND(AK365,12))</f>
        <v/>
      </c>
      <c r="AM365">
        <f>IF(AI365=1,AB365,NA())</f>
        <v/>
      </c>
      <c r="AN365">
        <f>IF(AI365=0,AB365,NA())</f>
        <v/>
      </c>
    </row>
    <row r="366">
      <c r="A366" t="n">
        <v>358</v>
      </c>
      <c r="B366" t="n">
        <v>5</v>
      </c>
      <c r="C366" t="n">
        <v>1</v>
      </c>
      <c r="D366" t="n">
        <v>5</v>
      </c>
      <c r="E366" t="n">
        <v>4</v>
      </c>
      <c r="F366" t="n">
        <v>2</v>
      </c>
      <c r="G366" t="n">
        <v>3</v>
      </c>
      <c r="H366" t="n">
        <v>4</v>
      </c>
      <c r="I366" t="n">
        <v>5</v>
      </c>
      <c r="J366" t="n">
        <v>3</v>
      </c>
      <c r="K366" t="n">
        <v>3</v>
      </c>
      <c r="L366" t="n">
        <v>4</v>
      </c>
      <c r="M366" t="n">
        <v>3</v>
      </c>
      <c r="N366" t="n">
        <v>2</v>
      </c>
      <c r="O366" t="n">
        <v>5</v>
      </c>
      <c r="P366" t="n">
        <v>5</v>
      </c>
      <c r="Q366" t="n">
        <v>4</v>
      </c>
      <c r="R366" t="n">
        <v>2</v>
      </c>
      <c r="S366" t="n">
        <v>1</v>
      </c>
      <c r="T366" t="n">
        <v>5</v>
      </c>
      <c r="U366">
        <f>(AVERAGE(B366:D366)-1)/4</f>
        <v/>
      </c>
      <c r="V366">
        <f>(AVERAGE(E366:F366)-1)/4</f>
        <v/>
      </c>
      <c r="W366">
        <f>(AVERAGE(G366:I366)-1)/4</f>
        <v/>
      </c>
      <c r="X366">
        <f>(AVERAGE(J366:L366)-1)/4</f>
        <v/>
      </c>
      <c r="Y366">
        <f>(AVERAGE(M366:O366)-1)/4</f>
        <v/>
      </c>
      <c r="Z366">
        <f>(AVERAGE(P366:R366)-1)/4</f>
        <v/>
      </c>
      <c r="AA366">
        <f>(AVERAGE(S366:T366)-1)/4</f>
        <v/>
      </c>
      <c r="AB366">
        <f>AVERAGE(U366:Y366)</f>
        <v/>
      </c>
      <c r="AC366">
        <f>MIN(U366:Y366)</f>
        <v/>
      </c>
      <c r="AD366">
        <f>1-alpha*MAX(0,delta-AC366)</f>
        <v/>
      </c>
      <c r="AE366">
        <f>AB366*AD366</f>
        <v/>
      </c>
      <c r="AF366">
        <f>1+COUNTIF(bounds,"&lt;"&amp;ROUND(AB366,12))</f>
        <v/>
      </c>
      <c r="AG366">
        <f>1+COUNTIF(bounds,"&lt;"&amp;ROUND(AE366,12))</f>
        <v/>
      </c>
      <c r="AH366">
        <f>IF(AD366&lt;1,1,0)</f>
        <v/>
      </c>
      <c r="AI366">
        <f>IF(AF366&lt;&gt;AG366,1,0)</f>
        <v/>
      </c>
      <c r="AJ366">
        <f>IF(AND(AG366&gt;=3,Z366&lt;=0.2),1,0)</f>
        <v/>
      </c>
      <c r="AK366">
        <f>AVERAGE(U366:Z366)</f>
        <v/>
      </c>
      <c r="AL366">
        <f>1+COUNTIF(bounds,"&lt;"&amp;ROUND(AK366,12))</f>
        <v/>
      </c>
      <c r="AM366">
        <f>IF(AI366=1,AB366,NA())</f>
        <v/>
      </c>
      <c r="AN366">
        <f>IF(AI366=0,AB366,NA())</f>
        <v/>
      </c>
    </row>
    <row r="367">
      <c r="A367" t="n">
        <v>359</v>
      </c>
      <c r="B367" t="n">
        <v>2</v>
      </c>
      <c r="C367" t="n">
        <v>1</v>
      </c>
      <c r="D367" t="n">
        <v>2</v>
      </c>
      <c r="E367" t="n">
        <v>3</v>
      </c>
      <c r="F367" t="n">
        <v>4</v>
      </c>
      <c r="G367" t="n">
        <v>4</v>
      </c>
      <c r="H367" t="n">
        <v>3</v>
      </c>
      <c r="I367" t="n">
        <v>3</v>
      </c>
      <c r="J367" t="n">
        <v>3</v>
      </c>
      <c r="K367" t="n">
        <v>1</v>
      </c>
      <c r="L367" t="n">
        <v>1</v>
      </c>
      <c r="M367" t="n">
        <v>2</v>
      </c>
      <c r="N367" t="n">
        <v>3</v>
      </c>
      <c r="O367" t="n">
        <v>2</v>
      </c>
      <c r="P367" t="n">
        <v>5</v>
      </c>
      <c r="Q367" t="n">
        <v>4</v>
      </c>
      <c r="R367" t="n">
        <v>3</v>
      </c>
      <c r="S367" t="n">
        <v>5</v>
      </c>
      <c r="T367" t="n">
        <v>1</v>
      </c>
      <c r="U367">
        <f>(AVERAGE(B367:D367)-1)/4</f>
        <v/>
      </c>
      <c r="V367">
        <f>(AVERAGE(E367:F367)-1)/4</f>
        <v/>
      </c>
      <c r="W367">
        <f>(AVERAGE(G367:I367)-1)/4</f>
        <v/>
      </c>
      <c r="X367">
        <f>(AVERAGE(J367:L367)-1)/4</f>
        <v/>
      </c>
      <c r="Y367">
        <f>(AVERAGE(M367:O367)-1)/4</f>
        <v/>
      </c>
      <c r="Z367">
        <f>(AVERAGE(P367:R367)-1)/4</f>
        <v/>
      </c>
      <c r="AA367">
        <f>(AVERAGE(S367:T367)-1)/4</f>
        <v/>
      </c>
      <c r="AB367">
        <f>AVERAGE(U367:Y367)</f>
        <v/>
      </c>
      <c r="AC367">
        <f>MIN(U367:Y367)</f>
        <v/>
      </c>
      <c r="AD367">
        <f>1-alpha*MAX(0,delta-AC367)</f>
        <v/>
      </c>
      <c r="AE367">
        <f>AB367*AD367</f>
        <v/>
      </c>
      <c r="AF367">
        <f>1+COUNTIF(bounds,"&lt;"&amp;ROUND(AB367,12))</f>
        <v/>
      </c>
      <c r="AG367">
        <f>1+COUNTIF(bounds,"&lt;"&amp;ROUND(AE367,12))</f>
        <v/>
      </c>
      <c r="AH367">
        <f>IF(AD367&lt;1,1,0)</f>
        <v/>
      </c>
      <c r="AI367">
        <f>IF(AF367&lt;&gt;AG367,1,0)</f>
        <v/>
      </c>
      <c r="AJ367">
        <f>IF(AND(AG367&gt;=3,Z367&lt;=0.2),1,0)</f>
        <v/>
      </c>
      <c r="AK367">
        <f>AVERAGE(U367:Z367)</f>
        <v/>
      </c>
      <c r="AL367">
        <f>1+COUNTIF(bounds,"&lt;"&amp;ROUND(AK367,12))</f>
        <v/>
      </c>
      <c r="AM367">
        <f>IF(AI367=1,AB367,NA())</f>
        <v/>
      </c>
      <c r="AN367">
        <f>IF(AI367=0,AB367,NA())</f>
        <v/>
      </c>
    </row>
    <row r="368">
      <c r="A368" t="n">
        <v>360</v>
      </c>
      <c r="B368" t="n">
        <v>1</v>
      </c>
      <c r="C368" t="n">
        <v>2</v>
      </c>
      <c r="D368" t="n">
        <v>1</v>
      </c>
      <c r="E368" t="n">
        <v>1</v>
      </c>
      <c r="F368" t="n">
        <v>1</v>
      </c>
      <c r="G368" t="n">
        <v>3</v>
      </c>
      <c r="H368" t="n">
        <v>1</v>
      </c>
      <c r="I368" t="n">
        <v>2</v>
      </c>
      <c r="J368" t="n">
        <v>2</v>
      </c>
      <c r="K368" t="n">
        <v>1</v>
      </c>
      <c r="L368" t="n">
        <v>4</v>
      </c>
      <c r="M368" t="n">
        <v>1</v>
      </c>
      <c r="N368" t="n">
        <v>1</v>
      </c>
      <c r="O368" t="n">
        <v>3</v>
      </c>
      <c r="P368" t="n">
        <v>3</v>
      </c>
      <c r="Q368" t="n">
        <v>2</v>
      </c>
      <c r="R368" t="n">
        <v>4</v>
      </c>
      <c r="S368" t="n">
        <v>1</v>
      </c>
      <c r="T368" t="n">
        <v>5</v>
      </c>
      <c r="U368">
        <f>(AVERAGE(B368:D368)-1)/4</f>
        <v/>
      </c>
      <c r="V368">
        <f>(AVERAGE(E368:F368)-1)/4</f>
        <v/>
      </c>
      <c r="W368">
        <f>(AVERAGE(G368:I368)-1)/4</f>
        <v/>
      </c>
      <c r="X368">
        <f>(AVERAGE(J368:L368)-1)/4</f>
        <v/>
      </c>
      <c r="Y368">
        <f>(AVERAGE(M368:O368)-1)/4</f>
        <v/>
      </c>
      <c r="Z368">
        <f>(AVERAGE(P368:R368)-1)/4</f>
        <v/>
      </c>
      <c r="AA368">
        <f>(AVERAGE(S368:T368)-1)/4</f>
        <v/>
      </c>
      <c r="AB368">
        <f>AVERAGE(U368:Y368)</f>
        <v/>
      </c>
      <c r="AC368">
        <f>MIN(U368:Y368)</f>
        <v/>
      </c>
      <c r="AD368">
        <f>1-alpha*MAX(0,delta-AC368)</f>
        <v/>
      </c>
      <c r="AE368">
        <f>AB368*AD368</f>
        <v/>
      </c>
      <c r="AF368">
        <f>1+COUNTIF(bounds,"&lt;"&amp;ROUND(AB368,12))</f>
        <v/>
      </c>
      <c r="AG368">
        <f>1+COUNTIF(bounds,"&lt;"&amp;ROUND(AE368,12))</f>
        <v/>
      </c>
      <c r="AH368">
        <f>IF(AD368&lt;1,1,0)</f>
        <v/>
      </c>
      <c r="AI368">
        <f>IF(AF368&lt;&gt;AG368,1,0)</f>
        <v/>
      </c>
      <c r="AJ368">
        <f>IF(AND(AG368&gt;=3,Z368&lt;=0.2),1,0)</f>
        <v/>
      </c>
      <c r="AK368">
        <f>AVERAGE(U368:Z368)</f>
        <v/>
      </c>
      <c r="AL368">
        <f>1+COUNTIF(bounds,"&lt;"&amp;ROUND(AK368,12))</f>
        <v/>
      </c>
      <c r="AM368">
        <f>IF(AI368=1,AB368,NA())</f>
        <v/>
      </c>
      <c r="AN368">
        <f>IF(AI368=0,AB368,NA())</f>
        <v/>
      </c>
    </row>
    <row r="369">
      <c r="A369" t="n">
        <v>361</v>
      </c>
      <c r="B369" t="n">
        <v>5</v>
      </c>
      <c r="C369" t="n">
        <v>3</v>
      </c>
      <c r="D369" t="n">
        <v>3</v>
      </c>
      <c r="E369" t="n">
        <v>4</v>
      </c>
      <c r="F369" t="n">
        <v>2</v>
      </c>
      <c r="G369" t="n">
        <v>1</v>
      </c>
      <c r="H369" t="n">
        <v>2</v>
      </c>
      <c r="I369" t="n">
        <v>5</v>
      </c>
      <c r="J369" t="n">
        <v>2</v>
      </c>
      <c r="K369" t="n">
        <v>2</v>
      </c>
      <c r="L369" t="n">
        <v>5</v>
      </c>
      <c r="M369" t="n">
        <v>2</v>
      </c>
      <c r="N369" t="n">
        <v>4</v>
      </c>
      <c r="O369" t="n">
        <v>5</v>
      </c>
      <c r="P369" t="n">
        <v>4</v>
      </c>
      <c r="Q369" t="n">
        <v>2</v>
      </c>
      <c r="R369" t="n">
        <v>3</v>
      </c>
      <c r="S369" t="n">
        <v>2</v>
      </c>
      <c r="T369" t="n">
        <v>4</v>
      </c>
      <c r="U369">
        <f>(AVERAGE(B369:D369)-1)/4</f>
        <v/>
      </c>
      <c r="V369">
        <f>(AVERAGE(E369:F369)-1)/4</f>
        <v/>
      </c>
      <c r="W369">
        <f>(AVERAGE(G369:I369)-1)/4</f>
        <v/>
      </c>
      <c r="X369">
        <f>(AVERAGE(J369:L369)-1)/4</f>
        <v/>
      </c>
      <c r="Y369">
        <f>(AVERAGE(M369:O369)-1)/4</f>
        <v/>
      </c>
      <c r="Z369">
        <f>(AVERAGE(P369:R369)-1)/4</f>
        <v/>
      </c>
      <c r="AA369">
        <f>(AVERAGE(S369:T369)-1)/4</f>
        <v/>
      </c>
      <c r="AB369">
        <f>AVERAGE(U369:Y369)</f>
        <v/>
      </c>
      <c r="AC369">
        <f>MIN(U369:Y369)</f>
        <v/>
      </c>
      <c r="AD369">
        <f>1-alpha*MAX(0,delta-AC369)</f>
        <v/>
      </c>
      <c r="AE369">
        <f>AB369*AD369</f>
        <v/>
      </c>
      <c r="AF369">
        <f>1+COUNTIF(bounds,"&lt;"&amp;ROUND(AB369,12))</f>
        <v/>
      </c>
      <c r="AG369">
        <f>1+COUNTIF(bounds,"&lt;"&amp;ROUND(AE369,12))</f>
        <v/>
      </c>
      <c r="AH369">
        <f>IF(AD369&lt;1,1,0)</f>
        <v/>
      </c>
      <c r="AI369">
        <f>IF(AF369&lt;&gt;AG369,1,0)</f>
        <v/>
      </c>
      <c r="AJ369">
        <f>IF(AND(AG369&gt;=3,Z369&lt;=0.2),1,0)</f>
        <v/>
      </c>
      <c r="AK369">
        <f>AVERAGE(U369:Z369)</f>
        <v/>
      </c>
      <c r="AL369">
        <f>1+COUNTIF(bounds,"&lt;"&amp;ROUND(AK369,12))</f>
        <v/>
      </c>
      <c r="AM369">
        <f>IF(AI369=1,AB369,NA())</f>
        <v/>
      </c>
      <c r="AN369">
        <f>IF(AI369=0,AB369,NA())</f>
        <v/>
      </c>
    </row>
    <row r="370">
      <c r="A370" t="n">
        <v>362</v>
      </c>
      <c r="B370" t="n">
        <v>1</v>
      </c>
      <c r="C370" t="n">
        <v>1</v>
      </c>
      <c r="D370" t="n">
        <v>4</v>
      </c>
      <c r="E370" t="n">
        <v>2</v>
      </c>
      <c r="F370" t="n">
        <v>3</v>
      </c>
      <c r="G370" t="n">
        <v>1</v>
      </c>
      <c r="H370" t="n">
        <v>2</v>
      </c>
      <c r="I370" t="n">
        <v>3</v>
      </c>
      <c r="J370" t="n">
        <v>1</v>
      </c>
      <c r="K370" t="n">
        <v>3</v>
      </c>
      <c r="L370" t="n">
        <v>1</v>
      </c>
      <c r="M370" t="n">
        <v>5</v>
      </c>
      <c r="N370" t="n">
        <v>5</v>
      </c>
      <c r="O370" t="n">
        <v>3</v>
      </c>
      <c r="P370" t="n">
        <v>4</v>
      </c>
      <c r="Q370" t="n">
        <v>5</v>
      </c>
      <c r="R370" t="n">
        <v>5</v>
      </c>
      <c r="S370" t="n">
        <v>5</v>
      </c>
      <c r="T370" t="n">
        <v>3</v>
      </c>
      <c r="U370">
        <f>(AVERAGE(B370:D370)-1)/4</f>
        <v/>
      </c>
      <c r="V370">
        <f>(AVERAGE(E370:F370)-1)/4</f>
        <v/>
      </c>
      <c r="W370">
        <f>(AVERAGE(G370:I370)-1)/4</f>
        <v/>
      </c>
      <c r="X370">
        <f>(AVERAGE(J370:L370)-1)/4</f>
        <v/>
      </c>
      <c r="Y370">
        <f>(AVERAGE(M370:O370)-1)/4</f>
        <v/>
      </c>
      <c r="Z370">
        <f>(AVERAGE(P370:R370)-1)/4</f>
        <v/>
      </c>
      <c r="AA370">
        <f>(AVERAGE(S370:T370)-1)/4</f>
        <v/>
      </c>
      <c r="AB370">
        <f>AVERAGE(U370:Y370)</f>
        <v/>
      </c>
      <c r="AC370">
        <f>MIN(U370:Y370)</f>
        <v/>
      </c>
      <c r="AD370">
        <f>1-alpha*MAX(0,delta-AC370)</f>
        <v/>
      </c>
      <c r="AE370">
        <f>AB370*AD370</f>
        <v/>
      </c>
      <c r="AF370">
        <f>1+COUNTIF(bounds,"&lt;"&amp;ROUND(AB370,12))</f>
        <v/>
      </c>
      <c r="AG370">
        <f>1+COUNTIF(bounds,"&lt;"&amp;ROUND(AE370,12))</f>
        <v/>
      </c>
      <c r="AH370">
        <f>IF(AD370&lt;1,1,0)</f>
        <v/>
      </c>
      <c r="AI370">
        <f>IF(AF370&lt;&gt;AG370,1,0)</f>
        <v/>
      </c>
      <c r="AJ370">
        <f>IF(AND(AG370&gt;=3,Z370&lt;=0.2),1,0)</f>
        <v/>
      </c>
      <c r="AK370">
        <f>AVERAGE(U370:Z370)</f>
        <v/>
      </c>
      <c r="AL370">
        <f>1+COUNTIF(bounds,"&lt;"&amp;ROUND(AK370,12))</f>
        <v/>
      </c>
      <c r="AM370">
        <f>IF(AI370=1,AB370,NA())</f>
        <v/>
      </c>
      <c r="AN370">
        <f>IF(AI370=0,AB370,NA())</f>
        <v/>
      </c>
    </row>
    <row r="371">
      <c r="A371" t="n">
        <v>363</v>
      </c>
      <c r="B371" t="n">
        <v>2</v>
      </c>
      <c r="C371" t="n">
        <v>2</v>
      </c>
      <c r="D371" t="n">
        <v>1</v>
      </c>
      <c r="E371" t="n">
        <v>3</v>
      </c>
      <c r="F371" t="n">
        <v>2</v>
      </c>
      <c r="G371" t="n">
        <v>3</v>
      </c>
      <c r="H371" t="n">
        <v>3</v>
      </c>
      <c r="I371" t="n">
        <v>1</v>
      </c>
      <c r="J371" t="n">
        <v>2</v>
      </c>
      <c r="K371" t="n">
        <v>2</v>
      </c>
      <c r="L371" t="n">
        <v>4</v>
      </c>
      <c r="M371" t="n">
        <v>5</v>
      </c>
      <c r="N371" t="n">
        <v>3</v>
      </c>
      <c r="O371" t="n">
        <v>3</v>
      </c>
      <c r="P371" t="n">
        <v>1</v>
      </c>
      <c r="Q371" t="n">
        <v>2</v>
      </c>
      <c r="R371" t="n">
        <v>3</v>
      </c>
      <c r="S371" t="n">
        <v>1</v>
      </c>
      <c r="T371" t="n">
        <v>2</v>
      </c>
      <c r="U371">
        <f>(AVERAGE(B371:D371)-1)/4</f>
        <v/>
      </c>
      <c r="V371">
        <f>(AVERAGE(E371:F371)-1)/4</f>
        <v/>
      </c>
      <c r="W371">
        <f>(AVERAGE(G371:I371)-1)/4</f>
        <v/>
      </c>
      <c r="X371">
        <f>(AVERAGE(J371:L371)-1)/4</f>
        <v/>
      </c>
      <c r="Y371">
        <f>(AVERAGE(M371:O371)-1)/4</f>
        <v/>
      </c>
      <c r="Z371">
        <f>(AVERAGE(P371:R371)-1)/4</f>
        <v/>
      </c>
      <c r="AA371">
        <f>(AVERAGE(S371:T371)-1)/4</f>
        <v/>
      </c>
      <c r="AB371">
        <f>AVERAGE(U371:Y371)</f>
        <v/>
      </c>
      <c r="AC371">
        <f>MIN(U371:Y371)</f>
        <v/>
      </c>
      <c r="AD371">
        <f>1-alpha*MAX(0,delta-AC371)</f>
        <v/>
      </c>
      <c r="AE371">
        <f>AB371*AD371</f>
        <v/>
      </c>
      <c r="AF371">
        <f>1+COUNTIF(bounds,"&lt;"&amp;ROUND(AB371,12))</f>
        <v/>
      </c>
      <c r="AG371">
        <f>1+COUNTIF(bounds,"&lt;"&amp;ROUND(AE371,12))</f>
        <v/>
      </c>
      <c r="AH371">
        <f>IF(AD371&lt;1,1,0)</f>
        <v/>
      </c>
      <c r="AI371">
        <f>IF(AF371&lt;&gt;AG371,1,0)</f>
        <v/>
      </c>
      <c r="AJ371">
        <f>IF(AND(AG371&gt;=3,Z371&lt;=0.2),1,0)</f>
        <v/>
      </c>
      <c r="AK371">
        <f>AVERAGE(U371:Z371)</f>
        <v/>
      </c>
      <c r="AL371">
        <f>1+COUNTIF(bounds,"&lt;"&amp;ROUND(AK371,12))</f>
        <v/>
      </c>
      <c r="AM371">
        <f>IF(AI371=1,AB371,NA())</f>
        <v/>
      </c>
      <c r="AN371">
        <f>IF(AI371=0,AB371,NA())</f>
        <v/>
      </c>
    </row>
    <row r="372">
      <c r="A372" t="n">
        <v>364</v>
      </c>
      <c r="B372" t="n">
        <v>4</v>
      </c>
      <c r="C372" t="n">
        <v>5</v>
      </c>
      <c r="D372" t="n">
        <v>2</v>
      </c>
      <c r="E372" t="n">
        <v>2</v>
      </c>
      <c r="F372" t="n">
        <v>5</v>
      </c>
      <c r="G372" t="n">
        <v>4</v>
      </c>
      <c r="H372" t="n">
        <v>5</v>
      </c>
      <c r="I372" t="n">
        <v>5</v>
      </c>
      <c r="J372" t="n">
        <v>4</v>
      </c>
      <c r="K372" t="n">
        <v>4</v>
      </c>
      <c r="L372" t="n">
        <v>3</v>
      </c>
      <c r="M372" t="n">
        <v>3</v>
      </c>
      <c r="N372" t="n">
        <v>4</v>
      </c>
      <c r="O372" t="n">
        <v>4</v>
      </c>
      <c r="P372" t="n">
        <v>1</v>
      </c>
      <c r="Q372" t="n">
        <v>4</v>
      </c>
      <c r="R372" t="n">
        <v>1</v>
      </c>
      <c r="S372" t="n">
        <v>3</v>
      </c>
      <c r="T372" t="n">
        <v>3</v>
      </c>
      <c r="U372">
        <f>(AVERAGE(B372:D372)-1)/4</f>
        <v/>
      </c>
      <c r="V372">
        <f>(AVERAGE(E372:F372)-1)/4</f>
        <v/>
      </c>
      <c r="W372">
        <f>(AVERAGE(G372:I372)-1)/4</f>
        <v/>
      </c>
      <c r="X372">
        <f>(AVERAGE(J372:L372)-1)/4</f>
        <v/>
      </c>
      <c r="Y372">
        <f>(AVERAGE(M372:O372)-1)/4</f>
        <v/>
      </c>
      <c r="Z372">
        <f>(AVERAGE(P372:R372)-1)/4</f>
        <v/>
      </c>
      <c r="AA372">
        <f>(AVERAGE(S372:T372)-1)/4</f>
        <v/>
      </c>
      <c r="AB372">
        <f>AVERAGE(U372:Y372)</f>
        <v/>
      </c>
      <c r="AC372">
        <f>MIN(U372:Y372)</f>
        <v/>
      </c>
      <c r="AD372">
        <f>1-alpha*MAX(0,delta-AC372)</f>
        <v/>
      </c>
      <c r="AE372">
        <f>AB372*AD372</f>
        <v/>
      </c>
      <c r="AF372">
        <f>1+COUNTIF(bounds,"&lt;"&amp;ROUND(AB372,12))</f>
        <v/>
      </c>
      <c r="AG372">
        <f>1+COUNTIF(bounds,"&lt;"&amp;ROUND(AE372,12))</f>
        <v/>
      </c>
      <c r="AH372">
        <f>IF(AD372&lt;1,1,0)</f>
        <v/>
      </c>
      <c r="AI372">
        <f>IF(AF372&lt;&gt;AG372,1,0)</f>
        <v/>
      </c>
      <c r="AJ372">
        <f>IF(AND(AG372&gt;=3,Z372&lt;=0.2),1,0)</f>
        <v/>
      </c>
      <c r="AK372">
        <f>AVERAGE(U372:Z372)</f>
        <v/>
      </c>
      <c r="AL372">
        <f>1+COUNTIF(bounds,"&lt;"&amp;ROUND(AK372,12))</f>
        <v/>
      </c>
      <c r="AM372">
        <f>IF(AI372=1,AB372,NA())</f>
        <v/>
      </c>
      <c r="AN372">
        <f>IF(AI372=0,AB372,NA())</f>
        <v/>
      </c>
    </row>
    <row r="373">
      <c r="A373" t="n">
        <v>365</v>
      </c>
      <c r="B373" t="n">
        <v>2</v>
      </c>
      <c r="C373" t="n">
        <v>2</v>
      </c>
      <c r="D373" t="n">
        <v>1</v>
      </c>
      <c r="E373" t="n">
        <v>2</v>
      </c>
      <c r="F373" t="n">
        <v>4</v>
      </c>
      <c r="G373" t="n">
        <v>1</v>
      </c>
      <c r="H373" t="n">
        <v>1</v>
      </c>
      <c r="I373" t="n">
        <v>3</v>
      </c>
      <c r="J373" t="n">
        <v>4</v>
      </c>
      <c r="K373" t="n">
        <v>2</v>
      </c>
      <c r="L373" t="n">
        <v>2</v>
      </c>
      <c r="M373" t="n">
        <v>1</v>
      </c>
      <c r="N373" t="n">
        <v>2</v>
      </c>
      <c r="O373" t="n">
        <v>4</v>
      </c>
      <c r="P373" t="n">
        <v>5</v>
      </c>
      <c r="Q373" t="n">
        <v>5</v>
      </c>
      <c r="R373" t="n">
        <v>5</v>
      </c>
      <c r="S373" t="n">
        <v>4</v>
      </c>
      <c r="T373" t="n">
        <v>1</v>
      </c>
      <c r="U373">
        <f>(AVERAGE(B373:D373)-1)/4</f>
        <v/>
      </c>
      <c r="V373">
        <f>(AVERAGE(E373:F373)-1)/4</f>
        <v/>
      </c>
      <c r="W373">
        <f>(AVERAGE(G373:I373)-1)/4</f>
        <v/>
      </c>
      <c r="X373">
        <f>(AVERAGE(J373:L373)-1)/4</f>
        <v/>
      </c>
      <c r="Y373">
        <f>(AVERAGE(M373:O373)-1)/4</f>
        <v/>
      </c>
      <c r="Z373">
        <f>(AVERAGE(P373:R373)-1)/4</f>
        <v/>
      </c>
      <c r="AA373">
        <f>(AVERAGE(S373:T373)-1)/4</f>
        <v/>
      </c>
      <c r="AB373">
        <f>AVERAGE(U373:Y373)</f>
        <v/>
      </c>
      <c r="AC373">
        <f>MIN(U373:Y373)</f>
        <v/>
      </c>
      <c r="AD373">
        <f>1-alpha*MAX(0,delta-AC373)</f>
        <v/>
      </c>
      <c r="AE373">
        <f>AB373*AD373</f>
        <v/>
      </c>
      <c r="AF373">
        <f>1+COUNTIF(bounds,"&lt;"&amp;ROUND(AB373,12))</f>
        <v/>
      </c>
      <c r="AG373">
        <f>1+COUNTIF(bounds,"&lt;"&amp;ROUND(AE373,12))</f>
        <v/>
      </c>
      <c r="AH373">
        <f>IF(AD373&lt;1,1,0)</f>
        <v/>
      </c>
      <c r="AI373">
        <f>IF(AF373&lt;&gt;AG373,1,0)</f>
        <v/>
      </c>
      <c r="AJ373">
        <f>IF(AND(AG373&gt;=3,Z373&lt;=0.2),1,0)</f>
        <v/>
      </c>
      <c r="AK373">
        <f>AVERAGE(U373:Z373)</f>
        <v/>
      </c>
      <c r="AL373">
        <f>1+COUNTIF(bounds,"&lt;"&amp;ROUND(AK373,12))</f>
        <v/>
      </c>
      <c r="AM373">
        <f>IF(AI373=1,AB373,NA())</f>
        <v/>
      </c>
      <c r="AN373">
        <f>IF(AI373=0,AB373,NA())</f>
        <v/>
      </c>
    </row>
    <row r="374">
      <c r="A374" t="n">
        <v>366</v>
      </c>
      <c r="B374" t="n">
        <v>2</v>
      </c>
      <c r="C374" t="n">
        <v>5</v>
      </c>
      <c r="D374" t="n">
        <v>1</v>
      </c>
      <c r="E374" t="n">
        <v>2</v>
      </c>
      <c r="F374" t="n">
        <v>5</v>
      </c>
      <c r="G374" t="n">
        <v>5</v>
      </c>
      <c r="H374" t="n">
        <v>1</v>
      </c>
      <c r="I374" t="n">
        <v>5</v>
      </c>
      <c r="J374" t="n">
        <v>1</v>
      </c>
      <c r="K374" t="n">
        <v>5</v>
      </c>
      <c r="L374" t="n">
        <v>3</v>
      </c>
      <c r="M374" t="n">
        <v>2</v>
      </c>
      <c r="N374" t="n">
        <v>2</v>
      </c>
      <c r="O374" t="n">
        <v>4</v>
      </c>
      <c r="P374" t="n">
        <v>5</v>
      </c>
      <c r="Q374" t="n">
        <v>2</v>
      </c>
      <c r="R374" t="n">
        <v>1</v>
      </c>
      <c r="S374" t="n">
        <v>4</v>
      </c>
      <c r="T374" t="n">
        <v>4</v>
      </c>
      <c r="U374">
        <f>(AVERAGE(B374:D374)-1)/4</f>
        <v/>
      </c>
      <c r="V374">
        <f>(AVERAGE(E374:F374)-1)/4</f>
        <v/>
      </c>
      <c r="W374">
        <f>(AVERAGE(G374:I374)-1)/4</f>
        <v/>
      </c>
      <c r="X374">
        <f>(AVERAGE(J374:L374)-1)/4</f>
        <v/>
      </c>
      <c r="Y374">
        <f>(AVERAGE(M374:O374)-1)/4</f>
        <v/>
      </c>
      <c r="Z374">
        <f>(AVERAGE(P374:R374)-1)/4</f>
        <v/>
      </c>
      <c r="AA374">
        <f>(AVERAGE(S374:T374)-1)/4</f>
        <v/>
      </c>
      <c r="AB374">
        <f>AVERAGE(U374:Y374)</f>
        <v/>
      </c>
      <c r="AC374">
        <f>MIN(U374:Y374)</f>
        <v/>
      </c>
      <c r="AD374">
        <f>1-alpha*MAX(0,delta-AC374)</f>
        <v/>
      </c>
      <c r="AE374">
        <f>AB374*AD374</f>
        <v/>
      </c>
      <c r="AF374">
        <f>1+COUNTIF(bounds,"&lt;"&amp;ROUND(AB374,12))</f>
        <v/>
      </c>
      <c r="AG374">
        <f>1+COUNTIF(bounds,"&lt;"&amp;ROUND(AE374,12))</f>
        <v/>
      </c>
      <c r="AH374">
        <f>IF(AD374&lt;1,1,0)</f>
        <v/>
      </c>
      <c r="AI374">
        <f>IF(AF374&lt;&gt;AG374,1,0)</f>
        <v/>
      </c>
      <c r="AJ374">
        <f>IF(AND(AG374&gt;=3,Z374&lt;=0.2),1,0)</f>
        <v/>
      </c>
      <c r="AK374">
        <f>AVERAGE(U374:Z374)</f>
        <v/>
      </c>
      <c r="AL374">
        <f>1+COUNTIF(bounds,"&lt;"&amp;ROUND(AK374,12))</f>
        <v/>
      </c>
      <c r="AM374">
        <f>IF(AI374=1,AB374,NA())</f>
        <v/>
      </c>
      <c r="AN374">
        <f>IF(AI374=0,AB374,NA())</f>
        <v/>
      </c>
    </row>
    <row r="375">
      <c r="A375" t="n">
        <v>367</v>
      </c>
      <c r="B375" t="n">
        <v>5</v>
      </c>
      <c r="C375" t="n">
        <v>1</v>
      </c>
      <c r="D375" t="n">
        <v>3</v>
      </c>
      <c r="E375" t="n">
        <v>4</v>
      </c>
      <c r="F375" t="n">
        <v>1</v>
      </c>
      <c r="G375" t="n">
        <v>3</v>
      </c>
      <c r="H375" t="n">
        <v>2</v>
      </c>
      <c r="I375" t="n">
        <v>1</v>
      </c>
      <c r="J375" t="n">
        <v>5</v>
      </c>
      <c r="K375" t="n">
        <v>5</v>
      </c>
      <c r="L375" t="n">
        <v>4</v>
      </c>
      <c r="M375" t="n">
        <v>1</v>
      </c>
      <c r="N375" t="n">
        <v>1</v>
      </c>
      <c r="O375" t="n">
        <v>4</v>
      </c>
      <c r="P375" t="n">
        <v>5</v>
      </c>
      <c r="Q375" t="n">
        <v>4</v>
      </c>
      <c r="R375" t="n">
        <v>1</v>
      </c>
      <c r="S375" t="n">
        <v>4</v>
      </c>
      <c r="T375" t="n">
        <v>3</v>
      </c>
      <c r="U375">
        <f>(AVERAGE(B375:D375)-1)/4</f>
        <v/>
      </c>
      <c r="V375">
        <f>(AVERAGE(E375:F375)-1)/4</f>
        <v/>
      </c>
      <c r="W375">
        <f>(AVERAGE(G375:I375)-1)/4</f>
        <v/>
      </c>
      <c r="X375">
        <f>(AVERAGE(J375:L375)-1)/4</f>
        <v/>
      </c>
      <c r="Y375">
        <f>(AVERAGE(M375:O375)-1)/4</f>
        <v/>
      </c>
      <c r="Z375">
        <f>(AVERAGE(P375:R375)-1)/4</f>
        <v/>
      </c>
      <c r="AA375">
        <f>(AVERAGE(S375:T375)-1)/4</f>
        <v/>
      </c>
      <c r="AB375">
        <f>AVERAGE(U375:Y375)</f>
        <v/>
      </c>
      <c r="AC375">
        <f>MIN(U375:Y375)</f>
        <v/>
      </c>
      <c r="AD375">
        <f>1-alpha*MAX(0,delta-AC375)</f>
        <v/>
      </c>
      <c r="AE375">
        <f>AB375*AD375</f>
        <v/>
      </c>
      <c r="AF375">
        <f>1+COUNTIF(bounds,"&lt;"&amp;ROUND(AB375,12))</f>
        <v/>
      </c>
      <c r="AG375">
        <f>1+COUNTIF(bounds,"&lt;"&amp;ROUND(AE375,12))</f>
        <v/>
      </c>
      <c r="AH375">
        <f>IF(AD375&lt;1,1,0)</f>
        <v/>
      </c>
      <c r="AI375">
        <f>IF(AF375&lt;&gt;AG375,1,0)</f>
        <v/>
      </c>
      <c r="AJ375">
        <f>IF(AND(AG375&gt;=3,Z375&lt;=0.2),1,0)</f>
        <v/>
      </c>
      <c r="AK375">
        <f>AVERAGE(U375:Z375)</f>
        <v/>
      </c>
      <c r="AL375">
        <f>1+COUNTIF(bounds,"&lt;"&amp;ROUND(AK375,12))</f>
        <v/>
      </c>
      <c r="AM375">
        <f>IF(AI375=1,AB375,NA())</f>
        <v/>
      </c>
      <c r="AN375">
        <f>IF(AI375=0,AB375,NA())</f>
        <v/>
      </c>
    </row>
    <row r="376">
      <c r="A376" t="n">
        <v>368</v>
      </c>
      <c r="B376" t="n">
        <v>4</v>
      </c>
      <c r="C376" t="n">
        <v>2</v>
      </c>
      <c r="D376" t="n">
        <v>5</v>
      </c>
      <c r="E376" t="n">
        <v>2</v>
      </c>
      <c r="F376" t="n">
        <v>1</v>
      </c>
      <c r="G376" t="n">
        <v>1</v>
      </c>
      <c r="H376" t="n">
        <v>2</v>
      </c>
      <c r="I376" t="n">
        <v>4</v>
      </c>
      <c r="J376" t="n">
        <v>5</v>
      </c>
      <c r="K376" t="n">
        <v>4</v>
      </c>
      <c r="L376" t="n">
        <v>3</v>
      </c>
      <c r="M376" t="n">
        <v>4</v>
      </c>
      <c r="N376" t="n">
        <v>2</v>
      </c>
      <c r="O376" t="n">
        <v>1</v>
      </c>
      <c r="P376" t="n">
        <v>3</v>
      </c>
      <c r="Q376" t="n">
        <v>3</v>
      </c>
      <c r="R376" t="n">
        <v>1</v>
      </c>
      <c r="S376" t="n">
        <v>2</v>
      </c>
      <c r="T376" t="n">
        <v>5</v>
      </c>
      <c r="U376">
        <f>(AVERAGE(B376:D376)-1)/4</f>
        <v/>
      </c>
      <c r="V376">
        <f>(AVERAGE(E376:F376)-1)/4</f>
        <v/>
      </c>
      <c r="W376">
        <f>(AVERAGE(G376:I376)-1)/4</f>
        <v/>
      </c>
      <c r="X376">
        <f>(AVERAGE(J376:L376)-1)/4</f>
        <v/>
      </c>
      <c r="Y376">
        <f>(AVERAGE(M376:O376)-1)/4</f>
        <v/>
      </c>
      <c r="Z376">
        <f>(AVERAGE(P376:R376)-1)/4</f>
        <v/>
      </c>
      <c r="AA376">
        <f>(AVERAGE(S376:T376)-1)/4</f>
        <v/>
      </c>
      <c r="AB376">
        <f>AVERAGE(U376:Y376)</f>
        <v/>
      </c>
      <c r="AC376">
        <f>MIN(U376:Y376)</f>
        <v/>
      </c>
      <c r="AD376">
        <f>1-alpha*MAX(0,delta-AC376)</f>
        <v/>
      </c>
      <c r="AE376">
        <f>AB376*AD376</f>
        <v/>
      </c>
      <c r="AF376">
        <f>1+COUNTIF(bounds,"&lt;"&amp;ROUND(AB376,12))</f>
        <v/>
      </c>
      <c r="AG376">
        <f>1+COUNTIF(bounds,"&lt;"&amp;ROUND(AE376,12))</f>
        <v/>
      </c>
      <c r="AH376">
        <f>IF(AD376&lt;1,1,0)</f>
        <v/>
      </c>
      <c r="AI376">
        <f>IF(AF376&lt;&gt;AG376,1,0)</f>
        <v/>
      </c>
      <c r="AJ376">
        <f>IF(AND(AG376&gt;=3,Z376&lt;=0.2),1,0)</f>
        <v/>
      </c>
      <c r="AK376">
        <f>AVERAGE(U376:Z376)</f>
        <v/>
      </c>
      <c r="AL376">
        <f>1+COUNTIF(bounds,"&lt;"&amp;ROUND(AK376,12))</f>
        <v/>
      </c>
      <c r="AM376">
        <f>IF(AI376=1,AB376,NA())</f>
        <v/>
      </c>
      <c r="AN376">
        <f>IF(AI376=0,AB376,NA())</f>
        <v/>
      </c>
    </row>
    <row r="377">
      <c r="A377" t="n">
        <v>369</v>
      </c>
      <c r="B377" t="n">
        <v>4</v>
      </c>
      <c r="C377" t="n">
        <v>4</v>
      </c>
      <c r="D377" t="n">
        <v>2</v>
      </c>
      <c r="E377" t="n">
        <v>4</v>
      </c>
      <c r="F377" t="n">
        <v>4</v>
      </c>
      <c r="G377" t="n">
        <v>3</v>
      </c>
      <c r="H377" t="n">
        <v>1</v>
      </c>
      <c r="I377" t="n">
        <v>3</v>
      </c>
      <c r="J377" t="n">
        <v>4</v>
      </c>
      <c r="K377" t="n">
        <v>2</v>
      </c>
      <c r="L377" t="n">
        <v>2</v>
      </c>
      <c r="M377" t="n">
        <v>3</v>
      </c>
      <c r="N377" t="n">
        <v>5</v>
      </c>
      <c r="O377" t="n">
        <v>5</v>
      </c>
      <c r="P377" t="n">
        <v>5</v>
      </c>
      <c r="Q377" t="n">
        <v>1</v>
      </c>
      <c r="R377" t="n">
        <v>5</v>
      </c>
      <c r="S377" t="n">
        <v>1</v>
      </c>
      <c r="T377" t="n">
        <v>1</v>
      </c>
      <c r="U377">
        <f>(AVERAGE(B377:D377)-1)/4</f>
        <v/>
      </c>
      <c r="V377">
        <f>(AVERAGE(E377:F377)-1)/4</f>
        <v/>
      </c>
      <c r="W377">
        <f>(AVERAGE(G377:I377)-1)/4</f>
        <v/>
      </c>
      <c r="X377">
        <f>(AVERAGE(J377:L377)-1)/4</f>
        <v/>
      </c>
      <c r="Y377">
        <f>(AVERAGE(M377:O377)-1)/4</f>
        <v/>
      </c>
      <c r="Z377">
        <f>(AVERAGE(P377:R377)-1)/4</f>
        <v/>
      </c>
      <c r="AA377">
        <f>(AVERAGE(S377:T377)-1)/4</f>
        <v/>
      </c>
      <c r="AB377">
        <f>AVERAGE(U377:Y377)</f>
        <v/>
      </c>
      <c r="AC377">
        <f>MIN(U377:Y377)</f>
        <v/>
      </c>
      <c r="AD377">
        <f>1-alpha*MAX(0,delta-AC377)</f>
        <v/>
      </c>
      <c r="AE377">
        <f>AB377*AD377</f>
        <v/>
      </c>
      <c r="AF377">
        <f>1+COUNTIF(bounds,"&lt;"&amp;ROUND(AB377,12))</f>
        <v/>
      </c>
      <c r="AG377">
        <f>1+COUNTIF(bounds,"&lt;"&amp;ROUND(AE377,12))</f>
        <v/>
      </c>
      <c r="AH377">
        <f>IF(AD377&lt;1,1,0)</f>
        <v/>
      </c>
      <c r="AI377">
        <f>IF(AF377&lt;&gt;AG377,1,0)</f>
        <v/>
      </c>
      <c r="AJ377">
        <f>IF(AND(AG377&gt;=3,Z377&lt;=0.2),1,0)</f>
        <v/>
      </c>
      <c r="AK377">
        <f>AVERAGE(U377:Z377)</f>
        <v/>
      </c>
      <c r="AL377">
        <f>1+COUNTIF(bounds,"&lt;"&amp;ROUND(AK377,12))</f>
        <v/>
      </c>
      <c r="AM377">
        <f>IF(AI377=1,AB377,NA())</f>
        <v/>
      </c>
      <c r="AN377">
        <f>IF(AI377=0,AB377,NA())</f>
        <v/>
      </c>
    </row>
    <row r="378">
      <c r="A378" t="n">
        <v>370</v>
      </c>
      <c r="B378" t="n">
        <v>1</v>
      </c>
      <c r="C378" t="n">
        <v>3</v>
      </c>
      <c r="D378" t="n">
        <v>2</v>
      </c>
      <c r="E378" t="n">
        <v>5</v>
      </c>
      <c r="F378" t="n">
        <v>3</v>
      </c>
      <c r="G378" t="n">
        <v>1</v>
      </c>
      <c r="H378" t="n">
        <v>4</v>
      </c>
      <c r="I378" t="n">
        <v>2</v>
      </c>
      <c r="J378" t="n">
        <v>3</v>
      </c>
      <c r="K378" t="n">
        <v>2</v>
      </c>
      <c r="L378" t="n">
        <v>5</v>
      </c>
      <c r="M378" t="n">
        <v>1</v>
      </c>
      <c r="N378" t="n">
        <v>2</v>
      </c>
      <c r="O378" t="n">
        <v>5</v>
      </c>
      <c r="P378" t="n">
        <v>1</v>
      </c>
      <c r="Q378" t="n">
        <v>1</v>
      </c>
      <c r="R378" t="n">
        <v>3</v>
      </c>
      <c r="S378" t="n">
        <v>1</v>
      </c>
      <c r="T378" t="n">
        <v>5</v>
      </c>
      <c r="U378">
        <f>(AVERAGE(B378:D378)-1)/4</f>
        <v/>
      </c>
      <c r="V378">
        <f>(AVERAGE(E378:F378)-1)/4</f>
        <v/>
      </c>
      <c r="W378">
        <f>(AVERAGE(G378:I378)-1)/4</f>
        <v/>
      </c>
      <c r="X378">
        <f>(AVERAGE(J378:L378)-1)/4</f>
        <v/>
      </c>
      <c r="Y378">
        <f>(AVERAGE(M378:O378)-1)/4</f>
        <v/>
      </c>
      <c r="Z378">
        <f>(AVERAGE(P378:R378)-1)/4</f>
        <v/>
      </c>
      <c r="AA378">
        <f>(AVERAGE(S378:T378)-1)/4</f>
        <v/>
      </c>
      <c r="AB378">
        <f>AVERAGE(U378:Y378)</f>
        <v/>
      </c>
      <c r="AC378">
        <f>MIN(U378:Y378)</f>
        <v/>
      </c>
      <c r="AD378">
        <f>1-alpha*MAX(0,delta-AC378)</f>
        <v/>
      </c>
      <c r="AE378">
        <f>AB378*AD378</f>
        <v/>
      </c>
      <c r="AF378">
        <f>1+COUNTIF(bounds,"&lt;"&amp;ROUND(AB378,12))</f>
        <v/>
      </c>
      <c r="AG378">
        <f>1+COUNTIF(bounds,"&lt;"&amp;ROUND(AE378,12))</f>
        <v/>
      </c>
      <c r="AH378">
        <f>IF(AD378&lt;1,1,0)</f>
        <v/>
      </c>
      <c r="AI378">
        <f>IF(AF378&lt;&gt;AG378,1,0)</f>
        <v/>
      </c>
      <c r="AJ378">
        <f>IF(AND(AG378&gt;=3,Z378&lt;=0.2),1,0)</f>
        <v/>
      </c>
      <c r="AK378">
        <f>AVERAGE(U378:Z378)</f>
        <v/>
      </c>
      <c r="AL378">
        <f>1+COUNTIF(bounds,"&lt;"&amp;ROUND(AK378,12))</f>
        <v/>
      </c>
      <c r="AM378">
        <f>IF(AI378=1,AB378,NA())</f>
        <v/>
      </c>
      <c r="AN378">
        <f>IF(AI378=0,AB378,NA())</f>
        <v/>
      </c>
    </row>
    <row r="379">
      <c r="A379" t="n">
        <v>371</v>
      </c>
      <c r="B379" t="n">
        <v>5</v>
      </c>
      <c r="C379" t="n">
        <v>5</v>
      </c>
      <c r="D379" t="n">
        <v>3</v>
      </c>
      <c r="E379" t="n">
        <v>2</v>
      </c>
      <c r="F379" t="n">
        <v>3</v>
      </c>
      <c r="G379" t="n">
        <v>4</v>
      </c>
      <c r="H379" t="n">
        <v>3</v>
      </c>
      <c r="I379" t="n">
        <v>2</v>
      </c>
      <c r="J379" t="n">
        <v>2</v>
      </c>
      <c r="K379" t="n">
        <v>1</v>
      </c>
      <c r="L379" t="n">
        <v>5</v>
      </c>
      <c r="M379" t="n">
        <v>5</v>
      </c>
      <c r="N379" t="n">
        <v>1</v>
      </c>
      <c r="O379" t="n">
        <v>5</v>
      </c>
      <c r="P379" t="n">
        <v>2</v>
      </c>
      <c r="Q379" t="n">
        <v>3</v>
      </c>
      <c r="R379" t="n">
        <v>1</v>
      </c>
      <c r="S379" t="n">
        <v>4</v>
      </c>
      <c r="T379" t="n">
        <v>4</v>
      </c>
      <c r="U379">
        <f>(AVERAGE(B379:D379)-1)/4</f>
        <v/>
      </c>
      <c r="V379">
        <f>(AVERAGE(E379:F379)-1)/4</f>
        <v/>
      </c>
      <c r="W379">
        <f>(AVERAGE(G379:I379)-1)/4</f>
        <v/>
      </c>
      <c r="X379">
        <f>(AVERAGE(J379:L379)-1)/4</f>
        <v/>
      </c>
      <c r="Y379">
        <f>(AVERAGE(M379:O379)-1)/4</f>
        <v/>
      </c>
      <c r="Z379">
        <f>(AVERAGE(P379:R379)-1)/4</f>
        <v/>
      </c>
      <c r="AA379">
        <f>(AVERAGE(S379:T379)-1)/4</f>
        <v/>
      </c>
      <c r="AB379">
        <f>AVERAGE(U379:Y379)</f>
        <v/>
      </c>
      <c r="AC379">
        <f>MIN(U379:Y379)</f>
        <v/>
      </c>
      <c r="AD379">
        <f>1-alpha*MAX(0,delta-AC379)</f>
        <v/>
      </c>
      <c r="AE379">
        <f>AB379*AD379</f>
        <v/>
      </c>
      <c r="AF379">
        <f>1+COUNTIF(bounds,"&lt;"&amp;ROUND(AB379,12))</f>
        <v/>
      </c>
      <c r="AG379">
        <f>1+COUNTIF(bounds,"&lt;"&amp;ROUND(AE379,12))</f>
        <v/>
      </c>
      <c r="AH379">
        <f>IF(AD379&lt;1,1,0)</f>
        <v/>
      </c>
      <c r="AI379">
        <f>IF(AF379&lt;&gt;AG379,1,0)</f>
        <v/>
      </c>
      <c r="AJ379">
        <f>IF(AND(AG379&gt;=3,Z379&lt;=0.2),1,0)</f>
        <v/>
      </c>
      <c r="AK379">
        <f>AVERAGE(U379:Z379)</f>
        <v/>
      </c>
      <c r="AL379">
        <f>1+COUNTIF(bounds,"&lt;"&amp;ROUND(AK379,12))</f>
        <v/>
      </c>
      <c r="AM379">
        <f>IF(AI379=1,AB379,NA())</f>
        <v/>
      </c>
      <c r="AN379">
        <f>IF(AI379=0,AB379,NA())</f>
        <v/>
      </c>
    </row>
    <row r="380">
      <c r="A380" t="n">
        <v>372</v>
      </c>
      <c r="B380" t="n">
        <v>4</v>
      </c>
      <c r="C380" t="n">
        <v>4</v>
      </c>
      <c r="D380" t="n">
        <v>2</v>
      </c>
      <c r="E380" t="n">
        <v>1</v>
      </c>
      <c r="F380" t="n">
        <v>2</v>
      </c>
      <c r="G380" t="n">
        <v>2</v>
      </c>
      <c r="H380" t="n">
        <v>1</v>
      </c>
      <c r="I380" t="n">
        <v>2</v>
      </c>
      <c r="J380" t="n">
        <v>2</v>
      </c>
      <c r="K380" t="n">
        <v>2</v>
      </c>
      <c r="L380" t="n">
        <v>3</v>
      </c>
      <c r="M380" t="n">
        <v>3</v>
      </c>
      <c r="N380" t="n">
        <v>1</v>
      </c>
      <c r="O380" t="n">
        <v>2</v>
      </c>
      <c r="P380" t="n">
        <v>3</v>
      </c>
      <c r="Q380" t="n">
        <v>4</v>
      </c>
      <c r="R380" t="n">
        <v>5</v>
      </c>
      <c r="S380" t="n">
        <v>4</v>
      </c>
      <c r="T380" t="n">
        <v>5</v>
      </c>
      <c r="U380">
        <f>(AVERAGE(B380:D380)-1)/4</f>
        <v/>
      </c>
      <c r="V380">
        <f>(AVERAGE(E380:F380)-1)/4</f>
        <v/>
      </c>
      <c r="W380">
        <f>(AVERAGE(G380:I380)-1)/4</f>
        <v/>
      </c>
      <c r="X380">
        <f>(AVERAGE(J380:L380)-1)/4</f>
        <v/>
      </c>
      <c r="Y380">
        <f>(AVERAGE(M380:O380)-1)/4</f>
        <v/>
      </c>
      <c r="Z380">
        <f>(AVERAGE(P380:R380)-1)/4</f>
        <v/>
      </c>
      <c r="AA380">
        <f>(AVERAGE(S380:T380)-1)/4</f>
        <v/>
      </c>
      <c r="AB380">
        <f>AVERAGE(U380:Y380)</f>
        <v/>
      </c>
      <c r="AC380">
        <f>MIN(U380:Y380)</f>
        <v/>
      </c>
      <c r="AD380">
        <f>1-alpha*MAX(0,delta-AC380)</f>
        <v/>
      </c>
      <c r="AE380">
        <f>AB380*AD380</f>
        <v/>
      </c>
      <c r="AF380">
        <f>1+COUNTIF(bounds,"&lt;"&amp;ROUND(AB380,12))</f>
        <v/>
      </c>
      <c r="AG380">
        <f>1+COUNTIF(bounds,"&lt;"&amp;ROUND(AE380,12))</f>
        <v/>
      </c>
      <c r="AH380">
        <f>IF(AD380&lt;1,1,0)</f>
        <v/>
      </c>
      <c r="AI380">
        <f>IF(AF380&lt;&gt;AG380,1,0)</f>
        <v/>
      </c>
      <c r="AJ380">
        <f>IF(AND(AG380&gt;=3,Z380&lt;=0.2),1,0)</f>
        <v/>
      </c>
      <c r="AK380">
        <f>AVERAGE(U380:Z380)</f>
        <v/>
      </c>
      <c r="AL380">
        <f>1+COUNTIF(bounds,"&lt;"&amp;ROUND(AK380,12))</f>
        <v/>
      </c>
      <c r="AM380">
        <f>IF(AI380=1,AB380,NA())</f>
        <v/>
      </c>
      <c r="AN380">
        <f>IF(AI380=0,AB380,NA())</f>
        <v/>
      </c>
    </row>
    <row r="381">
      <c r="A381" t="n">
        <v>373</v>
      </c>
      <c r="B381" t="n">
        <v>1</v>
      </c>
      <c r="C381" t="n">
        <v>3</v>
      </c>
      <c r="D381" t="n">
        <v>3</v>
      </c>
      <c r="E381" t="n">
        <v>3</v>
      </c>
      <c r="F381" t="n">
        <v>4</v>
      </c>
      <c r="G381" t="n">
        <v>1</v>
      </c>
      <c r="H381" t="n">
        <v>1</v>
      </c>
      <c r="I381" t="n">
        <v>1</v>
      </c>
      <c r="J381" t="n">
        <v>2</v>
      </c>
      <c r="K381" t="n">
        <v>5</v>
      </c>
      <c r="L381" t="n">
        <v>5</v>
      </c>
      <c r="M381" t="n">
        <v>2</v>
      </c>
      <c r="N381" t="n">
        <v>1</v>
      </c>
      <c r="O381" t="n">
        <v>4</v>
      </c>
      <c r="P381" t="n">
        <v>2</v>
      </c>
      <c r="Q381" t="n">
        <v>3</v>
      </c>
      <c r="R381" t="n">
        <v>4</v>
      </c>
      <c r="S381" t="n">
        <v>3</v>
      </c>
      <c r="T381" t="n">
        <v>4</v>
      </c>
      <c r="U381">
        <f>(AVERAGE(B381:D381)-1)/4</f>
        <v/>
      </c>
      <c r="V381">
        <f>(AVERAGE(E381:F381)-1)/4</f>
        <v/>
      </c>
      <c r="W381">
        <f>(AVERAGE(G381:I381)-1)/4</f>
        <v/>
      </c>
      <c r="X381">
        <f>(AVERAGE(J381:L381)-1)/4</f>
        <v/>
      </c>
      <c r="Y381">
        <f>(AVERAGE(M381:O381)-1)/4</f>
        <v/>
      </c>
      <c r="Z381">
        <f>(AVERAGE(P381:R381)-1)/4</f>
        <v/>
      </c>
      <c r="AA381">
        <f>(AVERAGE(S381:T381)-1)/4</f>
        <v/>
      </c>
      <c r="AB381">
        <f>AVERAGE(U381:Y381)</f>
        <v/>
      </c>
      <c r="AC381">
        <f>MIN(U381:Y381)</f>
        <v/>
      </c>
      <c r="AD381">
        <f>1-alpha*MAX(0,delta-AC381)</f>
        <v/>
      </c>
      <c r="AE381">
        <f>AB381*AD381</f>
        <v/>
      </c>
      <c r="AF381">
        <f>1+COUNTIF(bounds,"&lt;"&amp;ROUND(AB381,12))</f>
        <v/>
      </c>
      <c r="AG381">
        <f>1+COUNTIF(bounds,"&lt;"&amp;ROUND(AE381,12))</f>
        <v/>
      </c>
      <c r="AH381">
        <f>IF(AD381&lt;1,1,0)</f>
        <v/>
      </c>
      <c r="AI381">
        <f>IF(AF381&lt;&gt;AG381,1,0)</f>
        <v/>
      </c>
      <c r="AJ381">
        <f>IF(AND(AG381&gt;=3,Z381&lt;=0.2),1,0)</f>
        <v/>
      </c>
      <c r="AK381">
        <f>AVERAGE(U381:Z381)</f>
        <v/>
      </c>
      <c r="AL381">
        <f>1+COUNTIF(bounds,"&lt;"&amp;ROUND(AK381,12))</f>
        <v/>
      </c>
      <c r="AM381">
        <f>IF(AI381=1,AB381,NA())</f>
        <v/>
      </c>
      <c r="AN381">
        <f>IF(AI381=0,AB381,NA())</f>
        <v/>
      </c>
    </row>
    <row r="382">
      <c r="A382" t="n">
        <v>374</v>
      </c>
      <c r="B382" t="n">
        <v>4</v>
      </c>
      <c r="C382" t="n">
        <v>4</v>
      </c>
      <c r="D382" t="n">
        <v>1</v>
      </c>
      <c r="E382" t="n">
        <v>2</v>
      </c>
      <c r="F382" t="n">
        <v>3</v>
      </c>
      <c r="G382" t="n">
        <v>2</v>
      </c>
      <c r="H382" t="n">
        <v>3</v>
      </c>
      <c r="I382" t="n">
        <v>5</v>
      </c>
      <c r="J382" t="n">
        <v>3</v>
      </c>
      <c r="K382" t="n">
        <v>4</v>
      </c>
      <c r="L382" t="n">
        <v>2</v>
      </c>
      <c r="M382" t="n">
        <v>2</v>
      </c>
      <c r="N382" t="n">
        <v>2</v>
      </c>
      <c r="O382" t="n">
        <v>1</v>
      </c>
      <c r="P382" t="n">
        <v>5</v>
      </c>
      <c r="Q382" t="n">
        <v>3</v>
      </c>
      <c r="R382" t="n">
        <v>5</v>
      </c>
      <c r="S382" t="n">
        <v>1</v>
      </c>
      <c r="T382" t="n">
        <v>3</v>
      </c>
      <c r="U382">
        <f>(AVERAGE(B382:D382)-1)/4</f>
        <v/>
      </c>
      <c r="V382">
        <f>(AVERAGE(E382:F382)-1)/4</f>
        <v/>
      </c>
      <c r="W382">
        <f>(AVERAGE(G382:I382)-1)/4</f>
        <v/>
      </c>
      <c r="X382">
        <f>(AVERAGE(J382:L382)-1)/4</f>
        <v/>
      </c>
      <c r="Y382">
        <f>(AVERAGE(M382:O382)-1)/4</f>
        <v/>
      </c>
      <c r="Z382">
        <f>(AVERAGE(P382:R382)-1)/4</f>
        <v/>
      </c>
      <c r="AA382">
        <f>(AVERAGE(S382:T382)-1)/4</f>
        <v/>
      </c>
      <c r="AB382">
        <f>AVERAGE(U382:Y382)</f>
        <v/>
      </c>
      <c r="AC382">
        <f>MIN(U382:Y382)</f>
        <v/>
      </c>
      <c r="AD382">
        <f>1-alpha*MAX(0,delta-AC382)</f>
        <v/>
      </c>
      <c r="AE382">
        <f>AB382*AD382</f>
        <v/>
      </c>
      <c r="AF382">
        <f>1+COUNTIF(bounds,"&lt;"&amp;ROUND(AB382,12))</f>
        <v/>
      </c>
      <c r="AG382">
        <f>1+COUNTIF(bounds,"&lt;"&amp;ROUND(AE382,12))</f>
        <v/>
      </c>
      <c r="AH382">
        <f>IF(AD382&lt;1,1,0)</f>
        <v/>
      </c>
      <c r="AI382">
        <f>IF(AF382&lt;&gt;AG382,1,0)</f>
        <v/>
      </c>
      <c r="AJ382">
        <f>IF(AND(AG382&gt;=3,Z382&lt;=0.2),1,0)</f>
        <v/>
      </c>
      <c r="AK382">
        <f>AVERAGE(U382:Z382)</f>
        <v/>
      </c>
      <c r="AL382">
        <f>1+COUNTIF(bounds,"&lt;"&amp;ROUND(AK382,12))</f>
        <v/>
      </c>
      <c r="AM382">
        <f>IF(AI382=1,AB382,NA())</f>
        <v/>
      </c>
      <c r="AN382">
        <f>IF(AI382=0,AB382,NA())</f>
        <v/>
      </c>
    </row>
    <row r="383">
      <c r="A383" t="n">
        <v>375</v>
      </c>
      <c r="B383" t="n">
        <v>5</v>
      </c>
      <c r="C383" t="n">
        <v>2</v>
      </c>
      <c r="D383" t="n">
        <v>2</v>
      </c>
      <c r="E383" t="n">
        <v>2</v>
      </c>
      <c r="F383" t="n">
        <v>4</v>
      </c>
      <c r="G383" t="n">
        <v>3</v>
      </c>
      <c r="H383" t="n">
        <v>4</v>
      </c>
      <c r="I383" t="n">
        <v>3</v>
      </c>
      <c r="J383" t="n">
        <v>2</v>
      </c>
      <c r="K383" t="n">
        <v>5</v>
      </c>
      <c r="L383" t="n">
        <v>4</v>
      </c>
      <c r="M383" t="n">
        <v>3</v>
      </c>
      <c r="N383" t="n">
        <v>2</v>
      </c>
      <c r="O383" t="n">
        <v>1</v>
      </c>
      <c r="P383" t="n">
        <v>5</v>
      </c>
      <c r="Q383" t="n">
        <v>2</v>
      </c>
      <c r="R383" t="n">
        <v>1</v>
      </c>
      <c r="S383" t="n">
        <v>2</v>
      </c>
      <c r="T383" t="n">
        <v>4</v>
      </c>
      <c r="U383">
        <f>(AVERAGE(B383:D383)-1)/4</f>
        <v/>
      </c>
      <c r="V383">
        <f>(AVERAGE(E383:F383)-1)/4</f>
        <v/>
      </c>
      <c r="W383">
        <f>(AVERAGE(G383:I383)-1)/4</f>
        <v/>
      </c>
      <c r="X383">
        <f>(AVERAGE(J383:L383)-1)/4</f>
        <v/>
      </c>
      <c r="Y383">
        <f>(AVERAGE(M383:O383)-1)/4</f>
        <v/>
      </c>
      <c r="Z383">
        <f>(AVERAGE(P383:R383)-1)/4</f>
        <v/>
      </c>
      <c r="AA383">
        <f>(AVERAGE(S383:T383)-1)/4</f>
        <v/>
      </c>
      <c r="AB383">
        <f>AVERAGE(U383:Y383)</f>
        <v/>
      </c>
      <c r="AC383">
        <f>MIN(U383:Y383)</f>
        <v/>
      </c>
      <c r="AD383">
        <f>1-alpha*MAX(0,delta-AC383)</f>
        <v/>
      </c>
      <c r="AE383">
        <f>AB383*AD383</f>
        <v/>
      </c>
      <c r="AF383">
        <f>1+COUNTIF(bounds,"&lt;"&amp;ROUND(AB383,12))</f>
        <v/>
      </c>
      <c r="AG383">
        <f>1+COUNTIF(bounds,"&lt;"&amp;ROUND(AE383,12))</f>
        <v/>
      </c>
      <c r="AH383">
        <f>IF(AD383&lt;1,1,0)</f>
        <v/>
      </c>
      <c r="AI383">
        <f>IF(AF383&lt;&gt;AG383,1,0)</f>
        <v/>
      </c>
      <c r="AJ383">
        <f>IF(AND(AG383&gt;=3,Z383&lt;=0.2),1,0)</f>
        <v/>
      </c>
      <c r="AK383">
        <f>AVERAGE(U383:Z383)</f>
        <v/>
      </c>
      <c r="AL383">
        <f>1+COUNTIF(bounds,"&lt;"&amp;ROUND(AK383,12))</f>
        <v/>
      </c>
      <c r="AM383">
        <f>IF(AI383=1,AB383,NA())</f>
        <v/>
      </c>
      <c r="AN383">
        <f>IF(AI383=0,AB383,NA())</f>
        <v/>
      </c>
    </row>
    <row r="384">
      <c r="A384" t="n">
        <v>376</v>
      </c>
      <c r="B384" t="n">
        <v>1</v>
      </c>
      <c r="C384" t="n">
        <v>3</v>
      </c>
      <c r="D384" t="n">
        <v>5</v>
      </c>
      <c r="E384" t="n">
        <v>1</v>
      </c>
      <c r="F384" t="n">
        <v>2</v>
      </c>
      <c r="G384" t="n">
        <v>5</v>
      </c>
      <c r="H384" t="n">
        <v>5</v>
      </c>
      <c r="I384" t="n">
        <v>5</v>
      </c>
      <c r="J384" t="n">
        <v>1</v>
      </c>
      <c r="K384" t="n">
        <v>5</v>
      </c>
      <c r="L384" t="n">
        <v>2</v>
      </c>
      <c r="M384" t="n">
        <v>2</v>
      </c>
      <c r="N384" t="n">
        <v>5</v>
      </c>
      <c r="O384" t="n">
        <v>1</v>
      </c>
      <c r="P384" t="n">
        <v>2</v>
      </c>
      <c r="Q384" t="n">
        <v>2</v>
      </c>
      <c r="R384" t="n">
        <v>4</v>
      </c>
      <c r="S384" t="n">
        <v>5</v>
      </c>
      <c r="T384" t="n">
        <v>5</v>
      </c>
      <c r="U384">
        <f>(AVERAGE(B384:D384)-1)/4</f>
        <v/>
      </c>
      <c r="V384">
        <f>(AVERAGE(E384:F384)-1)/4</f>
        <v/>
      </c>
      <c r="W384">
        <f>(AVERAGE(G384:I384)-1)/4</f>
        <v/>
      </c>
      <c r="X384">
        <f>(AVERAGE(J384:L384)-1)/4</f>
        <v/>
      </c>
      <c r="Y384">
        <f>(AVERAGE(M384:O384)-1)/4</f>
        <v/>
      </c>
      <c r="Z384">
        <f>(AVERAGE(P384:R384)-1)/4</f>
        <v/>
      </c>
      <c r="AA384">
        <f>(AVERAGE(S384:T384)-1)/4</f>
        <v/>
      </c>
      <c r="AB384">
        <f>AVERAGE(U384:Y384)</f>
        <v/>
      </c>
      <c r="AC384">
        <f>MIN(U384:Y384)</f>
        <v/>
      </c>
      <c r="AD384">
        <f>1-alpha*MAX(0,delta-AC384)</f>
        <v/>
      </c>
      <c r="AE384">
        <f>AB384*AD384</f>
        <v/>
      </c>
      <c r="AF384">
        <f>1+COUNTIF(bounds,"&lt;"&amp;ROUND(AB384,12))</f>
        <v/>
      </c>
      <c r="AG384">
        <f>1+COUNTIF(bounds,"&lt;"&amp;ROUND(AE384,12))</f>
        <v/>
      </c>
      <c r="AH384">
        <f>IF(AD384&lt;1,1,0)</f>
        <v/>
      </c>
      <c r="AI384">
        <f>IF(AF384&lt;&gt;AG384,1,0)</f>
        <v/>
      </c>
      <c r="AJ384">
        <f>IF(AND(AG384&gt;=3,Z384&lt;=0.2),1,0)</f>
        <v/>
      </c>
      <c r="AK384">
        <f>AVERAGE(U384:Z384)</f>
        <v/>
      </c>
      <c r="AL384">
        <f>1+COUNTIF(bounds,"&lt;"&amp;ROUND(AK384,12))</f>
        <v/>
      </c>
      <c r="AM384">
        <f>IF(AI384=1,AB384,NA())</f>
        <v/>
      </c>
      <c r="AN384">
        <f>IF(AI384=0,AB384,NA())</f>
        <v/>
      </c>
    </row>
    <row r="385">
      <c r="A385" t="n">
        <v>377</v>
      </c>
      <c r="B385" t="n">
        <v>4</v>
      </c>
      <c r="C385" t="n">
        <v>3</v>
      </c>
      <c r="D385" t="n">
        <v>5</v>
      </c>
      <c r="E385" t="n">
        <v>1</v>
      </c>
      <c r="F385" t="n">
        <v>3</v>
      </c>
      <c r="G385" t="n">
        <v>1</v>
      </c>
      <c r="H385" t="n">
        <v>3</v>
      </c>
      <c r="I385" t="n">
        <v>4</v>
      </c>
      <c r="J385" t="n">
        <v>5</v>
      </c>
      <c r="K385" t="n">
        <v>1</v>
      </c>
      <c r="L385" t="n">
        <v>4</v>
      </c>
      <c r="M385" t="n">
        <v>1</v>
      </c>
      <c r="N385" t="n">
        <v>5</v>
      </c>
      <c r="O385" t="n">
        <v>2</v>
      </c>
      <c r="P385" t="n">
        <v>3</v>
      </c>
      <c r="Q385" t="n">
        <v>4</v>
      </c>
      <c r="R385" t="n">
        <v>2</v>
      </c>
      <c r="S385" t="n">
        <v>4</v>
      </c>
      <c r="T385" t="n">
        <v>5</v>
      </c>
      <c r="U385">
        <f>(AVERAGE(B385:D385)-1)/4</f>
        <v/>
      </c>
      <c r="V385">
        <f>(AVERAGE(E385:F385)-1)/4</f>
        <v/>
      </c>
      <c r="W385">
        <f>(AVERAGE(G385:I385)-1)/4</f>
        <v/>
      </c>
      <c r="X385">
        <f>(AVERAGE(J385:L385)-1)/4</f>
        <v/>
      </c>
      <c r="Y385">
        <f>(AVERAGE(M385:O385)-1)/4</f>
        <v/>
      </c>
      <c r="Z385">
        <f>(AVERAGE(P385:R385)-1)/4</f>
        <v/>
      </c>
      <c r="AA385">
        <f>(AVERAGE(S385:T385)-1)/4</f>
        <v/>
      </c>
      <c r="AB385">
        <f>AVERAGE(U385:Y385)</f>
        <v/>
      </c>
      <c r="AC385">
        <f>MIN(U385:Y385)</f>
        <v/>
      </c>
      <c r="AD385">
        <f>1-alpha*MAX(0,delta-AC385)</f>
        <v/>
      </c>
      <c r="AE385">
        <f>AB385*AD385</f>
        <v/>
      </c>
      <c r="AF385">
        <f>1+COUNTIF(bounds,"&lt;"&amp;ROUND(AB385,12))</f>
        <v/>
      </c>
      <c r="AG385">
        <f>1+COUNTIF(bounds,"&lt;"&amp;ROUND(AE385,12))</f>
        <v/>
      </c>
      <c r="AH385">
        <f>IF(AD385&lt;1,1,0)</f>
        <v/>
      </c>
      <c r="AI385">
        <f>IF(AF385&lt;&gt;AG385,1,0)</f>
        <v/>
      </c>
      <c r="AJ385">
        <f>IF(AND(AG385&gt;=3,Z385&lt;=0.2),1,0)</f>
        <v/>
      </c>
      <c r="AK385">
        <f>AVERAGE(U385:Z385)</f>
        <v/>
      </c>
      <c r="AL385">
        <f>1+COUNTIF(bounds,"&lt;"&amp;ROUND(AK385,12))</f>
        <v/>
      </c>
      <c r="AM385">
        <f>IF(AI385=1,AB385,NA())</f>
        <v/>
      </c>
      <c r="AN385">
        <f>IF(AI385=0,AB385,NA())</f>
        <v/>
      </c>
    </row>
    <row r="386">
      <c r="A386" t="n">
        <v>378</v>
      </c>
      <c r="B386" t="n">
        <v>5</v>
      </c>
      <c r="C386" t="n">
        <v>3</v>
      </c>
      <c r="D386" t="n">
        <v>4</v>
      </c>
      <c r="E386" t="n">
        <v>5</v>
      </c>
      <c r="F386" t="n">
        <v>1</v>
      </c>
      <c r="G386" t="n">
        <v>2</v>
      </c>
      <c r="H386" t="n">
        <v>3</v>
      </c>
      <c r="I386" t="n">
        <v>1</v>
      </c>
      <c r="J386" t="n">
        <v>5</v>
      </c>
      <c r="K386" t="n">
        <v>1</v>
      </c>
      <c r="L386" t="n">
        <v>2</v>
      </c>
      <c r="M386" t="n">
        <v>2</v>
      </c>
      <c r="N386" t="n">
        <v>2</v>
      </c>
      <c r="O386" t="n">
        <v>5</v>
      </c>
      <c r="P386" t="n">
        <v>5</v>
      </c>
      <c r="Q386" t="n">
        <v>3</v>
      </c>
      <c r="R386" t="n">
        <v>2</v>
      </c>
      <c r="S386" t="n">
        <v>1</v>
      </c>
      <c r="T386" t="n">
        <v>5</v>
      </c>
      <c r="U386">
        <f>(AVERAGE(B386:D386)-1)/4</f>
        <v/>
      </c>
      <c r="V386">
        <f>(AVERAGE(E386:F386)-1)/4</f>
        <v/>
      </c>
      <c r="W386">
        <f>(AVERAGE(G386:I386)-1)/4</f>
        <v/>
      </c>
      <c r="X386">
        <f>(AVERAGE(J386:L386)-1)/4</f>
        <v/>
      </c>
      <c r="Y386">
        <f>(AVERAGE(M386:O386)-1)/4</f>
        <v/>
      </c>
      <c r="Z386">
        <f>(AVERAGE(P386:R386)-1)/4</f>
        <v/>
      </c>
      <c r="AA386">
        <f>(AVERAGE(S386:T386)-1)/4</f>
        <v/>
      </c>
      <c r="AB386">
        <f>AVERAGE(U386:Y386)</f>
        <v/>
      </c>
      <c r="AC386">
        <f>MIN(U386:Y386)</f>
        <v/>
      </c>
      <c r="AD386">
        <f>1-alpha*MAX(0,delta-AC386)</f>
        <v/>
      </c>
      <c r="AE386">
        <f>AB386*AD386</f>
        <v/>
      </c>
      <c r="AF386">
        <f>1+COUNTIF(bounds,"&lt;"&amp;ROUND(AB386,12))</f>
        <v/>
      </c>
      <c r="AG386">
        <f>1+COUNTIF(bounds,"&lt;"&amp;ROUND(AE386,12))</f>
        <v/>
      </c>
      <c r="AH386">
        <f>IF(AD386&lt;1,1,0)</f>
        <v/>
      </c>
      <c r="AI386">
        <f>IF(AF386&lt;&gt;AG386,1,0)</f>
        <v/>
      </c>
      <c r="AJ386">
        <f>IF(AND(AG386&gt;=3,Z386&lt;=0.2),1,0)</f>
        <v/>
      </c>
      <c r="AK386">
        <f>AVERAGE(U386:Z386)</f>
        <v/>
      </c>
      <c r="AL386">
        <f>1+COUNTIF(bounds,"&lt;"&amp;ROUND(AK386,12))</f>
        <v/>
      </c>
      <c r="AM386">
        <f>IF(AI386=1,AB386,NA())</f>
        <v/>
      </c>
      <c r="AN386">
        <f>IF(AI386=0,AB386,NA())</f>
        <v/>
      </c>
    </row>
    <row r="387">
      <c r="A387" t="n">
        <v>379</v>
      </c>
      <c r="B387" t="n">
        <v>5</v>
      </c>
      <c r="C387" t="n">
        <v>1</v>
      </c>
      <c r="D387" t="n">
        <v>3</v>
      </c>
      <c r="E387" t="n">
        <v>4</v>
      </c>
      <c r="F387" t="n">
        <v>5</v>
      </c>
      <c r="G387" t="n">
        <v>1</v>
      </c>
      <c r="H387" t="n">
        <v>2</v>
      </c>
      <c r="I387" t="n">
        <v>2</v>
      </c>
      <c r="J387" t="n">
        <v>4</v>
      </c>
      <c r="K387" t="n">
        <v>5</v>
      </c>
      <c r="L387" t="n">
        <v>1</v>
      </c>
      <c r="M387" t="n">
        <v>1</v>
      </c>
      <c r="N387" t="n">
        <v>1</v>
      </c>
      <c r="O387" t="n">
        <v>5</v>
      </c>
      <c r="P387" t="n">
        <v>3</v>
      </c>
      <c r="Q387" t="n">
        <v>4</v>
      </c>
      <c r="R387" t="n">
        <v>5</v>
      </c>
      <c r="S387" t="n">
        <v>4</v>
      </c>
      <c r="T387" t="n">
        <v>4</v>
      </c>
      <c r="U387">
        <f>(AVERAGE(B387:D387)-1)/4</f>
        <v/>
      </c>
      <c r="V387">
        <f>(AVERAGE(E387:F387)-1)/4</f>
        <v/>
      </c>
      <c r="W387">
        <f>(AVERAGE(G387:I387)-1)/4</f>
        <v/>
      </c>
      <c r="X387">
        <f>(AVERAGE(J387:L387)-1)/4</f>
        <v/>
      </c>
      <c r="Y387">
        <f>(AVERAGE(M387:O387)-1)/4</f>
        <v/>
      </c>
      <c r="Z387">
        <f>(AVERAGE(P387:R387)-1)/4</f>
        <v/>
      </c>
      <c r="AA387">
        <f>(AVERAGE(S387:T387)-1)/4</f>
        <v/>
      </c>
      <c r="AB387">
        <f>AVERAGE(U387:Y387)</f>
        <v/>
      </c>
      <c r="AC387">
        <f>MIN(U387:Y387)</f>
        <v/>
      </c>
      <c r="AD387">
        <f>1-alpha*MAX(0,delta-AC387)</f>
        <v/>
      </c>
      <c r="AE387">
        <f>AB387*AD387</f>
        <v/>
      </c>
      <c r="AF387">
        <f>1+COUNTIF(bounds,"&lt;"&amp;ROUND(AB387,12))</f>
        <v/>
      </c>
      <c r="AG387">
        <f>1+COUNTIF(bounds,"&lt;"&amp;ROUND(AE387,12))</f>
        <v/>
      </c>
      <c r="AH387">
        <f>IF(AD387&lt;1,1,0)</f>
        <v/>
      </c>
      <c r="AI387">
        <f>IF(AF387&lt;&gt;AG387,1,0)</f>
        <v/>
      </c>
      <c r="AJ387">
        <f>IF(AND(AG387&gt;=3,Z387&lt;=0.2),1,0)</f>
        <v/>
      </c>
      <c r="AK387">
        <f>AVERAGE(U387:Z387)</f>
        <v/>
      </c>
      <c r="AL387">
        <f>1+COUNTIF(bounds,"&lt;"&amp;ROUND(AK387,12))</f>
        <v/>
      </c>
      <c r="AM387">
        <f>IF(AI387=1,AB387,NA())</f>
        <v/>
      </c>
      <c r="AN387">
        <f>IF(AI387=0,AB387,NA())</f>
        <v/>
      </c>
    </row>
    <row r="388">
      <c r="A388" t="n">
        <v>380</v>
      </c>
      <c r="B388" t="n">
        <v>4</v>
      </c>
      <c r="C388" t="n">
        <v>3</v>
      </c>
      <c r="D388" t="n">
        <v>2</v>
      </c>
      <c r="E388" t="n">
        <v>5</v>
      </c>
      <c r="F388" t="n">
        <v>1</v>
      </c>
      <c r="G388" t="n">
        <v>3</v>
      </c>
      <c r="H388" t="n">
        <v>4</v>
      </c>
      <c r="I388" t="n">
        <v>1</v>
      </c>
      <c r="J388" t="n">
        <v>4</v>
      </c>
      <c r="K388" t="n">
        <v>3</v>
      </c>
      <c r="L388" t="n">
        <v>1</v>
      </c>
      <c r="M388" t="n">
        <v>2</v>
      </c>
      <c r="N388" t="n">
        <v>4</v>
      </c>
      <c r="O388" t="n">
        <v>2</v>
      </c>
      <c r="P388" t="n">
        <v>5</v>
      </c>
      <c r="Q388" t="n">
        <v>2</v>
      </c>
      <c r="R388" t="n">
        <v>1</v>
      </c>
      <c r="S388" t="n">
        <v>5</v>
      </c>
      <c r="T388" t="n">
        <v>3</v>
      </c>
      <c r="U388">
        <f>(AVERAGE(B388:D388)-1)/4</f>
        <v/>
      </c>
      <c r="V388">
        <f>(AVERAGE(E388:F388)-1)/4</f>
        <v/>
      </c>
      <c r="W388">
        <f>(AVERAGE(G388:I388)-1)/4</f>
        <v/>
      </c>
      <c r="X388">
        <f>(AVERAGE(J388:L388)-1)/4</f>
        <v/>
      </c>
      <c r="Y388">
        <f>(AVERAGE(M388:O388)-1)/4</f>
        <v/>
      </c>
      <c r="Z388">
        <f>(AVERAGE(P388:R388)-1)/4</f>
        <v/>
      </c>
      <c r="AA388">
        <f>(AVERAGE(S388:T388)-1)/4</f>
        <v/>
      </c>
      <c r="AB388">
        <f>AVERAGE(U388:Y388)</f>
        <v/>
      </c>
      <c r="AC388">
        <f>MIN(U388:Y388)</f>
        <v/>
      </c>
      <c r="AD388">
        <f>1-alpha*MAX(0,delta-AC388)</f>
        <v/>
      </c>
      <c r="AE388">
        <f>AB388*AD388</f>
        <v/>
      </c>
      <c r="AF388">
        <f>1+COUNTIF(bounds,"&lt;"&amp;ROUND(AB388,12))</f>
        <v/>
      </c>
      <c r="AG388">
        <f>1+COUNTIF(bounds,"&lt;"&amp;ROUND(AE388,12))</f>
        <v/>
      </c>
      <c r="AH388">
        <f>IF(AD388&lt;1,1,0)</f>
        <v/>
      </c>
      <c r="AI388">
        <f>IF(AF388&lt;&gt;AG388,1,0)</f>
        <v/>
      </c>
      <c r="AJ388">
        <f>IF(AND(AG388&gt;=3,Z388&lt;=0.2),1,0)</f>
        <v/>
      </c>
      <c r="AK388">
        <f>AVERAGE(U388:Z388)</f>
        <v/>
      </c>
      <c r="AL388">
        <f>1+COUNTIF(bounds,"&lt;"&amp;ROUND(AK388,12))</f>
        <v/>
      </c>
      <c r="AM388">
        <f>IF(AI388=1,AB388,NA())</f>
        <v/>
      </c>
      <c r="AN388">
        <f>IF(AI388=0,AB388,NA())</f>
        <v/>
      </c>
    </row>
    <row r="389">
      <c r="A389" t="n">
        <v>381</v>
      </c>
      <c r="B389" t="n">
        <v>2</v>
      </c>
      <c r="C389" t="n">
        <v>5</v>
      </c>
      <c r="D389" t="n">
        <v>5</v>
      </c>
      <c r="E389" t="n">
        <v>1</v>
      </c>
      <c r="F389" t="n">
        <v>3</v>
      </c>
      <c r="G389" t="n">
        <v>2</v>
      </c>
      <c r="H389" t="n">
        <v>5</v>
      </c>
      <c r="I389" t="n">
        <v>1</v>
      </c>
      <c r="J389" t="n">
        <v>3</v>
      </c>
      <c r="K389" t="n">
        <v>2</v>
      </c>
      <c r="L389" t="n">
        <v>5</v>
      </c>
      <c r="M389" t="n">
        <v>1</v>
      </c>
      <c r="N389" t="n">
        <v>4</v>
      </c>
      <c r="O389" t="n">
        <v>2</v>
      </c>
      <c r="P389" t="n">
        <v>4</v>
      </c>
      <c r="Q389" t="n">
        <v>1</v>
      </c>
      <c r="R389" t="n">
        <v>3</v>
      </c>
      <c r="S389" t="n">
        <v>3</v>
      </c>
      <c r="T389" t="n">
        <v>5</v>
      </c>
      <c r="U389">
        <f>(AVERAGE(B389:D389)-1)/4</f>
        <v/>
      </c>
      <c r="V389">
        <f>(AVERAGE(E389:F389)-1)/4</f>
        <v/>
      </c>
      <c r="W389">
        <f>(AVERAGE(G389:I389)-1)/4</f>
        <v/>
      </c>
      <c r="X389">
        <f>(AVERAGE(J389:L389)-1)/4</f>
        <v/>
      </c>
      <c r="Y389">
        <f>(AVERAGE(M389:O389)-1)/4</f>
        <v/>
      </c>
      <c r="Z389">
        <f>(AVERAGE(P389:R389)-1)/4</f>
        <v/>
      </c>
      <c r="AA389">
        <f>(AVERAGE(S389:T389)-1)/4</f>
        <v/>
      </c>
      <c r="AB389">
        <f>AVERAGE(U389:Y389)</f>
        <v/>
      </c>
      <c r="AC389">
        <f>MIN(U389:Y389)</f>
        <v/>
      </c>
      <c r="AD389">
        <f>1-alpha*MAX(0,delta-AC389)</f>
        <v/>
      </c>
      <c r="AE389">
        <f>AB389*AD389</f>
        <v/>
      </c>
      <c r="AF389">
        <f>1+COUNTIF(bounds,"&lt;"&amp;ROUND(AB389,12))</f>
        <v/>
      </c>
      <c r="AG389">
        <f>1+COUNTIF(bounds,"&lt;"&amp;ROUND(AE389,12))</f>
        <v/>
      </c>
      <c r="AH389">
        <f>IF(AD389&lt;1,1,0)</f>
        <v/>
      </c>
      <c r="AI389">
        <f>IF(AF389&lt;&gt;AG389,1,0)</f>
        <v/>
      </c>
      <c r="AJ389">
        <f>IF(AND(AG389&gt;=3,Z389&lt;=0.2),1,0)</f>
        <v/>
      </c>
      <c r="AK389">
        <f>AVERAGE(U389:Z389)</f>
        <v/>
      </c>
      <c r="AL389">
        <f>1+COUNTIF(bounds,"&lt;"&amp;ROUND(AK389,12))</f>
        <v/>
      </c>
      <c r="AM389">
        <f>IF(AI389=1,AB389,NA())</f>
        <v/>
      </c>
      <c r="AN389">
        <f>IF(AI389=0,AB389,NA())</f>
        <v/>
      </c>
    </row>
    <row r="390">
      <c r="A390" t="n">
        <v>382</v>
      </c>
      <c r="B390" t="n">
        <v>1</v>
      </c>
      <c r="C390" t="n">
        <v>4</v>
      </c>
      <c r="D390" t="n">
        <v>4</v>
      </c>
      <c r="E390" t="n">
        <v>2</v>
      </c>
      <c r="F390" t="n">
        <v>1</v>
      </c>
      <c r="G390" t="n">
        <v>2</v>
      </c>
      <c r="H390" t="n">
        <v>2</v>
      </c>
      <c r="I390" t="n">
        <v>2</v>
      </c>
      <c r="J390" t="n">
        <v>1</v>
      </c>
      <c r="K390" t="n">
        <v>2</v>
      </c>
      <c r="L390" t="n">
        <v>1</v>
      </c>
      <c r="M390" t="n">
        <v>4</v>
      </c>
      <c r="N390" t="n">
        <v>2</v>
      </c>
      <c r="O390" t="n">
        <v>1</v>
      </c>
      <c r="P390" t="n">
        <v>3</v>
      </c>
      <c r="Q390" t="n">
        <v>1</v>
      </c>
      <c r="R390" t="n">
        <v>2</v>
      </c>
      <c r="S390" t="n">
        <v>5</v>
      </c>
      <c r="T390" t="n">
        <v>2</v>
      </c>
      <c r="U390">
        <f>(AVERAGE(B390:D390)-1)/4</f>
        <v/>
      </c>
      <c r="V390">
        <f>(AVERAGE(E390:F390)-1)/4</f>
        <v/>
      </c>
      <c r="W390">
        <f>(AVERAGE(G390:I390)-1)/4</f>
        <v/>
      </c>
      <c r="X390">
        <f>(AVERAGE(J390:L390)-1)/4</f>
        <v/>
      </c>
      <c r="Y390">
        <f>(AVERAGE(M390:O390)-1)/4</f>
        <v/>
      </c>
      <c r="Z390">
        <f>(AVERAGE(P390:R390)-1)/4</f>
        <v/>
      </c>
      <c r="AA390">
        <f>(AVERAGE(S390:T390)-1)/4</f>
        <v/>
      </c>
      <c r="AB390">
        <f>AVERAGE(U390:Y390)</f>
        <v/>
      </c>
      <c r="AC390">
        <f>MIN(U390:Y390)</f>
        <v/>
      </c>
      <c r="AD390">
        <f>1-alpha*MAX(0,delta-AC390)</f>
        <v/>
      </c>
      <c r="AE390">
        <f>AB390*AD390</f>
        <v/>
      </c>
      <c r="AF390">
        <f>1+COUNTIF(bounds,"&lt;"&amp;ROUND(AB390,12))</f>
        <v/>
      </c>
      <c r="AG390">
        <f>1+COUNTIF(bounds,"&lt;"&amp;ROUND(AE390,12))</f>
        <v/>
      </c>
      <c r="AH390">
        <f>IF(AD390&lt;1,1,0)</f>
        <v/>
      </c>
      <c r="AI390">
        <f>IF(AF390&lt;&gt;AG390,1,0)</f>
        <v/>
      </c>
      <c r="AJ390">
        <f>IF(AND(AG390&gt;=3,Z390&lt;=0.2),1,0)</f>
        <v/>
      </c>
      <c r="AK390">
        <f>AVERAGE(U390:Z390)</f>
        <v/>
      </c>
      <c r="AL390">
        <f>1+COUNTIF(bounds,"&lt;"&amp;ROUND(AK390,12))</f>
        <v/>
      </c>
      <c r="AM390">
        <f>IF(AI390=1,AB390,NA())</f>
        <v/>
      </c>
      <c r="AN390">
        <f>IF(AI390=0,AB390,NA())</f>
        <v/>
      </c>
    </row>
    <row r="391">
      <c r="A391" t="n">
        <v>383</v>
      </c>
      <c r="B391" t="n">
        <v>3</v>
      </c>
      <c r="C391" t="n">
        <v>2</v>
      </c>
      <c r="D391" t="n">
        <v>2</v>
      </c>
      <c r="E391" t="n">
        <v>2</v>
      </c>
      <c r="F391" t="n">
        <v>1</v>
      </c>
      <c r="G391" t="n">
        <v>5</v>
      </c>
      <c r="H391" t="n">
        <v>2</v>
      </c>
      <c r="I391" t="n">
        <v>3</v>
      </c>
      <c r="J391" t="n">
        <v>1</v>
      </c>
      <c r="K391" t="n">
        <v>3</v>
      </c>
      <c r="L391" t="n">
        <v>2</v>
      </c>
      <c r="M391" t="n">
        <v>4</v>
      </c>
      <c r="N391" t="n">
        <v>4</v>
      </c>
      <c r="O391" t="n">
        <v>5</v>
      </c>
      <c r="P391" t="n">
        <v>5</v>
      </c>
      <c r="Q391" t="n">
        <v>5</v>
      </c>
      <c r="R391" t="n">
        <v>2</v>
      </c>
      <c r="S391" t="n">
        <v>1</v>
      </c>
      <c r="T391" t="n">
        <v>3</v>
      </c>
      <c r="U391">
        <f>(AVERAGE(B391:D391)-1)/4</f>
        <v/>
      </c>
      <c r="V391">
        <f>(AVERAGE(E391:F391)-1)/4</f>
        <v/>
      </c>
      <c r="W391">
        <f>(AVERAGE(G391:I391)-1)/4</f>
        <v/>
      </c>
      <c r="X391">
        <f>(AVERAGE(J391:L391)-1)/4</f>
        <v/>
      </c>
      <c r="Y391">
        <f>(AVERAGE(M391:O391)-1)/4</f>
        <v/>
      </c>
      <c r="Z391">
        <f>(AVERAGE(P391:R391)-1)/4</f>
        <v/>
      </c>
      <c r="AA391">
        <f>(AVERAGE(S391:T391)-1)/4</f>
        <v/>
      </c>
      <c r="AB391">
        <f>AVERAGE(U391:Y391)</f>
        <v/>
      </c>
      <c r="AC391">
        <f>MIN(U391:Y391)</f>
        <v/>
      </c>
      <c r="AD391">
        <f>1-alpha*MAX(0,delta-AC391)</f>
        <v/>
      </c>
      <c r="AE391">
        <f>AB391*AD391</f>
        <v/>
      </c>
      <c r="AF391">
        <f>1+COUNTIF(bounds,"&lt;"&amp;ROUND(AB391,12))</f>
        <v/>
      </c>
      <c r="AG391">
        <f>1+COUNTIF(bounds,"&lt;"&amp;ROUND(AE391,12))</f>
        <v/>
      </c>
      <c r="AH391">
        <f>IF(AD391&lt;1,1,0)</f>
        <v/>
      </c>
      <c r="AI391">
        <f>IF(AF391&lt;&gt;AG391,1,0)</f>
        <v/>
      </c>
      <c r="AJ391">
        <f>IF(AND(AG391&gt;=3,Z391&lt;=0.2),1,0)</f>
        <v/>
      </c>
      <c r="AK391">
        <f>AVERAGE(U391:Z391)</f>
        <v/>
      </c>
      <c r="AL391">
        <f>1+COUNTIF(bounds,"&lt;"&amp;ROUND(AK391,12))</f>
        <v/>
      </c>
      <c r="AM391">
        <f>IF(AI391=1,AB391,NA())</f>
        <v/>
      </c>
      <c r="AN391">
        <f>IF(AI391=0,AB391,NA())</f>
        <v/>
      </c>
    </row>
    <row r="392">
      <c r="A392" t="n">
        <v>384</v>
      </c>
      <c r="B392" t="n">
        <v>4</v>
      </c>
      <c r="C392" t="n">
        <v>3</v>
      </c>
      <c r="D392" t="n">
        <v>4</v>
      </c>
      <c r="E392" t="n">
        <v>5</v>
      </c>
      <c r="F392" t="n">
        <v>3</v>
      </c>
      <c r="G392" t="n">
        <v>4</v>
      </c>
      <c r="H392" t="n">
        <v>4</v>
      </c>
      <c r="I392" t="n">
        <v>5</v>
      </c>
      <c r="J392" t="n">
        <v>5</v>
      </c>
      <c r="K392" t="n">
        <v>1</v>
      </c>
      <c r="L392" t="n">
        <v>1</v>
      </c>
      <c r="M392" t="n">
        <v>4</v>
      </c>
      <c r="N392" t="n">
        <v>2</v>
      </c>
      <c r="O392" t="n">
        <v>1</v>
      </c>
      <c r="P392" t="n">
        <v>3</v>
      </c>
      <c r="Q392" t="n">
        <v>1</v>
      </c>
      <c r="R392" t="n">
        <v>3</v>
      </c>
      <c r="S392" t="n">
        <v>1</v>
      </c>
      <c r="T392" t="n">
        <v>4</v>
      </c>
      <c r="U392">
        <f>(AVERAGE(B392:D392)-1)/4</f>
        <v/>
      </c>
      <c r="V392">
        <f>(AVERAGE(E392:F392)-1)/4</f>
        <v/>
      </c>
      <c r="W392">
        <f>(AVERAGE(G392:I392)-1)/4</f>
        <v/>
      </c>
      <c r="X392">
        <f>(AVERAGE(J392:L392)-1)/4</f>
        <v/>
      </c>
      <c r="Y392">
        <f>(AVERAGE(M392:O392)-1)/4</f>
        <v/>
      </c>
      <c r="Z392">
        <f>(AVERAGE(P392:R392)-1)/4</f>
        <v/>
      </c>
      <c r="AA392">
        <f>(AVERAGE(S392:T392)-1)/4</f>
        <v/>
      </c>
      <c r="AB392">
        <f>AVERAGE(U392:Y392)</f>
        <v/>
      </c>
      <c r="AC392">
        <f>MIN(U392:Y392)</f>
        <v/>
      </c>
      <c r="AD392">
        <f>1-alpha*MAX(0,delta-AC392)</f>
        <v/>
      </c>
      <c r="AE392">
        <f>AB392*AD392</f>
        <v/>
      </c>
      <c r="AF392">
        <f>1+COUNTIF(bounds,"&lt;"&amp;ROUND(AB392,12))</f>
        <v/>
      </c>
      <c r="AG392">
        <f>1+COUNTIF(bounds,"&lt;"&amp;ROUND(AE392,12))</f>
        <v/>
      </c>
      <c r="AH392">
        <f>IF(AD392&lt;1,1,0)</f>
        <v/>
      </c>
      <c r="AI392">
        <f>IF(AF392&lt;&gt;AG392,1,0)</f>
        <v/>
      </c>
      <c r="AJ392">
        <f>IF(AND(AG392&gt;=3,Z392&lt;=0.2),1,0)</f>
        <v/>
      </c>
      <c r="AK392">
        <f>AVERAGE(U392:Z392)</f>
        <v/>
      </c>
      <c r="AL392">
        <f>1+COUNTIF(bounds,"&lt;"&amp;ROUND(AK392,12))</f>
        <v/>
      </c>
      <c r="AM392">
        <f>IF(AI392=1,AB392,NA())</f>
        <v/>
      </c>
      <c r="AN392">
        <f>IF(AI392=0,AB392,NA())</f>
        <v/>
      </c>
    </row>
    <row r="393">
      <c r="A393" t="n">
        <v>385</v>
      </c>
      <c r="B393" t="n">
        <v>4</v>
      </c>
      <c r="C393" t="n">
        <v>5</v>
      </c>
      <c r="D393" t="n">
        <v>4</v>
      </c>
      <c r="E393" t="n">
        <v>1</v>
      </c>
      <c r="F393" t="n">
        <v>2</v>
      </c>
      <c r="G393" t="n">
        <v>2</v>
      </c>
      <c r="H393" t="n">
        <v>4</v>
      </c>
      <c r="I393" t="n">
        <v>4</v>
      </c>
      <c r="J393" t="n">
        <v>3</v>
      </c>
      <c r="K393" t="n">
        <v>5</v>
      </c>
      <c r="L393" t="n">
        <v>1</v>
      </c>
      <c r="M393" t="n">
        <v>1</v>
      </c>
      <c r="N393" t="n">
        <v>1</v>
      </c>
      <c r="O393" t="n">
        <v>5</v>
      </c>
      <c r="P393" t="n">
        <v>5</v>
      </c>
      <c r="Q393" t="n">
        <v>5</v>
      </c>
      <c r="R393" t="n">
        <v>3</v>
      </c>
      <c r="S393" t="n">
        <v>3</v>
      </c>
      <c r="T393" t="n">
        <v>3</v>
      </c>
      <c r="U393">
        <f>(AVERAGE(B393:D393)-1)/4</f>
        <v/>
      </c>
      <c r="V393">
        <f>(AVERAGE(E393:F393)-1)/4</f>
        <v/>
      </c>
      <c r="W393">
        <f>(AVERAGE(G393:I393)-1)/4</f>
        <v/>
      </c>
      <c r="X393">
        <f>(AVERAGE(J393:L393)-1)/4</f>
        <v/>
      </c>
      <c r="Y393">
        <f>(AVERAGE(M393:O393)-1)/4</f>
        <v/>
      </c>
      <c r="Z393">
        <f>(AVERAGE(P393:R393)-1)/4</f>
        <v/>
      </c>
      <c r="AA393">
        <f>(AVERAGE(S393:T393)-1)/4</f>
        <v/>
      </c>
      <c r="AB393">
        <f>AVERAGE(U393:Y393)</f>
        <v/>
      </c>
      <c r="AC393">
        <f>MIN(U393:Y393)</f>
        <v/>
      </c>
      <c r="AD393">
        <f>1-alpha*MAX(0,delta-AC393)</f>
        <v/>
      </c>
      <c r="AE393">
        <f>AB393*AD393</f>
        <v/>
      </c>
      <c r="AF393">
        <f>1+COUNTIF(bounds,"&lt;"&amp;ROUND(AB393,12))</f>
        <v/>
      </c>
      <c r="AG393">
        <f>1+COUNTIF(bounds,"&lt;"&amp;ROUND(AE393,12))</f>
        <v/>
      </c>
      <c r="AH393">
        <f>IF(AD393&lt;1,1,0)</f>
        <v/>
      </c>
      <c r="AI393">
        <f>IF(AF393&lt;&gt;AG393,1,0)</f>
        <v/>
      </c>
      <c r="AJ393">
        <f>IF(AND(AG393&gt;=3,Z393&lt;=0.2),1,0)</f>
        <v/>
      </c>
      <c r="AK393">
        <f>AVERAGE(U393:Z393)</f>
        <v/>
      </c>
      <c r="AL393">
        <f>1+COUNTIF(bounds,"&lt;"&amp;ROUND(AK393,12))</f>
        <v/>
      </c>
      <c r="AM393">
        <f>IF(AI393=1,AB393,NA())</f>
        <v/>
      </c>
      <c r="AN393">
        <f>IF(AI393=0,AB393,NA())</f>
        <v/>
      </c>
    </row>
    <row r="394">
      <c r="A394" t="n">
        <v>386</v>
      </c>
      <c r="B394" t="n">
        <v>1</v>
      </c>
      <c r="C394" t="n">
        <v>2</v>
      </c>
      <c r="D394" t="n">
        <v>3</v>
      </c>
      <c r="E394" t="n">
        <v>5</v>
      </c>
      <c r="F394" t="n">
        <v>5</v>
      </c>
      <c r="G394" t="n">
        <v>4</v>
      </c>
      <c r="H394" t="n">
        <v>3</v>
      </c>
      <c r="I394" t="n">
        <v>1</v>
      </c>
      <c r="J394" t="n">
        <v>4</v>
      </c>
      <c r="K394" t="n">
        <v>3</v>
      </c>
      <c r="L394" t="n">
        <v>2</v>
      </c>
      <c r="M394" t="n">
        <v>2</v>
      </c>
      <c r="N394" t="n">
        <v>1</v>
      </c>
      <c r="O394" t="n">
        <v>1</v>
      </c>
      <c r="P394" t="n">
        <v>1</v>
      </c>
      <c r="Q394" t="n">
        <v>2</v>
      </c>
      <c r="R394" t="n">
        <v>5</v>
      </c>
      <c r="S394" t="n">
        <v>1</v>
      </c>
      <c r="T394" t="n">
        <v>2</v>
      </c>
      <c r="U394">
        <f>(AVERAGE(B394:D394)-1)/4</f>
        <v/>
      </c>
      <c r="V394">
        <f>(AVERAGE(E394:F394)-1)/4</f>
        <v/>
      </c>
      <c r="W394">
        <f>(AVERAGE(G394:I394)-1)/4</f>
        <v/>
      </c>
      <c r="X394">
        <f>(AVERAGE(J394:L394)-1)/4</f>
        <v/>
      </c>
      <c r="Y394">
        <f>(AVERAGE(M394:O394)-1)/4</f>
        <v/>
      </c>
      <c r="Z394">
        <f>(AVERAGE(P394:R394)-1)/4</f>
        <v/>
      </c>
      <c r="AA394">
        <f>(AVERAGE(S394:T394)-1)/4</f>
        <v/>
      </c>
      <c r="AB394">
        <f>AVERAGE(U394:Y394)</f>
        <v/>
      </c>
      <c r="AC394">
        <f>MIN(U394:Y394)</f>
        <v/>
      </c>
      <c r="AD394">
        <f>1-alpha*MAX(0,delta-AC394)</f>
        <v/>
      </c>
      <c r="AE394">
        <f>AB394*AD394</f>
        <v/>
      </c>
      <c r="AF394">
        <f>1+COUNTIF(bounds,"&lt;"&amp;ROUND(AB394,12))</f>
        <v/>
      </c>
      <c r="AG394">
        <f>1+COUNTIF(bounds,"&lt;"&amp;ROUND(AE394,12))</f>
        <v/>
      </c>
      <c r="AH394">
        <f>IF(AD394&lt;1,1,0)</f>
        <v/>
      </c>
      <c r="AI394">
        <f>IF(AF394&lt;&gt;AG394,1,0)</f>
        <v/>
      </c>
      <c r="AJ394">
        <f>IF(AND(AG394&gt;=3,Z394&lt;=0.2),1,0)</f>
        <v/>
      </c>
      <c r="AK394">
        <f>AVERAGE(U394:Z394)</f>
        <v/>
      </c>
      <c r="AL394">
        <f>1+COUNTIF(bounds,"&lt;"&amp;ROUND(AK394,12))</f>
        <v/>
      </c>
      <c r="AM394">
        <f>IF(AI394=1,AB394,NA())</f>
        <v/>
      </c>
      <c r="AN394">
        <f>IF(AI394=0,AB394,NA())</f>
        <v/>
      </c>
    </row>
    <row r="395">
      <c r="A395" t="n">
        <v>387</v>
      </c>
      <c r="B395" t="n">
        <v>1</v>
      </c>
      <c r="C395" t="n">
        <v>3</v>
      </c>
      <c r="D395" t="n">
        <v>2</v>
      </c>
      <c r="E395" t="n">
        <v>5</v>
      </c>
      <c r="F395" t="n">
        <v>2</v>
      </c>
      <c r="G395" t="n">
        <v>1</v>
      </c>
      <c r="H395" t="n">
        <v>2</v>
      </c>
      <c r="I395" t="n">
        <v>2</v>
      </c>
      <c r="J395" t="n">
        <v>3</v>
      </c>
      <c r="K395" t="n">
        <v>3</v>
      </c>
      <c r="L395" t="n">
        <v>5</v>
      </c>
      <c r="M395" t="n">
        <v>5</v>
      </c>
      <c r="N395" t="n">
        <v>2</v>
      </c>
      <c r="O395" t="n">
        <v>3</v>
      </c>
      <c r="P395" t="n">
        <v>2</v>
      </c>
      <c r="Q395" t="n">
        <v>2</v>
      </c>
      <c r="R395" t="n">
        <v>4</v>
      </c>
      <c r="S395" t="n">
        <v>5</v>
      </c>
      <c r="T395" t="n">
        <v>4</v>
      </c>
      <c r="U395">
        <f>(AVERAGE(B395:D395)-1)/4</f>
        <v/>
      </c>
      <c r="V395">
        <f>(AVERAGE(E395:F395)-1)/4</f>
        <v/>
      </c>
      <c r="W395">
        <f>(AVERAGE(G395:I395)-1)/4</f>
        <v/>
      </c>
      <c r="X395">
        <f>(AVERAGE(J395:L395)-1)/4</f>
        <v/>
      </c>
      <c r="Y395">
        <f>(AVERAGE(M395:O395)-1)/4</f>
        <v/>
      </c>
      <c r="Z395">
        <f>(AVERAGE(P395:R395)-1)/4</f>
        <v/>
      </c>
      <c r="AA395">
        <f>(AVERAGE(S395:T395)-1)/4</f>
        <v/>
      </c>
      <c r="AB395">
        <f>AVERAGE(U395:Y395)</f>
        <v/>
      </c>
      <c r="AC395">
        <f>MIN(U395:Y395)</f>
        <v/>
      </c>
      <c r="AD395">
        <f>1-alpha*MAX(0,delta-AC395)</f>
        <v/>
      </c>
      <c r="AE395">
        <f>AB395*AD395</f>
        <v/>
      </c>
      <c r="AF395">
        <f>1+COUNTIF(bounds,"&lt;"&amp;ROUND(AB395,12))</f>
        <v/>
      </c>
      <c r="AG395">
        <f>1+COUNTIF(bounds,"&lt;"&amp;ROUND(AE395,12))</f>
        <v/>
      </c>
      <c r="AH395">
        <f>IF(AD395&lt;1,1,0)</f>
        <v/>
      </c>
      <c r="AI395">
        <f>IF(AF395&lt;&gt;AG395,1,0)</f>
        <v/>
      </c>
      <c r="AJ395">
        <f>IF(AND(AG395&gt;=3,Z395&lt;=0.2),1,0)</f>
        <v/>
      </c>
      <c r="AK395">
        <f>AVERAGE(U395:Z395)</f>
        <v/>
      </c>
      <c r="AL395">
        <f>1+COUNTIF(bounds,"&lt;"&amp;ROUND(AK395,12))</f>
        <v/>
      </c>
      <c r="AM395">
        <f>IF(AI395=1,AB395,NA())</f>
        <v/>
      </c>
      <c r="AN395">
        <f>IF(AI395=0,AB395,NA())</f>
        <v/>
      </c>
    </row>
    <row r="396">
      <c r="A396" t="n">
        <v>388</v>
      </c>
      <c r="B396" t="n">
        <v>1</v>
      </c>
      <c r="C396" t="n">
        <v>1</v>
      </c>
      <c r="D396" t="n">
        <v>1</v>
      </c>
      <c r="E396" t="n">
        <v>5</v>
      </c>
      <c r="F396" t="n">
        <v>2</v>
      </c>
      <c r="G396" t="n">
        <v>5</v>
      </c>
      <c r="H396" t="n">
        <v>5</v>
      </c>
      <c r="I396" t="n">
        <v>5</v>
      </c>
      <c r="J396" t="n">
        <v>5</v>
      </c>
      <c r="K396" t="n">
        <v>5</v>
      </c>
      <c r="L396" t="n">
        <v>4</v>
      </c>
      <c r="M396" t="n">
        <v>5</v>
      </c>
      <c r="N396" t="n">
        <v>3</v>
      </c>
      <c r="O396" t="n">
        <v>3</v>
      </c>
      <c r="P396" t="n">
        <v>2</v>
      </c>
      <c r="Q396" t="n">
        <v>3</v>
      </c>
      <c r="R396" t="n">
        <v>3</v>
      </c>
      <c r="S396" t="n">
        <v>3</v>
      </c>
      <c r="T396" t="n">
        <v>2</v>
      </c>
      <c r="U396">
        <f>(AVERAGE(B396:D396)-1)/4</f>
        <v/>
      </c>
      <c r="V396">
        <f>(AVERAGE(E396:F396)-1)/4</f>
        <v/>
      </c>
      <c r="W396">
        <f>(AVERAGE(G396:I396)-1)/4</f>
        <v/>
      </c>
      <c r="X396">
        <f>(AVERAGE(J396:L396)-1)/4</f>
        <v/>
      </c>
      <c r="Y396">
        <f>(AVERAGE(M396:O396)-1)/4</f>
        <v/>
      </c>
      <c r="Z396">
        <f>(AVERAGE(P396:R396)-1)/4</f>
        <v/>
      </c>
      <c r="AA396">
        <f>(AVERAGE(S396:T396)-1)/4</f>
        <v/>
      </c>
      <c r="AB396">
        <f>AVERAGE(U396:Y396)</f>
        <v/>
      </c>
      <c r="AC396">
        <f>MIN(U396:Y396)</f>
        <v/>
      </c>
      <c r="AD396">
        <f>1-alpha*MAX(0,delta-AC396)</f>
        <v/>
      </c>
      <c r="AE396">
        <f>AB396*AD396</f>
        <v/>
      </c>
      <c r="AF396">
        <f>1+COUNTIF(bounds,"&lt;"&amp;ROUND(AB396,12))</f>
        <v/>
      </c>
      <c r="AG396">
        <f>1+COUNTIF(bounds,"&lt;"&amp;ROUND(AE396,12))</f>
        <v/>
      </c>
      <c r="AH396">
        <f>IF(AD396&lt;1,1,0)</f>
        <v/>
      </c>
      <c r="AI396">
        <f>IF(AF396&lt;&gt;AG396,1,0)</f>
        <v/>
      </c>
      <c r="AJ396">
        <f>IF(AND(AG396&gt;=3,Z396&lt;=0.2),1,0)</f>
        <v/>
      </c>
      <c r="AK396">
        <f>AVERAGE(U396:Z396)</f>
        <v/>
      </c>
      <c r="AL396">
        <f>1+COUNTIF(bounds,"&lt;"&amp;ROUND(AK396,12))</f>
        <v/>
      </c>
      <c r="AM396">
        <f>IF(AI396=1,AB396,NA())</f>
        <v/>
      </c>
      <c r="AN396">
        <f>IF(AI396=0,AB396,NA())</f>
        <v/>
      </c>
    </row>
    <row r="397">
      <c r="A397" t="n">
        <v>389</v>
      </c>
      <c r="B397" t="n">
        <v>1</v>
      </c>
      <c r="C397" t="n">
        <v>5</v>
      </c>
      <c r="D397" t="n">
        <v>2</v>
      </c>
      <c r="E397" t="n">
        <v>2</v>
      </c>
      <c r="F397" t="n">
        <v>2</v>
      </c>
      <c r="G397" t="n">
        <v>2</v>
      </c>
      <c r="H397" t="n">
        <v>4</v>
      </c>
      <c r="I397" t="n">
        <v>4</v>
      </c>
      <c r="J397" t="n">
        <v>4</v>
      </c>
      <c r="K397" t="n">
        <v>1</v>
      </c>
      <c r="L397" t="n">
        <v>4</v>
      </c>
      <c r="M397" t="n">
        <v>4</v>
      </c>
      <c r="N397" t="n">
        <v>2</v>
      </c>
      <c r="O397" t="n">
        <v>4</v>
      </c>
      <c r="P397" t="n">
        <v>1</v>
      </c>
      <c r="Q397" t="n">
        <v>1</v>
      </c>
      <c r="R397" t="n">
        <v>5</v>
      </c>
      <c r="S397" t="n">
        <v>5</v>
      </c>
      <c r="T397" t="n">
        <v>4</v>
      </c>
      <c r="U397">
        <f>(AVERAGE(B397:D397)-1)/4</f>
        <v/>
      </c>
      <c r="V397">
        <f>(AVERAGE(E397:F397)-1)/4</f>
        <v/>
      </c>
      <c r="W397">
        <f>(AVERAGE(G397:I397)-1)/4</f>
        <v/>
      </c>
      <c r="X397">
        <f>(AVERAGE(J397:L397)-1)/4</f>
        <v/>
      </c>
      <c r="Y397">
        <f>(AVERAGE(M397:O397)-1)/4</f>
        <v/>
      </c>
      <c r="Z397">
        <f>(AVERAGE(P397:R397)-1)/4</f>
        <v/>
      </c>
      <c r="AA397">
        <f>(AVERAGE(S397:T397)-1)/4</f>
        <v/>
      </c>
      <c r="AB397">
        <f>AVERAGE(U397:Y397)</f>
        <v/>
      </c>
      <c r="AC397">
        <f>MIN(U397:Y397)</f>
        <v/>
      </c>
      <c r="AD397">
        <f>1-alpha*MAX(0,delta-AC397)</f>
        <v/>
      </c>
      <c r="AE397">
        <f>AB397*AD397</f>
        <v/>
      </c>
      <c r="AF397">
        <f>1+COUNTIF(bounds,"&lt;"&amp;ROUND(AB397,12))</f>
        <v/>
      </c>
      <c r="AG397">
        <f>1+COUNTIF(bounds,"&lt;"&amp;ROUND(AE397,12))</f>
        <v/>
      </c>
      <c r="AH397">
        <f>IF(AD397&lt;1,1,0)</f>
        <v/>
      </c>
      <c r="AI397">
        <f>IF(AF397&lt;&gt;AG397,1,0)</f>
        <v/>
      </c>
      <c r="AJ397">
        <f>IF(AND(AG397&gt;=3,Z397&lt;=0.2),1,0)</f>
        <v/>
      </c>
      <c r="AK397">
        <f>AVERAGE(U397:Z397)</f>
        <v/>
      </c>
      <c r="AL397">
        <f>1+COUNTIF(bounds,"&lt;"&amp;ROUND(AK397,12))</f>
        <v/>
      </c>
      <c r="AM397">
        <f>IF(AI397=1,AB397,NA())</f>
        <v/>
      </c>
      <c r="AN397">
        <f>IF(AI397=0,AB397,NA())</f>
        <v/>
      </c>
    </row>
    <row r="398">
      <c r="A398" t="n">
        <v>390</v>
      </c>
      <c r="B398" t="n">
        <v>5</v>
      </c>
      <c r="C398" t="n">
        <v>1</v>
      </c>
      <c r="D398" t="n">
        <v>4</v>
      </c>
      <c r="E398" t="n">
        <v>2</v>
      </c>
      <c r="F398" t="n">
        <v>3</v>
      </c>
      <c r="G398" t="n">
        <v>4</v>
      </c>
      <c r="H398" t="n">
        <v>2</v>
      </c>
      <c r="I398" t="n">
        <v>5</v>
      </c>
      <c r="J398" t="n">
        <v>5</v>
      </c>
      <c r="K398" t="n">
        <v>2</v>
      </c>
      <c r="L398" t="n">
        <v>2</v>
      </c>
      <c r="M398" t="n">
        <v>2</v>
      </c>
      <c r="N398" t="n">
        <v>1</v>
      </c>
      <c r="O398" t="n">
        <v>3</v>
      </c>
      <c r="P398" t="n">
        <v>4</v>
      </c>
      <c r="Q398" t="n">
        <v>5</v>
      </c>
      <c r="R398" t="n">
        <v>2</v>
      </c>
      <c r="S398" t="n">
        <v>4</v>
      </c>
      <c r="T398" t="n">
        <v>1</v>
      </c>
      <c r="U398">
        <f>(AVERAGE(B398:D398)-1)/4</f>
        <v/>
      </c>
      <c r="V398">
        <f>(AVERAGE(E398:F398)-1)/4</f>
        <v/>
      </c>
      <c r="W398">
        <f>(AVERAGE(G398:I398)-1)/4</f>
        <v/>
      </c>
      <c r="X398">
        <f>(AVERAGE(J398:L398)-1)/4</f>
        <v/>
      </c>
      <c r="Y398">
        <f>(AVERAGE(M398:O398)-1)/4</f>
        <v/>
      </c>
      <c r="Z398">
        <f>(AVERAGE(P398:R398)-1)/4</f>
        <v/>
      </c>
      <c r="AA398">
        <f>(AVERAGE(S398:T398)-1)/4</f>
        <v/>
      </c>
      <c r="AB398">
        <f>AVERAGE(U398:Y398)</f>
        <v/>
      </c>
      <c r="AC398">
        <f>MIN(U398:Y398)</f>
        <v/>
      </c>
      <c r="AD398">
        <f>1-alpha*MAX(0,delta-AC398)</f>
        <v/>
      </c>
      <c r="AE398">
        <f>AB398*AD398</f>
        <v/>
      </c>
      <c r="AF398">
        <f>1+COUNTIF(bounds,"&lt;"&amp;ROUND(AB398,12))</f>
        <v/>
      </c>
      <c r="AG398">
        <f>1+COUNTIF(bounds,"&lt;"&amp;ROUND(AE398,12))</f>
        <v/>
      </c>
      <c r="AH398">
        <f>IF(AD398&lt;1,1,0)</f>
        <v/>
      </c>
      <c r="AI398">
        <f>IF(AF398&lt;&gt;AG398,1,0)</f>
        <v/>
      </c>
      <c r="AJ398">
        <f>IF(AND(AG398&gt;=3,Z398&lt;=0.2),1,0)</f>
        <v/>
      </c>
      <c r="AK398">
        <f>AVERAGE(U398:Z398)</f>
        <v/>
      </c>
      <c r="AL398">
        <f>1+COUNTIF(bounds,"&lt;"&amp;ROUND(AK398,12))</f>
        <v/>
      </c>
      <c r="AM398">
        <f>IF(AI398=1,AB398,NA())</f>
        <v/>
      </c>
      <c r="AN398">
        <f>IF(AI398=0,AB398,NA())</f>
        <v/>
      </c>
    </row>
    <row r="399">
      <c r="A399" t="n">
        <v>391</v>
      </c>
      <c r="B399" t="n">
        <v>3</v>
      </c>
      <c r="C399" t="n">
        <v>4</v>
      </c>
      <c r="D399" t="n">
        <v>5</v>
      </c>
      <c r="E399" t="n">
        <v>2</v>
      </c>
      <c r="F399" t="n">
        <v>4</v>
      </c>
      <c r="G399" t="n">
        <v>2</v>
      </c>
      <c r="H399" t="n">
        <v>2</v>
      </c>
      <c r="I399" t="n">
        <v>5</v>
      </c>
      <c r="J399" t="n">
        <v>5</v>
      </c>
      <c r="K399" t="n">
        <v>4</v>
      </c>
      <c r="L399" t="n">
        <v>2</v>
      </c>
      <c r="M399" t="n">
        <v>4</v>
      </c>
      <c r="N399" t="n">
        <v>1</v>
      </c>
      <c r="O399" t="n">
        <v>1</v>
      </c>
      <c r="P399" t="n">
        <v>1</v>
      </c>
      <c r="Q399" t="n">
        <v>1</v>
      </c>
      <c r="R399" t="n">
        <v>2</v>
      </c>
      <c r="S399" t="n">
        <v>2</v>
      </c>
      <c r="T399" t="n">
        <v>3</v>
      </c>
      <c r="U399">
        <f>(AVERAGE(B399:D399)-1)/4</f>
        <v/>
      </c>
      <c r="V399">
        <f>(AVERAGE(E399:F399)-1)/4</f>
        <v/>
      </c>
      <c r="W399">
        <f>(AVERAGE(G399:I399)-1)/4</f>
        <v/>
      </c>
      <c r="X399">
        <f>(AVERAGE(J399:L399)-1)/4</f>
        <v/>
      </c>
      <c r="Y399">
        <f>(AVERAGE(M399:O399)-1)/4</f>
        <v/>
      </c>
      <c r="Z399">
        <f>(AVERAGE(P399:R399)-1)/4</f>
        <v/>
      </c>
      <c r="AA399">
        <f>(AVERAGE(S399:T399)-1)/4</f>
        <v/>
      </c>
      <c r="AB399">
        <f>AVERAGE(U399:Y399)</f>
        <v/>
      </c>
      <c r="AC399">
        <f>MIN(U399:Y399)</f>
        <v/>
      </c>
      <c r="AD399">
        <f>1-alpha*MAX(0,delta-AC399)</f>
        <v/>
      </c>
      <c r="AE399">
        <f>AB399*AD399</f>
        <v/>
      </c>
      <c r="AF399">
        <f>1+COUNTIF(bounds,"&lt;"&amp;ROUND(AB399,12))</f>
        <v/>
      </c>
      <c r="AG399">
        <f>1+COUNTIF(bounds,"&lt;"&amp;ROUND(AE399,12))</f>
        <v/>
      </c>
      <c r="AH399">
        <f>IF(AD399&lt;1,1,0)</f>
        <v/>
      </c>
      <c r="AI399">
        <f>IF(AF399&lt;&gt;AG399,1,0)</f>
        <v/>
      </c>
      <c r="AJ399">
        <f>IF(AND(AG399&gt;=3,Z399&lt;=0.2),1,0)</f>
        <v/>
      </c>
      <c r="AK399">
        <f>AVERAGE(U399:Z399)</f>
        <v/>
      </c>
      <c r="AL399">
        <f>1+COUNTIF(bounds,"&lt;"&amp;ROUND(AK399,12))</f>
        <v/>
      </c>
      <c r="AM399">
        <f>IF(AI399=1,AB399,NA())</f>
        <v/>
      </c>
      <c r="AN399">
        <f>IF(AI399=0,AB399,NA())</f>
        <v/>
      </c>
    </row>
    <row r="400">
      <c r="A400" t="n">
        <v>392</v>
      </c>
      <c r="B400" t="n">
        <v>2</v>
      </c>
      <c r="C400" t="n">
        <v>4</v>
      </c>
      <c r="D400" t="n">
        <v>2</v>
      </c>
      <c r="E400" t="n">
        <v>1</v>
      </c>
      <c r="F400" t="n">
        <v>1</v>
      </c>
      <c r="G400" t="n">
        <v>5</v>
      </c>
      <c r="H400" t="n">
        <v>5</v>
      </c>
      <c r="I400" t="n">
        <v>2</v>
      </c>
      <c r="J400" t="n">
        <v>4</v>
      </c>
      <c r="K400" t="n">
        <v>4</v>
      </c>
      <c r="L400" t="n">
        <v>5</v>
      </c>
      <c r="M400" t="n">
        <v>1</v>
      </c>
      <c r="N400" t="n">
        <v>4</v>
      </c>
      <c r="O400" t="n">
        <v>2</v>
      </c>
      <c r="P400" t="n">
        <v>3</v>
      </c>
      <c r="Q400" t="n">
        <v>3</v>
      </c>
      <c r="R400" t="n">
        <v>4</v>
      </c>
      <c r="S400" t="n">
        <v>5</v>
      </c>
      <c r="T400" t="n">
        <v>4</v>
      </c>
      <c r="U400">
        <f>(AVERAGE(B400:D400)-1)/4</f>
        <v/>
      </c>
      <c r="V400">
        <f>(AVERAGE(E400:F400)-1)/4</f>
        <v/>
      </c>
      <c r="W400">
        <f>(AVERAGE(G400:I400)-1)/4</f>
        <v/>
      </c>
      <c r="X400">
        <f>(AVERAGE(J400:L400)-1)/4</f>
        <v/>
      </c>
      <c r="Y400">
        <f>(AVERAGE(M400:O400)-1)/4</f>
        <v/>
      </c>
      <c r="Z400">
        <f>(AVERAGE(P400:R400)-1)/4</f>
        <v/>
      </c>
      <c r="AA400">
        <f>(AVERAGE(S400:T400)-1)/4</f>
        <v/>
      </c>
      <c r="AB400">
        <f>AVERAGE(U400:Y400)</f>
        <v/>
      </c>
      <c r="AC400">
        <f>MIN(U400:Y400)</f>
        <v/>
      </c>
      <c r="AD400">
        <f>1-alpha*MAX(0,delta-AC400)</f>
        <v/>
      </c>
      <c r="AE400">
        <f>AB400*AD400</f>
        <v/>
      </c>
      <c r="AF400">
        <f>1+COUNTIF(bounds,"&lt;"&amp;ROUND(AB400,12))</f>
        <v/>
      </c>
      <c r="AG400">
        <f>1+COUNTIF(bounds,"&lt;"&amp;ROUND(AE400,12))</f>
        <v/>
      </c>
      <c r="AH400">
        <f>IF(AD400&lt;1,1,0)</f>
        <v/>
      </c>
      <c r="AI400">
        <f>IF(AF400&lt;&gt;AG400,1,0)</f>
        <v/>
      </c>
      <c r="AJ400">
        <f>IF(AND(AG400&gt;=3,Z400&lt;=0.2),1,0)</f>
        <v/>
      </c>
      <c r="AK400">
        <f>AVERAGE(U400:Z400)</f>
        <v/>
      </c>
      <c r="AL400">
        <f>1+COUNTIF(bounds,"&lt;"&amp;ROUND(AK400,12))</f>
        <v/>
      </c>
      <c r="AM400">
        <f>IF(AI400=1,AB400,NA())</f>
        <v/>
      </c>
      <c r="AN400">
        <f>IF(AI400=0,AB400,NA())</f>
        <v/>
      </c>
    </row>
    <row r="401">
      <c r="A401" t="n">
        <v>393</v>
      </c>
      <c r="B401" t="n">
        <v>4</v>
      </c>
      <c r="C401" t="n">
        <v>3</v>
      </c>
      <c r="D401" t="n">
        <v>1</v>
      </c>
      <c r="E401" t="n">
        <v>5</v>
      </c>
      <c r="F401" t="n">
        <v>2</v>
      </c>
      <c r="G401" t="n">
        <v>1</v>
      </c>
      <c r="H401" t="n">
        <v>5</v>
      </c>
      <c r="I401" t="n">
        <v>2</v>
      </c>
      <c r="J401" t="n">
        <v>5</v>
      </c>
      <c r="K401" t="n">
        <v>2</v>
      </c>
      <c r="L401" t="n">
        <v>4</v>
      </c>
      <c r="M401" t="n">
        <v>4</v>
      </c>
      <c r="N401" t="n">
        <v>4</v>
      </c>
      <c r="O401" t="n">
        <v>2</v>
      </c>
      <c r="P401" t="n">
        <v>5</v>
      </c>
      <c r="Q401" t="n">
        <v>4</v>
      </c>
      <c r="R401" t="n">
        <v>2</v>
      </c>
      <c r="S401" t="n">
        <v>3</v>
      </c>
      <c r="T401" t="n">
        <v>5</v>
      </c>
      <c r="U401">
        <f>(AVERAGE(B401:D401)-1)/4</f>
        <v/>
      </c>
      <c r="V401">
        <f>(AVERAGE(E401:F401)-1)/4</f>
        <v/>
      </c>
      <c r="W401">
        <f>(AVERAGE(G401:I401)-1)/4</f>
        <v/>
      </c>
      <c r="X401">
        <f>(AVERAGE(J401:L401)-1)/4</f>
        <v/>
      </c>
      <c r="Y401">
        <f>(AVERAGE(M401:O401)-1)/4</f>
        <v/>
      </c>
      <c r="Z401">
        <f>(AVERAGE(P401:R401)-1)/4</f>
        <v/>
      </c>
      <c r="AA401">
        <f>(AVERAGE(S401:T401)-1)/4</f>
        <v/>
      </c>
      <c r="AB401">
        <f>AVERAGE(U401:Y401)</f>
        <v/>
      </c>
      <c r="AC401">
        <f>MIN(U401:Y401)</f>
        <v/>
      </c>
      <c r="AD401">
        <f>1-alpha*MAX(0,delta-AC401)</f>
        <v/>
      </c>
      <c r="AE401">
        <f>AB401*AD401</f>
        <v/>
      </c>
      <c r="AF401">
        <f>1+COUNTIF(bounds,"&lt;"&amp;ROUND(AB401,12))</f>
        <v/>
      </c>
      <c r="AG401">
        <f>1+COUNTIF(bounds,"&lt;"&amp;ROUND(AE401,12))</f>
        <v/>
      </c>
      <c r="AH401">
        <f>IF(AD401&lt;1,1,0)</f>
        <v/>
      </c>
      <c r="AI401">
        <f>IF(AF401&lt;&gt;AG401,1,0)</f>
        <v/>
      </c>
      <c r="AJ401">
        <f>IF(AND(AG401&gt;=3,Z401&lt;=0.2),1,0)</f>
        <v/>
      </c>
      <c r="AK401">
        <f>AVERAGE(U401:Z401)</f>
        <v/>
      </c>
      <c r="AL401">
        <f>1+COUNTIF(bounds,"&lt;"&amp;ROUND(AK401,12))</f>
        <v/>
      </c>
      <c r="AM401">
        <f>IF(AI401=1,AB401,NA())</f>
        <v/>
      </c>
      <c r="AN401">
        <f>IF(AI401=0,AB401,NA())</f>
        <v/>
      </c>
    </row>
    <row r="402">
      <c r="A402" t="n">
        <v>394</v>
      </c>
      <c r="B402" t="n">
        <v>2</v>
      </c>
      <c r="C402" t="n">
        <v>1</v>
      </c>
      <c r="D402" t="n">
        <v>4</v>
      </c>
      <c r="E402" t="n">
        <v>2</v>
      </c>
      <c r="F402" t="n">
        <v>1</v>
      </c>
      <c r="G402" t="n">
        <v>4</v>
      </c>
      <c r="H402" t="n">
        <v>3</v>
      </c>
      <c r="I402" t="n">
        <v>4</v>
      </c>
      <c r="J402" t="n">
        <v>1</v>
      </c>
      <c r="K402" t="n">
        <v>4</v>
      </c>
      <c r="L402" t="n">
        <v>5</v>
      </c>
      <c r="M402" t="n">
        <v>4</v>
      </c>
      <c r="N402" t="n">
        <v>5</v>
      </c>
      <c r="O402" t="n">
        <v>3</v>
      </c>
      <c r="P402" t="n">
        <v>4</v>
      </c>
      <c r="Q402" t="n">
        <v>4</v>
      </c>
      <c r="R402" t="n">
        <v>5</v>
      </c>
      <c r="S402" t="n">
        <v>5</v>
      </c>
      <c r="T402" t="n">
        <v>1</v>
      </c>
      <c r="U402">
        <f>(AVERAGE(B402:D402)-1)/4</f>
        <v/>
      </c>
      <c r="V402">
        <f>(AVERAGE(E402:F402)-1)/4</f>
        <v/>
      </c>
      <c r="W402">
        <f>(AVERAGE(G402:I402)-1)/4</f>
        <v/>
      </c>
      <c r="X402">
        <f>(AVERAGE(J402:L402)-1)/4</f>
        <v/>
      </c>
      <c r="Y402">
        <f>(AVERAGE(M402:O402)-1)/4</f>
        <v/>
      </c>
      <c r="Z402">
        <f>(AVERAGE(P402:R402)-1)/4</f>
        <v/>
      </c>
      <c r="AA402">
        <f>(AVERAGE(S402:T402)-1)/4</f>
        <v/>
      </c>
      <c r="AB402">
        <f>AVERAGE(U402:Y402)</f>
        <v/>
      </c>
      <c r="AC402">
        <f>MIN(U402:Y402)</f>
        <v/>
      </c>
      <c r="AD402">
        <f>1-alpha*MAX(0,delta-AC402)</f>
        <v/>
      </c>
      <c r="AE402">
        <f>AB402*AD402</f>
        <v/>
      </c>
      <c r="AF402">
        <f>1+COUNTIF(bounds,"&lt;"&amp;ROUND(AB402,12))</f>
        <v/>
      </c>
      <c r="AG402">
        <f>1+COUNTIF(bounds,"&lt;"&amp;ROUND(AE402,12))</f>
        <v/>
      </c>
      <c r="AH402">
        <f>IF(AD402&lt;1,1,0)</f>
        <v/>
      </c>
      <c r="AI402">
        <f>IF(AF402&lt;&gt;AG402,1,0)</f>
        <v/>
      </c>
      <c r="AJ402">
        <f>IF(AND(AG402&gt;=3,Z402&lt;=0.2),1,0)</f>
        <v/>
      </c>
      <c r="AK402">
        <f>AVERAGE(U402:Z402)</f>
        <v/>
      </c>
      <c r="AL402">
        <f>1+COUNTIF(bounds,"&lt;"&amp;ROUND(AK402,12))</f>
        <v/>
      </c>
      <c r="AM402">
        <f>IF(AI402=1,AB402,NA())</f>
        <v/>
      </c>
      <c r="AN402">
        <f>IF(AI402=0,AB402,NA())</f>
        <v/>
      </c>
    </row>
    <row r="403">
      <c r="A403" t="n">
        <v>395</v>
      </c>
      <c r="B403" t="n">
        <v>3</v>
      </c>
      <c r="C403" t="n">
        <v>3</v>
      </c>
      <c r="D403" t="n">
        <v>4</v>
      </c>
      <c r="E403" t="n">
        <v>3</v>
      </c>
      <c r="F403" t="n">
        <v>5</v>
      </c>
      <c r="G403" t="n">
        <v>1</v>
      </c>
      <c r="H403" t="n">
        <v>4</v>
      </c>
      <c r="I403" t="n">
        <v>2</v>
      </c>
      <c r="J403" t="n">
        <v>2</v>
      </c>
      <c r="K403" t="n">
        <v>1</v>
      </c>
      <c r="L403" t="n">
        <v>5</v>
      </c>
      <c r="M403" t="n">
        <v>1</v>
      </c>
      <c r="N403" t="n">
        <v>2</v>
      </c>
      <c r="O403" t="n">
        <v>3</v>
      </c>
      <c r="P403" t="n">
        <v>3</v>
      </c>
      <c r="Q403" t="n">
        <v>1</v>
      </c>
      <c r="R403" t="n">
        <v>3</v>
      </c>
      <c r="S403" t="n">
        <v>5</v>
      </c>
      <c r="T403" t="n">
        <v>3</v>
      </c>
      <c r="U403">
        <f>(AVERAGE(B403:D403)-1)/4</f>
        <v/>
      </c>
      <c r="V403">
        <f>(AVERAGE(E403:F403)-1)/4</f>
        <v/>
      </c>
      <c r="W403">
        <f>(AVERAGE(G403:I403)-1)/4</f>
        <v/>
      </c>
      <c r="X403">
        <f>(AVERAGE(J403:L403)-1)/4</f>
        <v/>
      </c>
      <c r="Y403">
        <f>(AVERAGE(M403:O403)-1)/4</f>
        <v/>
      </c>
      <c r="Z403">
        <f>(AVERAGE(P403:R403)-1)/4</f>
        <v/>
      </c>
      <c r="AA403">
        <f>(AVERAGE(S403:T403)-1)/4</f>
        <v/>
      </c>
      <c r="AB403">
        <f>AVERAGE(U403:Y403)</f>
        <v/>
      </c>
      <c r="AC403">
        <f>MIN(U403:Y403)</f>
        <v/>
      </c>
      <c r="AD403">
        <f>1-alpha*MAX(0,delta-AC403)</f>
        <v/>
      </c>
      <c r="AE403">
        <f>AB403*AD403</f>
        <v/>
      </c>
      <c r="AF403">
        <f>1+COUNTIF(bounds,"&lt;"&amp;ROUND(AB403,12))</f>
        <v/>
      </c>
      <c r="AG403">
        <f>1+COUNTIF(bounds,"&lt;"&amp;ROUND(AE403,12))</f>
        <v/>
      </c>
      <c r="AH403">
        <f>IF(AD403&lt;1,1,0)</f>
        <v/>
      </c>
      <c r="AI403">
        <f>IF(AF403&lt;&gt;AG403,1,0)</f>
        <v/>
      </c>
      <c r="AJ403">
        <f>IF(AND(AG403&gt;=3,Z403&lt;=0.2),1,0)</f>
        <v/>
      </c>
      <c r="AK403">
        <f>AVERAGE(U403:Z403)</f>
        <v/>
      </c>
      <c r="AL403">
        <f>1+COUNTIF(bounds,"&lt;"&amp;ROUND(AK403,12))</f>
        <v/>
      </c>
      <c r="AM403">
        <f>IF(AI403=1,AB403,NA())</f>
        <v/>
      </c>
      <c r="AN403">
        <f>IF(AI403=0,AB403,NA())</f>
        <v/>
      </c>
    </row>
    <row r="404">
      <c r="A404" t="n">
        <v>396</v>
      </c>
      <c r="B404" t="n">
        <v>2</v>
      </c>
      <c r="C404" t="n">
        <v>5</v>
      </c>
      <c r="D404" t="n">
        <v>4</v>
      </c>
      <c r="E404" t="n">
        <v>4</v>
      </c>
      <c r="F404" t="n">
        <v>5</v>
      </c>
      <c r="G404" t="n">
        <v>3</v>
      </c>
      <c r="H404" t="n">
        <v>3</v>
      </c>
      <c r="I404" t="n">
        <v>3</v>
      </c>
      <c r="J404" t="n">
        <v>5</v>
      </c>
      <c r="K404" t="n">
        <v>5</v>
      </c>
      <c r="L404" t="n">
        <v>5</v>
      </c>
      <c r="M404" t="n">
        <v>4</v>
      </c>
      <c r="N404" t="n">
        <v>3</v>
      </c>
      <c r="O404" t="n">
        <v>5</v>
      </c>
      <c r="P404" t="n">
        <v>5</v>
      </c>
      <c r="Q404" t="n">
        <v>4</v>
      </c>
      <c r="R404" t="n">
        <v>1</v>
      </c>
      <c r="S404" t="n">
        <v>4</v>
      </c>
      <c r="T404" t="n">
        <v>5</v>
      </c>
      <c r="U404">
        <f>(AVERAGE(B404:D404)-1)/4</f>
        <v/>
      </c>
      <c r="V404">
        <f>(AVERAGE(E404:F404)-1)/4</f>
        <v/>
      </c>
      <c r="W404">
        <f>(AVERAGE(G404:I404)-1)/4</f>
        <v/>
      </c>
      <c r="X404">
        <f>(AVERAGE(J404:L404)-1)/4</f>
        <v/>
      </c>
      <c r="Y404">
        <f>(AVERAGE(M404:O404)-1)/4</f>
        <v/>
      </c>
      <c r="Z404">
        <f>(AVERAGE(P404:R404)-1)/4</f>
        <v/>
      </c>
      <c r="AA404">
        <f>(AVERAGE(S404:T404)-1)/4</f>
        <v/>
      </c>
      <c r="AB404">
        <f>AVERAGE(U404:Y404)</f>
        <v/>
      </c>
      <c r="AC404">
        <f>MIN(U404:Y404)</f>
        <v/>
      </c>
      <c r="AD404">
        <f>1-alpha*MAX(0,delta-AC404)</f>
        <v/>
      </c>
      <c r="AE404">
        <f>AB404*AD404</f>
        <v/>
      </c>
      <c r="AF404">
        <f>1+COUNTIF(bounds,"&lt;"&amp;ROUND(AB404,12))</f>
        <v/>
      </c>
      <c r="AG404">
        <f>1+COUNTIF(bounds,"&lt;"&amp;ROUND(AE404,12))</f>
        <v/>
      </c>
      <c r="AH404">
        <f>IF(AD404&lt;1,1,0)</f>
        <v/>
      </c>
      <c r="AI404">
        <f>IF(AF404&lt;&gt;AG404,1,0)</f>
        <v/>
      </c>
      <c r="AJ404">
        <f>IF(AND(AG404&gt;=3,Z404&lt;=0.2),1,0)</f>
        <v/>
      </c>
      <c r="AK404">
        <f>AVERAGE(U404:Z404)</f>
        <v/>
      </c>
      <c r="AL404">
        <f>1+COUNTIF(bounds,"&lt;"&amp;ROUND(AK404,12))</f>
        <v/>
      </c>
      <c r="AM404">
        <f>IF(AI404=1,AB404,NA())</f>
        <v/>
      </c>
      <c r="AN404">
        <f>IF(AI404=0,AB404,NA())</f>
        <v/>
      </c>
    </row>
    <row r="405">
      <c r="A405" t="n">
        <v>397</v>
      </c>
      <c r="B405" t="n">
        <v>4</v>
      </c>
      <c r="C405" t="n">
        <v>1</v>
      </c>
      <c r="D405" t="n">
        <v>2</v>
      </c>
      <c r="E405" t="n">
        <v>2</v>
      </c>
      <c r="F405" t="n">
        <v>3</v>
      </c>
      <c r="G405" t="n">
        <v>2</v>
      </c>
      <c r="H405" t="n">
        <v>4</v>
      </c>
      <c r="I405" t="n">
        <v>3</v>
      </c>
      <c r="J405" t="n">
        <v>2</v>
      </c>
      <c r="K405" t="n">
        <v>3</v>
      </c>
      <c r="L405" t="n">
        <v>3</v>
      </c>
      <c r="M405" t="n">
        <v>4</v>
      </c>
      <c r="N405" t="n">
        <v>3</v>
      </c>
      <c r="O405" t="n">
        <v>4</v>
      </c>
      <c r="P405" t="n">
        <v>1</v>
      </c>
      <c r="Q405" t="n">
        <v>3</v>
      </c>
      <c r="R405" t="n">
        <v>4</v>
      </c>
      <c r="S405" t="n">
        <v>1</v>
      </c>
      <c r="T405" t="n">
        <v>1</v>
      </c>
      <c r="U405">
        <f>(AVERAGE(B405:D405)-1)/4</f>
        <v/>
      </c>
      <c r="V405">
        <f>(AVERAGE(E405:F405)-1)/4</f>
        <v/>
      </c>
      <c r="W405">
        <f>(AVERAGE(G405:I405)-1)/4</f>
        <v/>
      </c>
      <c r="X405">
        <f>(AVERAGE(J405:L405)-1)/4</f>
        <v/>
      </c>
      <c r="Y405">
        <f>(AVERAGE(M405:O405)-1)/4</f>
        <v/>
      </c>
      <c r="Z405">
        <f>(AVERAGE(P405:R405)-1)/4</f>
        <v/>
      </c>
      <c r="AA405">
        <f>(AVERAGE(S405:T405)-1)/4</f>
        <v/>
      </c>
      <c r="AB405">
        <f>AVERAGE(U405:Y405)</f>
        <v/>
      </c>
      <c r="AC405">
        <f>MIN(U405:Y405)</f>
        <v/>
      </c>
      <c r="AD405">
        <f>1-alpha*MAX(0,delta-AC405)</f>
        <v/>
      </c>
      <c r="AE405">
        <f>AB405*AD405</f>
        <v/>
      </c>
      <c r="AF405">
        <f>1+COUNTIF(bounds,"&lt;"&amp;ROUND(AB405,12))</f>
        <v/>
      </c>
      <c r="AG405">
        <f>1+COUNTIF(bounds,"&lt;"&amp;ROUND(AE405,12))</f>
        <v/>
      </c>
      <c r="AH405">
        <f>IF(AD405&lt;1,1,0)</f>
        <v/>
      </c>
      <c r="AI405">
        <f>IF(AF405&lt;&gt;AG405,1,0)</f>
        <v/>
      </c>
      <c r="AJ405">
        <f>IF(AND(AG405&gt;=3,Z405&lt;=0.2),1,0)</f>
        <v/>
      </c>
      <c r="AK405">
        <f>AVERAGE(U405:Z405)</f>
        <v/>
      </c>
      <c r="AL405">
        <f>1+COUNTIF(bounds,"&lt;"&amp;ROUND(AK405,12))</f>
        <v/>
      </c>
      <c r="AM405">
        <f>IF(AI405=1,AB405,NA())</f>
        <v/>
      </c>
      <c r="AN405">
        <f>IF(AI405=0,AB405,NA())</f>
        <v/>
      </c>
    </row>
    <row r="406">
      <c r="A406" t="n">
        <v>398</v>
      </c>
      <c r="B406" t="n">
        <v>2</v>
      </c>
      <c r="C406" t="n">
        <v>4</v>
      </c>
      <c r="D406" t="n">
        <v>1</v>
      </c>
      <c r="E406" t="n">
        <v>3</v>
      </c>
      <c r="F406" t="n">
        <v>4</v>
      </c>
      <c r="G406" t="n">
        <v>1</v>
      </c>
      <c r="H406" t="n">
        <v>5</v>
      </c>
      <c r="I406" t="n">
        <v>2</v>
      </c>
      <c r="J406" t="n">
        <v>4</v>
      </c>
      <c r="K406" t="n">
        <v>3</v>
      </c>
      <c r="L406" t="n">
        <v>5</v>
      </c>
      <c r="M406" t="n">
        <v>2</v>
      </c>
      <c r="N406" t="n">
        <v>4</v>
      </c>
      <c r="O406" t="n">
        <v>2</v>
      </c>
      <c r="P406" t="n">
        <v>5</v>
      </c>
      <c r="Q406" t="n">
        <v>2</v>
      </c>
      <c r="R406" t="n">
        <v>2</v>
      </c>
      <c r="S406" t="n">
        <v>2</v>
      </c>
      <c r="T406" t="n">
        <v>1</v>
      </c>
      <c r="U406">
        <f>(AVERAGE(B406:D406)-1)/4</f>
        <v/>
      </c>
      <c r="V406">
        <f>(AVERAGE(E406:F406)-1)/4</f>
        <v/>
      </c>
      <c r="W406">
        <f>(AVERAGE(G406:I406)-1)/4</f>
        <v/>
      </c>
      <c r="X406">
        <f>(AVERAGE(J406:L406)-1)/4</f>
        <v/>
      </c>
      <c r="Y406">
        <f>(AVERAGE(M406:O406)-1)/4</f>
        <v/>
      </c>
      <c r="Z406">
        <f>(AVERAGE(P406:R406)-1)/4</f>
        <v/>
      </c>
      <c r="AA406">
        <f>(AVERAGE(S406:T406)-1)/4</f>
        <v/>
      </c>
      <c r="AB406">
        <f>AVERAGE(U406:Y406)</f>
        <v/>
      </c>
      <c r="AC406">
        <f>MIN(U406:Y406)</f>
        <v/>
      </c>
      <c r="AD406">
        <f>1-alpha*MAX(0,delta-AC406)</f>
        <v/>
      </c>
      <c r="AE406">
        <f>AB406*AD406</f>
        <v/>
      </c>
      <c r="AF406">
        <f>1+COUNTIF(bounds,"&lt;"&amp;ROUND(AB406,12))</f>
        <v/>
      </c>
      <c r="AG406">
        <f>1+COUNTIF(bounds,"&lt;"&amp;ROUND(AE406,12))</f>
        <v/>
      </c>
      <c r="AH406">
        <f>IF(AD406&lt;1,1,0)</f>
        <v/>
      </c>
      <c r="AI406">
        <f>IF(AF406&lt;&gt;AG406,1,0)</f>
        <v/>
      </c>
      <c r="AJ406">
        <f>IF(AND(AG406&gt;=3,Z406&lt;=0.2),1,0)</f>
        <v/>
      </c>
      <c r="AK406">
        <f>AVERAGE(U406:Z406)</f>
        <v/>
      </c>
      <c r="AL406">
        <f>1+COUNTIF(bounds,"&lt;"&amp;ROUND(AK406,12))</f>
        <v/>
      </c>
      <c r="AM406">
        <f>IF(AI406=1,AB406,NA())</f>
        <v/>
      </c>
      <c r="AN406">
        <f>IF(AI406=0,AB406,NA())</f>
        <v/>
      </c>
    </row>
    <row r="407">
      <c r="A407" t="n">
        <v>399</v>
      </c>
      <c r="B407" t="n">
        <v>1</v>
      </c>
      <c r="C407" t="n">
        <v>4</v>
      </c>
      <c r="D407" t="n">
        <v>2</v>
      </c>
      <c r="E407" t="n">
        <v>3</v>
      </c>
      <c r="F407" t="n">
        <v>5</v>
      </c>
      <c r="G407" t="n">
        <v>4</v>
      </c>
      <c r="H407" t="n">
        <v>2</v>
      </c>
      <c r="I407" t="n">
        <v>3</v>
      </c>
      <c r="J407" t="n">
        <v>2</v>
      </c>
      <c r="K407" t="n">
        <v>2</v>
      </c>
      <c r="L407" t="n">
        <v>1</v>
      </c>
      <c r="M407" t="n">
        <v>4</v>
      </c>
      <c r="N407" t="n">
        <v>4</v>
      </c>
      <c r="O407" t="n">
        <v>5</v>
      </c>
      <c r="P407" t="n">
        <v>1</v>
      </c>
      <c r="Q407" t="n">
        <v>1</v>
      </c>
      <c r="R407" t="n">
        <v>1</v>
      </c>
      <c r="S407" t="n">
        <v>5</v>
      </c>
      <c r="T407" t="n">
        <v>2</v>
      </c>
      <c r="U407">
        <f>(AVERAGE(B407:D407)-1)/4</f>
        <v/>
      </c>
      <c r="V407">
        <f>(AVERAGE(E407:F407)-1)/4</f>
        <v/>
      </c>
      <c r="W407">
        <f>(AVERAGE(G407:I407)-1)/4</f>
        <v/>
      </c>
      <c r="X407">
        <f>(AVERAGE(J407:L407)-1)/4</f>
        <v/>
      </c>
      <c r="Y407">
        <f>(AVERAGE(M407:O407)-1)/4</f>
        <v/>
      </c>
      <c r="Z407">
        <f>(AVERAGE(P407:R407)-1)/4</f>
        <v/>
      </c>
      <c r="AA407">
        <f>(AVERAGE(S407:T407)-1)/4</f>
        <v/>
      </c>
      <c r="AB407">
        <f>AVERAGE(U407:Y407)</f>
        <v/>
      </c>
      <c r="AC407">
        <f>MIN(U407:Y407)</f>
        <v/>
      </c>
      <c r="AD407">
        <f>1-alpha*MAX(0,delta-AC407)</f>
        <v/>
      </c>
      <c r="AE407">
        <f>AB407*AD407</f>
        <v/>
      </c>
      <c r="AF407">
        <f>1+COUNTIF(bounds,"&lt;"&amp;ROUND(AB407,12))</f>
        <v/>
      </c>
      <c r="AG407">
        <f>1+COUNTIF(bounds,"&lt;"&amp;ROUND(AE407,12))</f>
        <v/>
      </c>
      <c r="AH407">
        <f>IF(AD407&lt;1,1,0)</f>
        <v/>
      </c>
      <c r="AI407">
        <f>IF(AF407&lt;&gt;AG407,1,0)</f>
        <v/>
      </c>
      <c r="AJ407">
        <f>IF(AND(AG407&gt;=3,Z407&lt;=0.2),1,0)</f>
        <v/>
      </c>
      <c r="AK407">
        <f>AVERAGE(U407:Z407)</f>
        <v/>
      </c>
      <c r="AL407">
        <f>1+COUNTIF(bounds,"&lt;"&amp;ROUND(AK407,12))</f>
        <v/>
      </c>
      <c r="AM407">
        <f>IF(AI407=1,AB407,NA())</f>
        <v/>
      </c>
      <c r="AN407">
        <f>IF(AI407=0,AB407,NA())</f>
        <v/>
      </c>
    </row>
    <row r="408">
      <c r="A408" t="n">
        <v>400</v>
      </c>
      <c r="B408" t="n">
        <v>2</v>
      </c>
      <c r="C408" t="n">
        <v>1</v>
      </c>
      <c r="D408" t="n">
        <v>1</v>
      </c>
      <c r="E408" t="n">
        <v>3</v>
      </c>
      <c r="F408" t="n">
        <v>4</v>
      </c>
      <c r="G408" t="n">
        <v>3</v>
      </c>
      <c r="H408" t="n">
        <v>5</v>
      </c>
      <c r="I408" t="n">
        <v>2</v>
      </c>
      <c r="J408" t="n">
        <v>5</v>
      </c>
      <c r="K408" t="n">
        <v>3</v>
      </c>
      <c r="L408" t="n">
        <v>1</v>
      </c>
      <c r="M408" t="n">
        <v>1</v>
      </c>
      <c r="N408" t="n">
        <v>4</v>
      </c>
      <c r="O408" t="n">
        <v>5</v>
      </c>
      <c r="P408" t="n">
        <v>2</v>
      </c>
      <c r="Q408" t="n">
        <v>3</v>
      </c>
      <c r="R408" t="n">
        <v>2</v>
      </c>
      <c r="S408" t="n">
        <v>5</v>
      </c>
      <c r="T408" t="n">
        <v>4</v>
      </c>
      <c r="U408">
        <f>(AVERAGE(B408:D408)-1)/4</f>
        <v/>
      </c>
      <c r="V408">
        <f>(AVERAGE(E408:F408)-1)/4</f>
        <v/>
      </c>
      <c r="W408">
        <f>(AVERAGE(G408:I408)-1)/4</f>
        <v/>
      </c>
      <c r="X408">
        <f>(AVERAGE(J408:L408)-1)/4</f>
        <v/>
      </c>
      <c r="Y408">
        <f>(AVERAGE(M408:O408)-1)/4</f>
        <v/>
      </c>
      <c r="Z408">
        <f>(AVERAGE(P408:R408)-1)/4</f>
        <v/>
      </c>
      <c r="AA408">
        <f>(AVERAGE(S408:T408)-1)/4</f>
        <v/>
      </c>
      <c r="AB408">
        <f>AVERAGE(U408:Y408)</f>
        <v/>
      </c>
      <c r="AC408">
        <f>MIN(U408:Y408)</f>
        <v/>
      </c>
      <c r="AD408">
        <f>1-alpha*MAX(0,delta-AC408)</f>
        <v/>
      </c>
      <c r="AE408">
        <f>AB408*AD408</f>
        <v/>
      </c>
      <c r="AF408">
        <f>1+COUNTIF(bounds,"&lt;"&amp;ROUND(AB408,12))</f>
        <v/>
      </c>
      <c r="AG408">
        <f>1+COUNTIF(bounds,"&lt;"&amp;ROUND(AE408,12))</f>
        <v/>
      </c>
      <c r="AH408">
        <f>IF(AD408&lt;1,1,0)</f>
        <v/>
      </c>
      <c r="AI408">
        <f>IF(AF408&lt;&gt;AG408,1,0)</f>
        <v/>
      </c>
      <c r="AJ408">
        <f>IF(AND(AG408&gt;=3,Z408&lt;=0.2),1,0)</f>
        <v/>
      </c>
      <c r="AK408">
        <f>AVERAGE(U408:Z408)</f>
        <v/>
      </c>
      <c r="AL408">
        <f>1+COUNTIF(bounds,"&lt;"&amp;ROUND(AK408,12))</f>
        <v/>
      </c>
      <c r="AM408">
        <f>IF(AI408=1,AB408,NA())</f>
        <v/>
      </c>
      <c r="AN408">
        <f>IF(AI408=0,AB408,NA())</f>
        <v/>
      </c>
    </row>
    <row r="409">
      <c r="A409" t="n">
        <v>401</v>
      </c>
      <c r="B409" t="n">
        <v>3</v>
      </c>
      <c r="C409" t="n">
        <v>3</v>
      </c>
      <c r="D409" t="n">
        <v>5</v>
      </c>
      <c r="E409" t="n">
        <v>2</v>
      </c>
      <c r="F409" t="n">
        <v>3</v>
      </c>
      <c r="G409" t="n">
        <v>1</v>
      </c>
      <c r="H409" t="n">
        <v>5</v>
      </c>
      <c r="I409" t="n">
        <v>5</v>
      </c>
      <c r="J409" t="n">
        <v>5</v>
      </c>
      <c r="K409" t="n">
        <v>5</v>
      </c>
      <c r="L409" t="n">
        <v>4</v>
      </c>
      <c r="M409" t="n">
        <v>2</v>
      </c>
      <c r="N409" t="n">
        <v>2</v>
      </c>
      <c r="O409" t="n">
        <v>4</v>
      </c>
      <c r="P409" t="n">
        <v>5</v>
      </c>
      <c r="Q409" t="n">
        <v>3</v>
      </c>
      <c r="R409" t="n">
        <v>5</v>
      </c>
      <c r="S409" t="n">
        <v>2</v>
      </c>
      <c r="T409" t="n">
        <v>4</v>
      </c>
      <c r="U409">
        <f>(AVERAGE(B409:D409)-1)/4</f>
        <v/>
      </c>
      <c r="V409">
        <f>(AVERAGE(E409:F409)-1)/4</f>
        <v/>
      </c>
      <c r="W409">
        <f>(AVERAGE(G409:I409)-1)/4</f>
        <v/>
      </c>
      <c r="X409">
        <f>(AVERAGE(J409:L409)-1)/4</f>
        <v/>
      </c>
      <c r="Y409">
        <f>(AVERAGE(M409:O409)-1)/4</f>
        <v/>
      </c>
      <c r="Z409">
        <f>(AVERAGE(P409:R409)-1)/4</f>
        <v/>
      </c>
      <c r="AA409">
        <f>(AVERAGE(S409:T409)-1)/4</f>
        <v/>
      </c>
      <c r="AB409">
        <f>AVERAGE(U409:Y409)</f>
        <v/>
      </c>
      <c r="AC409">
        <f>MIN(U409:Y409)</f>
        <v/>
      </c>
      <c r="AD409">
        <f>1-alpha*MAX(0,delta-AC409)</f>
        <v/>
      </c>
      <c r="AE409">
        <f>AB409*AD409</f>
        <v/>
      </c>
      <c r="AF409">
        <f>1+COUNTIF(bounds,"&lt;"&amp;ROUND(AB409,12))</f>
        <v/>
      </c>
      <c r="AG409">
        <f>1+COUNTIF(bounds,"&lt;"&amp;ROUND(AE409,12))</f>
        <v/>
      </c>
      <c r="AH409">
        <f>IF(AD409&lt;1,1,0)</f>
        <v/>
      </c>
      <c r="AI409">
        <f>IF(AF409&lt;&gt;AG409,1,0)</f>
        <v/>
      </c>
      <c r="AJ409">
        <f>IF(AND(AG409&gt;=3,Z409&lt;=0.2),1,0)</f>
        <v/>
      </c>
      <c r="AK409">
        <f>AVERAGE(U409:Z409)</f>
        <v/>
      </c>
      <c r="AL409">
        <f>1+COUNTIF(bounds,"&lt;"&amp;ROUND(AK409,12))</f>
        <v/>
      </c>
      <c r="AM409">
        <f>IF(AI409=1,AB409,NA())</f>
        <v/>
      </c>
      <c r="AN409">
        <f>IF(AI409=0,AB409,NA())</f>
        <v/>
      </c>
    </row>
    <row r="410">
      <c r="A410" t="n">
        <v>402</v>
      </c>
      <c r="B410" t="n">
        <v>4</v>
      </c>
      <c r="C410" t="n">
        <v>2</v>
      </c>
      <c r="D410" t="n">
        <v>4</v>
      </c>
      <c r="E410" t="n">
        <v>2</v>
      </c>
      <c r="F410" t="n">
        <v>4</v>
      </c>
      <c r="G410" t="n">
        <v>3</v>
      </c>
      <c r="H410" t="n">
        <v>5</v>
      </c>
      <c r="I410" t="n">
        <v>1</v>
      </c>
      <c r="J410" t="n">
        <v>5</v>
      </c>
      <c r="K410" t="n">
        <v>5</v>
      </c>
      <c r="L410" t="n">
        <v>1</v>
      </c>
      <c r="M410" t="n">
        <v>1</v>
      </c>
      <c r="N410" t="n">
        <v>3</v>
      </c>
      <c r="O410" t="n">
        <v>2</v>
      </c>
      <c r="P410" t="n">
        <v>5</v>
      </c>
      <c r="Q410" t="n">
        <v>4</v>
      </c>
      <c r="R410" t="n">
        <v>3</v>
      </c>
      <c r="S410" t="n">
        <v>3</v>
      </c>
      <c r="T410" t="n">
        <v>1</v>
      </c>
      <c r="U410">
        <f>(AVERAGE(B410:D410)-1)/4</f>
        <v/>
      </c>
      <c r="V410">
        <f>(AVERAGE(E410:F410)-1)/4</f>
        <v/>
      </c>
      <c r="W410">
        <f>(AVERAGE(G410:I410)-1)/4</f>
        <v/>
      </c>
      <c r="X410">
        <f>(AVERAGE(J410:L410)-1)/4</f>
        <v/>
      </c>
      <c r="Y410">
        <f>(AVERAGE(M410:O410)-1)/4</f>
        <v/>
      </c>
      <c r="Z410">
        <f>(AVERAGE(P410:R410)-1)/4</f>
        <v/>
      </c>
      <c r="AA410">
        <f>(AVERAGE(S410:T410)-1)/4</f>
        <v/>
      </c>
      <c r="AB410">
        <f>AVERAGE(U410:Y410)</f>
        <v/>
      </c>
      <c r="AC410">
        <f>MIN(U410:Y410)</f>
        <v/>
      </c>
      <c r="AD410">
        <f>1-alpha*MAX(0,delta-AC410)</f>
        <v/>
      </c>
      <c r="AE410">
        <f>AB410*AD410</f>
        <v/>
      </c>
      <c r="AF410">
        <f>1+COUNTIF(bounds,"&lt;"&amp;ROUND(AB410,12))</f>
        <v/>
      </c>
      <c r="AG410">
        <f>1+COUNTIF(bounds,"&lt;"&amp;ROUND(AE410,12))</f>
        <v/>
      </c>
      <c r="AH410">
        <f>IF(AD410&lt;1,1,0)</f>
        <v/>
      </c>
      <c r="AI410">
        <f>IF(AF410&lt;&gt;AG410,1,0)</f>
        <v/>
      </c>
      <c r="AJ410">
        <f>IF(AND(AG410&gt;=3,Z410&lt;=0.2),1,0)</f>
        <v/>
      </c>
      <c r="AK410">
        <f>AVERAGE(U410:Z410)</f>
        <v/>
      </c>
      <c r="AL410">
        <f>1+COUNTIF(bounds,"&lt;"&amp;ROUND(AK410,12))</f>
        <v/>
      </c>
      <c r="AM410">
        <f>IF(AI410=1,AB410,NA())</f>
        <v/>
      </c>
      <c r="AN410">
        <f>IF(AI410=0,AB410,NA())</f>
        <v/>
      </c>
    </row>
    <row r="411">
      <c r="A411" t="n">
        <v>403</v>
      </c>
      <c r="B411" t="n">
        <v>1</v>
      </c>
      <c r="C411" t="n">
        <v>4</v>
      </c>
      <c r="D411" t="n">
        <v>2</v>
      </c>
      <c r="E411" t="n">
        <v>3</v>
      </c>
      <c r="F411" t="n">
        <v>4</v>
      </c>
      <c r="G411" t="n">
        <v>1</v>
      </c>
      <c r="H411" t="n">
        <v>2</v>
      </c>
      <c r="I411" t="n">
        <v>1</v>
      </c>
      <c r="J411" t="n">
        <v>2</v>
      </c>
      <c r="K411" t="n">
        <v>2</v>
      </c>
      <c r="L411" t="n">
        <v>3</v>
      </c>
      <c r="M411" t="n">
        <v>5</v>
      </c>
      <c r="N411" t="n">
        <v>2</v>
      </c>
      <c r="O411" t="n">
        <v>2</v>
      </c>
      <c r="P411" t="n">
        <v>5</v>
      </c>
      <c r="Q411" t="n">
        <v>2</v>
      </c>
      <c r="R411" t="n">
        <v>4</v>
      </c>
      <c r="S411" t="n">
        <v>4</v>
      </c>
      <c r="T411" t="n">
        <v>4</v>
      </c>
      <c r="U411">
        <f>(AVERAGE(B411:D411)-1)/4</f>
        <v/>
      </c>
      <c r="V411">
        <f>(AVERAGE(E411:F411)-1)/4</f>
        <v/>
      </c>
      <c r="W411">
        <f>(AVERAGE(G411:I411)-1)/4</f>
        <v/>
      </c>
      <c r="X411">
        <f>(AVERAGE(J411:L411)-1)/4</f>
        <v/>
      </c>
      <c r="Y411">
        <f>(AVERAGE(M411:O411)-1)/4</f>
        <v/>
      </c>
      <c r="Z411">
        <f>(AVERAGE(P411:R411)-1)/4</f>
        <v/>
      </c>
      <c r="AA411">
        <f>(AVERAGE(S411:T411)-1)/4</f>
        <v/>
      </c>
      <c r="AB411">
        <f>AVERAGE(U411:Y411)</f>
        <v/>
      </c>
      <c r="AC411">
        <f>MIN(U411:Y411)</f>
        <v/>
      </c>
      <c r="AD411">
        <f>1-alpha*MAX(0,delta-AC411)</f>
        <v/>
      </c>
      <c r="AE411">
        <f>AB411*AD411</f>
        <v/>
      </c>
      <c r="AF411">
        <f>1+COUNTIF(bounds,"&lt;"&amp;ROUND(AB411,12))</f>
        <v/>
      </c>
      <c r="AG411">
        <f>1+COUNTIF(bounds,"&lt;"&amp;ROUND(AE411,12))</f>
        <v/>
      </c>
      <c r="AH411">
        <f>IF(AD411&lt;1,1,0)</f>
        <v/>
      </c>
      <c r="AI411">
        <f>IF(AF411&lt;&gt;AG411,1,0)</f>
        <v/>
      </c>
      <c r="AJ411">
        <f>IF(AND(AG411&gt;=3,Z411&lt;=0.2),1,0)</f>
        <v/>
      </c>
      <c r="AK411">
        <f>AVERAGE(U411:Z411)</f>
        <v/>
      </c>
      <c r="AL411">
        <f>1+COUNTIF(bounds,"&lt;"&amp;ROUND(AK411,12))</f>
        <v/>
      </c>
      <c r="AM411">
        <f>IF(AI411=1,AB411,NA())</f>
        <v/>
      </c>
      <c r="AN411">
        <f>IF(AI411=0,AB411,NA())</f>
        <v/>
      </c>
    </row>
    <row r="412">
      <c r="A412" t="n">
        <v>404</v>
      </c>
      <c r="B412" t="n">
        <v>4</v>
      </c>
      <c r="C412" t="n">
        <v>5</v>
      </c>
      <c r="D412" t="n">
        <v>5</v>
      </c>
      <c r="E412" t="n">
        <v>5</v>
      </c>
      <c r="F412" t="n">
        <v>3</v>
      </c>
      <c r="G412" t="n">
        <v>4</v>
      </c>
      <c r="H412" t="n">
        <v>4</v>
      </c>
      <c r="I412" t="n">
        <v>2</v>
      </c>
      <c r="J412" t="n">
        <v>2</v>
      </c>
      <c r="K412" t="n">
        <v>3</v>
      </c>
      <c r="L412" t="n">
        <v>1</v>
      </c>
      <c r="M412" t="n">
        <v>2</v>
      </c>
      <c r="N412" t="n">
        <v>3</v>
      </c>
      <c r="O412" t="n">
        <v>2</v>
      </c>
      <c r="P412" t="n">
        <v>2</v>
      </c>
      <c r="Q412" t="n">
        <v>1</v>
      </c>
      <c r="R412" t="n">
        <v>1</v>
      </c>
      <c r="S412" t="n">
        <v>1</v>
      </c>
      <c r="T412" t="n">
        <v>5</v>
      </c>
      <c r="U412">
        <f>(AVERAGE(B412:D412)-1)/4</f>
        <v/>
      </c>
      <c r="V412">
        <f>(AVERAGE(E412:F412)-1)/4</f>
        <v/>
      </c>
      <c r="W412">
        <f>(AVERAGE(G412:I412)-1)/4</f>
        <v/>
      </c>
      <c r="X412">
        <f>(AVERAGE(J412:L412)-1)/4</f>
        <v/>
      </c>
      <c r="Y412">
        <f>(AVERAGE(M412:O412)-1)/4</f>
        <v/>
      </c>
      <c r="Z412">
        <f>(AVERAGE(P412:R412)-1)/4</f>
        <v/>
      </c>
      <c r="AA412">
        <f>(AVERAGE(S412:T412)-1)/4</f>
        <v/>
      </c>
      <c r="AB412">
        <f>AVERAGE(U412:Y412)</f>
        <v/>
      </c>
      <c r="AC412">
        <f>MIN(U412:Y412)</f>
        <v/>
      </c>
      <c r="AD412">
        <f>1-alpha*MAX(0,delta-AC412)</f>
        <v/>
      </c>
      <c r="AE412">
        <f>AB412*AD412</f>
        <v/>
      </c>
      <c r="AF412">
        <f>1+COUNTIF(bounds,"&lt;"&amp;ROUND(AB412,12))</f>
        <v/>
      </c>
      <c r="AG412">
        <f>1+COUNTIF(bounds,"&lt;"&amp;ROUND(AE412,12))</f>
        <v/>
      </c>
      <c r="AH412">
        <f>IF(AD412&lt;1,1,0)</f>
        <v/>
      </c>
      <c r="AI412">
        <f>IF(AF412&lt;&gt;AG412,1,0)</f>
        <v/>
      </c>
      <c r="AJ412">
        <f>IF(AND(AG412&gt;=3,Z412&lt;=0.2),1,0)</f>
        <v/>
      </c>
      <c r="AK412">
        <f>AVERAGE(U412:Z412)</f>
        <v/>
      </c>
      <c r="AL412">
        <f>1+COUNTIF(bounds,"&lt;"&amp;ROUND(AK412,12))</f>
        <v/>
      </c>
      <c r="AM412">
        <f>IF(AI412=1,AB412,NA())</f>
        <v/>
      </c>
      <c r="AN412">
        <f>IF(AI412=0,AB412,NA())</f>
        <v/>
      </c>
    </row>
    <row r="413">
      <c r="A413" t="n">
        <v>405</v>
      </c>
      <c r="B413" t="n">
        <v>3</v>
      </c>
      <c r="C413" t="n">
        <v>1</v>
      </c>
      <c r="D413" t="n">
        <v>1</v>
      </c>
      <c r="E413" t="n">
        <v>5</v>
      </c>
      <c r="F413" t="n">
        <v>4</v>
      </c>
      <c r="G413" t="n">
        <v>1</v>
      </c>
      <c r="H413" t="n">
        <v>1</v>
      </c>
      <c r="I413" t="n">
        <v>1</v>
      </c>
      <c r="J413" t="n">
        <v>1</v>
      </c>
      <c r="K413" t="n">
        <v>2</v>
      </c>
      <c r="L413" t="n">
        <v>4</v>
      </c>
      <c r="M413" t="n">
        <v>3</v>
      </c>
      <c r="N413" t="n">
        <v>5</v>
      </c>
      <c r="O413" t="n">
        <v>3</v>
      </c>
      <c r="P413" t="n">
        <v>5</v>
      </c>
      <c r="Q413" t="n">
        <v>4</v>
      </c>
      <c r="R413" t="n">
        <v>2</v>
      </c>
      <c r="S413" t="n">
        <v>1</v>
      </c>
      <c r="T413" t="n">
        <v>4</v>
      </c>
      <c r="U413">
        <f>(AVERAGE(B413:D413)-1)/4</f>
        <v/>
      </c>
      <c r="V413">
        <f>(AVERAGE(E413:F413)-1)/4</f>
        <v/>
      </c>
      <c r="W413">
        <f>(AVERAGE(G413:I413)-1)/4</f>
        <v/>
      </c>
      <c r="X413">
        <f>(AVERAGE(J413:L413)-1)/4</f>
        <v/>
      </c>
      <c r="Y413">
        <f>(AVERAGE(M413:O413)-1)/4</f>
        <v/>
      </c>
      <c r="Z413">
        <f>(AVERAGE(P413:R413)-1)/4</f>
        <v/>
      </c>
      <c r="AA413">
        <f>(AVERAGE(S413:T413)-1)/4</f>
        <v/>
      </c>
      <c r="AB413">
        <f>AVERAGE(U413:Y413)</f>
        <v/>
      </c>
      <c r="AC413">
        <f>MIN(U413:Y413)</f>
        <v/>
      </c>
      <c r="AD413">
        <f>1-alpha*MAX(0,delta-AC413)</f>
        <v/>
      </c>
      <c r="AE413">
        <f>AB413*AD413</f>
        <v/>
      </c>
      <c r="AF413">
        <f>1+COUNTIF(bounds,"&lt;"&amp;ROUND(AB413,12))</f>
        <v/>
      </c>
      <c r="AG413">
        <f>1+COUNTIF(bounds,"&lt;"&amp;ROUND(AE413,12))</f>
        <v/>
      </c>
      <c r="AH413">
        <f>IF(AD413&lt;1,1,0)</f>
        <v/>
      </c>
      <c r="AI413">
        <f>IF(AF413&lt;&gt;AG413,1,0)</f>
        <v/>
      </c>
      <c r="AJ413">
        <f>IF(AND(AG413&gt;=3,Z413&lt;=0.2),1,0)</f>
        <v/>
      </c>
      <c r="AK413">
        <f>AVERAGE(U413:Z413)</f>
        <v/>
      </c>
      <c r="AL413">
        <f>1+COUNTIF(bounds,"&lt;"&amp;ROUND(AK413,12))</f>
        <v/>
      </c>
      <c r="AM413">
        <f>IF(AI413=1,AB413,NA())</f>
        <v/>
      </c>
      <c r="AN413">
        <f>IF(AI413=0,AB413,NA())</f>
        <v/>
      </c>
    </row>
    <row r="414">
      <c r="A414" t="n">
        <v>406</v>
      </c>
      <c r="B414" t="n">
        <v>2</v>
      </c>
      <c r="C414" t="n">
        <v>1</v>
      </c>
      <c r="D414" t="n">
        <v>2</v>
      </c>
      <c r="E414" t="n">
        <v>4</v>
      </c>
      <c r="F414" t="n">
        <v>5</v>
      </c>
      <c r="G414" t="n">
        <v>2</v>
      </c>
      <c r="H414" t="n">
        <v>1</v>
      </c>
      <c r="I414" t="n">
        <v>5</v>
      </c>
      <c r="J414" t="n">
        <v>4</v>
      </c>
      <c r="K414" t="n">
        <v>1</v>
      </c>
      <c r="L414" t="n">
        <v>3</v>
      </c>
      <c r="M414" t="n">
        <v>1</v>
      </c>
      <c r="N414" t="n">
        <v>2</v>
      </c>
      <c r="O414" t="n">
        <v>1</v>
      </c>
      <c r="P414" t="n">
        <v>1</v>
      </c>
      <c r="Q414" t="n">
        <v>4</v>
      </c>
      <c r="R414" t="n">
        <v>3</v>
      </c>
      <c r="S414" t="n">
        <v>1</v>
      </c>
      <c r="T414" t="n">
        <v>4</v>
      </c>
      <c r="U414">
        <f>(AVERAGE(B414:D414)-1)/4</f>
        <v/>
      </c>
      <c r="V414">
        <f>(AVERAGE(E414:F414)-1)/4</f>
        <v/>
      </c>
      <c r="W414">
        <f>(AVERAGE(G414:I414)-1)/4</f>
        <v/>
      </c>
      <c r="X414">
        <f>(AVERAGE(J414:L414)-1)/4</f>
        <v/>
      </c>
      <c r="Y414">
        <f>(AVERAGE(M414:O414)-1)/4</f>
        <v/>
      </c>
      <c r="Z414">
        <f>(AVERAGE(P414:R414)-1)/4</f>
        <v/>
      </c>
      <c r="AA414">
        <f>(AVERAGE(S414:T414)-1)/4</f>
        <v/>
      </c>
      <c r="AB414">
        <f>AVERAGE(U414:Y414)</f>
        <v/>
      </c>
      <c r="AC414">
        <f>MIN(U414:Y414)</f>
        <v/>
      </c>
      <c r="AD414">
        <f>1-alpha*MAX(0,delta-AC414)</f>
        <v/>
      </c>
      <c r="AE414">
        <f>AB414*AD414</f>
        <v/>
      </c>
      <c r="AF414">
        <f>1+COUNTIF(bounds,"&lt;"&amp;ROUND(AB414,12))</f>
        <v/>
      </c>
      <c r="AG414">
        <f>1+COUNTIF(bounds,"&lt;"&amp;ROUND(AE414,12))</f>
        <v/>
      </c>
      <c r="AH414">
        <f>IF(AD414&lt;1,1,0)</f>
        <v/>
      </c>
      <c r="AI414">
        <f>IF(AF414&lt;&gt;AG414,1,0)</f>
        <v/>
      </c>
      <c r="AJ414">
        <f>IF(AND(AG414&gt;=3,Z414&lt;=0.2),1,0)</f>
        <v/>
      </c>
      <c r="AK414">
        <f>AVERAGE(U414:Z414)</f>
        <v/>
      </c>
      <c r="AL414">
        <f>1+COUNTIF(bounds,"&lt;"&amp;ROUND(AK414,12))</f>
        <v/>
      </c>
      <c r="AM414">
        <f>IF(AI414=1,AB414,NA())</f>
        <v/>
      </c>
      <c r="AN414">
        <f>IF(AI414=0,AB414,NA())</f>
        <v/>
      </c>
    </row>
    <row r="415">
      <c r="A415" t="n">
        <v>407</v>
      </c>
      <c r="B415" t="n">
        <v>5</v>
      </c>
      <c r="C415" t="n">
        <v>2</v>
      </c>
      <c r="D415" t="n">
        <v>2</v>
      </c>
      <c r="E415" t="n">
        <v>2</v>
      </c>
      <c r="F415" t="n">
        <v>3</v>
      </c>
      <c r="G415" t="n">
        <v>5</v>
      </c>
      <c r="H415" t="n">
        <v>2</v>
      </c>
      <c r="I415" t="n">
        <v>5</v>
      </c>
      <c r="J415" t="n">
        <v>4</v>
      </c>
      <c r="K415" t="n">
        <v>2</v>
      </c>
      <c r="L415" t="n">
        <v>2</v>
      </c>
      <c r="M415" t="n">
        <v>2</v>
      </c>
      <c r="N415" t="n">
        <v>4</v>
      </c>
      <c r="O415" t="n">
        <v>3</v>
      </c>
      <c r="P415" t="n">
        <v>1</v>
      </c>
      <c r="Q415" t="n">
        <v>3</v>
      </c>
      <c r="R415" t="n">
        <v>1</v>
      </c>
      <c r="S415" t="n">
        <v>4</v>
      </c>
      <c r="T415" t="n">
        <v>5</v>
      </c>
      <c r="U415">
        <f>(AVERAGE(B415:D415)-1)/4</f>
        <v/>
      </c>
      <c r="V415">
        <f>(AVERAGE(E415:F415)-1)/4</f>
        <v/>
      </c>
      <c r="W415">
        <f>(AVERAGE(G415:I415)-1)/4</f>
        <v/>
      </c>
      <c r="X415">
        <f>(AVERAGE(J415:L415)-1)/4</f>
        <v/>
      </c>
      <c r="Y415">
        <f>(AVERAGE(M415:O415)-1)/4</f>
        <v/>
      </c>
      <c r="Z415">
        <f>(AVERAGE(P415:R415)-1)/4</f>
        <v/>
      </c>
      <c r="AA415">
        <f>(AVERAGE(S415:T415)-1)/4</f>
        <v/>
      </c>
      <c r="AB415">
        <f>AVERAGE(U415:Y415)</f>
        <v/>
      </c>
      <c r="AC415">
        <f>MIN(U415:Y415)</f>
        <v/>
      </c>
      <c r="AD415">
        <f>1-alpha*MAX(0,delta-AC415)</f>
        <v/>
      </c>
      <c r="AE415">
        <f>AB415*AD415</f>
        <v/>
      </c>
      <c r="AF415">
        <f>1+COUNTIF(bounds,"&lt;"&amp;ROUND(AB415,12))</f>
        <v/>
      </c>
      <c r="AG415">
        <f>1+COUNTIF(bounds,"&lt;"&amp;ROUND(AE415,12))</f>
        <v/>
      </c>
      <c r="AH415">
        <f>IF(AD415&lt;1,1,0)</f>
        <v/>
      </c>
      <c r="AI415">
        <f>IF(AF415&lt;&gt;AG415,1,0)</f>
        <v/>
      </c>
      <c r="AJ415">
        <f>IF(AND(AG415&gt;=3,Z415&lt;=0.2),1,0)</f>
        <v/>
      </c>
      <c r="AK415">
        <f>AVERAGE(U415:Z415)</f>
        <v/>
      </c>
      <c r="AL415">
        <f>1+COUNTIF(bounds,"&lt;"&amp;ROUND(AK415,12))</f>
        <v/>
      </c>
      <c r="AM415">
        <f>IF(AI415=1,AB415,NA())</f>
        <v/>
      </c>
      <c r="AN415">
        <f>IF(AI415=0,AB415,NA())</f>
        <v/>
      </c>
    </row>
    <row r="416">
      <c r="A416" t="n">
        <v>408</v>
      </c>
      <c r="B416" t="n">
        <v>5</v>
      </c>
      <c r="C416" t="n">
        <v>4</v>
      </c>
      <c r="D416" t="n">
        <v>2</v>
      </c>
      <c r="E416" t="n">
        <v>2</v>
      </c>
      <c r="F416" t="n">
        <v>1</v>
      </c>
      <c r="G416" t="n">
        <v>3</v>
      </c>
      <c r="H416" t="n">
        <v>4</v>
      </c>
      <c r="I416" t="n">
        <v>3</v>
      </c>
      <c r="J416" t="n">
        <v>3</v>
      </c>
      <c r="K416" t="n">
        <v>4</v>
      </c>
      <c r="L416" t="n">
        <v>4</v>
      </c>
      <c r="M416" t="n">
        <v>1</v>
      </c>
      <c r="N416" t="n">
        <v>4</v>
      </c>
      <c r="O416" t="n">
        <v>2</v>
      </c>
      <c r="P416" t="n">
        <v>3</v>
      </c>
      <c r="Q416" t="n">
        <v>3</v>
      </c>
      <c r="R416" t="n">
        <v>3</v>
      </c>
      <c r="S416" t="n">
        <v>2</v>
      </c>
      <c r="T416" t="n">
        <v>3</v>
      </c>
      <c r="U416">
        <f>(AVERAGE(B416:D416)-1)/4</f>
        <v/>
      </c>
      <c r="V416">
        <f>(AVERAGE(E416:F416)-1)/4</f>
        <v/>
      </c>
      <c r="W416">
        <f>(AVERAGE(G416:I416)-1)/4</f>
        <v/>
      </c>
      <c r="X416">
        <f>(AVERAGE(J416:L416)-1)/4</f>
        <v/>
      </c>
      <c r="Y416">
        <f>(AVERAGE(M416:O416)-1)/4</f>
        <v/>
      </c>
      <c r="Z416">
        <f>(AVERAGE(P416:R416)-1)/4</f>
        <v/>
      </c>
      <c r="AA416">
        <f>(AVERAGE(S416:T416)-1)/4</f>
        <v/>
      </c>
      <c r="AB416">
        <f>AVERAGE(U416:Y416)</f>
        <v/>
      </c>
      <c r="AC416">
        <f>MIN(U416:Y416)</f>
        <v/>
      </c>
      <c r="AD416">
        <f>1-alpha*MAX(0,delta-AC416)</f>
        <v/>
      </c>
      <c r="AE416">
        <f>AB416*AD416</f>
        <v/>
      </c>
      <c r="AF416">
        <f>1+COUNTIF(bounds,"&lt;"&amp;ROUND(AB416,12))</f>
        <v/>
      </c>
      <c r="AG416">
        <f>1+COUNTIF(bounds,"&lt;"&amp;ROUND(AE416,12))</f>
        <v/>
      </c>
      <c r="AH416">
        <f>IF(AD416&lt;1,1,0)</f>
        <v/>
      </c>
      <c r="AI416">
        <f>IF(AF416&lt;&gt;AG416,1,0)</f>
        <v/>
      </c>
      <c r="AJ416">
        <f>IF(AND(AG416&gt;=3,Z416&lt;=0.2),1,0)</f>
        <v/>
      </c>
      <c r="AK416">
        <f>AVERAGE(U416:Z416)</f>
        <v/>
      </c>
      <c r="AL416">
        <f>1+COUNTIF(bounds,"&lt;"&amp;ROUND(AK416,12))</f>
        <v/>
      </c>
      <c r="AM416">
        <f>IF(AI416=1,AB416,NA())</f>
        <v/>
      </c>
      <c r="AN416">
        <f>IF(AI416=0,AB416,NA())</f>
        <v/>
      </c>
    </row>
    <row r="417">
      <c r="A417" t="n">
        <v>409</v>
      </c>
      <c r="B417" t="n">
        <v>3</v>
      </c>
      <c r="C417" t="n">
        <v>3</v>
      </c>
      <c r="D417" t="n">
        <v>4</v>
      </c>
      <c r="E417" t="n">
        <v>3</v>
      </c>
      <c r="F417" t="n">
        <v>5</v>
      </c>
      <c r="G417" t="n">
        <v>3</v>
      </c>
      <c r="H417" t="n">
        <v>1</v>
      </c>
      <c r="I417" t="n">
        <v>5</v>
      </c>
      <c r="J417" t="n">
        <v>4</v>
      </c>
      <c r="K417" t="n">
        <v>4</v>
      </c>
      <c r="L417" t="n">
        <v>4</v>
      </c>
      <c r="M417" t="n">
        <v>1</v>
      </c>
      <c r="N417" t="n">
        <v>5</v>
      </c>
      <c r="O417" t="n">
        <v>2</v>
      </c>
      <c r="P417" t="n">
        <v>1</v>
      </c>
      <c r="Q417" t="n">
        <v>2</v>
      </c>
      <c r="R417" t="n">
        <v>5</v>
      </c>
      <c r="S417" t="n">
        <v>3</v>
      </c>
      <c r="T417" t="n">
        <v>1</v>
      </c>
      <c r="U417">
        <f>(AVERAGE(B417:D417)-1)/4</f>
        <v/>
      </c>
      <c r="V417">
        <f>(AVERAGE(E417:F417)-1)/4</f>
        <v/>
      </c>
      <c r="W417">
        <f>(AVERAGE(G417:I417)-1)/4</f>
        <v/>
      </c>
      <c r="X417">
        <f>(AVERAGE(J417:L417)-1)/4</f>
        <v/>
      </c>
      <c r="Y417">
        <f>(AVERAGE(M417:O417)-1)/4</f>
        <v/>
      </c>
      <c r="Z417">
        <f>(AVERAGE(P417:R417)-1)/4</f>
        <v/>
      </c>
      <c r="AA417">
        <f>(AVERAGE(S417:T417)-1)/4</f>
        <v/>
      </c>
      <c r="AB417">
        <f>AVERAGE(U417:Y417)</f>
        <v/>
      </c>
      <c r="AC417">
        <f>MIN(U417:Y417)</f>
        <v/>
      </c>
      <c r="AD417">
        <f>1-alpha*MAX(0,delta-AC417)</f>
        <v/>
      </c>
      <c r="AE417">
        <f>AB417*AD417</f>
        <v/>
      </c>
      <c r="AF417">
        <f>1+COUNTIF(bounds,"&lt;"&amp;ROUND(AB417,12))</f>
        <v/>
      </c>
      <c r="AG417">
        <f>1+COUNTIF(bounds,"&lt;"&amp;ROUND(AE417,12))</f>
        <v/>
      </c>
      <c r="AH417">
        <f>IF(AD417&lt;1,1,0)</f>
        <v/>
      </c>
      <c r="AI417">
        <f>IF(AF417&lt;&gt;AG417,1,0)</f>
        <v/>
      </c>
      <c r="AJ417">
        <f>IF(AND(AG417&gt;=3,Z417&lt;=0.2),1,0)</f>
        <v/>
      </c>
      <c r="AK417">
        <f>AVERAGE(U417:Z417)</f>
        <v/>
      </c>
      <c r="AL417">
        <f>1+COUNTIF(bounds,"&lt;"&amp;ROUND(AK417,12))</f>
        <v/>
      </c>
      <c r="AM417">
        <f>IF(AI417=1,AB417,NA())</f>
        <v/>
      </c>
      <c r="AN417">
        <f>IF(AI417=0,AB417,NA())</f>
        <v/>
      </c>
    </row>
    <row r="418">
      <c r="A418" t="n">
        <v>410</v>
      </c>
      <c r="B418" t="n">
        <v>1</v>
      </c>
      <c r="C418" t="n">
        <v>4</v>
      </c>
      <c r="D418" t="n">
        <v>1</v>
      </c>
      <c r="E418" t="n">
        <v>3</v>
      </c>
      <c r="F418" t="n">
        <v>2</v>
      </c>
      <c r="G418" t="n">
        <v>5</v>
      </c>
      <c r="H418" t="n">
        <v>2</v>
      </c>
      <c r="I418" t="n">
        <v>2</v>
      </c>
      <c r="J418" t="n">
        <v>4</v>
      </c>
      <c r="K418" t="n">
        <v>4</v>
      </c>
      <c r="L418" t="n">
        <v>4</v>
      </c>
      <c r="M418" t="n">
        <v>4</v>
      </c>
      <c r="N418" t="n">
        <v>2</v>
      </c>
      <c r="O418" t="n">
        <v>1</v>
      </c>
      <c r="P418" t="n">
        <v>5</v>
      </c>
      <c r="Q418" t="n">
        <v>1</v>
      </c>
      <c r="R418" t="n">
        <v>3</v>
      </c>
      <c r="S418" t="n">
        <v>2</v>
      </c>
      <c r="T418" t="n">
        <v>5</v>
      </c>
      <c r="U418">
        <f>(AVERAGE(B418:D418)-1)/4</f>
        <v/>
      </c>
      <c r="V418">
        <f>(AVERAGE(E418:F418)-1)/4</f>
        <v/>
      </c>
      <c r="W418">
        <f>(AVERAGE(G418:I418)-1)/4</f>
        <v/>
      </c>
      <c r="X418">
        <f>(AVERAGE(J418:L418)-1)/4</f>
        <v/>
      </c>
      <c r="Y418">
        <f>(AVERAGE(M418:O418)-1)/4</f>
        <v/>
      </c>
      <c r="Z418">
        <f>(AVERAGE(P418:R418)-1)/4</f>
        <v/>
      </c>
      <c r="AA418">
        <f>(AVERAGE(S418:T418)-1)/4</f>
        <v/>
      </c>
      <c r="AB418">
        <f>AVERAGE(U418:Y418)</f>
        <v/>
      </c>
      <c r="AC418">
        <f>MIN(U418:Y418)</f>
        <v/>
      </c>
      <c r="AD418">
        <f>1-alpha*MAX(0,delta-AC418)</f>
        <v/>
      </c>
      <c r="AE418">
        <f>AB418*AD418</f>
        <v/>
      </c>
      <c r="AF418">
        <f>1+COUNTIF(bounds,"&lt;"&amp;ROUND(AB418,12))</f>
        <v/>
      </c>
      <c r="AG418">
        <f>1+COUNTIF(bounds,"&lt;"&amp;ROUND(AE418,12))</f>
        <v/>
      </c>
      <c r="AH418">
        <f>IF(AD418&lt;1,1,0)</f>
        <v/>
      </c>
      <c r="AI418">
        <f>IF(AF418&lt;&gt;AG418,1,0)</f>
        <v/>
      </c>
      <c r="AJ418">
        <f>IF(AND(AG418&gt;=3,Z418&lt;=0.2),1,0)</f>
        <v/>
      </c>
      <c r="AK418">
        <f>AVERAGE(U418:Z418)</f>
        <v/>
      </c>
      <c r="AL418">
        <f>1+COUNTIF(bounds,"&lt;"&amp;ROUND(AK418,12))</f>
        <v/>
      </c>
      <c r="AM418">
        <f>IF(AI418=1,AB418,NA())</f>
        <v/>
      </c>
      <c r="AN418">
        <f>IF(AI418=0,AB418,NA())</f>
        <v/>
      </c>
    </row>
    <row r="419">
      <c r="A419" t="n">
        <v>411</v>
      </c>
      <c r="B419" t="n">
        <v>3</v>
      </c>
      <c r="C419" t="n">
        <v>5</v>
      </c>
      <c r="D419" t="n">
        <v>1</v>
      </c>
      <c r="E419" t="n">
        <v>3</v>
      </c>
      <c r="F419" t="n">
        <v>2</v>
      </c>
      <c r="G419" t="n">
        <v>1</v>
      </c>
      <c r="H419" t="n">
        <v>1</v>
      </c>
      <c r="I419" t="n">
        <v>2</v>
      </c>
      <c r="J419" t="n">
        <v>4</v>
      </c>
      <c r="K419" t="n">
        <v>4</v>
      </c>
      <c r="L419" t="n">
        <v>1</v>
      </c>
      <c r="M419" t="n">
        <v>4</v>
      </c>
      <c r="N419" t="n">
        <v>4</v>
      </c>
      <c r="O419" t="n">
        <v>2</v>
      </c>
      <c r="P419" t="n">
        <v>5</v>
      </c>
      <c r="Q419" t="n">
        <v>4</v>
      </c>
      <c r="R419" t="n">
        <v>3</v>
      </c>
      <c r="S419" t="n">
        <v>1</v>
      </c>
      <c r="T419" t="n">
        <v>3</v>
      </c>
      <c r="U419">
        <f>(AVERAGE(B419:D419)-1)/4</f>
        <v/>
      </c>
      <c r="V419">
        <f>(AVERAGE(E419:F419)-1)/4</f>
        <v/>
      </c>
      <c r="W419">
        <f>(AVERAGE(G419:I419)-1)/4</f>
        <v/>
      </c>
      <c r="X419">
        <f>(AVERAGE(J419:L419)-1)/4</f>
        <v/>
      </c>
      <c r="Y419">
        <f>(AVERAGE(M419:O419)-1)/4</f>
        <v/>
      </c>
      <c r="Z419">
        <f>(AVERAGE(P419:R419)-1)/4</f>
        <v/>
      </c>
      <c r="AA419">
        <f>(AVERAGE(S419:T419)-1)/4</f>
        <v/>
      </c>
      <c r="AB419">
        <f>AVERAGE(U419:Y419)</f>
        <v/>
      </c>
      <c r="AC419">
        <f>MIN(U419:Y419)</f>
        <v/>
      </c>
      <c r="AD419">
        <f>1-alpha*MAX(0,delta-AC419)</f>
        <v/>
      </c>
      <c r="AE419">
        <f>AB419*AD419</f>
        <v/>
      </c>
      <c r="AF419">
        <f>1+COUNTIF(bounds,"&lt;"&amp;ROUND(AB419,12))</f>
        <v/>
      </c>
      <c r="AG419">
        <f>1+COUNTIF(bounds,"&lt;"&amp;ROUND(AE419,12))</f>
        <v/>
      </c>
      <c r="AH419">
        <f>IF(AD419&lt;1,1,0)</f>
        <v/>
      </c>
      <c r="AI419">
        <f>IF(AF419&lt;&gt;AG419,1,0)</f>
        <v/>
      </c>
      <c r="AJ419">
        <f>IF(AND(AG419&gt;=3,Z419&lt;=0.2),1,0)</f>
        <v/>
      </c>
      <c r="AK419">
        <f>AVERAGE(U419:Z419)</f>
        <v/>
      </c>
      <c r="AL419">
        <f>1+COUNTIF(bounds,"&lt;"&amp;ROUND(AK419,12))</f>
        <v/>
      </c>
      <c r="AM419">
        <f>IF(AI419=1,AB419,NA())</f>
        <v/>
      </c>
      <c r="AN419">
        <f>IF(AI419=0,AB419,NA())</f>
        <v/>
      </c>
    </row>
    <row r="420">
      <c r="A420" t="n">
        <v>412</v>
      </c>
      <c r="B420" t="n">
        <v>4</v>
      </c>
      <c r="C420" t="n">
        <v>2</v>
      </c>
      <c r="D420" t="n">
        <v>2</v>
      </c>
      <c r="E420" t="n">
        <v>3</v>
      </c>
      <c r="F420" t="n">
        <v>1</v>
      </c>
      <c r="G420" t="n">
        <v>3</v>
      </c>
      <c r="H420" t="n">
        <v>4</v>
      </c>
      <c r="I420" t="n">
        <v>3</v>
      </c>
      <c r="J420" t="n">
        <v>5</v>
      </c>
      <c r="K420" t="n">
        <v>4</v>
      </c>
      <c r="L420" t="n">
        <v>1</v>
      </c>
      <c r="M420" t="n">
        <v>4</v>
      </c>
      <c r="N420" t="n">
        <v>5</v>
      </c>
      <c r="O420" t="n">
        <v>3</v>
      </c>
      <c r="P420" t="n">
        <v>5</v>
      </c>
      <c r="Q420" t="n">
        <v>2</v>
      </c>
      <c r="R420" t="n">
        <v>5</v>
      </c>
      <c r="S420" t="n">
        <v>4</v>
      </c>
      <c r="T420" t="n">
        <v>5</v>
      </c>
      <c r="U420">
        <f>(AVERAGE(B420:D420)-1)/4</f>
        <v/>
      </c>
      <c r="V420">
        <f>(AVERAGE(E420:F420)-1)/4</f>
        <v/>
      </c>
      <c r="W420">
        <f>(AVERAGE(G420:I420)-1)/4</f>
        <v/>
      </c>
      <c r="X420">
        <f>(AVERAGE(J420:L420)-1)/4</f>
        <v/>
      </c>
      <c r="Y420">
        <f>(AVERAGE(M420:O420)-1)/4</f>
        <v/>
      </c>
      <c r="Z420">
        <f>(AVERAGE(P420:R420)-1)/4</f>
        <v/>
      </c>
      <c r="AA420">
        <f>(AVERAGE(S420:T420)-1)/4</f>
        <v/>
      </c>
      <c r="AB420">
        <f>AVERAGE(U420:Y420)</f>
        <v/>
      </c>
      <c r="AC420">
        <f>MIN(U420:Y420)</f>
        <v/>
      </c>
      <c r="AD420">
        <f>1-alpha*MAX(0,delta-AC420)</f>
        <v/>
      </c>
      <c r="AE420">
        <f>AB420*AD420</f>
        <v/>
      </c>
      <c r="AF420">
        <f>1+COUNTIF(bounds,"&lt;"&amp;ROUND(AB420,12))</f>
        <v/>
      </c>
      <c r="AG420">
        <f>1+COUNTIF(bounds,"&lt;"&amp;ROUND(AE420,12))</f>
        <v/>
      </c>
      <c r="AH420">
        <f>IF(AD420&lt;1,1,0)</f>
        <v/>
      </c>
      <c r="AI420">
        <f>IF(AF420&lt;&gt;AG420,1,0)</f>
        <v/>
      </c>
      <c r="AJ420">
        <f>IF(AND(AG420&gt;=3,Z420&lt;=0.2),1,0)</f>
        <v/>
      </c>
      <c r="AK420">
        <f>AVERAGE(U420:Z420)</f>
        <v/>
      </c>
      <c r="AL420">
        <f>1+COUNTIF(bounds,"&lt;"&amp;ROUND(AK420,12))</f>
        <v/>
      </c>
      <c r="AM420">
        <f>IF(AI420=1,AB420,NA())</f>
        <v/>
      </c>
      <c r="AN420">
        <f>IF(AI420=0,AB420,NA())</f>
        <v/>
      </c>
    </row>
    <row r="421">
      <c r="A421" t="n">
        <v>413</v>
      </c>
      <c r="B421" t="n">
        <v>3</v>
      </c>
      <c r="C421" t="n">
        <v>1</v>
      </c>
      <c r="D421" t="n">
        <v>3</v>
      </c>
      <c r="E421" t="n">
        <v>4</v>
      </c>
      <c r="F421" t="n">
        <v>5</v>
      </c>
      <c r="G421" t="n">
        <v>1</v>
      </c>
      <c r="H421" t="n">
        <v>4</v>
      </c>
      <c r="I421" t="n">
        <v>2</v>
      </c>
      <c r="J421" t="n">
        <v>1</v>
      </c>
      <c r="K421" t="n">
        <v>2</v>
      </c>
      <c r="L421" t="n">
        <v>4</v>
      </c>
      <c r="M421" t="n">
        <v>1</v>
      </c>
      <c r="N421" t="n">
        <v>4</v>
      </c>
      <c r="O421" t="n">
        <v>5</v>
      </c>
      <c r="P421" t="n">
        <v>5</v>
      </c>
      <c r="Q421" t="n">
        <v>4</v>
      </c>
      <c r="R421" t="n">
        <v>1</v>
      </c>
      <c r="S421" t="n">
        <v>5</v>
      </c>
      <c r="T421" t="n">
        <v>4</v>
      </c>
      <c r="U421">
        <f>(AVERAGE(B421:D421)-1)/4</f>
        <v/>
      </c>
      <c r="V421">
        <f>(AVERAGE(E421:F421)-1)/4</f>
        <v/>
      </c>
      <c r="W421">
        <f>(AVERAGE(G421:I421)-1)/4</f>
        <v/>
      </c>
      <c r="X421">
        <f>(AVERAGE(J421:L421)-1)/4</f>
        <v/>
      </c>
      <c r="Y421">
        <f>(AVERAGE(M421:O421)-1)/4</f>
        <v/>
      </c>
      <c r="Z421">
        <f>(AVERAGE(P421:R421)-1)/4</f>
        <v/>
      </c>
      <c r="AA421">
        <f>(AVERAGE(S421:T421)-1)/4</f>
        <v/>
      </c>
      <c r="AB421">
        <f>AVERAGE(U421:Y421)</f>
        <v/>
      </c>
      <c r="AC421">
        <f>MIN(U421:Y421)</f>
        <v/>
      </c>
      <c r="AD421">
        <f>1-alpha*MAX(0,delta-AC421)</f>
        <v/>
      </c>
      <c r="AE421">
        <f>AB421*AD421</f>
        <v/>
      </c>
      <c r="AF421">
        <f>1+COUNTIF(bounds,"&lt;"&amp;ROUND(AB421,12))</f>
        <v/>
      </c>
      <c r="AG421">
        <f>1+COUNTIF(bounds,"&lt;"&amp;ROUND(AE421,12))</f>
        <v/>
      </c>
      <c r="AH421">
        <f>IF(AD421&lt;1,1,0)</f>
        <v/>
      </c>
      <c r="AI421">
        <f>IF(AF421&lt;&gt;AG421,1,0)</f>
        <v/>
      </c>
      <c r="AJ421">
        <f>IF(AND(AG421&gt;=3,Z421&lt;=0.2),1,0)</f>
        <v/>
      </c>
      <c r="AK421">
        <f>AVERAGE(U421:Z421)</f>
        <v/>
      </c>
      <c r="AL421">
        <f>1+COUNTIF(bounds,"&lt;"&amp;ROUND(AK421,12))</f>
        <v/>
      </c>
      <c r="AM421">
        <f>IF(AI421=1,AB421,NA())</f>
        <v/>
      </c>
      <c r="AN421">
        <f>IF(AI421=0,AB421,NA())</f>
        <v/>
      </c>
    </row>
    <row r="422">
      <c r="A422" t="n">
        <v>414</v>
      </c>
      <c r="B422" t="n">
        <v>3</v>
      </c>
      <c r="C422" t="n">
        <v>4</v>
      </c>
      <c r="D422" t="n">
        <v>5</v>
      </c>
      <c r="E422" t="n">
        <v>1</v>
      </c>
      <c r="F422" t="n">
        <v>1</v>
      </c>
      <c r="G422" t="n">
        <v>1</v>
      </c>
      <c r="H422" t="n">
        <v>4</v>
      </c>
      <c r="I422" t="n">
        <v>2</v>
      </c>
      <c r="J422" t="n">
        <v>4</v>
      </c>
      <c r="K422" t="n">
        <v>1</v>
      </c>
      <c r="L422" t="n">
        <v>5</v>
      </c>
      <c r="M422" t="n">
        <v>2</v>
      </c>
      <c r="N422" t="n">
        <v>1</v>
      </c>
      <c r="O422" t="n">
        <v>2</v>
      </c>
      <c r="P422" t="n">
        <v>1</v>
      </c>
      <c r="Q422" t="n">
        <v>5</v>
      </c>
      <c r="R422" t="n">
        <v>2</v>
      </c>
      <c r="S422" t="n">
        <v>4</v>
      </c>
      <c r="T422" t="n">
        <v>1</v>
      </c>
      <c r="U422">
        <f>(AVERAGE(B422:D422)-1)/4</f>
        <v/>
      </c>
      <c r="V422">
        <f>(AVERAGE(E422:F422)-1)/4</f>
        <v/>
      </c>
      <c r="W422">
        <f>(AVERAGE(G422:I422)-1)/4</f>
        <v/>
      </c>
      <c r="X422">
        <f>(AVERAGE(J422:L422)-1)/4</f>
        <v/>
      </c>
      <c r="Y422">
        <f>(AVERAGE(M422:O422)-1)/4</f>
        <v/>
      </c>
      <c r="Z422">
        <f>(AVERAGE(P422:R422)-1)/4</f>
        <v/>
      </c>
      <c r="AA422">
        <f>(AVERAGE(S422:T422)-1)/4</f>
        <v/>
      </c>
      <c r="AB422">
        <f>AVERAGE(U422:Y422)</f>
        <v/>
      </c>
      <c r="AC422">
        <f>MIN(U422:Y422)</f>
        <v/>
      </c>
      <c r="AD422">
        <f>1-alpha*MAX(0,delta-AC422)</f>
        <v/>
      </c>
      <c r="AE422">
        <f>AB422*AD422</f>
        <v/>
      </c>
      <c r="AF422">
        <f>1+COUNTIF(bounds,"&lt;"&amp;ROUND(AB422,12))</f>
        <v/>
      </c>
      <c r="AG422">
        <f>1+COUNTIF(bounds,"&lt;"&amp;ROUND(AE422,12))</f>
        <v/>
      </c>
      <c r="AH422">
        <f>IF(AD422&lt;1,1,0)</f>
        <v/>
      </c>
      <c r="AI422">
        <f>IF(AF422&lt;&gt;AG422,1,0)</f>
        <v/>
      </c>
      <c r="AJ422">
        <f>IF(AND(AG422&gt;=3,Z422&lt;=0.2),1,0)</f>
        <v/>
      </c>
      <c r="AK422">
        <f>AVERAGE(U422:Z422)</f>
        <v/>
      </c>
      <c r="AL422">
        <f>1+COUNTIF(bounds,"&lt;"&amp;ROUND(AK422,12))</f>
        <v/>
      </c>
      <c r="AM422">
        <f>IF(AI422=1,AB422,NA())</f>
        <v/>
      </c>
      <c r="AN422">
        <f>IF(AI422=0,AB422,NA())</f>
        <v/>
      </c>
    </row>
    <row r="423">
      <c r="A423" t="n">
        <v>415</v>
      </c>
      <c r="B423" t="n">
        <v>5</v>
      </c>
      <c r="C423" t="n">
        <v>3</v>
      </c>
      <c r="D423" t="n">
        <v>5</v>
      </c>
      <c r="E423" t="n">
        <v>1</v>
      </c>
      <c r="F423" t="n">
        <v>5</v>
      </c>
      <c r="G423" t="n">
        <v>4</v>
      </c>
      <c r="H423" t="n">
        <v>4</v>
      </c>
      <c r="I423" t="n">
        <v>3</v>
      </c>
      <c r="J423" t="n">
        <v>1</v>
      </c>
      <c r="K423" t="n">
        <v>1</v>
      </c>
      <c r="L423" t="n">
        <v>3</v>
      </c>
      <c r="M423" t="n">
        <v>3</v>
      </c>
      <c r="N423" t="n">
        <v>4</v>
      </c>
      <c r="O423" t="n">
        <v>1</v>
      </c>
      <c r="P423" t="n">
        <v>1</v>
      </c>
      <c r="Q423" t="n">
        <v>4</v>
      </c>
      <c r="R423" t="n">
        <v>1</v>
      </c>
      <c r="S423" t="n">
        <v>5</v>
      </c>
      <c r="T423" t="n">
        <v>2</v>
      </c>
      <c r="U423">
        <f>(AVERAGE(B423:D423)-1)/4</f>
        <v/>
      </c>
      <c r="V423">
        <f>(AVERAGE(E423:F423)-1)/4</f>
        <v/>
      </c>
      <c r="W423">
        <f>(AVERAGE(G423:I423)-1)/4</f>
        <v/>
      </c>
      <c r="X423">
        <f>(AVERAGE(J423:L423)-1)/4</f>
        <v/>
      </c>
      <c r="Y423">
        <f>(AVERAGE(M423:O423)-1)/4</f>
        <v/>
      </c>
      <c r="Z423">
        <f>(AVERAGE(P423:R423)-1)/4</f>
        <v/>
      </c>
      <c r="AA423">
        <f>(AVERAGE(S423:T423)-1)/4</f>
        <v/>
      </c>
      <c r="AB423">
        <f>AVERAGE(U423:Y423)</f>
        <v/>
      </c>
      <c r="AC423">
        <f>MIN(U423:Y423)</f>
        <v/>
      </c>
      <c r="AD423">
        <f>1-alpha*MAX(0,delta-AC423)</f>
        <v/>
      </c>
      <c r="AE423">
        <f>AB423*AD423</f>
        <v/>
      </c>
      <c r="AF423">
        <f>1+COUNTIF(bounds,"&lt;"&amp;ROUND(AB423,12))</f>
        <v/>
      </c>
      <c r="AG423">
        <f>1+COUNTIF(bounds,"&lt;"&amp;ROUND(AE423,12))</f>
        <v/>
      </c>
      <c r="AH423">
        <f>IF(AD423&lt;1,1,0)</f>
        <v/>
      </c>
      <c r="AI423">
        <f>IF(AF423&lt;&gt;AG423,1,0)</f>
        <v/>
      </c>
      <c r="AJ423">
        <f>IF(AND(AG423&gt;=3,Z423&lt;=0.2),1,0)</f>
        <v/>
      </c>
      <c r="AK423">
        <f>AVERAGE(U423:Z423)</f>
        <v/>
      </c>
      <c r="AL423">
        <f>1+COUNTIF(bounds,"&lt;"&amp;ROUND(AK423,12))</f>
        <v/>
      </c>
      <c r="AM423">
        <f>IF(AI423=1,AB423,NA())</f>
        <v/>
      </c>
      <c r="AN423">
        <f>IF(AI423=0,AB423,NA())</f>
        <v/>
      </c>
    </row>
    <row r="424">
      <c r="A424" t="n">
        <v>416</v>
      </c>
      <c r="B424" t="n">
        <v>5</v>
      </c>
      <c r="C424" t="n">
        <v>3</v>
      </c>
      <c r="D424" t="n">
        <v>1</v>
      </c>
      <c r="E424" t="n">
        <v>4</v>
      </c>
      <c r="F424" t="n">
        <v>1</v>
      </c>
      <c r="G424" t="n">
        <v>5</v>
      </c>
      <c r="H424" t="n">
        <v>5</v>
      </c>
      <c r="I424" t="n">
        <v>2</v>
      </c>
      <c r="J424" t="n">
        <v>4</v>
      </c>
      <c r="K424" t="n">
        <v>3</v>
      </c>
      <c r="L424" t="n">
        <v>4</v>
      </c>
      <c r="M424" t="n">
        <v>2</v>
      </c>
      <c r="N424" t="n">
        <v>3</v>
      </c>
      <c r="O424" t="n">
        <v>2</v>
      </c>
      <c r="P424" t="n">
        <v>1</v>
      </c>
      <c r="Q424" t="n">
        <v>1</v>
      </c>
      <c r="R424" t="n">
        <v>3</v>
      </c>
      <c r="S424" t="n">
        <v>3</v>
      </c>
      <c r="T424" t="n">
        <v>4</v>
      </c>
      <c r="U424">
        <f>(AVERAGE(B424:D424)-1)/4</f>
        <v/>
      </c>
      <c r="V424">
        <f>(AVERAGE(E424:F424)-1)/4</f>
        <v/>
      </c>
      <c r="W424">
        <f>(AVERAGE(G424:I424)-1)/4</f>
        <v/>
      </c>
      <c r="X424">
        <f>(AVERAGE(J424:L424)-1)/4</f>
        <v/>
      </c>
      <c r="Y424">
        <f>(AVERAGE(M424:O424)-1)/4</f>
        <v/>
      </c>
      <c r="Z424">
        <f>(AVERAGE(P424:R424)-1)/4</f>
        <v/>
      </c>
      <c r="AA424">
        <f>(AVERAGE(S424:T424)-1)/4</f>
        <v/>
      </c>
      <c r="AB424">
        <f>AVERAGE(U424:Y424)</f>
        <v/>
      </c>
      <c r="AC424">
        <f>MIN(U424:Y424)</f>
        <v/>
      </c>
      <c r="AD424">
        <f>1-alpha*MAX(0,delta-AC424)</f>
        <v/>
      </c>
      <c r="AE424">
        <f>AB424*AD424</f>
        <v/>
      </c>
      <c r="AF424">
        <f>1+COUNTIF(bounds,"&lt;"&amp;ROUND(AB424,12))</f>
        <v/>
      </c>
      <c r="AG424">
        <f>1+COUNTIF(bounds,"&lt;"&amp;ROUND(AE424,12))</f>
        <v/>
      </c>
      <c r="AH424">
        <f>IF(AD424&lt;1,1,0)</f>
        <v/>
      </c>
      <c r="AI424">
        <f>IF(AF424&lt;&gt;AG424,1,0)</f>
        <v/>
      </c>
      <c r="AJ424">
        <f>IF(AND(AG424&gt;=3,Z424&lt;=0.2),1,0)</f>
        <v/>
      </c>
      <c r="AK424">
        <f>AVERAGE(U424:Z424)</f>
        <v/>
      </c>
      <c r="AL424">
        <f>1+COUNTIF(bounds,"&lt;"&amp;ROUND(AK424,12))</f>
        <v/>
      </c>
      <c r="AM424">
        <f>IF(AI424=1,AB424,NA())</f>
        <v/>
      </c>
      <c r="AN424">
        <f>IF(AI424=0,AB424,NA())</f>
        <v/>
      </c>
    </row>
    <row r="425">
      <c r="A425" t="n">
        <v>417</v>
      </c>
      <c r="B425" t="n">
        <v>2</v>
      </c>
      <c r="C425" t="n">
        <v>4</v>
      </c>
      <c r="D425" t="n">
        <v>3</v>
      </c>
      <c r="E425" t="n">
        <v>2</v>
      </c>
      <c r="F425" t="n">
        <v>5</v>
      </c>
      <c r="G425" t="n">
        <v>5</v>
      </c>
      <c r="H425" t="n">
        <v>5</v>
      </c>
      <c r="I425" t="n">
        <v>4</v>
      </c>
      <c r="J425" t="n">
        <v>3</v>
      </c>
      <c r="K425" t="n">
        <v>5</v>
      </c>
      <c r="L425" t="n">
        <v>4</v>
      </c>
      <c r="M425" t="n">
        <v>3</v>
      </c>
      <c r="N425" t="n">
        <v>2</v>
      </c>
      <c r="O425" t="n">
        <v>5</v>
      </c>
      <c r="P425" t="n">
        <v>3</v>
      </c>
      <c r="Q425" t="n">
        <v>4</v>
      </c>
      <c r="R425" t="n">
        <v>5</v>
      </c>
      <c r="S425" t="n">
        <v>3</v>
      </c>
      <c r="T425" t="n">
        <v>3</v>
      </c>
      <c r="U425">
        <f>(AVERAGE(B425:D425)-1)/4</f>
        <v/>
      </c>
      <c r="V425">
        <f>(AVERAGE(E425:F425)-1)/4</f>
        <v/>
      </c>
      <c r="W425">
        <f>(AVERAGE(G425:I425)-1)/4</f>
        <v/>
      </c>
      <c r="X425">
        <f>(AVERAGE(J425:L425)-1)/4</f>
        <v/>
      </c>
      <c r="Y425">
        <f>(AVERAGE(M425:O425)-1)/4</f>
        <v/>
      </c>
      <c r="Z425">
        <f>(AVERAGE(P425:R425)-1)/4</f>
        <v/>
      </c>
      <c r="AA425">
        <f>(AVERAGE(S425:T425)-1)/4</f>
        <v/>
      </c>
      <c r="AB425">
        <f>AVERAGE(U425:Y425)</f>
        <v/>
      </c>
      <c r="AC425">
        <f>MIN(U425:Y425)</f>
        <v/>
      </c>
      <c r="AD425">
        <f>1-alpha*MAX(0,delta-AC425)</f>
        <v/>
      </c>
      <c r="AE425">
        <f>AB425*AD425</f>
        <v/>
      </c>
      <c r="AF425">
        <f>1+COUNTIF(bounds,"&lt;"&amp;ROUND(AB425,12))</f>
        <v/>
      </c>
      <c r="AG425">
        <f>1+COUNTIF(bounds,"&lt;"&amp;ROUND(AE425,12))</f>
        <v/>
      </c>
      <c r="AH425">
        <f>IF(AD425&lt;1,1,0)</f>
        <v/>
      </c>
      <c r="AI425">
        <f>IF(AF425&lt;&gt;AG425,1,0)</f>
        <v/>
      </c>
      <c r="AJ425">
        <f>IF(AND(AG425&gt;=3,Z425&lt;=0.2),1,0)</f>
        <v/>
      </c>
      <c r="AK425">
        <f>AVERAGE(U425:Z425)</f>
        <v/>
      </c>
      <c r="AL425">
        <f>1+COUNTIF(bounds,"&lt;"&amp;ROUND(AK425,12))</f>
        <v/>
      </c>
      <c r="AM425">
        <f>IF(AI425=1,AB425,NA())</f>
        <v/>
      </c>
      <c r="AN425">
        <f>IF(AI425=0,AB425,NA())</f>
        <v/>
      </c>
    </row>
    <row r="426">
      <c r="A426" t="n">
        <v>418</v>
      </c>
      <c r="B426" t="n">
        <v>1</v>
      </c>
      <c r="C426" t="n">
        <v>5</v>
      </c>
      <c r="D426" t="n">
        <v>4</v>
      </c>
      <c r="E426" t="n">
        <v>1</v>
      </c>
      <c r="F426" t="n">
        <v>3</v>
      </c>
      <c r="G426" t="n">
        <v>5</v>
      </c>
      <c r="H426" t="n">
        <v>1</v>
      </c>
      <c r="I426" t="n">
        <v>5</v>
      </c>
      <c r="J426" t="n">
        <v>5</v>
      </c>
      <c r="K426" t="n">
        <v>4</v>
      </c>
      <c r="L426" t="n">
        <v>5</v>
      </c>
      <c r="M426" t="n">
        <v>4</v>
      </c>
      <c r="N426" t="n">
        <v>4</v>
      </c>
      <c r="O426" t="n">
        <v>5</v>
      </c>
      <c r="P426" t="n">
        <v>3</v>
      </c>
      <c r="Q426" t="n">
        <v>5</v>
      </c>
      <c r="R426" t="n">
        <v>5</v>
      </c>
      <c r="S426" t="n">
        <v>3</v>
      </c>
      <c r="T426" t="n">
        <v>1</v>
      </c>
      <c r="U426">
        <f>(AVERAGE(B426:D426)-1)/4</f>
        <v/>
      </c>
      <c r="V426">
        <f>(AVERAGE(E426:F426)-1)/4</f>
        <v/>
      </c>
      <c r="W426">
        <f>(AVERAGE(G426:I426)-1)/4</f>
        <v/>
      </c>
      <c r="X426">
        <f>(AVERAGE(J426:L426)-1)/4</f>
        <v/>
      </c>
      <c r="Y426">
        <f>(AVERAGE(M426:O426)-1)/4</f>
        <v/>
      </c>
      <c r="Z426">
        <f>(AVERAGE(P426:R426)-1)/4</f>
        <v/>
      </c>
      <c r="AA426">
        <f>(AVERAGE(S426:T426)-1)/4</f>
        <v/>
      </c>
      <c r="AB426">
        <f>AVERAGE(U426:Y426)</f>
        <v/>
      </c>
      <c r="AC426">
        <f>MIN(U426:Y426)</f>
        <v/>
      </c>
      <c r="AD426">
        <f>1-alpha*MAX(0,delta-AC426)</f>
        <v/>
      </c>
      <c r="AE426">
        <f>AB426*AD426</f>
        <v/>
      </c>
      <c r="AF426">
        <f>1+COUNTIF(bounds,"&lt;"&amp;ROUND(AB426,12))</f>
        <v/>
      </c>
      <c r="AG426">
        <f>1+COUNTIF(bounds,"&lt;"&amp;ROUND(AE426,12))</f>
        <v/>
      </c>
      <c r="AH426">
        <f>IF(AD426&lt;1,1,0)</f>
        <v/>
      </c>
      <c r="AI426">
        <f>IF(AF426&lt;&gt;AG426,1,0)</f>
        <v/>
      </c>
      <c r="AJ426">
        <f>IF(AND(AG426&gt;=3,Z426&lt;=0.2),1,0)</f>
        <v/>
      </c>
      <c r="AK426">
        <f>AVERAGE(U426:Z426)</f>
        <v/>
      </c>
      <c r="AL426">
        <f>1+COUNTIF(bounds,"&lt;"&amp;ROUND(AK426,12))</f>
        <v/>
      </c>
      <c r="AM426">
        <f>IF(AI426=1,AB426,NA())</f>
        <v/>
      </c>
      <c r="AN426">
        <f>IF(AI426=0,AB426,NA())</f>
        <v/>
      </c>
    </row>
    <row r="427">
      <c r="A427" t="n">
        <v>419</v>
      </c>
      <c r="B427" t="n">
        <v>1</v>
      </c>
      <c r="C427" t="n">
        <v>5</v>
      </c>
      <c r="D427" t="n">
        <v>3</v>
      </c>
      <c r="E427" t="n">
        <v>5</v>
      </c>
      <c r="F427" t="n">
        <v>1</v>
      </c>
      <c r="G427" t="n">
        <v>5</v>
      </c>
      <c r="H427" t="n">
        <v>4</v>
      </c>
      <c r="I427" t="n">
        <v>4</v>
      </c>
      <c r="J427" t="n">
        <v>3</v>
      </c>
      <c r="K427" t="n">
        <v>5</v>
      </c>
      <c r="L427" t="n">
        <v>4</v>
      </c>
      <c r="M427" t="n">
        <v>3</v>
      </c>
      <c r="N427" t="n">
        <v>1</v>
      </c>
      <c r="O427" t="n">
        <v>5</v>
      </c>
      <c r="P427" t="n">
        <v>5</v>
      </c>
      <c r="Q427" t="n">
        <v>4</v>
      </c>
      <c r="R427" t="n">
        <v>5</v>
      </c>
      <c r="S427" t="n">
        <v>1</v>
      </c>
      <c r="T427" t="n">
        <v>2</v>
      </c>
      <c r="U427">
        <f>(AVERAGE(B427:D427)-1)/4</f>
        <v/>
      </c>
      <c r="V427">
        <f>(AVERAGE(E427:F427)-1)/4</f>
        <v/>
      </c>
      <c r="W427">
        <f>(AVERAGE(G427:I427)-1)/4</f>
        <v/>
      </c>
      <c r="X427">
        <f>(AVERAGE(J427:L427)-1)/4</f>
        <v/>
      </c>
      <c r="Y427">
        <f>(AVERAGE(M427:O427)-1)/4</f>
        <v/>
      </c>
      <c r="Z427">
        <f>(AVERAGE(P427:R427)-1)/4</f>
        <v/>
      </c>
      <c r="AA427">
        <f>(AVERAGE(S427:T427)-1)/4</f>
        <v/>
      </c>
      <c r="AB427">
        <f>AVERAGE(U427:Y427)</f>
        <v/>
      </c>
      <c r="AC427">
        <f>MIN(U427:Y427)</f>
        <v/>
      </c>
      <c r="AD427">
        <f>1-alpha*MAX(0,delta-AC427)</f>
        <v/>
      </c>
      <c r="AE427">
        <f>AB427*AD427</f>
        <v/>
      </c>
      <c r="AF427">
        <f>1+COUNTIF(bounds,"&lt;"&amp;ROUND(AB427,12))</f>
        <v/>
      </c>
      <c r="AG427">
        <f>1+COUNTIF(bounds,"&lt;"&amp;ROUND(AE427,12))</f>
        <v/>
      </c>
      <c r="AH427">
        <f>IF(AD427&lt;1,1,0)</f>
        <v/>
      </c>
      <c r="AI427">
        <f>IF(AF427&lt;&gt;AG427,1,0)</f>
        <v/>
      </c>
      <c r="AJ427">
        <f>IF(AND(AG427&gt;=3,Z427&lt;=0.2),1,0)</f>
        <v/>
      </c>
      <c r="AK427">
        <f>AVERAGE(U427:Z427)</f>
        <v/>
      </c>
      <c r="AL427">
        <f>1+COUNTIF(bounds,"&lt;"&amp;ROUND(AK427,12))</f>
        <v/>
      </c>
      <c r="AM427">
        <f>IF(AI427=1,AB427,NA())</f>
        <v/>
      </c>
      <c r="AN427">
        <f>IF(AI427=0,AB427,NA())</f>
        <v/>
      </c>
    </row>
    <row r="428">
      <c r="A428" t="n">
        <v>420</v>
      </c>
      <c r="B428" t="n">
        <v>2</v>
      </c>
      <c r="C428" t="n">
        <v>3</v>
      </c>
      <c r="D428" t="n">
        <v>3</v>
      </c>
      <c r="E428" t="n">
        <v>4</v>
      </c>
      <c r="F428" t="n">
        <v>1</v>
      </c>
      <c r="G428" t="n">
        <v>3</v>
      </c>
      <c r="H428" t="n">
        <v>4</v>
      </c>
      <c r="I428" t="n">
        <v>3</v>
      </c>
      <c r="J428" t="n">
        <v>5</v>
      </c>
      <c r="K428" t="n">
        <v>2</v>
      </c>
      <c r="L428" t="n">
        <v>3</v>
      </c>
      <c r="M428" t="n">
        <v>2</v>
      </c>
      <c r="N428" t="n">
        <v>5</v>
      </c>
      <c r="O428" t="n">
        <v>1</v>
      </c>
      <c r="P428" t="n">
        <v>3</v>
      </c>
      <c r="Q428" t="n">
        <v>5</v>
      </c>
      <c r="R428" t="n">
        <v>4</v>
      </c>
      <c r="S428" t="n">
        <v>4</v>
      </c>
      <c r="T428" t="n">
        <v>1</v>
      </c>
      <c r="U428">
        <f>(AVERAGE(B428:D428)-1)/4</f>
        <v/>
      </c>
      <c r="V428">
        <f>(AVERAGE(E428:F428)-1)/4</f>
        <v/>
      </c>
      <c r="W428">
        <f>(AVERAGE(G428:I428)-1)/4</f>
        <v/>
      </c>
      <c r="X428">
        <f>(AVERAGE(J428:L428)-1)/4</f>
        <v/>
      </c>
      <c r="Y428">
        <f>(AVERAGE(M428:O428)-1)/4</f>
        <v/>
      </c>
      <c r="Z428">
        <f>(AVERAGE(P428:R428)-1)/4</f>
        <v/>
      </c>
      <c r="AA428">
        <f>(AVERAGE(S428:T428)-1)/4</f>
        <v/>
      </c>
      <c r="AB428">
        <f>AVERAGE(U428:Y428)</f>
        <v/>
      </c>
      <c r="AC428">
        <f>MIN(U428:Y428)</f>
        <v/>
      </c>
      <c r="AD428">
        <f>1-alpha*MAX(0,delta-AC428)</f>
        <v/>
      </c>
      <c r="AE428">
        <f>AB428*AD428</f>
        <v/>
      </c>
      <c r="AF428">
        <f>1+COUNTIF(bounds,"&lt;"&amp;ROUND(AB428,12))</f>
        <v/>
      </c>
      <c r="AG428">
        <f>1+COUNTIF(bounds,"&lt;"&amp;ROUND(AE428,12))</f>
        <v/>
      </c>
      <c r="AH428">
        <f>IF(AD428&lt;1,1,0)</f>
        <v/>
      </c>
      <c r="AI428">
        <f>IF(AF428&lt;&gt;AG428,1,0)</f>
        <v/>
      </c>
      <c r="AJ428">
        <f>IF(AND(AG428&gt;=3,Z428&lt;=0.2),1,0)</f>
        <v/>
      </c>
      <c r="AK428">
        <f>AVERAGE(U428:Z428)</f>
        <v/>
      </c>
      <c r="AL428">
        <f>1+COUNTIF(bounds,"&lt;"&amp;ROUND(AK428,12))</f>
        <v/>
      </c>
      <c r="AM428">
        <f>IF(AI428=1,AB428,NA())</f>
        <v/>
      </c>
      <c r="AN428">
        <f>IF(AI428=0,AB428,NA())</f>
        <v/>
      </c>
    </row>
    <row r="429">
      <c r="A429" t="n">
        <v>421</v>
      </c>
      <c r="B429" t="n">
        <v>5</v>
      </c>
      <c r="C429" t="n">
        <v>4</v>
      </c>
      <c r="D429" t="n">
        <v>2</v>
      </c>
      <c r="E429" t="n">
        <v>3</v>
      </c>
      <c r="F429" t="n">
        <v>4</v>
      </c>
      <c r="G429" t="n">
        <v>4</v>
      </c>
      <c r="H429" t="n">
        <v>2</v>
      </c>
      <c r="I429" t="n">
        <v>4</v>
      </c>
      <c r="J429" t="n">
        <v>1</v>
      </c>
      <c r="K429" t="n">
        <v>3</v>
      </c>
      <c r="L429" t="n">
        <v>3</v>
      </c>
      <c r="M429" t="n">
        <v>4</v>
      </c>
      <c r="N429" t="n">
        <v>3</v>
      </c>
      <c r="O429" t="n">
        <v>4</v>
      </c>
      <c r="P429" t="n">
        <v>1</v>
      </c>
      <c r="Q429" t="n">
        <v>1</v>
      </c>
      <c r="R429" t="n">
        <v>2</v>
      </c>
      <c r="S429" t="n">
        <v>2</v>
      </c>
      <c r="T429" t="n">
        <v>4</v>
      </c>
      <c r="U429">
        <f>(AVERAGE(B429:D429)-1)/4</f>
        <v/>
      </c>
      <c r="V429">
        <f>(AVERAGE(E429:F429)-1)/4</f>
        <v/>
      </c>
      <c r="W429">
        <f>(AVERAGE(G429:I429)-1)/4</f>
        <v/>
      </c>
      <c r="X429">
        <f>(AVERAGE(J429:L429)-1)/4</f>
        <v/>
      </c>
      <c r="Y429">
        <f>(AVERAGE(M429:O429)-1)/4</f>
        <v/>
      </c>
      <c r="Z429">
        <f>(AVERAGE(P429:R429)-1)/4</f>
        <v/>
      </c>
      <c r="AA429">
        <f>(AVERAGE(S429:T429)-1)/4</f>
        <v/>
      </c>
      <c r="AB429">
        <f>AVERAGE(U429:Y429)</f>
        <v/>
      </c>
      <c r="AC429">
        <f>MIN(U429:Y429)</f>
        <v/>
      </c>
      <c r="AD429">
        <f>1-alpha*MAX(0,delta-AC429)</f>
        <v/>
      </c>
      <c r="AE429">
        <f>AB429*AD429</f>
        <v/>
      </c>
      <c r="AF429">
        <f>1+COUNTIF(bounds,"&lt;"&amp;ROUND(AB429,12))</f>
        <v/>
      </c>
      <c r="AG429">
        <f>1+COUNTIF(bounds,"&lt;"&amp;ROUND(AE429,12))</f>
        <v/>
      </c>
      <c r="AH429">
        <f>IF(AD429&lt;1,1,0)</f>
        <v/>
      </c>
      <c r="AI429">
        <f>IF(AF429&lt;&gt;AG429,1,0)</f>
        <v/>
      </c>
      <c r="AJ429">
        <f>IF(AND(AG429&gt;=3,Z429&lt;=0.2),1,0)</f>
        <v/>
      </c>
      <c r="AK429">
        <f>AVERAGE(U429:Z429)</f>
        <v/>
      </c>
      <c r="AL429">
        <f>1+COUNTIF(bounds,"&lt;"&amp;ROUND(AK429,12))</f>
        <v/>
      </c>
      <c r="AM429">
        <f>IF(AI429=1,AB429,NA())</f>
        <v/>
      </c>
      <c r="AN429">
        <f>IF(AI429=0,AB429,NA())</f>
        <v/>
      </c>
    </row>
    <row r="430">
      <c r="A430" t="n">
        <v>422</v>
      </c>
      <c r="B430" t="n">
        <v>3</v>
      </c>
      <c r="C430" t="n">
        <v>1</v>
      </c>
      <c r="D430" t="n">
        <v>2</v>
      </c>
      <c r="E430" t="n">
        <v>4</v>
      </c>
      <c r="F430" t="n">
        <v>4</v>
      </c>
      <c r="G430" t="n">
        <v>1</v>
      </c>
      <c r="H430" t="n">
        <v>1</v>
      </c>
      <c r="I430" t="n">
        <v>2</v>
      </c>
      <c r="J430" t="n">
        <v>3</v>
      </c>
      <c r="K430" t="n">
        <v>4</v>
      </c>
      <c r="L430" t="n">
        <v>3</v>
      </c>
      <c r="M430" t="n">
        <v>3</v>
      </c>
      <c r="N430" t="n">
        <v>2</v>
      </c>
      <c r="O430" t="n">
        <v>2</v>
      </c>
      <c r="P430" t="n">
        <v>2</v>
      </c>
      <c r="Q430" t="n">
        <v>1</v>
      </c>
      <c r="R430" t="n">
        <v>4</v>
      </c>
      <c r="S430" t="n">
        <v>3</v>
      </c>
      <c r="T430" t="n">
        <v>4</v>
      </c>
      <c r="U430">
        <f>(AVERAGE(B430:D430)-1)/4</f>
        <v/>
      </c>
      <c r="V430">
        <f>(AVERAGE(E430:F430)-1)/4</f>
        <v/>
      </c>
      <c r="W430">
        <f>(AVERAGE(G430:I430)-1)/4</f>
        <v/>
      </c>
      <c r="X430">
        <f>(AVERAGE(J430:L430)-1)/4</f>
        <v/>
      </c>
      <c r="Y430">
        <f>(AVERAGE(M430:O430)-1)/4</f>
        <v/>
      </c>
      <c r="Z430">
        <f>(AVERAGE(P430:R430)-1)/4</f>
        <v/>
      </c>
      <c r="AA430">
        <f>(AVERAGE(S430:T430)-1)/4</f>
        <v/>
      </c>
      <c r="AB430">
        <f>AVERAGE(U430:Y430)</f>
        <v/>
      </c>
      <c r="AC430">
        <f>MIN(U430:Y430)</f>
        <v/>
      </c>
      <c r="AD430">
        <f>1-alpha*MAX(0,delta-AC430)</f>
        <v/>
      </c>
      <c r="AE430">
        <f>AB430*AD430</f>
        <v/>
      </c>
      <c r="AF430">
        <f>1+COUNTIF(bounds,"&lt;"&amp;ROUND(AB430,12))</f>
        <v/>
      </c>
      <c r="AG430">
        <f>1+COUNTIF(bounds,"&lt;"&amp;ROUND(AE430,12))</f>
        <v/>
      </c>
      <c r="AH430">
        <f>IF(AD430&lt;1,1,0)</f>
        <v/>
      </c>
      <c r="AI430">
        <f>IF(AF430&lt;&gt;AG430,1,0)</f>
        <v/>
      </c>
      <c r="AJ430">
        <f>IF(AND(AG430&gt;=3,Z430&lt;=0.2),1,0)</f>
        <v/>
      </c>
      <c r="AK430">
        <f>AVERAGE(U430:Z430)</f>
        <v/>
      </c>
      <c r="AL430">
        <f>1+COUNTIF(bounds,"&lt;"&amp;ROUND(AK430,12))</f>
        <v/>
      </c>
      <c r="AM430">
        <f>IF(AI430=1,AB430,NA())</f>
        <v/>
      </c>
      <c r="AN430">
        <f>IF(AI430=0,AB430,NA())</f>
        <v/>
      </c>
    </row>
    <row r="431">
      <c r="A431" t="n">
        <v>423</v>
      </c>
      <c r="B431" t="n">
        <v>5</v>
      </c>
      <c r="C431" t="n">
        <v>3</v>
      </c>
      <c r="D431" t="n">
        <v>5</v>
      </c>
      <c r="E431" t="n">
        <v>5</v>
      </c>
      <c r="F431" t="n">
        <v>4</v>
      </c>
      <c r="G431" t="n">
        <v>1</v>
      </c>
      <c r="H431" t="n">
        <v>1</v>
      </c>
      <c r="I431" t="n">
        <v>2</v>
      </c>
      <c r="J431" t="n">
        <v>5</v>
      </c>
      <c r="K431" t="n">
        <v>5</v>
      </c>
      <c r="L431" t="n">
        <v>3</v>
      </c>
      <c r="M431" t="n">
        <v>3</v>
      </c>
      <c r="N431" t="n">
        <v>4</v>
      </c>
      <c r="O431" t="n">
        <v>1</v>
      </c>
      <c r="P431" t="n">
        <v>3</v>
      </c>
      <c r="Q431" t="n">
        <v>5</v>
      </c>
      <c r="R431" t="n">
        <v>5</v>
      </c>
      <c r="S431" t="n">
        <v>5</v>
      </c>
      <c r="T431" t="n">
        <v>4</v>
      </c>
      <c r="U431">
        <f>(AVERAGE(B431:D431)-1)/4</f>
        <v/>
      </c>
      <c r="V431">
        <f>(AVERAGE(E431:F431)-1)/4</f>
        <v/>
      </c>
      <c r="W431">
        <f>(AVERAGE(G431:I431)-1)/4</f>
        <v/>
      </c>
      <c r="X431">
        <f>(AVERAGE(J431:L431)-1)/4</f>
        <v/>
      </c>
      <c r="Y431">
        <f>(AVERAGE(M431:O431)-1)/4</f>
        <v/>
      </c>
      <c r="Z431">
        <f>(AVERAGE(P431:R431)-1)/4</f>
        <v/>
      </c>
      <c r="AA431">
        <f>(AVERAGE(S431:T431)-1)/4</f>
        <v/>
      </c>
      <c r="AB431">
        <f>AVERAGE(U431:Y431)</f>
        <v/>
      </c>
      <c r="AC431">
        <f>MIN(U431:Y431)</f>
        <v/>
      </c>
      <c r="AD431">
        <f>1-alpha*MAX(0,delta-AC431)</f>
        <v/>
      </c>
      <c r="AE431">
        <f>AB431*AD431</f>
        <v/>
      </c>
      <c r="AF431">
        <f>1+COUNTIF(bounds,"&lt;"&amp;ROUND(AB431,12))</f>
        <v/>
      </c>
      <c r="AG431">
        <f>1+COUNTIF(bounds,"&lt;"&amp;ROUND(AE431,12))</f>
        <v/>
      </c>
      <c r="AH431">
        <f>IF(AD431&lt;1,1,0)</f>
        <v/>
      </c>
      <c r="AI431">
        <f>IF(AF431&lt;&gt;AG431,1,0)</f>
        <v/>
      </c>
      <c r="AJ431">
        <f>IF(AND(AG431&gt;=3,Z431&lt;=0.2),1,0)</f>
        <v/>
      </c>
      <c r="AK431">
        <f>AVERAGE(U431:Z431)</f>
        <v/>
      </c>
      <c r="AL431">
        <f>1+COUNTIF(bounds,"&lt;"&amp;ROUND(AK431,12))</f>
        <v/>
      </c>
      <c r="AM431">
        <f>IF(AI431=1,AB431,NA())</f>
        <v/>
      </c>
      <c r="AN431">
        <f>IF(AI431=0,AB431,NA())</f>
        <v/>
      </c>
    </row>
    <row r="432">
      <c r="A432" t="n">
        <v>424</v>
      </c>
      <c r="B432" t="n">
        <v>2</v>
      </c>
      <c r="C432" t="n">
        <v>4</v>
      </c>
      <c r="D432" t="n">
        <v>1</v>
      </c>
      <c r="E432" t="n">
        <v>5</v>
      </c>
      <c r="F432" t="n">
        <v>2</v>
      </c>
      <c r="G432" t="n">
        <v>5</v>
      </c>
      <c r="H432" t="n">
        <v>5</v>
      </c>
      <c r="I432" t="n">
        <v>2</v>
      </c>
      <c r="J432" t="n">
        <v>4</v>
      </c>
      <c r="K432" t="n">
        <v>5</v>
      </c>
      <c r="L432" t="n">
        <v>4</v>
      </c>
      <c r="M432" t="n">
        <v>4</v>
      </c>
      <c r="N432" t="n">
        <v>1</v>
      </c>
      <c r="O432" t="n">
        <v>5</v>
      </c>
      <c r="P432" t="n">
        <v>4</v>
      </c>
      <c r="Q432" t="n">
        <v>3</v>
      </c>
      <c r="R432" t="n">
        <v>5</v>
      </c>
      <c r="S432" t="n">
        <v>2</v>
      </c>
      <c r="T432" t="n">
        <v>4</v>
      </c>
      <c r="U432">
        <f>(AVERAGE(B432:D432)-1)/4</f>
        <v/>
      </c>
      <c r="V432">
        <f>(AVERAGE(E432:F432)-1)/4</f>
        <v/>
      </c>
      <c r="W432">
        <f>(AVERAGE(G432:I432)-1)/4</f>
        <v/>
      </c>
      <c r="X432">
        <f>(AVERAGE(J432:L432)-1)/4</f>
        <v/>
      </c>
      <c r="Y432">
        <f>(AVERAGE(M432:O432)-1)/4</f>
        <v/>
      </c>
      <c r="Z432">
        <f>(AVERAGE(P432:R432)-1)/4</f>
        <v/>
      </c>
      <c r="AA432">
        <f>(AVERAGE(S432:T432)-1)/4</f>
        <v/>
      </c>
      <c r="AB432">
        <f>AVERAGE(U432:Y432)</f>
        <v/>
      </c>
      <c r="AC432">
        <f>MIN(U432:Y432)</f>
        <v/>
      </c>
      <c r="AD432">
        <f>1-alpha*MAX(0,delta-AC432)</f>
        <v/>
      </c>
      <c r="AE432">
        <f>AB432*AD432</f>
        <v/>
      </c>
      <c r="AF432">
        <f>1+COUNTIF(bounds,"&lt;"&amp;ROUND(AB432,12))</f>
        <v/>
      </c>
      <c r="AG432">
        <f>1+COUNTIF(bounds,"&lt;"&amp;ROUND(AE432,12))</f>
        <v/>
      </c>
      <c r="AH432">
        <f>IF(AD432&lt;1,1,0)</f>
        <v/>
      </c>
      <c r="AI432">
        <f>IF(AF432&lt;&gt;AG432,1,0)</f>
        <v/>
      </c>
      <c r="AJ432">
        <f>IF(AND(AG432&gt;=3,Z432&lt;=0.2),1,0)</f>
        <v/>
      </c>
      <c r="AK432">
        <f>AVERAGE(U432:Z432)</f>
        <v/>
      </c>
      <c r="AL432">
        <f>1+COUNTIF(bounds,"&lt;"&amp;ROUND(AK432,12))</f>
        <v/>
      </c>
      <c r="AM432">
        <f>IF(AI432=1,AB432,NA())</f>
        <v/>
      </c>
      <c r="AN432">
        <f>IF(AI432=0,AB432,NA())</f>
        <v/>
      </c>
    </row>
    <row r="433">
      <c r="A433" t="n">
        <v>425</v>
      </c>
      <c r="B433" t="n">
        <v>1</v>
      </c>
      <c r="C433" t="n">
        <v>3</v>
      </c>
      <c r="D433" t="n">
        <v>5</v>
      </c>
      <c r="E433" t="n">
        <v>1</v>
      </c>
      <c r="F433" t="n">
        <v>3</v>
      </c>
      <c r="G433" t="n">
        <v>1</v>
      </c>
      <c r="H433" t="n">
        <v>5</v>
      </c>
      <c r="I433" t="n">
        <v>3</v>
      </c>
      <c r="J433" t="n">
        <v>1</v>
      </c>
      <c r="K433" t="n">
        <v>2</v>
      </c>
      <c r="L433" t="n">
        <v>2</v>
      </c>
      <c r="M433" t="n">
        <v>2</v>
      </c>
      <c r="N433" t="n">
        <v>4</v>
      </c>
      <c r="O433" t="n">
        <v>3</v>
      </c>
      <c r="P433" t="n">
        <v>2</v>
      </c>
      <c r="Q433" t="n">
        <v>3</v>
      </c>
      <c r="R433" t="n">
        <v>1</v>
      </c>
      <c r="S433" t="n">
        <v>3</v>
      </c>
      <c r="T433" t="n">
        <v>4</v>
      </c>
      <c r="U433">
        <f>(AVERAGE(B433:D433)-1)/4</f>
        <v/>
      </c>
      <c r="V433">
        <f>(AVERAGE(E433:F433)-1)/4</f>
        <v/>
      </c>
      <c r="W433">
        <f>(AVERAGE(G433:I433)-1)/4</f>
        <v/>
      </c>
      <c r="X433">
        <f>(AVERAGE(J433:L433)-1)/4</f>
        <v/>
      </c>
      <c r="Y433">
        <f>(AVERAGE(M433:O433)-1)/4</f>
        <v/>
      </c>
      <c r="Z433">
        <f>(AVERAGE(P433:R433)-1)/4</f>
        <v/>
      </c>
      <c r="AA433">
        <f>(AVERAGE(S433:T433)-1)/4</f>
        <v/>
      </c>
      <c r="AB433">
        <f>AVERAGE(U433:Y433)</f>
        <v/>
      </c>
      <c r="AC433">
        <f>MIN(U433:Y433)</f>
        <v/>
      </c>
      <c r="AD433">
        <f>1-alpha*MAX(0,delta-AC433)</f>
        <v/>
      </c>
      <c r="AE433">
        <f>AB433*AD433</f>
        <v/>
      </c>
      <c r="AF433">
        <f>1+COUNTIF(bounds,"&lt;"&amp;ROUND(AB433,12))</f>
        <v/>
      </c>
      <c r="AG433">
        <f>1+COUNTIF(bounds,"&lt;"&amp;ROUND(AE433,12))</f>
        <v/>
      </c>
      <c r="AH433">
        <f>IF(AD433&lt;1,1,0)</f>
        <v/>
      </c>
      <c r="AI433">
        <f>IF(AF433&lt;&gt;AG433,1,0)</f>
        <v/>
      </c>
      <c r="AJ433">
        <f>IF(AND(AG433&gt;=3,Z433&lt;=0.2),1,0)</f>
        <v/>
      </c>
      <c r="AK433">
        <f>AVERAGE(U433:Z433)</f>
        <v/>
      </c>
      <c r="AL433">
        <f>1+COUNTIF(bounds,"&lt;"&amp;ROUND(AK433,12))</f>
        <v/>
      </c>
      <c r="AM433">
        <f>IF(AI433=1,AB433,NA())</f>
        <v/>
      </c>
      <c r="AN433">
        <f>IF(AI433=0,AB433,NA())</f>
        <v/>
      </c>
    </row>
    <row r="434">
      <c r="A434" t="n">
        <v>426</v>
      </c>
      <c r="B434" t="n">
        <v>4</v>
      </c>
      <c r="C434" t="n">
        <v>2</v>
      </c>
      <c r="D434" t="n">
        <v>2</v>
      </c>
      <c r="E434" t="n">
        <v>3</v>
      </c>
      <c r="F434" t="n">
        <v>4</v>
      </c>
      <c r="G434" t="n">
        <v>5</v>
      </c>
      <c r="H434" t="n">
        <v>3</v>
      </c>
      <c r="I434" t="n">
        <v>1</v>
      </c>
      <c r="J434" t="n">
        <v>5</v>
      </c>
      <c r="K434" t="n">
        <v>3</v>
      </c>
      <c r="L434" t="n">
        <v>4</v>
      </c>
      <c r="M434" t="n">
        <v>4</v>
      </c>
      <c r="N434" t="n">
        <v>1</v>
      </c>
      <c r="O434" t="n">
        <v>1</v>
      </c>
      <c r="P434" t="n">
        <v>4</v>
      </c>
      <c r="Q434" t="n">
        <v>4</v>
      </c>
      <c r="R434" t="n">
        <v>4</v>
      </c>
      <c r="S434" t="n">
        <v>2</v>
      </c>
      <c r="T434" t="n">
        <v>1</v>
      </c>
      <c r="U434">
        <f>(AVERAGE(B434:D434)-1)/4</f>
        <v/>
      </c>
      <c r="V434">
        <f>(AVERAGE(E434:F434)-1)/4</f>
        <v/>
      </c>
      <c r="W434">
        <f>(AVERAGE(G434:I434)-1)/4</f>
        <v/>
      </c>
      <c r="X434">
        <f>(AVERAGE(J434:L434)-1)/4</f>
        <v/>
      </c>
      <c r="Y434">
        <f>(AVERAGE(M434:O434)-1)/4</f>
        <v/>
      </c>
      <c r="Z434">
        <f>(AVERAGE(P434:R434)-1)/4</f>
        <v/>
      </c>
      <c r="AA434">
        <f>(AVERAGE(S434:T434)-1)/4</f>
        <v/>
      </c>
      <c r="AB434">
        <f>AVERAGE(U434:Y434)</f>
        <v/>
      </c>
      <c r="AC434">
        <f>MIN(U434:Y434)</f>
        <v/>
      </c>
      <c r="AD434">
        <f>1-alpha*MAX(0,delta-AC434)</f>
        <v/>
      </c>
      <c r="AE434">
        <f>AB434*AD434</f>
        <v/>
      </c>
      <c r="AF434">
        <f>1+COUNTIF(bounds,"&lt;"&amp;ROUND(AB434,12))</f>
        <v/>
      </c>
      <c r="AG434">
        <f>1+COUNTIF(bounds,"&lt;"&amp;ROUND(AE434,12))</f>
        <v/>
      </c>
      <c r="AH434">
        <f>IF(AD434&lt;1,1,0)</f>
        <v/>
      </c>
      <c r="AI434">
        <f>IF(AF434&lt;&gt;AG434,1,0)</f>
        <v/>
      </c>
      <c r="AJ434">
        <f>IF(AND(AG434&gt;=3,Z434&lt;=0.2),1,0)</f>
        <v/>
      </c>
      <c r="AK434">
        <f>AVERAGE(U434:Z434)</f>
        <v/>
      </c>
      <c r="AL434">
        <f>1+COUNTIF(bounds,"&lt;"&amp;ROUND(AK434,12))</f>
        <v/>
      </c>
      <c r="AM434">
        <f>IF(AI434=1,AB434,NA())</f>
        <v/>
      </c>
      <c r="AN434">
        <f>IF(AI434=0,AB434,NA())</f>
        <v/>
      </c>
    </row>
    <row r="435">
      <c r="A435" t="n">
        <v>427</v>
      </c>
      <c r="B435" t="n">
        <v>1</v>
      </c>
      <c r="C435" t="n">
        <v>4</v>
      </c>
      <c r="D435" t="n">
        <v>5</v>
      </c>
      <c r="E435" t="n">
        <v>3</v>
      </c>
      <c r="F435" t="n">
        <v>2</v>
      </c>
      <c r="G435" t="n">
        <v>5</v>
      </c>
      <c r="H435" t="n">
        <v>1</v>
      </c>
      <c r="I435" t="n">
        <v>4</v>
      </c>
      <c r="J435" t="n">
        <v>4</v>
      </c>
      <c r="K435" t="n">
        <v>3</v>
      </c>
      <c r="L435" t="n">
        <v>5</v>
      </c>
      <c r="M435" t="n">
        <v>5</v>
      </c>
      <c r="N435" t="n">
        <v>2</v>
      </c>
      <c r="O435" t="n">
        <v>1</v>
      </c>
      <c r="P435" t="n">
        <v>5</v>
      </c>
      <c r="Q435" t="n">
        <v>5</v>
      </c>
      <c r="R435" t="n">
        <v>1</v>
      </c>
      <c r="S435" t="n">
        <v>3</v>
      </c>
      <c r="T435" t="n">
        <v>5</v>
      </c>
      <c r="U435">
        <f>(AVERAGE(B435:D435)-1)/4</f>
        <v/>
      </c>
      <c r="V435">
        <f>(AVERAGE(E435:F435)-1)/4</f>
        <v/>
      </c>
      <c r="W435">
        <f>(AVERAGE(G435:I435)-1)/4</f>
        <v/>
      </c>
      <c r="X435">
        <f>(AVERAGE(J435:L435)-1)/4</f>
        <v/>
      </c>
      <c r="Y435">
        <f>(AVERAGE(M435:O435)-1)/4</f>
        <v/>
      </c>
      <c r="Z435">
        <f>(AVERAGE(P435:R435)-1)/4</f>
        <v/>
      </c>
      <c r="AA435">
        <f>(AVERAGE(S435:T435)-1)/4</f>
        <v/>
      </c>
      <c r="AB435">
        <f>AVERAGE(U435:Y435)</f>
        <v/>
      </c>
      <c r="AC435">
        <f>MIN(U435:Y435)</f>
        <v/>
      </c>
      <c r="AD435">
        <f>1-alpha*MAX(0,delta-AC435)</f>
        <v/>
      </c>
      <c r="AE435">
        <f>AB435*AD435</f>
        <v/>
      </c>
      <c r="AF435">
        <f>1+COUNTIF(bounds,"&lt;"&amp;ROUND(AB435,12))</f>
        <v/>
      </c>
      <c r="AG435">
        <f>1+COUNTIF(bounds,"&lt;"&amp;ROUND(AE435,12))</f>
        <v/>
      </c>
      <c r="AH435">
        <f>IF(AD435&lt;1,1,0)</f>
        <v/>
      </c>
      <c r="AI435">
        <f>IF(AF435&lt;&gt;AG435,1,0)</f>
        <v/>
      </c>
      <c r="AJ435">
        <f>IF(AND(AG435&gt;=3,Z435&lt;=0.2),1,0)</f>
        <v/>
      </c>
      <c r="AK435">
        <f>AVERAGE(U435:Z435)</f>
        <v/>
      </c>
      <c r="AL435">
        <f>1+COUNTIF(bounds,"&lt;"&amp;ROUND(AK435,12))</f>
        <v/>
      </c>
      <c r="AM435">
        <f>IF(AI435=1,AB435,NA())</f>
        <v/>
      </c>
      <c r="AN435">
        <f>IF(AI435=0,AB435,NA())</f>
        <v/>
      </c>
    </row>
    <row r="436">
      <c r="A436" t="n">
        <v>428</v>
      </c>
      <c r="B436" t="n">
        <v>4</v>
      </c>
      <c r="C436" t="n">
        <v>4</v>
      </c>
      <c r="D436" t="n">
        <v>2</v>
      </c>
      <c r="E436" t="n">
        <v>3</v>
      </c>
      <c r="F436" t="n">
        <v>5</v>
      </c>
      <c r="G436" t="n">
        <v>1</v>
      </c>
      <c r="H436" t="n">
        <v>4</v>
      </c>
      <c r="I436" t="n">
        <v>2</v>
      </c>
      <c r="J436" t="n">
        <v>4</v>
      </c>
      <c r="K436" t="n">
        <v>5</v>
      </c>
      <c r="L436" t="n">
        <v>3</v>
      </c>
      <c r="M436" t="n">
        <v>3</v>
      </c>
      <c r="N436" t="n">
        <v>4</v>
      </c>
      <c r="O436" t="n">
        <v>5</v>
      </c>
      <c r="P436" t="n">
        <v>3</v>
      </c>
      <c r="Q436" t="n">
        <v>2</v>
      </c>
      <c r="R436" t="n">
        <v>2</v>
      </c>
      <c r="S436" t="n">
        <v>3</v>
      </c>
      <c r="T436" t="n">
        <v>4</v>
      </c>
      <c r="U436">
        <f>(AVERAGE(B436:D436)-1)/4</f>
        <v/>
      </c>
      <c r="V436">
        <f>(AVERAGE(E436:F436)-1)/4</f>
        <v/>
      </c>
      <c r="W436">
        <f>(AVERAGE(G436:I436)-1)/4</f>
        <v/>
      </c>
      <c r="X436">
        <f>(AVERAGE(J436:L436)-1)/4</f>
        <v/>
      </c>
      <c r="Y436">
        <f>(AVERAGE(M436:O436)-1)/4</f>
        <v/>
      </c>
      <c r="Z436">
        <f>(AVERAGE(P436:R436)-1)/4</f>
        <v/>
      </c>
      <c r="AA436">
        <f>(AVERAGE(S436:T436)-1)/4</f>
        <v/>
      </c>
      <c r="AB436">
        <f>AVERAGE(U436:Y436)</f>
        <v/>
      </c>
      <c r="AC436">
        <f>MIN(U436:Y436)</f>
        <v/>
      </c>
      <c r="AD436">
        <f>1-alpha*MAX(0,delta-AC436)</f>
        <v/>
      </c>
      <c r="AE436">
        <f>AB436*AD436</f>
        <v/>
      </c>
      <c r="AF436">
        <f>1+COUNTIF(bounds,"&lt;"&amp;ROUND(AB436,12))</f>
        <v/>
      </c>
      <c r="AG436">
        <f>1+COUNTIF(bounds,"&lt;"&amp;ROUND(AE436,12))</f>
        <v/>
      </c>
      <c r="AH436">
        <f>IF(AD436&lt;1,1,0)</f>
        <v/>
      </c>
      <c r="AI436">
        <f>IF(AF436&lt;&gt;AG436,1,0)</f>
        <v/>
      </c>
      <c r="AJ436">
        <f>IF(AND(AG436&gt;=3,Z436&lt;=0.2),1,0)</f>
        <v/>
      </c>
      <c r="AK436">
        <f>AVERAGE(U436:Z436)</f>
        <v/>
      </c>
      <c r="AL436">
        <f>1+COUNTIF(bounds,"&lt;"&amp;ROUND(AK436,12))</f>
        <v/>
      </c>
      <c r="AM436">
        <f>IF(AI436=1,AB436,NA())</f>
        <v/>
      </c>
      <c r="AN436">
        <f>IF(AI436=0,AB436,NA())</f>
        <v/>
      </c>
    </row>
    <row r="437">
      <c r="A437" t="n">
        <v>429</v>
      </c>
      <c r="B437" t="n">
        <v>4</v>
      </c>
      <c r="C437" t="n">
        <v>3</v>
      </c>
      <c r="D437" t="n">
        <v>4</v>
      </c>
      <c r="E437" t="n">
        <v>2</v>
      </c>
      <c r="F437" t="n">
        <v>1</v>
      </c>
      <c r="G437" t="n">
        <v>3</v>
      </c>
      <c r="H437" t="n">
        <v>4</v>
      </c>
      <c r="I437" t="n">
        <v>5</v>
      </c>
      <c r="J437" t="n">
        <v>2</v>
      </c>
      <c r="K437" t="n">
        <v>4</v>
      </c>
      <c r="L437" t="n">
        <v>2</v>
      </c>
      <c r="M437" t="n">
        <v>1</v>
      </c>
      <c r="N437" t="n">
        <v>4</v>
      </c>
      <c r="O437" t="n">
        <v>3</v>
      </c>
      <c r="P437" t="n">
        <v>1</v>
      </c>
      <c r="Q437" t="n">
        <v>5</v>
      </c>
      <c r="R437" t="n">
        <v>2</v>
      </c>
      <c r="S437" t="n">
        <v>1</v>
      </c>
      <c r="T437" t="n">
        <v>2</v>
      </c>
      <c r="U437">
        <f>(AVERAGE(B437:D437)-1)/4</f>
        <v/>
      </c>
      <c r="V437">
        <f>(AVERAGE(E437:F437)-1)/4</f>
        <v/>
      </c>
      <c r="W437">
        <f>(AVERAGE(G437:I437)-1)/4</f>
        <v/>
      </c>
      <c r="X437">
        <f>(AVERAGE(J437:L437)-1)/4</f>
        <v/>
      </c>
      <c r="Y437">
        <f>(AVERAGE(M437:O437)-1)/4</f>
        <v/>
      </c>
      <c r="Z437">
        <f>(AVERAGE(P437:R437)-1)/4</f>
        <v/>
      </c>
      <c r="AA437">
        <f>(AVERAGE(S437:T437)-1)/4</f>
        <v/>
      </c>
      <c r="AB437">
        <f>AVERAGE(U437:Y437)</f>
        <v/>
      </c>
      <c r="AC437">
        <f>MIN(U437:Y437)</f>
        <v/>
      </c>
      <c r="AD437">
        <f>1-alpha*MAX(0,delta-AC437)</f>
        <v/>
      </c>
      <c r="AE437">
        <f>AB437*AD437</f>
        <v/>
      </c>
      <c r="AF437">
        <f>1+COUNTIF(bounds,"&lt;"&amp;ROUND(AB437,12))</f>
        <v/>
      </c>
      <c r="AG437">
        <f>1+COUNTIF(bounds,"&lt;"&amp;ROUND(AE437,12))</f>
        <v/>
      </c>
      <c r="AH437">
        <f>IF(AD437&lt;1,1,0)</f>
        <v/>
      </c>
      <c r="AI437">
        <f>IF(AF437&lt;&gt;AG437,1,0)</f>
        <v/>
      </c>
      <c r="AJ437">
        <f>IF(AND(AG437&gt;=3,Z437&lt;=0.2),1,0)</f>
        <v/>
      </c>
      <c r="AK437">
        <f>AVERAGE(U437:Z437)</f>
        <v/>
      </c>
      <c r="AL437">
        <f>1+COUNTIF(bounds,"&lt;"&amp;ROUND(AK437,12))</f>
        <v/>
      </c>
      <c r="AM437">
        <f>IF(AI437=1,AB437,NA())</f>
        <v/>
      </c>
      <c r="AN437">
        <f>IF(AI437=0,AB437,NA())</f>
        <v/>
      </c>
    </row>
    <row r="438">
      <c r="A438" t="n">
        <v>430</v>
      </c>
      <c r="B438" t="n">
        <v>2</v>
      </c>
      <c r="C438" t="n">
        <v>4</v>
      </c>
      <c r="D438" t="n">
        <v>2</v>
      </c>
      <c r="E438" t="n">
        <v>1</v>
      </c>
      <c r="F438" t="n">
        <v>3</v>
      </c>
      <c r="G438" t="n">
        <v>5</v>
      </c>
      <c r="H438" t="n">
        <v>5</v>
      </c>
      <c r="I438" t="n">
        <v>3</v>
      </c>
      <c r="J438" t="n">
        <v>5</v>
      </c>
      <c r="K438" t="n">
        <v>1</v>
      </c>
      <c r="L438" t="n">
        <v>2</v>
      </c>
      <c r="M438" t="n">
        <v>4</v>
      </c>
      <c r="N438" t="n">
        <v>3</v>
      </c>
      <c r="O438" t="n">
        <v>5</v>
      </c>
      <c r="P438" t="n">
        <v>3</v>
      </c>
      <c r="Q438" t="n">
        <v>3</v>
      </c>
      <c r="R438" t="n">
        <v>3</v>
      </c>
      <c r="S438" t="n">
        <v>1</v>
      </c>
      <c r="T438" t="n">
        <v>2</v>
      </c>
      <c r="U438">
        <f>(AVERAGE(B438:D438)-1)/4</f>
        <v/>
      </c>
      <c r="V438">
        <f>(AVERAGE(E438:F438)-1)/4</f>
        <v/>
      </c>
      <c r="W438">
        <f>(AVERAGE(G438:I438)-1)/4</f>
        <v/>
      </c>
      <c r="X438">
        <f>(AVERAGE(J438:L438)-1)/4</f>
        <v/>
      </c>
      <c r="Y438">
        <f>(AVERAGE(M438:O438)-1)/4</f>
        <v/>
      </c>
      <c r="Z438">
        <f>(AVERAGE(P438:R438)-1)/4</f>
        <v/>
      </c>
      <c r="AA438">
        <f>(AVERAGE(S438:T438)-1)/4</f>
        <v/>
      </c>
      <c r="AB438">
        <f>AVERAGE(U438:Y438)</f>
        <v/>
      </c>
      <c r="AC438">
        <f>MIN(U438:Y438)</f>
        <v/>
      </c>
      <c r="AD438">
        <f>1-alpha*MAX(0,delta-AC438)</f>
        <v/>
      </c>
      <c r="AE438">
        <f>AB438*AD438</f>
        <v/>
      </c>
      <c r="AF438">
        <f>1+COUNTIF(bounds,"&lt;"&amp;ROUND(AB438,12))</f>
        <v/>
      </c>
      <c r="AG438">
        <f>1+COUNTIF(bounds,"&lt;"&amp;ROUND(AE438,12))</f>
        <v/>
      </c>
      <c r="AH438">
        <f>IF(AD438&lt;1,1,0)</f>
        <v/>
      </c>
      <c r="AI438">
        <f>IF(AF438&lt;&gt;AG438,1,0)</f>
        <v/>
      </c>
      <c r="AJ438">
        <f>IF(AND(AG438&gt;=3,Z438&lt;=0.2),1,0)</f>
        <v/>
      </c>
      <c r="AK438">
        <f>AVERAGE(U438:Z438)</f>
        <v/>
      </c>
      <c r="AL438">
        <f>1+COUNTIF(bounds,"&lt;"&amp;ROUND(AK438,12))</f>
        <v/>
      </c>
      <c r="AM438">
        <f>IF(AI438=1,AB438,NA())</f>
        <v/>
      </c>
      <c r="AN438">
        <f>IF(AI438=0,AB438,NA())</f>
        <v/>
      </c>
    </row>
    <row r="439">
      <c r="A439" t="n">
        <v>431</v>
      </c>
      <c r="B439" t="n">
        <v>2</v>
      </c>
      <c r="C439" t="n">
        <v>2</v>
      </c>
      <c r="D439" t="n">
        <v>3</v>
      </c>
      <c r="E439" t="n">
        <v>2</v>
      </c>
      <c r="F439" t="n">
        <v>4</v>
      </c>
      <c r="G439" t="n">
        <v>5</v>
      </c>
      <c r="H439" t="n">
        <v>2</v>
      </c>
      <c r="I439" t="n">
        <v>5</v>
      </c>
      <c r="J439" t="n">
        <v>3</v>
      </c>
      <c r="K439" t="n">
        <v>5</v>
      </c>
      <c r="L439" t="n">
        <v>3</v>
      </c>
      <c r="M439" t="n">
        <v>2</v>
      </c>
      <c r="N439" t="n">
        <v>4</v>
      </c>
      <c r="O439" t="n">
        <v>4</v>
      </c>
      <c r="P439" t="n">
        <v>2</v>
      </c>
      <c r="Q439" t="n">
        <v>5</v>
      </c>
      <c r="R439" t="n">
        <v>5</v>
      </c>
      <c r="S439" t="n">
        <v>2</v>
      </c>
      <c r="T439" t="n">
        <v>4</v>
      </c>
      <c r="U439">
        <f>(AVERAGE(B439:D439)-1)/4</f>
        <v/>
      </c>
      <c r="V439">
        <f>(AVERAGE(E439:F439)-1)/4</f>
        <v/>
      </c>
      <c r="W439">
        <f>(AVERAGE(G439:I439)-1)/4</f>
        <v/>
      </c>
      <c r="X439">
        <f>(AVERAGE(J439:L439)-1)/4</f>
        <v/>
      </c>
      <c r="Y439">
        <f>(AVERAGE(M439:O439)-1)/4</f>
        <v/>
      </c>
      <c r="Z439">
        <f>(AVERAGE(P439:R439)-1)/4</f>
        <v/>
      </c>
      <c r="AA439">
        <f>(AVERAGE(S439:T439)-1)/4</f>
        <v/>
      </c>
      <c r="AB439">
        <f>AVERAGE(U439:Y439)</f>
        <v/>
      </c>
      <c r="AC439">
        <f>MIN(U439:Y439)</f>
        <v/>
      </c>
      <c r="AD439">
        <f>1-alpha*MAX(0,delta-AC439)</f>
        <v/>
      </c>
      <c r="AE439">
        <f>AB439*AD439</f>
        <v/>
      </c>
      <c r="AF439">
        <f>1+COUNTIF(bounds,"&lt;"&amp;ROUND(AB439,12))</f>
        <v/>
      </c>
      <c r="AG439">
        <f>1+COUNTIF(bounds,"&lt;"&amp;ROUND(AE439,12))</f>
        <v/>
      </c>
      <c r="AH439">
        <f>IF(AD439&lt;1,1,0)</f>
        <v/>
      </c>
      <c r="AI439">
        <f>IF(AF439&lt;&gt;AG439,1,0)</f>
        <v/>
      </c>
      <c r="AJ439">
        <f>IF(AND(AG439&gt;=3,Z439&lt;=0.2),1,0)</f>
        <v/>
      </c>
      <c r="AK439">
        <f>AVERAGE(U439:Z439)</f>
        <v/>
      </c>
      <c r="AL439">
        <f>1+COUNTIF(bounds,"&lt;"&amp;ROUND(AK439,12))</f>
        <v/>
      </c>
      <c r="AM439">
        <f>IF(AI439=1,AB439,NA())</f>
        <v/>
      </c>
      <c r="AN439">
        <f>IF(AI439=0,AB439,NA())</f>
        <v/>
      </c>
    </row>
    <row r="440">
      <c r="A440" t="n">
        <v>432</v>
      </c>
      <c r="B440" t="n">
        <v>2</v>
      </c>
      <c r="C440" t="n">
        <v>4</v>
      </c>
      <c r="D440" t="n">
        <v>4</v>
      </c>
      <c r="E440" t="n">
        <v>4</v>
      </c>
      <c r="F440" t="n">
        <v>5</v>
      </c>
      <c r="G440" t="n">
        <v>1</v>
      </c>
      <c r="H440" t="n">
        <v>1</v>
      </c>
      <c r="I440" t="n">
        <v>5</v>
      </c>
      <c r="J440" t="n">
        <v>5</v>
      </c>
      <c r="K440" t="n">
        <v>5</v>
      </c>
      <c r="L440" t="n">
        <v>5</v>
      </c>
      <c r="M440" t="n">
        <v>4</v>
      </c>
      <c r="N440" t="n">
        <v>5</v>
      </c>
      <c r="O440" t="n">
        <v>3</v>
      </c>
      <c r="P440" t="n">
        <v>4</v>
      </c>
      <c r="Q440" t="n">
        <v>5</v>
      </c>
      <c r="R440" t="n">
        <v>5</v>
      </c>
      <c r="S440" t="n">
        <v>5</v>
      </c>
      <c r="T440" t="n">
        <v>5</v>
      </c>
      <c r="U440">
        <f>(AVERAGE(B440:D440)-1)/4</f>
        <v/>
      </c>
      <c r="V440">
        <f>(AVERAGE(E440:F440)-1)/4</f>
        <v/>
      </c>
      <c r="W440">
        <f>(AVERAGE(G440:I440)-1)/4</f>
        <v/>
      </c>
      <c r="X440">
        <f>(AVERAGE(J440:L440)-1)/4</f>
        <v/>
      </c>
      <c r="Y440">
        <f>(AVERAGE(M440:O440)-1)/4</f>
        <v/>
      </c>
      <c r="Z440">
        <f>(AVERAGE(P440:R440)-1)/4</f>
        <v/>
      </c>
      <c r="AA440">
        <f>(AVERAGE(S440:T440)-1)/4</f>
        <v/>
      </c>
      <c r="AB440">
        <f>AVERAGE(U440:Y440)</f>
        <v/>
      </c>
      <c r="AC440">
        <f>MIN(U440:Y440)</f>
        <v/>
      </c>
      <c r="AD440">
        <f>1-alpha*MAX(0,delta-AC440)</f>
        <v/>
      </c>
      <c r="AE440">
        <f>AB440*AD440</f>
        <v/>
      </c>
      <c r="AF440">
        <f>1+COUNTIF(bounds,"&lt;"&amp;ROUND(AB440,12))</f>
        <v/>
      </c>
      <c r="AG440">
        <f>1+COUNTIF(bounds,"&lt;"&amp;ROUND(AE440,12))</f>
        <v/>
      </c>
      <c r="AH440">
        <f>IF(AD440&lt;1,1,0)</f>
        <v/>
      </c>
      <c r="AI440">
        <f>IF(AF440&lt;&gt;AG440,1,0)</f>
        <v/>
      </c>
      <c r="AJ440">
        <f>IF(AND(AG440&gt;=3,Z440&lt;=0.2),1,0)</f>
        <v/>
      </c>
      <c r="AK440">
        <f>AVERAGE(U440:Z440)</f>
        <v/>
      </c>
      <c r="AL440">
        <f>1+COUNTIF(bounds,"&lt;"&amp;ROUND(AK440,12))</f>
        <v/>
      </c>
      <c r="AM440">
        <f>IF(AI440=1,AB440,NA())</f>
        <v/>
      </c>
      <c r="AN440">
        <f>IF(AI440=0,AB440,NA())</f>
        <v/>
      </c>
    </row>
    <row r="441">
      <c r="A441" t="n">
        <v>433</v>
      </c>
      <c r="B441" t="n">
        <v>2</v>
      </c>
      <c r="C441" t="n">
        <v>4</v>
      </c>
      <c r="D441" t="n">
        <v>4</v>
      </c>
      <c r="E441" t="n">
        <v>3</v>
      </c>
      <c r="F441" t="n">
        <v>4</v>
      </c>
      <c r="G441" t="n">
        <v>2</v>
      </c>
      <c r="H441" t="n">
        <v>5</v>
      </c>
      <c r="I441" t="n">
        <v>5</v>
      </c>
      <c r="J441" t="n">
        <v>5</v>
      </c>
      <c r="K441" t="n">
        <v>4</v>
      </c>
      <c r="L441" t="n">
        <v>1</v>
      </c>
      <c r="M441" t="n">
        <v>4</v>
      </c>
      <c r="N441" t="n">
        <v>5</v>
      </c>
      <c r="O441" t="n">
        <v>1</v>
      </c>
      <c r="P441" t="n">
        <v>4</v>
      </c>
      <c r="Q441" t="n">
        <v>1</v>
      </c>
      <c r="R441" t="n">
        <v>2</v>
      </c>
      <c r="S441" t="n">
        <v>1</v>
      </c>
      <c r="T441" t="n">
        <v>1</v>
      </c>
      <c r="U441">
        <f>(AVERAGE(B441:D441)-1)/4</f>
        <v/>
      </c>
      <c r="V441">
        <f>(AVERAGE(E441:F441)-1)/4</f>
        <v/>
      </c>
      <c r="W441">
        <f>(AVERAGE(G441:I441)-1)/4</f>
        <v/>
      </c>
      <c r="X441">
        <f>(AVERAGE(J441:L441)-1)/4</f>
        <v/>
      </c>
      <c r="Y441">
        <f>(AVERAGE(M441:O441)-1)/4</f>
        <v/>
      </c>
      <c r="Z441">
        <f>(AVERAGE(P441:R441)-1)/4</f>
        <v/>
      </c>
      <c r="AA441">
        <f>(AVERAGE(S441:T441)-1)/4</f>
        <v/>
      </c>
      <c r="AB441">
        <f>AVERAGE(U441:Y441)</f>
        <v/>
      </c>
      <c r="AC441">
        <f>MIN(U441:Y441)</f>
        <v/>
      </c>
      <c r="AD441">
        <f>1-alpha*MAX(0,delta-AC441)</f>
        <v/>
      </c>
      <c r="AE441">
        <f>AB441*AD441</f>
        <v/>
      </c>
      <c r="AF441">
        <f>1+COUNTIF(bounds,"&lt;"&amp;ROUND(AB441,12))</f>
        <v/>
      </c>
      <c r="AG441">
        <f>1+COUNTIF(bounds,"&lt;"&amp;ROUND(AE441,12))</f>
        <v/>
      </c>
      <c r="AH441">
        <f>IF(AD441&lt;1,1,0)</f>
        <v/>
      </c>
      <c r="AI441">
        <f>IF(AF441&lt;&gt;AG441,1,0)</f>
        <v/>
      </c>
      <c r="AJ441">
        <f>IF(AND(AG441&gt;=3,Z441&lt;=0.2),1,0)</f>
        <v/>
      </c>
      <c r="AK441">
        <f>AVERAGE(U441:Z441)</f>
        <v/>
      </c>
      <c r="AL441">
        <f>1+COUNTIF(bounds,"&lt;"&amp;ROUND(AK441,12))</f>
        <v/>
      </c>
      <c r="AM441">
        <f>IF(AI441=1,AB441,NA())</f>
        <v/>
      </c>
      <c r="AN441">
        <f>IF(AI441=0,AB441,NA())</f>
        <v/>
      </c>
    </row>
    <row r="442">
      <c r="A442" t="n">
        <v>434</v>
      </c>
      <c r="B442" t="n">
        <v>5</v>
      </c>
      <c r="C442" t="n">
        <v>5</v>
      </c>
      <c r="D442" t="n">
        <v>5</v>
      </c>
      <c r="E442" t="n">
        <v>3</v>
      </c>
      <c r="F442" t="n">
        <v>4</v>
      </c>
      <c r="G442" t="n">
        <v>5</v>
      </c>
      <c r="H442" t="n">
        <v>2</v>
      </c>
      <c r="I442" t="n">
        <v>1</v>
      </c>
      <c r="J442" t="n">
        <v>1</v>
      </c>
      <c r="K442" t="n">
        <v>3</v>
      </c>
      <c r="L442" t="n">
        <v>3</v>
      </c>
      <c r="M442" t="n">
        <v>1</v>
      </c>
      <c r="N442" t="n">
        <v>2</v>
      </c>
      <c r="O442" t="n">
        <v>5</v>
      </c>
      <c r="P442" t="n">
        <v>4</v>
      </c>
      <c r="Q442" t="n">
        <v>4</v>
      </c>
      <c r="R442" t="n">
        <v>3</v>
      </c>
      <c r="S442" t="n">
        <v>2</v>
      </c>
      <c r="T442" t="n">
        <v>4</v>
      </c>
      <c r="U442">
        <f>(AVERAGE(B442:D442)-1)/4</f>
        <v/>
      </c>
      <c r="V442">
        <f>(AVERAGE(E442:F442)-1)/4</f>
        <v/>
      </c>
      <c r="W442">
        <f>(AVERAGE(G442:I442)-1)/4</f>
        <v/>
      </c>
      <c r="X442">
        <f>(AVERAGE(J442:L442)-1)/4</f>
        <v/>
      </c>
      <c r="Y442">
        <f>(AVERAGE(M442:O442)-1)/4</f>
        <v/>
      </c>
      <c r="Z442">
        <f>(AVERAGE(P442:R442)-1)/4</f>
        <v/>
      </c>
      <c r="AA442">
        <f>(AVERAGE(S442:T442)-1)/4</f>
        <v/>
      </c>
      <c r="AB442">
        <f>AVERAGE(U442:Y442)</f>
        <v/>
      </c>
      <c r="AC442">
        <f>MIN(U442:Y442)</f>
        <v/>
      </c>
      <c r="AD442">
        <f>1-alpha*MAX(0,delta-AC442)</f>
        <v/>
      </c>
      <c r="AE442">
        <f>AB442*AD442</f>
        <v/>
      </c>
      <c r="AF442">
        <f>1+COUNTIF(bounds,"&lt;"&amp;ROUND(AB442,12))</f>
        <v/>
      </c>
      <c r="AG442">
        <f>1+COUNTIF(bounds,"&lt;"&amp;ROUND(AE442,12))</f>
        <v/>
      </c>
      <c r="AH442">
        <f>IF(AD442&lt;1,1,0)</f>
        <v/>
      </c>
      <c r="AI442">
        <f>IF(AF442&lt;&gt;AG442,1,0)</f>
        <v/>
      </c>
      <c r="AJ442">
        <f>IF(AND(AG442&gt;=3,Z442&lt;=0.2),1,0)</f>
        <v/>
      </c>
      <c r="AK442">
        <f>AVERAGE(U442:Z442)</f>
        <v/>
      </c>
      <c r="AL442">
        <f>1+COUNTIF(bounds,"&lt;"&amp;ROUND(AK442,12))</f>
        <v/>
      </c>
      <c r="AM442">
        <f>IF(AI442=1,AB442,NA())</f>
        <v/>
      </c>
      <c r="AN442">
        <f>IF(AI442=0,AB442,NA())</f>
        <v/>
      </c>
    </row>
    <row r="443">
      <c r="A443" t="n">
        <v>435</v>
      </c>
      <c r="B443" t="n">
        <v>5</v>
      </c>
      <c r="C443" t="n">
        <v>5</v>
      </c>
      <c r="D443" t="n">
        <v>5</v>
      </c>
      <c r="E443" t="n">
        <v>4</v>
      </c>
      <c r="F443" t="n">
        <v>2</v>
      </c>
      <c r="G443" t="n">
        <v>5</v>
      </c>
      <c r="H443" t="n">
        <v>1</v>
      </c>
      <c r="I443" t="n">
        <v>3</v>
      </c>
      <c r="J443" t="n">
        <v>1</v>
      </c>
      <c r="K443" t="n">
        <v>3</v>
      </c>
      <c r="L443" t="n">
        <v>4</v>
      </c>
      <c r="M443" t="n">
        <v>4</v>
      </c>
      <c r="N443" t="n">
        <v>5</v>
      </c>
      <c r="O443" t="n">
        <v>3</v>
      </c>
      <c r="P443" t="n">
        <v>2</v>
      </c>
      <c r="Q443" t="n">
        <v>4</v>
      </c>
      <c r="R443" t="n">
        <v>2</v>
      </c>
      <c r="S443" t="n">
        <v>5</v>
      </c>
      <c r="T443" t="n">
        <v>2</v>
      </c>
      <c r="U443">
        <f>(AVERAGE(B443:D443)-1)/4</f>
        <v/>
      </c>
      <c r="V443">
        <f>(AVERAGE(E443:F443)-1)/4</f>
        <v/>
      </c>
      <c r="W443">
        <f>(AVERAGE(G443:I443)-1)/4</f>
        <v/>
      </c>
      <c r="X443">
        <f>(AVERAGE(J443:L443)-1)/4</f>
        <v/>
      </c>
      <c r="Y443">
        <f>(AVERAGE(M443:O443)-1)/4</f>
        <v/>
      </c>
      <c r="Z443">
        <f>(AVERAGE(P443:R443)-1)/4</f>
        <v/>
      </c>
      <c r="AA443">
        <f>(AVERAGE(S443:T443)-1)/4</f>
        <v/>
      </c>
      <c r="AB443">
        <f>AVERAGE(U443:Y443)</f>
        <v/>
      </c>
      <c r="AC443">
        <f>MIN(U443:Y443)</f>
        <v/>
      </c>
      <c r="AD443">
        <f>1-alpha*MAX(0,delta-AC443)</f>
        <v/>
      </c>
      <c r="AE443">
        <f>AB443*AD443</f>
        <v/>
      </c>
      <c r="AF443">
        <f>1+COUNTIF(bounds,"&lt;"&amp;ROUND(AB443,12))</f>
        <v/>
      </c>
      <c r="AG443">
        <f>1+COUNTIF(bounds,"&lt;"&amp;ROUND(AE443,12))</f>
        <v/>
      </c>
      <c r="AH443">
        <f>IF(AD443&lt;1,1,0)</f>
        <v/>
      </c>
      <c r="AI443">
        <f>IF(AF443&lt;&gt;AG443,1,0)</f>
        <v/>
      </c>
      <c r="AJ443">
        <f>IF(AND(AG443&gt;=3,Z443&lt;=0.2),1,0)</f>
        <v/>
      </c>
      <c r="AK443">
        <f>AVERAGE(U443:Z443)</f>
        <v/>
      </c>
      <c r="AL443">
        <f>1+COUNTIF(bounds,"&lt;"&amp;ROUND(AK443,12))</f>
        <v/>
      </c>
      <c r="AM443">
        <f>IF(AI443=1,AB443,NA())</f>
        <v/>
      </c>
      <c r="AN443">
        <f>IF(AI443=0,AB443,NA())</f>
        <v/>
      </c>
    </row>
    <row r="444">
      <c r="A444" t="n">
        <v>436</v>
      </c>
      <c r="B444" t="n">
        <v>5</v>
      </c>
      <c r="C444" t="n">
        <v>2</v>
      </c>
      <c r="D444" t="n">
        <v>1</v>
      </c>
      <c r="E444" t="n">
        <v>4</v>
      </c>
      <c r="F444" t="n">
        <v>2</v>
      </c>
      <c r="G444" t="n">
        <v>4</v>
      </c>
      <c r="H444" t="n">
        <v>4</v>
      </c>
      <c r="I444" t="n">
        <v>5</v>
      </c>
      <c r="J444" t="n">
        <v>5</v>
      </c>
      <c r="K444" t="n">
        <v>2</v>
      </c>
      <c r="L444" t="n">
        <v>4</v>
      </c>
      <c r="M444" t="n">
        <v>3</v>
      </c>
      <c r="N444" t="n">
        <v>4</v>
      </c>
      <c r="O444" t="n">
        <v>2</v>
      </c>
      <c r="P444" t="n">
        <v>4</v>
      </c>
      <c r="Q444" t="n">
        <v>4</v>
      </c>
      <c r="R444" t="n">
        <v>3</v>
      </c>
      <c r="S444" t="n">
        <v>4</v>
      </c>
      <c r="T444" t="n">
        <v>5</v>
      </c>
      <c r="U444">
        <f>(AVERAGE(B444:D444)-1)/4</f>
        <v/>
      </c>
      <c r="V444">
        <f>(AVERAGE(E444:F444)-1)/4</f>
        <v/>
      </c>
      <c r="W444">
        <f>(AVERAGE(G444:I444)-1)/4</f>
        <v/>
      </c>
      <c r="X444">
        <f>(AVERAGE(J444:L444)-1)/4</f>
        <v/>
      </c>
      <c r="Y444">
        <f>(AVERAGE(M444:O444)-1)/4</f>
        <v/>
      </c>
      <c r="Z444">
        <f>(AVERAGE(P444:R444)-1)/4</f>
        <v/>
      </c>
      <c r="AA444">
        <f>(AVERAGE(S444:T444)-1)/4</f>
        <v/>
      </c>
      <c r="AB444">
        <f>AVERAGE(U444:Y444)</f>
        <v/>
      </c>
      <c r="AC444">
        <f>MIN(U444:Y444)</f>
        <v/>
      </c>
      <c r="AD444">
        <f>1-alpha*MAX(0,delta-AC444)</f>
        <v/>
      </c>
      <c r="AE444">
        <f>AB444*AD444</f>
        <v/>
      </c>
      <c r="AF444">
        <f>1+COUNTIF(bounds,"&lt;"&amp;ROUND(AB444,12))</f>
        <v/>
      </c>
      <c r="AG444">
        <f>1+COUNTIF(bounds,"&lt;"&amp;ROUND(AE444,12))</f>
        <v/>
      </c>
      <c r="AH444">
        <f>IF(AD444&lt;1,1,0)</f>
        <v/>
      </c>
      <c r="AI444">
        <f>IF(AF444&lt;&gt;AG444,1,0)</f>
        <v/>
      </c>
      <c r="AJ444">
        <f>IF(AND(AG444&gt;=3,Z444&lt;=0.2),1,0)</f>
        <v/>
      </c>
      <c r="AK444">
        <f>AVERAGE(U444:Z444)</f>
        <v/>
      </c>
      <c r="AL444">
        <f>1+COUNTIF(bounds,"&lt;"&amp;ROUND(AK444,12))</f>
        <v/>
      </c>
      <c r="AM444">
        <f>IF(AI444=1,AB444,NA())</f>
        <v/>
      </c>
      <c r="AN444">
        <f>IF(AI444=0,AB444,NA())</f>
        <v/>
      </c>
    </row>
    <row r="445">
      <c r="A445" t="n">
        <v>437</v>
      </c>
      <c r="B445" t="n">
        <v>5</v>
      </c>
      <c r="C445" t="n">
        <v>2</v>
      </c>
      <c r="D445" t="n">
        <v>5</v>
      </c>
      <c r="E445" t="n">
        <v>2</v>
      </c>
      <c r="F445" t="n">
        <v>4</v>
      </c>
      <c r="G445" t="n">
        <v>3</v>
      </c>
      <c r="H445" t="n">
        <v>5</v>
      </c>
      <c r="I445" t="n">
        <v>2</v>
      </c>
      <c r="J445" t="n">
        <v>2</v>
      </c>
      <c r="K445" t="n">
        <v>3</v>
      </c>
      <c r="L445" t="n">
        <v>2</v>
      </c>
      <c r="M445" t="n">
        <v>2</v>
      </c>
      <c r="N445" t="n">
        <v>5</v>
      </c>
      <c r="O445" t="n">
        <v>4</v>
      </c>
      <c r="P445" t="n">
        <v>4</v>
      </c>
      <c r="Q445" t="n">
        <v>2</v>
      </c>
      <c r="R445" t="n">
        <v>2</v>
      </c>
      <c r="S445" t="n">
        <v>3</v>
      </c>
      <c r="T445" t="n">
        <v>3</v>
      </c>
      <c r="U445">
        <f>(AVERAGE(B445:D445)-1)/4</f>
        <v/>
      </c>
      <c r="V445">
        <f>(AVERAGE(E445:F445)-1)/4</f>
        <v/>
      </c>
      <c r="W445">
        <f>(AVERAGE(G445:I445)-1)/4</f>
        <v/>
      </c>
      <c r="X445">
        <f>(AVERAGE(J445:L445)-1)/4</f>
        <v/>
      </c>
      <c r="Y445">
        <f>(AVERAGE(M445:O445)-1)/4</f>
        <v/>
      </c>
      <c r="Z445">
        <f>(AVERAGE(P445:R445)-1)/4</f>
        <v/>
      </c>
      <c r="AA445">
        <f>(AVERAGE(S445:T445)-1)/4</f>
        <v/>
      </c>
      <c r="AB445">
        <f>AVERAGE(U445:Y445)</f>
        <v/>
      </c>
      <c r="AC445">
        <f>MIN(U445:Y445)</f>
        <v/>
      </c>
      <c r="AD445">
        <f>1-alpha*MAX(0,delta-AC445)</f>
        <v/>
      </c>
      <c r="AE445">
        <f>AB445*AD445</f>
        <v/>
      </c>
      <c r="AF445">
        <f>1+COUNTIF(bounds,"&lt;"&amp;ROUND(AB445,12))</f>
        <v/>
      </c>
      <c r="AG445">
        <f>1+COUNTIF(bounds,"&lt;"&amp;ROUND(AE445,12))</f>
        <v/>
      </c>
      <c r="AH445">
        <f>IF(AD445&lt;1,1,0)</f>
        <v/>
      </c>
      <c r="AI445">
        <f>IF(AF445&lt;&gt;AG445,1,0)</f>
        <v/>
      </c>
      <c r="AJ445">
        <f>IF(AND(AG445&gt;=3,Z445&lt;=0.2),1,0)</f>
        <v/>
      </c>
      <c r="AK445">
        <f>AVERAGE(U445:Z445)</f>
        <v/>
      </c>
      <c r="AL445">
        <f>1+COUNTIF(bounds,"&lt;"&amp;ROUND(AK445,12))</f>
        <v/>
      </c>
      <c r="AM445">
        <f>IF(AI445=1,AB445,NA())</f>
        <v/>
      </c>
      <c r="AN445">
        <f>IF(AI445=0,AB445,NA())</f>
        <v/>
      </c>
    </row>
    <row r="446">
      <c r="A446" t="n">
        <v>438</v>
      </c>
      <c r="B446" t="n">
        <v>5</v>
      </c>
      <c r="C446" t="n">
        <v>4</v>
      </c>
      <c r="D446" t="n">
        <v>2</v>
      </c>
      <c r="E446" t="n">
        <v>5</v>
      </c>
      <c r="F446" t="n">
        <v>1</v>
      </c>
      <c r="G446" t="n">
        <v>4</v>
      </c>
      <c r="H446" t="n">
        <v>2</v>
      </c>
      <c r="I446" t="n">
        <v>3</v>
      </c>
      <c r="J446" t="n">
        <v>2</v>
      </c>
      <c r="K446" t="n">
        <v>4</v>
      </c>
      <c r="L446" t="n">
        <v>5</v>
      </c>
      <c r="M446" t="n">
        <v>2</v>
      </c>
      <c r="N446" t="n">
        <v>3</v>
      </c>
      <c r="O446" t="n">
        <v>4</v>
      </c>
      <c r="P446" t="n">
        <v>5</v>
      </c>
      <c r="Q446" t="n">
        <v>5</v>
      </c>
      <c r="R446" t="n">
        <v>4</v>
      </c>
      <c r="S446" t="n">
        <v>3</v>
      </c>
      <c r="T446" t="n">
        <v>5</v>
      </c>
      <c r="U446">
        <f>(AVERAGE(B446:D446)-1)/4</f>
        <v/>
      </c>
      <c r="V446">
        <f>(AVERAGE(E446:F446)-1)/4</f>
        <v/>
      </c>
      <c r="W446">
        <f>(AVERAGE(G446:I446)-1)/4</f>
        <v/>
      </c>
      <c r="X446">
        <f>(AVERAGE(J446:L446)-1)/4</f>
        <v/>
      </c>
      <c r="Y446">
        <f>(AVERAGE(M446:O446)-1)/4</f>
        <v/>
      </c>
      <c r="Z446">
        <f>(AVERAGE(P446:R446)-1)/4</f>
        <v/>
      </c>
      <c r="AA446">
        <f>(AVERAGE(S446:T446)-1)/4</f>
        <v/>
      </c>
      <c r="AB446">
        <f>AVERAGE(U446:Y446)</f>
        <v/>
      </c>
      <c r="AC446">
        <f>MIN(U446:Y446)</f>
        <v/>
      </c>
      <c r="AD446">
        <f>1-alpha*MAX(0,delta-AC446)</f>
        <v/>
      </c>
      <c r="AE446">
        <f>AB446*AD446</f>
        <v/>
      </c>
      <c r="AF446">
        <f>1+COUNTIF(bounds,"&lt;"&amp;ROUND(AB446,12))</f>
        <v/>
      </c>
      <c r="AG446">
        <f>1+COUNTIF(bounds,"&lt;"&amp;ROUND(AE446,12))</f>
        <v/>
      </c>
      <c r="AH446">
        <f>IF(AD446&lt;1,1,0)</f>
        <v/>
      </c>
      <c r="AI446">
        <f>IF(AF446&lt;&gt;AG446,1,0)</f>
        <v/>
      </c>
      <c r="AJ446">
        <f>IF(AND(AG446&gt;=3,Z446&lt;=0.2),1,0)</f>
        <v/>
      </c>
      <c r="AK446">
        <f>AVERAGE(U446:Z446)</f>
        <v/>
      </c>
      <c r="AL446">
        <f>1+COUNTIF(bounds,"&lt;"&amp;ROUND(AK446,12))</f>
        <v/>
      </c>
      <c r="AM446">
        <f>IF(AI446=1,AB446,NA())</f>
        <v/>
      </c>
      <c r="AN446">
        <f>IF(AI446=0,AB446,NA())</f>
        <v/>
      </c>
    </row>
    <row r="447">
      <c r="A447" t="n">
        <v>439</v>
      </c>
      <c r="B447" t="n">
        <v>4</v>
      </c>
      <c r="C447" t="n">
        <v>5</v>
      </c>
      <c r="D447" t="n">
        <v>1</v>
      </c>
      <c r="E447" t="n">
        <v>4</v>
      </c>
      <c r="F447" t="n">
        <v>5</v>
      </c>
      <c r="G447" t="n">
        <v>2</v>
      </c>
      <c r="H447" t="n">
        <v>2</v>
      </c>
      <c r="I447" t="n">
        <v>5</v>
      </c>
      <c r="J447" t="n">
        <v>4</v>
      </c>
      <c r="K447" t="n">
        <v>3</v>
      </c>
      <c r="L447" t="n">
        <v>3</v>
      </c>
      <c r="M447" t="n">
        <v>2</v>
      </c>
      <c r="N447" t="n">
        <v>3</v>
      </c>
      <c r="O447" t="n">
        <v>3</v>
      </c>
      <c r="P447" t="n">
        <v>1</v>
      </c>
      <c r="Q447" t="n">
        <v>2</v>
      </c>
      <c r="R447" t="n">
        <v>2</v>
      </c>
      <c r="S447" t="n">
        <v>1</v>
      </c>
      <c r="T447" t="n">
        <v>3</v>
      </c>
      <c r="U447">
        <f>(AVERAGE(B447:D447)-1)/4</f>
        <v/>
      </c>
      <c r="V447">
        <f>(AVERAGE(E447:F447)-1)/4</f>
        <v/>
      </c>
      <c r="W447">
        <f>(AVERAGE(G447:I447)-1)/4</f>
        <v/>
      </c>
      <c r="X447">
        <f>(AVERAGE(J447:L447)-1)/4</f>
        <v/>
      </c>
      <c r="Y447">
        <f>(AVERAGE(M447:O447)-1)/4</f>
        <v/>
      </c>
      <c r="Z447">
        <f>(AVERAGE(P447:R447)-1)/4</f>
        <v/>
      </c>
      <c r="AA447">
        <f>(AVERAGE(S447:T447)-1)/4</f>
        <v/>
      </c>
      <c r="AB447">
        <f>AVERAGE(U447:Y447)</f>
        <v/>
      </c>
      <c r="AC447">
        <f>MIN(U447:Y447)</f>
        <v/>
      </c>
      <c r="AD447">
        <f>1-alpha*MAX(0,delta-AC447)</f>
        <v/>
      </c>
      <c r="AE447">
        <f>AB447*AD447</f>
        <v/>
      </c>
      <c r="AF447">
        <f>1+COUNTIF(bounds,"&lt;"&amp;ROUND(AB447,12))</f>
        <v/>
      </c>
      <c r="AG447">
        <f>1+COUNTIF(bounds,"&lt;"&amp;ROUND(AE447,12))</f>
        <v/>
      </c>
      <c r="AH447">
        <f>IF(AD447&lt;1,1,0)</f>
        <v/>
      </c>
      <c r="AI447">
        <f>IF(AF447&lt;&gt;AG447,1,0)</f>
        <v/>
      </c>
      <c r="AJ447">
        <f>IF(AND(AG447&gt;=3,Z447&lt;=0.2),1,0)</f>
        <v/>
      </c>
      <c r="AK447">
        <f>AVERAGE(U447:Z447)</f>
        <v/>
      </c>
      <c r="AL447">
        <f>1+COUNTIF(bounds,"&lt;"&amp;ROUND(AK447,12))</f>
        <v/>
      </c>
      <c r="AM447">
        <f>IF(AI447=1,AB447,NA())</f>
        <v/>
      </c>
      <c r="AN447">
        <f>IF(AI447=0,AB447,NA())</f>
        <v/>
      </c>
    </row>
    <row r="448">
      <c r="A448" t="n">
        <v>440</v>
      </c>
      <c r="B448" t="n">
        <v>5</v>
      </c>
      <c r="C448" t="n">
        <v>4</v>
      </c>
      <c r="D448" t="n">
        <v>5</v>
      </c>
      <c r="E448" t="n">
        <v>1</v>
      </c>
      <c r="F448" t="n">
        <v>5</v>
      </c>
      <c r="G448" t="n">
        <v>5</v>
      </c>
      <c r="H448" t="n">
        <v>3</v>
      </c>
      <c r="I448" t="n">
        <v>2</v>
      </c>
      <c r="J448" t="n">
        <v>4</v>
      </c>
      <c r="K448" t="n">
        <v>1</v>
      </c>
      <c r="L448" t="n">
        <v>2</v>
      </c>
      <c r="M448" t="n">
        <v>5</v>
      </c>
      <c r="N448" t="n">
        <v>1</v>
      </c>
      <c r="O448" t="n">
        <v>3</v>
      </c>
      <c r="P448" t="n">
        <v>4</v>
      </c>
      <c r="Q448" t="n">
        <v>3</v>
      </c>
      <c r="R448" t="n">
        <v>4</v>
      </c>
      <c r="S448" t="n">
        <v>3</v>
      </c>
      <c r="T448" t="n">
        <v>3</v>
      </c>
      <c r="U448">
        <f>(AVERAGE(B448:D448)-1)/4</f>
        <v/>
      </c>
      <c r="V448">
        <f>(AVERAGE(E448:F448)-1)/4</f>
        <v/>
      </c>
      <c r="W448">
        <f>(AVERAGE(G448:I448)-1)/4</f>
        <v/>
      </c>
      <c r="X448">
        <f>(AVERAGE(J448:L448)-1)/4</f>
        <v/>
      </c>
      <c r="Y448">
        <f>(AVERAGE(M448:O448)-1)/4</f>
        <v/>
      </c>
      <c r="Z448">
        <f>(AVERAGE(P448:R448)-1)/4</f>
        <v/>
      </c>
      <c r="AA448">
        <f>(AVERAGE(S448:T448)-1)/4</f>
        <v/>
      </c>
      <c r="AB448">
        <f>AVERAGE(U448:Y448)</f>
        <v/>
      </c>
      <c r="AC448">
        <f>MIN(U448:Y448)</f>
        <v/>
      </c>
      <c r="AD448">
        <f>1-alpha*MAX(0,delta-AC448)</f>
        <v/>
      </c>
      <c r="AE448">
        <f>AB448*AD448</f>
        <v/>
      </c>
      <c r="AF448">
        <f>1+COUNTIF(bounds,"&lt;"&amp;ROUND(AB448,12))</f>
        <v/>
      </c>
      <c r="AG448">
        <f>1+COUNTIF(bounds,"&lt;"&amp;ROUND(AE448,12))</f>
        <v/>
      </c>
      <c r="AH448">
        <f>IF(AD448&lt;1,1,0)</f>
        <v/>
      </c>
      <c r="AI448">
        <f>IF(AF448&lt;&gt;AG448,1,0)</f>
        <v/>
      </c>
      <c r="AJ448">
        <f>IF(AND(AG448&gt;=3,Z448&lt;=0.2),1,0)</f>
        <v/>
      </c>
      <c r="AK448">
        <f>AVERAGE(U448:Z448)</f>
        <v/>
      </c>
      <c r="AL448">
        <f>1+COUNTIF(bounds,"&lt;"&amp;ROUND(AK448,12))</f>
        <v/>
      </c>
      <c r="AM448">
        <f>IF(AI448=1,AB448,NA())</f>
        <v/>
      </c>
      <c r="AN448">
        <f>IF(AI448=0,AB448,NA())</f>
        <v/>
      </c>
    </row>
    <row r="449">
      <c r="A449" t="n">
        <v>441</v>
      </c>
      <c r="B449" t="n">
        <v>2</v>
      </c>
      <c r="C449" t="n">
        <v>5</v>
      </c>
      <c r="D449" t="n">
        <v>1</v>
      </c>
      <c r="E449" t="n">
        <v>3</v>
      </c>
      <c r="F449" t="n">
        <v>4</v>
      </c>
      <c r="G449" t="n">
        <v>5</v>
      </c>
      <c r="H449" t="n">
        <v>5</v>
      </c>
      <c r="I449" t="n">
        <v>5</v>
      </c>
      <c r="J449" t="n">
        <v>1</v>
      </c>
      <c r="K449" t="n">
        <v>2</v>
      </c>
      <c r="L449" t="n">
        <v>1</v>
      </c>
      <c r="M449" t="n">
        <v>1</v>
      </c>
      <c r="N449" t="n">
        <v>5</v>
      </c>
      <c r="O449" t="n">
        <v>3</v>
      </c>
      <c r="P449" t="n">
        <v>3</v>
      </c>
      <c r="Q449" t="n">
        <v>4</v>
      </c>
      <c r="R449" t="n">
        <v>3</v>
      </c>
      <c r="S449" t="n">
        <v>1</v>
      </c>
      <c r="T449" t="n">
        <v>1</v>
      </c>
      <c r="U449">
        <f>(AVERAGE(B449:D449)-1)/4</f>
        <v/>
      </c>
      <c r="V449">
        <f>(AVERAGE(E449:F449)-1)/4</f>
        <v/>
      </c>
      <c r="W449">
        <f>(AVERAGE(G449:I449)-1)/4</f>
        <v/>
      </c>
      <c r="X449">
        <f>(AVERAGE(J449:L449)-1)/4</f>
        <v/>
      </c>
      <c r="Y449">
        <f>(AVERAGE(M449:O449)-1)/4</f>
        <v/>
      </c>
      <c r="Z449">
        <f>(AVERAGE(P449:R449)-1)/4</f>
        <v/>
      </c>
      <c r="AA449">
        <f>(AVERAGE(S449:T449)-1)/4</f>
        <v/>
      </c>
      <c r="AB449">
        <f>AVERAGE(U449:Y449)</f>
        <v/>
      </c>
      <c r="AC449">
        <f>MIN(U449:Y449)</f>
        <v/>
      </c>
      <c r="AD449">
        <f>1-alpha*MAX(0,delta-AC449)</f>
        <v/>
      </c>
      <c r="AE449">
        <f>AB449*AD449</f>
        <v/>
      </c>
      <c r="AF449">
        <f>1+COUNTIF(bounds,"&lt;"&amp;ROUND(AB449,12))</f>
        <v/>
      </c>
      <c r="AG449">
        <f>1+COUNTIF(bounds,"&lt;"&amp;ROUND(AE449,12))</f>
        <v/>
      </c>
      <c r="AH449">
        <f>IF(AD449&lt;1,1,0)</f>
        <v/>
      </c>
      <c r="AI449">
        <f>IF(AF449&lt;&gt;AG449,1,0)</f>
        <v/>
      </c>
      <c r="AJ449">
        <f>IF(AND(AG449&gt;=3,Z449&lt;=0.2),1,0)</f>
        <v/>
      </c>
      <c r="AK449">
        <f>AVERAGE(U449:Z449)</f>
        <v/>
      </c>
      <c r="AL449">
        <f>1+COUNTIF(bounds,"&lt;"&amp;ROUND(AK449,12))</f>
        <v/>
      </c>
      <c r="AM449">
        <f>IF(AI449=1,AB449,NA())</f>
        <v/>
      </c>
      <c r="AN449">
        <f>IF(AI449=0,AB449,NA())</f>
        <v/>
      </c>
    </row>
    <row r="450">
      <c r="A450" t="n">
        <v>442</v>
      </c>
      <c r="B450" t="n">
        <v>4</v>
      </c>
      <c r="C450" t="n">
        <v>5</v>
      </c>
      <c r="D450" t="n">
        <v>3</v>
      </c>
      <c r="E450" t="n">
        <v>3</v>
      </c>
      <c r="F450" t="n">
        <v>1</v>
      </c>
      <c r="G450" t="n">
        <v>5</v>
      </c>
      <c r="H450" t="n">
        <v>2</v>
      </c>
      <c r="I450" t="n">
        <v>2</v>
      </c>
      <c r="J450" t="n">
        <v>3</v>
      </c>
      <c r="K450" t="n">
        <v>2</v>
      </c>
      <c r="L450" t="n">
        <v>5</v>
      </c>
      <c r="M450" t="n">
        <v>2</v>
      </c>
      <c r="N450" t="n">
        <v>5</v>
      </c>
      <c r="O450" t="n">
        <v>3</v>
      </c>
      <c r="P450" t="n">
        <v>1</v>
      </c>
      <c r="Q450" t="n">
        <v>1</v>
      </c>
      <c r="R450" t="n">
        <v>5</v>
      </c>
      <c r="S450" t="n">
        <v>2</v>
      </c>
      <c r="T450" t="n">
        <v>5</v>
      </c>
      <c r="U450">
        <f>(AVERAGE(B450:D450)-1)/4</f>
        <v/>
      </c>
      <c r="V450">
        <f>(AVERAGE(E450:F450)-1)/4</f>
        <v/>
      </c>
      <c r="W450">
        <f>(AVERAGE(G450:I450)-1)/4</f>
        <v/>
      </c>
      <c r="X450">
        <f>(AVERAGE(J450:L450)-1)/4</f>
        <v/>
      </c>
      <c r="Y450">
        <f>(AVERAGE(M450:O450)-1)/4</f>
        <v/>
      </c>
      <c r="Z450">
        <f>(AVERAGE(P450:R450)-1)/4</f>
        <v/>
      </c>
      <c r="AA450">
        <f>(AVERAGE(S450:T450)-1)/4</f>
        <v/>
      </c>
      <c r="AB450">
        <f>AVERAGE(U450:Y450)</f>
        <v/>
      </c>
      <c r="AC450">
        <f>MIN(U450:Y450)</f>
        <v/>
      </c>
      <c r="AD450">
        <f>1-alpha*MAX(0,delta-AC450)</f>
        <v/>
      </c>
      <c r="AE450">
        <f>AB450*AD450</f>
        <v/>
      </c>
      <c r="AF450">
        <f>1+COUNTIF(bounds,"&lt;"&amp;ROUND(AB450,12))</f>
        <v/>
      </c>
      <c r="AG450">
        <f>1+COUNTIF(bounds,"&lt;"&amp;ROUND(AE450,12))</f>
        <v/>
      </c>
      <c r="AH450">
        <f>IF(AD450&lt;1,1,0)</f>
        <v/>
      </c>
      <c r="AI450">
        <f>IF(AF450&lt;&gt;AG450,1,0)</f>
        <v/>
      </c>
      <c r="AJ450">
        <f>IF(AND(AG450&gt;=3,Z450&lt;=0.2),1,0)</f>
        <v/>
      </c>
      <c r="AK450">
        <f>AVERAGE(U450:Z450)</f>
        <v/>
      </c>
      <c r="AL450">
        <f>1+COUNTIF(bounds,"&lt;"&amp;ROUND(AK450,12))</f>
        <v/>
      </c>
      <c r="AM450">
        <f>IF(AI450=1,AB450,NA())</f>
        <v/>
      </c>
      <c r="AN450">
        <f>IF(AI450=0,AB450,NA())</f>
        <v/>
      </c>
    </row>
    <row r="451">
      <c r="A451" t="n">
        <v>443</v>
      </c>
      <c r="B451" t="n">
        <v>1</v>
      </c>
      <c r="C451" t="n">
        <v>5</v>
      </c>
      <c r="D451" t="n">
        <v>3</v>
      </c>
      <c r="E451" t="n">
        <v>2</v>
      </c>
      <c r="F451" t="n">
        <v>1</v>
      </c>
      <c r="G451" t="n">
        <v>5</v>
      </c>
      <c r="H451" t="n">
        <v>3</v>
      </c>
      <c r="I451" t="n">
        <v>5</v>
      </c>
      <c r="J451" t="n">
        <v>3</v>
      </c>
      <c r="K451" t="n">
        <v>1</v>
      </c>
      <c r="L451" t="n">
        <v>3</v>
      </c>
      <c r="M451" t="n">
        <v>4</v>
      </c>
      <c r="N451" t="n">
        <v>5</v>
      </c>
      <c r="O451" t="n">
        <v>4</v>
      </c>
      <c r="P451" t="n">
        <v>3</v>
      </c>
      <c r="Q451" t="n">
        <v>2</v>
      </c>
      <c r="R451" t="n">
        <v>3</v>
      </c>
      <c r="S451" t="n">
        <v>2</v>
      </c>
      <c r="T451" t="n">
        <v>2</v>
      </c>
      <c r="U451">
        <f>(AVERAGE(B451:D451)-1)/4</f>
        <v/>
      </c>
      <c r="V451">
        <f>(AVERAGE(E451:F451)-1)/4</f>
        <v/>
      </c>
      <c r="W451">
        <f>(AVERAGE(G451:I451)-1)/4</f>
        <v/>
      </c>
      <c r="X451">
        <f>(AVERAGE(J451:L451)-1)/4</f>
        <v/>
      </c>
      <c r="Y451">
        <f>(AVERAGE(M451:O451)-1)/4</f>
        <v/>
      </c>
      <c r="Z451">
        <f>(AVERAGE(P451:R451)-1)/4</f>
        <v/>
      </c>
      <c r="AA451">
        <f>(AVERAGE(S451:T451)-1)/4</f>
        <v/>
      </c>
      <c r="AB451">
        <f>AVERAGE(U451:Y451)</f>
        <v/>
      </c>
      <c r="AC451">
        <f>MIN(U451:Y451)</f>
        <v/>
      </c>
      <c r="AD451">
        <f>1-alpha*MAX(0,delta-AC451)</f>
        <v/>
      </c>
      <c r="AE451">
        <f>AB451*AD451</f>
        <v/>
      </c>
      <c r="AF451">
        <f>1+COUNTIF(bounds,"&lt;"&amp;ROUND(AB451,12))</f>
        <v/>
      </c>
      <c r="AG451">
        <f>1+COUNTIF(bounds,"&lt;"&amp;ROUND(AE451,12))</f>
        <v/>
      </c>
      <c r="AH451">
        <f>IF(AD451&lt;1,1,0)</f>
        <v/>
      </c>
      <c r="AI451">
        <f>IF(AF451&lt;&gt;AG451,1,0)</f>
        <v/>
      </c>
      <c r="AJ451">
        <f>IF(AND(AG451&gt;=3,Z451&lt;=0.2),1,0)</f>
        <v/>
      </c>
      <c r="AK451">
        <f>AVERAGE(U451:Z451)</f>
        <v/>
      </c>
      <c r="AL451">
        <f>1+COUNTIF(bounds,"&lt;"&amp;ROUND(AK451,12))</f>
        <v/>
      </c>
      <c r="AM451">
        <f>IF(AI451=1,AB451,NA())</f>
        <v/>
      </c>
      <c r="AN451">
        <f>IF(AI451=0,AB451,NA())</f>
        <v/>
      </c>
    </row>
    <row r="452">
      <c r="A452" t="n">
        <v>444</v>
      </c>
      <c r="B452" t="n">
        <v>2</v>
      </c>
      <c r="C452" t="n">
        <v>5</v>
      </c>
      <c r="D452" t="n">
        <v>5</v>
      </c>
      <c r="E452" t="n">
        <v>5</v>
      </c>
      <c r="F452" t="n">
        <v>1</v>
      </c>
      <c r="G452" t="n">
        <v>2</v>
      </c>
      <c r="H452" t="n">
        <v>2</v>
      </c>
      <c r="I452" t="n">
        <v>5</v>
      </c>
      <c r="J452" t="n">
        <v>1</v>
      </c>
      <c r="K452" t="n">
        <v>2</v>
      </c>
      <c r="L452" t="n">
        <v>5</v>
      </c>
      <c r="M452" t="n">
        <v>1</v>
      </c>
      <c r="N452" t="n">
        <v>1</v>
      </c>
      <c r="O452" t="n">
        <v>3</v>
      </c>
      <c r="P452" t="n">
        <v>1</v>
      </c>
      <c r="Q452" t="n">
        <v>5</v>
      </c>
      <c r="R452" t="n">
        <v>5</v>
      </c>
      <c r="S452" t="n">
        <v>4</v>
      </c>
      <c r="T452" t="n">
        <v>3</v>
      </c>
      <c r="U452">
        <f>(AVERAGE(B452:D452)-1)/4</f>
        <v/>
      </c>
      <c r="V452">
        <f>(AVERAGE(E452:F452)-1)/4</f>
        <v/>
      </c>
      <c r="W452">
        <f>(AVERAGE(G452:I452)-1)/4</f>
        <v/>
      </c>
      <c r="X452">
        <f>(AVERAGE(J452:L452)-1)/4</f>
        <v/>
      </c>
      <c r="Y452">
        <f>(AVERAGE(M452:O452)-1)/4</f>
        <v/>
      </c>
      <c r="Z452">
        <f>(AVERAGE(P452:R452)-1)/4</f>
        <v/>
      </c>
      <c r="AA452">
        <f>(AVERAGE(S452:T452)-1)/4</f>
        <v/>
      </c>
      <c r="AB452">
        <f>AVERAGE(U452:Y452)</f>
        <v/>
      </c>
      <c r="AC452">
        <f>MIN(U452:Y452)</f>
        <v/>
      </c>
      <c r="AD452">
        <f>1-alpha*MAX(0,delta-AC452)</f>
        <v/>
      </c>
      <c r="AE452">
        <f>AB452*AD452</f>
        <v/>
      </c>
      <c r="AF452">
        <f>1+COUNTIF(bounds,"&lt;"&amp;ROUND(AB452,12))</f>
        <v/>
      </c>
      <c r="AG452">
        <f>1+COUNTIF(bounds,"&lt;"&amp;ROUND(AE452,12))</f>
        <v/>
      </c>
      <c r="AH452">
        <f>IF(AD452&lt;1,1,0)</f>
        <v/>
      </c>
      <c r="AI452">
        <f>IF(AF452&lt;&gt;AG452,1,0)</f>
        <v/>
      </c>
      <c r="AJ452">
        <f>IF(AND(AG452&gt;=3,Z452&lt;=0.2),1,0)</f>
        <v/>
      </c>
      <c r="AK452">
        <f>AVERAGE(U452:Z452)</f>
        <v/>
      </c>
      <c r="AL452">
        <f>1+COUNTIF(bounds,"&lt;"&amp;ROUND(AK452,12))</f>
        <v/>
      </c>
      <c r="AM452">
        <f>IF(AI452=1,AB452,NA())</f>
        <v/>
      </c>
      <c r="AN452">
        <f>IF(AI452=0,AB452,NA())</f>
        <v/>
      </c>
    </row>
    <row r="453">
      <c r="A453" t="n">
        <v>445</v>
      </c>
      <c r="B453" t="n">
        <v>5</v>
      </c>
      <c r="C453" t="n">
        <v>4</v>
      </c>
      <c r="D453" t="n">
        <v>2</v>
      </c>
      <c r="E453" t="n">
        <v>2</v>
      </c>
      <c r="F453" t="n">
        <v>4</v>
      </c>
      <c r="G453" t="n">
        <v>1</v>
      </c>
      <c r="H453" t="n">
        <v>4</v>
      </c>
      <c r="I453" t="n">
        <v>5</v>
      </c>
      <c r="J453" t="n">
        <v>2</v>
      </c>
      <c r="K453" t="n">
        <v>4</v>
      </c>
      <c r="L453" t="n">
        <v>3</v>
      </c>
      <c r="M453" t="n">
        <v>2</v>
      </c>
      <c r="N453" t="n">
        <v>1</v>
      </c>
      <c r="O453" t="n">
        <v>1</v>
      </c>
      <c r="P453" t="n">
        <v>4</v>
      </c>
      <c r="Q453" t="n">
        <v>5</v>
      </c>
      <c r="R453" t="n">
        <v>1</v>
      </c>
      <c r="S453" t="n">
        <v>4</v>
      </c>
      <c r="T453" t="n">
        <v>2</v>
      </c>
      <c r="U453">
        <f>(AVERAGE(B453:D453)-1)/4</f>
        <v/>
      </c>
      <c r="V453">
        <f>(AVERAGE(E453:F453)-1)/4</f>
        <v/>
      </c>
      <c r="W453">
        <f>(AVERAGE(G453:I453)-1)/4</f>
        <v/>
      </c>
      <c r="X453">
        <f>(AVERAGE(J453:L453)-1)/4</f>
        <v/>
      </c>
      <c r="Y453">
        <f>(AVERAGE(M453:O453)-1)/4</f>
        <v/>
      </c>
      <c r="Z453">
        <f>(AVERAGE(P453:R453)-1)/4</f>
        <v/>
      </c>
      <c r="AA453">
        <f>(AVERAGE(S453:T453)-1)/4</f>
        <v/>
      </c>
      <c r="AB453">
        <f>AVERAGE(U453:Y453)</f>
        <v/>
      </c>
      <c r="AC453">
        <f>MIN(U453:Y453)</f>
        <v/>
      </c>
      <c r="AD453">
        <f>1-alpha*MAX(0,delta-AC453)</f>
        <v/>
      </c>
      <c r="AE453">
        <f>AB453*AD453</f>
        <v/>
      </c>
      <c r="AF453">
        <f>1+COUNTIF(bounds,"&lt;"&amp;ROUND(AB453,12))</f>
        <v/>
      </c>
      <c r="AG453">
        <f>1+COUNTIF(bounds,"&lt;"&amp;ROUND(AE453,12))</f>
        <v/>
      </c>
      <c r="AH453">
        <f>IF(AD453&lt;1,1,0)</f>
        <v/>
      </c>
      <c r="AI453">
        <f>IF(AF453&lt;&gt;AG453,1,0)</f>
        <v/>
      </c>
      <c r="AJ453">
        <f>IF(AND(AG453&gt;=3,Z453&lt;=0.2),1,0)</f>
        <v/>
      </c>
      <c r="AK453">
        <f>AVERAGE(U453:Z453)</f>
        <v/>
      </c>
      <c r="AL453">
        <f>1+COUNTIF(bounds,"&lt;"&amp;ROUND(AK453,12))</f>
        <v/>
      </c>
      <c r="AM453">
        <f>IF(AI453=1,AB453,NA())</f>
        <v/>
      </c>
      <c r="AN453">
        <f>IF(AI453=0,AB453,NA())</f>
        <v/>
      </c>
    </row>
    <row r="454">
      <c r="A454" t="n">
        <v>446</v>
      </c>
      <c r="B454" t="n">
        <v>3</v>
      </c>
      <c r="C454" t="n">
        <v>3</v>
      </c>
      <c r="D454" t="n">
        <v>3</v>
      </c>
      <c r="E454" t="n">
        <v>2</v>
      </c>
      <c r="F454" t="n">
        <v>4</v>
      </c>
      <c r="G454" t="n">
        <v>2</v>
      </c>
      <c r="H454" t="n">
        <v>4</v>
      </c>
      <c r="I454" t="n">
        <v>5</v>
      </c>
      <c r="J454" t="n">
        <v>1</v>
      </c>
      <c r="K454" t="n">
        <v>4</v>
      </c>
      <c r="L454" t="n">
        <v>3</v>
      </c>
      <c r="M454" t="n">
        <v>3</v>
      </c>
      <c r="N454" t="n">
        <v>4</v>
      </c>
      <c r="O454" t="n">
        <v>2</v>
      </c>
      <c r="P454" t="n">
        <v>3</v>
      </c>
      <c r="Q454" t="n">
        <v>1</v>
      </c>
      <c r="R454" t="n">
        <v>3</v>
      </c>
      <c r="S454" t="n">
        <v>4</v>
      </c>
      <c r="T454" t="n">
        <v>2</v>
      </c>
      <c r="U454">
        <f>(AVERAGE(B454:D454)-1)/4</f>
        <v/>
      </c>
      <c r="V454">
        <f>(AVERAGE(E454:F454)-1)/4</f>
        <v/>
      </c>
      <c r="W454">
        <f>(AVERAGE(G454:I454)-1)/4</f>
        <v/>
      </c>
      <c r="X454">
        <f>(AVERAGE(J454:L454)-1)/4</f>
        <v/>
      </c>
      <c r="Y454">
        <f>(AVERAGE(M454:O454)-1)/4</f>
        <v/>
      </c>
      <c r="Z454">
        <f>(AVERAGE(P454:R454)-1)/4</f>
        <v/>
      </c>
      <c r="AA454">
        <f>(AVERAGE(S454:T454)-1)/4</f>
        <v/>
      </c>
      <c r="AB454">
        <f>AVERAGE(U454:Y454)</f>
        <v/>
      </c>
      <c r="AC454">
        <f>MIN(U454:Y454)</f>
        <v/>
      </c>
      <c r="AD454">
        <f>1-alpha*MAX(0,delta-AC454)</f>
        <v/>
      </c>
      <c r="AE454">
        <f>AB454*AD454</f>
        <v/>
      </c>
      <c r="AF454">
        <f>1+COUNTIF(bounds,"&lt;"&amp;ROUND(AB454,12))</f>
        <v/>
      </c>
      <c r="AG454">
        <f>1+COUNTIF(bounds,"&lt;"&amp;ROUND(AE454,12))</f>
        <v/>
      </c>
      <c r="AH454">
        <f>IF(AD454&lt;1,1,0)</f>
        <v/>
      </c>
      <c r="AI454">
        <f>IF(AF454&lt;&gt;AG454,1,0)</f>
        <v/>
      </c>
      <c r="AJ454">
        <f>IF(AND(AG454&gt;=3,Z454&lt;=0.2),1,0)</f>
        <v/>
      </c>
      <c r="AK454">
        <f>AVERAGE(U454:Z454)</f>
        <v/>
      </c>
      <c r="AL454">
        <f>1+COUNTIF(bounds,"&lt;"&amp;ROUND(AK454,12))</f>
        <v/>
      </c>
      <c r="AM454">
        <f>IF(AI454=1,AB454,NA())</f>
        <v/>
      </c>
      <c r="AN454">
        <f>IF(AI454=0,AB454,NA())</f>
        <v/>
      </c>
    </row>
    <row r="455">
      <c r="A455" t="n">
        <v>447</v>
      </c>
      <c r="B455" t="n">
        <v>1</v>
      </c>
      <c r="C455" t="n">
        <v>2</v>
      </c>
      <c r="D455" t="n">
        <v>2</v>
      </c>
      <c r="E455" t="n">
        <v>5</v>
      </c>
      <c r="F455" t="n">
        <v>4</v>
      </c>
      <c r="G455" t="n">
        <v>3</v>
      </c>
      <c r="H455" t="n">
        <v>5</v>
      </c>
      <c r="I455" t="n">
        <v>4</v>
      </c>
      <c r="J455" t="n">
        <v>1</v>
      </c>
      <c r="K455" t="n">
        <v>4</v>
      </c>
      <c r="L455" t="n">
        <v>5</v>
      </c>
      <c r="M455" t="n">
        <v>1</v>
      </c>
      <c r="N455" t="n">
        <v>2</v>
      </c>
      <c r="O455" t="n">
        <v>1</v>
      </c>
      <c r="P455" t="n">
        <v>3</v>
      </c>
      <c r="Q455" t="n">
        <v>5</v>
      </c>
      <c r="R455" t="n">
        <v>5</v>
      </c>
      <c r="S455" t="n">
        <v>1</v>
      </c>
      <c r="T455" t="n">
        <v>2</v>
      </c>
      <c r="U455">
        <f>(AVERAGE(B455:D455)-1)/4</f>
        <v/>
      </c>
      <c r="V455">
        <f>(AVERAGE(E455:F455)-1)/4</f>
        <v/>
      </c>
      <c r="W455">
        <f>(AVERAGE(G455:I455)-1)/4</f>
        <v/>
      </c>
      <c r="X455">
        <f>(AVERAGE(J455:L455)-1)/4</f>
        <v/>
      </c>
      <c r="Y455">
        <f>(AVERAGE(M455:O455)-1)/4</f>
        <v/>
      </c>
      <c r="Z455">
        <f>(AVERAGE(P455:R455)-1)/4</f>
        <v/>
      </c>
      <c r="AA455">
        <f>(AVERAGE(S455:T455)-1)/4</f>
        <v/>
      </c>
      <c r="AB455">
        <f>AVERAGE(U455:Y455)</f>
        <v/>
      </c>
      <c r="AC455">
        <f>MIN(U455:Y455)</f>
        <v/>
      </c>
      <c r="AD455">
        <f>1-alpha*MAX(0,delta-AC455)</f>
        <v/>
      </c>
      <c r="AE455">
        <f>AB455*AD455</f>
        <v/>
      </c>
      <c r="AF455">
        <f>1+COUNTIF(bounds,"&lt;"&amp;ROUND(AB455,12))</f>
        <v/>
      </c>
      <c r="AG455">
        <f>1+COUNTIF(bounds,"&lt;"&amp;ROUND(AE455,12))</f>
        <v/>
      </c>
      <c r="AH455">
        <f>IF(AD455&lt;1,1,0)</f>
        <v/>
      </c>
      <c r="AI455">
        <f>IF(AF455&lt;&gt;AG455,1,0)</f>
        <v/>
      </c>
      <c r="AJ455">
        <f>IF(AND(AG455&gt;=3,Z455&lt;=0.2),1,0)</f>
        <v/>
      </c>
      <c r="AK455">
        <f>AVERAGE(U455:Z455)</f>
        <v/>
      </c>
      <c r="AL455">
        <f>1+COUNTIF(bounds,"&lt;"&amp;ROUND(AK455,12))</f>
        <v/>
      </c>
      <c r="AM455">
        <f>IF(AI455=1,AB455,NA())</f>
        <v/>
      </c>
      <c r="AN455">
        <f>IF(AI455=0,AB455,NA())</f>
        <v/>
      </c>
    </row>
    <row r="456">
      <c r="A456" t="n">
        <v>448</v>
      </c>
      <c r="B456" t="n">
        <v>1</v>
      </c>
      <c r="C456" t="n">
        <v>2</v>
      </c>
      <c r="D456" t="n">
        <v>3</v>
      </c>
      <c r="E456" t="n">
        <v>4</v>
      </c>
      <c r="F456" t="n">
        <v>3</v>
      </c>
      <c r="G456" t="n">
        <v>2</v>
      </c>
      <c r="H456" t="n">
        <v>4</v>
      </c>
      <c r="I456" t="n">
        <v>5</v>
      </c>
      <c r="J456" t="n">
        <v>2</v>
      </c>
      <c r="K456" t="n">
        <v>5</v>
      </c>
      <c r="L456" t="n">
        <v>4</v>
      </c>
      <c r="M456" t="n">
        <v>4</v>
      </c>
      <c r="N456" t="n">
        <v>2</v>
      </c>
      <c r="O456" t="n">
        <v>1</v>
      </c>
      <c r="P456" t="n">
        <v>5</v>
      </c>
      <c r="Q456" t="n">
        <v>5</v>
      </c>
      <c r="R456" t="n">
        <v>1</v>
      </c>
      <c r="S456" t="n">
        <v>1</v>
      </c>
      <c r="T456" t="n">
        <v>1</v>
      </c>
      <c r="U456">
        <f>(AVERAGE(B456:D456)-1)/4</f>
        <v/>
      </c>
      <c r="V456">
        <f>(AVERAGE(E456:F456)-1)/4</f>
        <v/>
      </c>
      <c r="W456">
        <f>(AVERAGE(G456:I456)-1)/4</f>
        <v/>
      </c>
      <c r="X456">
        <f>(AVERAGE(J456:L456)-1)/4</f>
        <v/>
      </c>
      <c r="Y456">
        <f>(AVERAGE(M456:O456)-1)/4</f>
        <v/>
      </c>
      <c r="Z456">
        <f>(AVERAGE(P456:R456)-1)/4</f>
        <v/>
      </c>
      <c r="AA456">
        <f>(AVERAGE(S456:T456)-1)/4</f>
        <v/>
      </c>
      <c r="AB456">
        <f>AVERAGE(U456:Y456)</f>
        <v/>
      </c>
      <c r="AC456">
        <f>MIN(U456:Y456)</f>
        <v/>
      </c>
      <c r="AD456">
        <f>1-alpha*MAX(0,delta-AC456)</f>
        <v/>
      </c>
      <c r="AE456">
        <f>AB456*AD456</f>
        <v/>
      </c>
      <c r="AF456">
        <f>1+COUNTIF(bounds,"&lt;"&amp;ROUND(AB456,12))</f>
        <v/>
      </c>
      <c r="AG456">
        <f>1+COUNTIF(bounds,"&lt;"&amp;ROUND(AE456,12))</f>
        <v/>
      </c>
      <c r="AH456">
        <f>IF(AD456&lt;1,1,0)</f>
        <v/>
      </c>
      <c r="AI456">
        <f>IF(AF456&lt;&gt;AG456,1,0)</f>
        <v/>
      </c>
      <c r="AJ456">
        <f>IF(AND(AG456&gt;=3,Z456&lt;=0.2),1,0)</f>
        <v/>
      </c>
      <c r="AK456">
        <f>AVERAGE(U456:Z456)</f>
        <v/>
      </c>
      <c r="AL456">
        <f>1+COUNTIF(bounds,"&lt;"&amp;ROUND(AK456,12))</f>
        <v/>
      </c>
      <c r="AM456">
        <f>IF(AI456=1,AB456,NA())</f>
        <v/>
      </c>
      <c r="AN456">
        <f>IF(AI456=0,AB456,NA())</f>
        <v/>
      </c>
    </row>
    <row r="457">
      <c r="A457" t="n">
        <v>449</v>
      </c>
      <c r="B457" t="n">
        <v>4</v>
      </c>
      <c r="C457" t="n">
        <v>3</v>
      </c>
      <c r="D457" t="n">
        <v>3</v>
      </c>
      <c r="E457" t="n">
        <v>3</v>
      </c>
      <c r="F457" t="n">
        <v>5</v>
      </c>
      <c r="G457" t="n">
        <v>4</v>
      </c>
      <c r="H457" t="n">
        <v>3</v>
      </c>
      <c r="I457" t="n">
        <v>4</v>
      </c>
      <c r="J457" t="n">
        <v>3</v>
      </c>
      <c r="K457" t="n">
        <v>1</v>
      </c>
      <c r="L457" t="n">
        <v>4</v>
      </c>
      <c r="M457" t="n">
        <v>5</v>
      </c>
      <c r="N457" t="n">
        <v>1</v>
      </c>
      <c r="O457" t="n">
        <v>4</v>
      </c>
      <c r="P457" t="n">
        <v>4</v>
      </c>
      <c r="Q457" t="n">
        <v>4</v>
      </c>
      <c r="R457" t="n">
        <v>2</v>
      </c>
      <c r="S457" t="n">
        <v>3</v>
      </c>
      <c r="T457" t="n">
        <v>5</v>
      </c>
      <c r="U457">
        <f>(AVERAGE(B457:D457)-1)/4</f>
        <v/>
      </c>
      <c r="V457">
        <f>(AVERAGE(E457:F457)-1)/4</f>
        <v/>
      </c>
      <c r="W457">
        <f>(AVERAGE(G457:I457)-1)/4</f>
        <v/>
      </c>
      <c r="X457">
        <f>(AVERAGE(J457:L457)-1)/4</f>
        <v/>
      </c>
      <c r="Y457">
        <f>(AVERAGE(M457:O457)-1)/4</f>
        <v/>
      </c>
      <c r="Z457">
        <f>(AVERAGE(P457:R457)-1)/4</f>
        <v/>
      </c>
      <c r="AA457">
        <f>(AVERAGE(S457:T457)-1)/4</f>
        <v/>
      </c>
      <c r="AB457">
        <f>AVERAGE(U457:Y457)</f>
        <v/>
      </c>
      <c r="AC457">
        <f>MIN(U457:Y457)</f>
        <v/>
      </c>
      <c r="AD457">
        <f>1-alpha*MAX(0,delta-AC457)</f>
        <v/>
      </c>
      <c r="AE457">
        <f>AB457*AD457</f>
        <v/>
      </c>
      <c r="AF457">
        <f>1+COUNTIF(bounds,"&lt;"&amp;ROUND(AB457,12))</f>
        <v/>
      </c>
      <c r="AG457">
        <f>1+COUNTIF(bounds,"&lt;"&amp;ROUND(AE457,12))</f>
        <v/>
      </c>
      <c r="AH457">
        <f>IF(AD457&lt;1,1,0)</f>
        <v/>
      </c>
      <c r="AI457">
        <f>IF(AF457&lt;&gt;AG457,1,0)</f>
        <v/>
      </c>
      <c r="AJ457">
        <f>IF(AND(AG457&gt;=3,Z457&lt;=0.2),1,0)</f>
        <v/>
      </c>
      <c r="AK457">
        <f>AVERAGE(U457:Z457)</f>
        <v/>
      </c>
      <c r="AL457">
        <f>1+COUNTIF(bounds,"&lt;"&amp;ROUND(AK457,12))</f>
        <v/>
      </c>
      <c r="AM457">
        <f>IF(AI457=1,AB457,NA())</f>
        <v/>
      </c>
      <c r="AN457">
        <f>IF(AI457=0,AB457,NA())</f>
        <v/>
      </c>
    </row>
    <row r="458">
      <c r="A458" t="n">
        <v>450</v>
      </c>
      <c r="B458" t="n">
        <v>1</v>
      </c>
      <c r="C458" t="n">
        <v>2</v>
      </c>
      <c r="D458" t="n">
        <v>2</v>
      </c>
      <c r="E458" t="n">
        <v>1</v>
      </c>
      <c r="F458" t="n">
        <v>4</v>
      </c>
      <c r="G458" t="n">
        <v>2</v>
      </c>
      <c r="H458" t="n">
        <v>1</v>
      </c>
      <c r="I458" t="n">
        <v>5</v>
      </c>
      <c r="J458" t="n">
        <v>3</v>
      </c>
      <c r="K458" t="n">
        <v>4</v>
      </c>
      <c r="L458" t="n">
        <v>1</v>
      </c>
      <c r="M458" t="n">
        <v>4</v>
      </c>
      <c r="N458" t="n">
        <v>4</v>
      </c>
      <c r="O458" t="n">
        <v>3</v>
      </c>
      <c r="P458" t="n">
        <v>2</v>
      </c>
      <c r="Q458" t="n">
        <v>5</v>
      </c>
      <c r="R458" t="n">
        <v>1</v>
      </c>
      <c r="S458" t="n">
        <v>4</v>
      </c>
      <c r="T458" t="n">
        <v>1</v>
      </c>
      <c r="U458">
        <f>(AVERAGE(B458:D458)-1)/4</f>
        <v/>
      </c>
      <c r="V458">
        <f>(AVERAGE(E458:F458)-1)/4</f>
        <v/>
      </c>
      <c r="W458">
        <f>(AVERAGE(G458:I458)-1)/4</f>
        <v/>
      </c>
      <c r="X458">
        <f>(AVERAGE(J458:L458)-1)/4</f>
        <v/>
      </c>
      <c r="Y458">
        <f>(AVERAGE(M458:O458)-1)/4</f>
        <v/>
      </c>
      <c r="Z458">
        <f>(AVERAGE(P458:R458)-1)/4</f>
        <v/>
      </c>
      <c r="AA458">
        <f>(AVERAGE(S458:T458)-1)/4</f>
        <v/>
      </c>
      <c r="AB458">
        <f>AVERAGE(U458:Y458)</f>
        <v/>
      </c>
      <c r="AC458">
        <f>MIN(U458:Y458)</f>
        <v/>
      </c>
      <c r="AD458">
        <f>1-alpha*MAX(0,delta-AC458)</f>
        <v/>
      </c>
      <c r="AE458">
        <f>AB458*AD458</f>
        <v/>
      </c>
      <c r="AF458">
        <f>1+COUNTIF(bounds,"&lt;"&amp;ROUND(AB458,12))</f>
        <v/>
      </c>
      <c r="AG458">
        <f>1+COUNTIF(bounds,"&lt;"&amp;ROUND(AE458,12))</f>
        <v/>
      </c>
      <c r="AH458">
        <f>IF(AD458&lt;1,1,0)</f>
        <v/>
      </c>
      <c r="AI458">
        <f>IF(AF458&lt;&gt;AG458,1,0)</f>
        <v/>
      </c>
      <c r="AJ458">
        <f>IF(AND(AG458&gt;=3,Z458&lt;=0.2),1,0)</f>
        <v/>
      </c>
      <c r="AK458">
        <f>AVERAGE(U458:Z458)</f>
        <v/>
      </c>
      <c r="AL458">
        <f>1+COUNTIF(bounds,"&lt;"&amp;ROUND(AK458,12))</f>
        <v/>
      </c>
      <c r="AM458">
        <f>IF(AI458=1,AB458,NA())</f>
        <v/>
      </c>
      <c r="AN458">
        <f>IF(AI458=0,AB458,NA())</f>
        <v/>
      </c>
    </row>
    <row r="459">
      <c r="A459" t="n">
        <v>451</v>
      </c>
      <c r="B459" t="n">
        <v>1</v>
      </c>
      <c r="C459" t="n">
        <v>2</v>
      </c>
      <c r="D459" t="n">
        <v>3</v>
      </c>
      <c r="E459" t="n">
        <v>1</v>
      </c>
      <c r="F459" t="n">
        <v>3</v>
      </c>
      <c r="G459" t="n">
        <v>5</v>
      </c>
      <c r="H459" t="n">
        <v>2</v>
      </c>
      <c r="I459" t="n">
        <v>5</v>
      </c>
      <c r="J459" t="n">
        <v>5</v>
      </c>
      <c r="K459" t="n">
        <v>4</v>
      </c>
      <c r="L459" t="n">
        <v>1</v>
      </c>
      <c r="M459" t="n">
        <v>3</v>
      </c>
      <c r="N459" t="n">
        <v>1</v>
      </c>
      <c r="O459" t="n">
        <v>1</v>
      </c>
      <c r="P459" t="n">
        <v>5</v>
      </c>
      <c r="Q459" t="n">
        <v>2</v>
      </c>
      <c r="R459" t="n">
        <v>3</v>
      </c>
      <c r="S459" t="n">
        <v>1</v>
      </c>
      <c r="T459" t="n">
        <v>3</v>
      </c>
      <c r="U459">
        <f>(AVERAGE(B459:D459)-1)/4</f>
        <v/>
      </c>
      <c r="V459">
        <f>(AVERAGE(E459:F459)-1)/4</f>
        <v/>
      </c>
      <c r="W459">
        <f>(AVERAGE(G459:I459)-1)/4</f>
        <v/>
      </c>
      <c r="X459">
        <f>(AVERAGE(J459:L459)-1)/4</f>
        <v/>
      </c>
      <c r="Y459">
        <f>(AVERAGE(M459:O459)-1)/4</f>
        <v/>
      </c>
      <c r="Z459">
        <f>(AVERAGE(P459:R459)-1)/4</f>
        <v/>
      </c>
      <c r="AA459">
        <f>(AVERAGE(S459:T459)-1)/4</f>
        <v/>
      </c>
      <c r="AB459">
        <f>AVERAGE(U459:Y459)</f>
        <v/>
      </c>
      <c r="AC459">
        <f>MIN(U459:Y459)</f>
        <v/>
      </c>
      <c r="AD459">
        <f>1-alpha*MAX(0,delta-AC459)</f>
        <v/>
      </c>
      <c r="AE459">
        <f>AB459*AD459</f>
        <v/>
      </c>
      <c r="AF459">
        <f>1+COUNTIF(bounds,"&lt;"&amp;ROUND(AB459,12))</f>
        <v/>
      </c>
      <c r="AG459">
        <f>1+COUNTIF(bounds,"&lt;"&amp;ROUND(AE459,12))</f>
        <v/>
      </c>
      <c r="AH459">
        <f>IF(AD459&lt;1,1,0)</f>
        <v/>
      </c>
      <c r="AI459">
        <f>IF(AF459&lt;&gt;AG459,1,0)</f>
        <v/>
      </c>
      <c r="AJ459">
        <f>IF(AND(AG459&gt;=3,Z459&lt;=0.2),1,0)</f>
        <v/>
      </c>
      <c r="AK459">
        <f>AVERAGE(U459:Z459)</f>
        <v/>
      </c>
      <c r="AL459">
        <f>1+COUNTIF(bounds,"&lt;"&amp;ROUND(AK459,12))</f>
        <v/>
      </c>
      <c r="AM459">
        <f>IF(AI459=1,AB459,NA())</f>
        <v/>
      </c>
      <c r="AN459">
        <f>IF(AI459=0,AB459,NA())</f>
        <v/>
      </c>
    </row>
    <row r="460">
      <c r="A460" t="n">
        <v>452</v>
      </c>
      <c r="B460" t="n">
        <v>2</v>
      </c>
      <c r="C460" t="n">
        <v>2</v>
      </c>
      <c r="D460" t="n">
        <v>4</v>
      </c>
      <c r="E460" t="n">
        <v>5</v>
      </c>
      <c r="F460" t="n">
        <v>5</v>
      </c>
      <c r="G460" t="n">
        <v>3</v>
      </c>
      <c r="H460" t="n">
        <v>5</v>
      </c>
      <c r="I460" t="n">
        <v>5</v>
      </c>
      <c r="J460" t="n">
        <v>1</v>
      </c>
      <c r="K460" t="n">
        <v>4</v>
      </c>
      <c r="L460" t="n">
        <v>4</v>
      </c>
      <c r="M460" t="n">
        <v>4</v>
      </c>
      <c r="N460" t="n">
        <v>3</v>
      </c>
      <c r="O460" t="n">
        <v>2</v>
      </c>
      <c r="P460" t="n">
        <v>5</v>
      </c>
      <c r="Q460" t="n">
        <v>1</v>
      </c>
      <c r="R460" t="n">
        <v>2</v>
      </c>
      <c r="S460" t="n">
        <v>5</v>
      </c>
      <c r="T460" t="n">
        <v>5</v>
      </c>
      <c r="U460">
        <f>(AVERAGE(B460:D460)-1)/4</f>
        <v/>
      </c>
      <c r="V460">
        <f>(AVERAGE(E460:F460)-1)/4</f>
        <v/>
      </c>
      <c r="W460">
        <f>(AVERAGE(G460:I460)-1)/4</f>
        <v/>
      </c>
      <c r="X460">
        <f>(AVERAGE(J460:L460)-1)/4</f>
        <v/>
      </c>
      <c r="Y460">
        <f>(AVERAGE(M460:O460)-1)/4</f>
        <v/>
      </c>
      <c r="Z460">
        <f>(AVERAGE(P460:R460)-1)/4</f>
        <v/>
      </c>
      <c r="AA460">
        <f>(AVERAGE(S460:T460)-1)/4</f>
        <v/>
      </c>
      <c r="AB460">
        <f>AVERAGE(U460:Y460)</f>
        <v/>
      </c>
      <c r="AC460">
        <f>MIN(U460:Y460)</f>
        <v/>
      </c>
      <c r="AD460">
        <f>1-alpha*MAX(0,delta-AC460)</f>
        <v/>
      </c>
      <c r="AE460">
        <f>AB460*AD460</f>
        <v/>
      </c>
      <c r="AF460">
        <f>1+COUNTIF(bounds,"&lt;"&amp;ROUND(AB460,12))</f>
        <v/>
      </c>
      <c r="AG460">
        <f>1+COUNTIF(bounds,"&lt;"&amp;ROUND(AE460,12))</f>
        <v/>
      </c>
      <c r="AH460">
        <f>IF(AD460&lt;1,1,0)</f>
        <v/>
      </c>
      <c r="AI460">
        <f>IF(AF460&lt;&gt;AG460,1,0)</f>
        <v/>
      </c>
      <c r="AJ460">
        <f>IF(AND(AG460&gt;=3,Z460&lt;=0.2),1,0)</f>
        <v/>
      </c>
      <c r="AK460">
        <f>AVERAGE(U460:Z460)</f>
        <v/>
      </c>
      <c r="AL460">
        <f>1+COUNTIF(bounds,"&lt;"&amp;ROUND(AK460,12))</f>
        <v/>
      </c>
      <c r="AM460">
        <f>IF(AI460=1,AB460,NA())</f>
        <v/>
      </c>
      <c r="AN460">
        <f>IF(AI460=0,AB460,NA())</f>
        <v/>
      </c>
    </row>
    <row r="461">
      <c r="A461" t="n">
        <v>453</v>
      </c>
      <c r="B461" t="n">
        <v>2</v>
      </c>
      <c r="C461" t="n">
        <v>2</v>
      </c>
      <c r="D461" t="n">
        <v>4</v>
      </c>
      <c r="E461" t="n">
        <v>4</v>
      </c>
      <c r="F461" t="n">
        <v>1</v>
      </c>
      <c r="G461" t="n">
        <v>2</v>
      </c>
      <c r="H461" t="n">
        <v>3</v>
      </c>
      <c r="I461" t="n">
        <v>3</v>
      </c>
      <c r="J461" t="n">
        <v>4</v>
      </c>
      <c r="K461" t="n">
        <v>4</v>
      </c>
      <c r="L461" t="n">
        <v>5</v>
      </c>
      <c r="M461" t="n">
        <v>2</v>
      </c>
      <c r="N461" t="n">
        <v>3</v>
      </c>
      <c r="O461" t="n">
        <v>3</v>
      </c>
      <c r="P461" t="n">
        <v>1</v>
      </c>
      <c r="Q461" t="n">
        <v>3</v>
      </c>
      <c r="R461" t="n">
        <v>4</v>
      </c>
      <c r="S461" t="n">
        <v>5</v>
      </c>
      <c r="T461" t="n">
        <v>1</v>
      </c>
      <c r="U461">
        <f>(AVERAGE(B461:D461)-1)/4</f>
        <v/>
      </c>
      <c r="V461">
        <f>(AVERAGE(E461:F461)-1)/4</f>
        <v/>
      </c>
      <c r="W461">
        <f>(AVERAGE(G461:I461)-1)/4</f>
        <v/>
      </c>
      <c r="X461">
        <f>(AVERAGE(J461:L461)-1)/4</f>
        <v/>
      </c>
      <c r="Y461">
        <f>(AVERAGE(M461:O461)-1)/4</f>
        <v/>
      </c>
      <c r="Z461">
        <f>(AVERAGE(P461:R461)-1)/4</f>
        <v/>
      </c>
      <c r="AA461">
        <f>(AVERAGE(S461:T461)-1)/4</f>
        <v/>
      </c>
      <c r="AB461">
        <f>AVERAGE(U461:Y461)</f>
        <v/>
      </c>
      <c r="AC461">
        <f>MIN(U461:Y461)</f>
        <v/>
      </c>
      <c r="AD461">
        <f>1-alpha*MAX(0,delta-AC461)</f>
        <v/>
      </c>
      <c r="AE461">
        <f>AB461*AD461</f>
        <v/>
      </c>
      <c r="AF461">
        <f>1+COUNTIF(bounds,"&lt;"&amp;ROUND(AB461,12))</f>
        <v/>
      </c>
      <c r="AG461">
        <f>1+COUNTIF(bounds,"&lt;"&amp;ROUND(AE461,12))</f>
        <v/>
      </c>
      <c r="AH461">
        <f>IF(AD461&lt;1,1,0)</f>
        <v/>
      </c>
      <c r="AI461">
        <f>IF(AF461&lt;&gt;AG461,1,0)</f>
        <v/>
      </c>
      <c r="AJ461">
        <f>IF(AND(AG461&gt;=3,Z461&lt;=0.2),1,0)</f>
        <v/>
      </c>
      <c r="AK461">
        <f>AVERAGE(U461:Z461)</f>
        <v/>
      </c>
      <c r="AL461">
        <f>1+COUNTIF(bounds,"&lt;"&amp;ROUND(AK461,12))</f>
        <v/>
      </c>
      <c r="AM461">
        <f>IF(AI461=1,AB461,NA())</f>
        <v/>
      </c>
      <c r="AN461">
        <f>IF(AI461=0,AB461,NA())</f>
        <v/>
      </c>
    </row>
    <row r="462">
      <c r="A462" t="n">
        <v>454</v>
      </c>
      <c r="B462" t="n">
        <v>4</v>
      </c>
      <c r="C462" t="n">
        <v>4</v>
      </c>
      <c r="D462" t="n">
        <v>3</v>
      </c>
      <c r="E462" t="n">
        <v>4</v>
      </c>
      <c r="F462" t="n">
        <v>2</v>
      </c>
      <c r="G462" t="n">
        <v>1</v>
      </c>
      <c r="H462" t="n">
        <v>2</v>
      </c>
      <c r="I462" t="n">
        <v>1</v>
      </c>
      <c r="J462" t="n">
        <v>2</v>
      </c>
      <c r="K462" t="n">
        <v>1</v>
      </c>
      <c r="L462" t="n">
        <v>4</v>
      </c>
      <c r="M462" t="n">
        <v>1</v>
      </c>
      <c r="N462" t="n">
        <v>3</v>
      </c>
      <c r="O462" t="n">
        <v>1</v>
      </c>
      <c r="P462" t="n">
        <v>3</v>
      </c>
      <c r="Q462" t="n">
        <v>4</v>
      </c>
      <c r="R462" t="n">
        <v>3</v>
      </c>
      <c r="S462" t="n">
        <v>3</v>
      </c>
      <c r="T462" t="n">
        <v>4</v>
      </c>
      <c r="U462">
        <f>(AVERAGE(B462:D462)-1)/4</f>
        <v/>
      </c>
      <c r="V462">
        <f>(AVERAGE(E462:F462)-1)/4</f>
        <v/>
      </c>
      <c r="W462">
        <f>(AVERAGE(G462:I462)-1)/4</f>
        <v/>
      </c>
      <c r="X462">
        <f>(AVERAGE(J462:L462)-1)/4</f>
        <v/>
      </c>
      <c r="Y462">
        <f>(AVERAGE(M462:O462)-1)/4</f>
        <v/>
      </c>
      <c r="Z462">
        <f>(AVERAGE(P462:R462)-1)/4</f>
        <v/>
      </c>
      <c r="AA462">
        <f>(AVERAGE(S462:T462)-1)/4</f>
        <v/>
      </c>
      <c r="AB462">
        <f>AVERAGE(U462:Y462)</f>
        <v/>
      </c>
      <c r="AC462">
        <f>MIN(U462:Y462)</f>
        <v/>
      </c>
      <c r="AD462">
        <f>1-alpha*MAX(0,delta-AC462)</f>
        <v/>
      </c>
      <c r="AE462">
        <f>AB462*AD462</f>
        <v/>
      </c>
      <c r="AF462">
        <f>1+COUNTIF(bounds,"&lt;"&amp;ROUND(AB462,12))</f>
        <v/>
      </c>
      <c r="AG462">
        <f>1+COUNTIF(bounds,"&lt;"&amp;ROUND(AE462,12))</f>
        <v/>
      </c>
      <c r="AH462">
        <f>IF(AD462&lt;1,1,0)</f>
        <v/>
      </c>
      <c r="AI462">
        <f>IF(AF462&lt;&gt;AG462,1,0)</f>
        <v/>
      </c>
      <c r="AJ462">
        <f>IF(AND(AG462&gt;=3,Z462&lt;=0.2),1,0)</f>
        <v/>
      </c>
      <c r="AK462">
        <f>AVERAGE(U462:Z462)</f>
        <v/>
      </c>
      <c r="AL462">
        <f>1+COUNTIF(bounds,"&lt;"&amp;ROUND(AK462,12))</f>
        <v/>
      </c>
      <c r="AM462">
        <f>IF(AI462=1,AB462,NA())</f>
        <v/>
      </c>
      <c r="AN462">
        <f>IF(AI462=0,AB462,NA())</f>
        <v/>
      </c>
    </row>
    <row r="463">
      <c r="A463" t="n">
        <v>455</v>
      </c>
      <c r="B463" t="n">
        <v>1</v>
      </c>
      <c r="C463" t="n">
        <v>5</v>
      </c>
      <c r="D463" t="n">
        <v>4</v>
      </c>
      <c r="E463" t="n">
        <v>4</v>
      </c>
      <c r="F463" t="n">
        <v>4</v>
      </c>
      <c r="G463" t="n">
        <v>5</v>
      </c>
      <c r="H463" t="n">
        <v>2</v>
      </c>
      <c r="I463" t="n">
        <v>1</v>
      </c>
      <c r="J463" t="n">
        <v>5</v>
      </c>
      <c r="K463" t="n">
        <v>1</v>
      </c>
      <c r="L463" t="n">
        <v>4</v>
      </c>
      <c r="M463" t="n">
        <v>4</v>
      </c>
      <c r="N463" t="n">
        <v>5</v>
      </c>
      <c r="O463" t="n">
        <v>2</v>
      </c>
      <c r="P463" t="n">
        <v>4</v>
      </c>
      <c r="Q463" t="n">
        <v>2</v>
      </c>
      <c r="R463" t="n">
        <v>1</v>
      </c>
      <c r="S463" t="n">
        <v>3</v>
      </c>
      <c r="T463" t="n">
        <v>1</v>
      </c>
      <c r="U463">
        <f>(AVERAGE(B463:D463)-1)/4</f>
        <v/>
      </c>
      <c r="V463">
        <f>(AVERAGE(E463:F463)-1)/4</f>
        <v/>
      </c>
      <c r="W463">
        <f>(AVERAGE(G463:I463)-1)/4</f>
        <v/>
      </c>
      <c r="X463">
        <f>(AVERAGE(J463:L463)-1)/4</f>
        <v/>
      </c>
      <c r="Y463">
        <f>(AVERAGE(M463:O463)-1)/4</f>
        <v/>
      </c>
      <c r="Z463">
        <f>(AVERAGE(P463:R463)-1)/4</f>
        <v/>
      </c>
      <c r="AA463">
        <f>(AVERAGE(S463:T463)-1)/4</f>
        <v/>
      </c>
      <c r="AB463">
        <f>AVERAGE(U463:Y463)</f>
        <v/>
      </c>
      <c r="AC463">
        <f>MIN(U463:Y463)</f>
        <v/>
      </c>
      <c r="AD463">
        <f>1-alpha*MAX(0,delta-AC463)</f>
        <v/>
      </c>
      <c r="AE463">
        <f>AB463*AD463</f>
        <v/>
      </c>
      <c r="AF463">
        <f>1+COUNTIF(bounds,"&lt;"&amp;ROUND(AB463,12))</f>
        <v/>
      </c>
      <c r="AG463">
        <f>1+COUNTIF(bounds,"&lt;"&amp;ROUND(AE463,12))</f>
        <v/>
      </c>
      <c r="AH463">
        <f>IF(AD463&lt;1,1,0)</f>
        <v/>
      </c>
      <c r="AI463">
        <f>IF(AF463&lt;&gt;AG463,1,0)</f>
        <v/>
      </c>
      <c r="AJ463">
        <f>IF(AND(AG463&gt;=3,Z463&lt;=0.2),1,0)</f>
        <v/>
      </c>
      <c r="AK463">
        <f>AVERAGE(U463:Z463)</f>
        <v/>
      </c>
      <c r="AL463">
        <f>1+COUNTIF(bounds,"&lt;"&amp;ROUND(AK463,12))</f>
        <v/>
      </c>
      <c r="AM463">
        <f>IF(AI463=1,AB463,NA())</f>
        <v/>
      </c>
      <c r="AN463">
        <f>IF(AI463=0,AB463,NA())</f>
        <v/>
      </c>
    </row>
    <row r="464">
      <c r="A464" t="n">
        <v>456</v>
      </c>
      <c r="B464" t="n">
        <v>5</v>
      </c>
      <c r="C464" t="n">
        <v>1</v>
      </c>
      <c r="D464" t="n">
        <v>1</v>
      </c>
      <c r="E464" t="n">
        <v>2</v>
      </c>
      <c r="F464" t="n">
        <v>3</v>
      </c>
      <c r="G464" t="n">
        <v>1</v>
      </c>
      <c r="H464" t="n">
        <v>4</v>
      </c>
      <c r="I464" t="n">
        <v>5</v>
      </c>
      <c r="J464" t="n">
        <v>5</v>
      </c>
      <c r="K464" t="n">
        <v>5</v>
      </c>
      <c r="L464" t="n">
        <v>4</v>
      </c>
      <c r="M464" t="n">
        <v>1</v>
      </c>
      <c r="N464" t="n">
        <v>3</v>
      </c>
      <c r="O464" t="n">
        <v>4</v>
      </c>
      <c r="P464" t="n">
        <v>1</v>
      </c>
      <c r="Q464" t="n">
        <v>4</v>
      </c>
      <c r="R464" t="n">
        <v>1</v>
      </c>
      <c r="S464" t="n">
        <v>5</v>
      </c>
      <c r="T464" t="n">
        <v>3</v>
      </c>
      <c r="U464">
        <f>(AVERAGE(B464:D464)-1)/4</f>
        <v/>
      </c>
      <c r="V464">
        <f>(AVERAGE(E464:F464)-1)/4</f>
        <v/>
      </c>
      <c r="W464">
        <f>(AVERAGE(G464:I464)-1)/4</f>
        <v/>
      </c>
      <c r="X464">
        <f>(AVERAGE(J464:L464)-1)/4</f>
        <v/>
      </c>
      <c r="Y464">
        <f>(AVERAGE(M464:O464)-1)/4</f>
        <v/>
      </c>
      <c r="Z464">
        <f>(AVERAGE(P464:R464)-1)/4</f>
        <v/>
      </c>
      <c r="AA464">
        <f>(AVERAGE(S464:T464)-1)/4</f>
        <v/>
      </c>
      <c r="AB464">
        <f>AVERAGE(U464:Y464)</f>
        <v/>
      </c>
      <c r="AC464">
        <f>MIN(U464:Y464)</f>
        <v/>
      </c>
      <c r="AD464">
        <f>1-alpha*MAX(0,delta-AC464)</f>
        <v/>
      </c>
      <c r="AE464">
        <f>AB464*AD464</f>
        <v/>
      </c>
      <c r="AF464">
        <f>1+COUNTIF(bounds,"&lt;"&amp;ROUND(AB464,12))</f>
        <v/>
      </c>
      <c r="AG464">
        <f>1+COUNTIF(bounds,"&lt;"&amp;ROUND(AE464,12))</f>
        <v/>
      </c>
      <c r="AH464">
        <f>IF(AD464&lt;1,1,0)</f>
        <v/>
      </c>
      <c r="AI464">
        <f>IF(AF464&lt;&gt;AG464,1,0)</f>
        <v/>
      </c>
      <c r="AJ464">
        <f>IF(AND(AG464&gt;=3,Z464&lt;=0.2),1,0)</f>
        <v/>
      </c>
      <c r="AK464">
        <f>AVERAGE(U464:Z464)</f>
        <v/>
      </c>
      <c r="AL464">
        <f>1+COUNTIF(bounds,"&lt;"&amp;ROUND(AK464,12))</f>
        <v/>
      </c>
      <c r="AM464">
        <f>IF(AI464=1,AB464,NA())</f>
        <v/>
      </c>
      <c r="AN464">
        <f>IF(AI464=0,AB464,NA())</f>
        <v/>
      </c>
    </row>
    <row r="465">
      <c r="A465" t="n">
        <v>457</v>
      </c>
      <c r="B465" t="n">
        <v>5</v>
      </c>
      <c r="C465" t="n">
        <v>2</v>
      </c>
      <c r="D465" t="n">
        <v>5</v>
      </c>
      <c r="E465" t="n">
        <v>1</v>
      </c>
      <c r="F465" t="n">
        <v>5</v>
      </c>
      <c r="G465" t="n">
        <v>3</v>
      </c>
      <c r="H465" t="n">
        <v>4</v>
      </c>
      <c r="I465" t="n">
        <v>1</v>
      </c>
      <c r="J465" t="n">
        <v>1</v>
      </c>
      <c r="K465" t="n">
        <v>4</v>
      </c>
      <c r="L465" t="n">
        <v>2</v>
      </c>
      <c r="M465" t="n">
        <v>3</v>
      </c>
      <c r="N465" t="n">
        <v>2</v>
      </c>
      <c r="O465" t="n">
        <v>5</v>
      </c>
      <c r="P465" t="n">
        <v>5</v>
      </c>
      <c r="Q465" t="n">
        <v>4</v>
      </c>
      <c r="R465" t="n">
        <v>1</v>
      </c>
      <c r="S465" t="n">
        <v>3</v>
      </c>
      <c r="T465" t="n">
        <v>5</v>
      </c>
      <c r="U465">
        <f>(AVERAGE(B465:D465)-1)/4</f>
        <v/>
      </c>
      <c r="V465">
        <f>(AVERAGE(E465:F465)-1)/4</f>
        <v/>
      </c>
      <c r="W465">
        <f>(AVERAGE(G465:I465)-1)/4</f>
        <v/>
      </c>
      <c r="X465">
        <f>(AVERAGE(J465:L465)-1)/4</f>
        <v/>
      </c>
      <c r="Y465">
        <f>(AVERAGE(M465:O465)-1)/4</f>
        <v/>
      </c>
      <c r="Z465">
        <f>(AVERAGE(P465:R465)-1)/4</f>
        <v/>
      </c>
      <c r="AA465">
        <f>(AVERAGE(S465:T465)-1)/4</f>
        <v/>
      </c>
      <c r="AB465">
        <f>AVERAGE(U465:Y465)</f>
        <v/>
      </c>
      <c r="AC465">
        <f>MIN(U465:Y465)</f>
        <v/>
      </c>
      <c r="AD465">
        <f>1-alpha*MAX(0,delta-AC465)</f>
        <v/>
      </c>
      <c r="AE465">
        <f>AB465*AD465</f>
        <v/>
      </c>
      <c r="AF465">
        <f>1+COUNTIF(bounds,"&lt;"&amp;ROUND(AB465,12))</f>
        <v/>
      </c>
      <c r="AG465">
        <f>1+COUNTIF(bounds,"&lt;"&amp;ROUND(AE465,12))</f>
        <v/>
      </c>
      <c r="AH465">
        <f>IF(AD465&lt;1,1,0)</f>
        <v/>
      </c>
      <c r="AI465">
        <f>IF(AF465&lt;&gt;AG465,1,0)</f>
        <v/>
      </c>
      <c r="AJ465">
        <f>IF(AND(AG465&gt;=3,Z465&lt;=0.2),1,0)</f>
        <v/>
      </c>
      <c r="AK465">
        <f>AVERAGE(U465:Z465)</f>
        <v/>
      </c>
      <c r="AL465">
        <f>1+COUNTIF(bounds,"&lt;"&amp;ROUND(AK465,12))</f>
        <v/>
      </c>
      <c r="AM465">
        <f>IF(AI465=1,AB465,NA())</f>
        <v/>
      </c>
      <c r="AN465">
        <f>IF(AI465=0,AB465,NA())</f>
        <v/>
      </c>
    </row>
    <row r="466">
      <c r="A466" t="n">
        <v>458</v>
      </c>
      <c r="B466" t="n">
        <v>4</v>
      </c>
      <c r="C466" t="n">
        <v>2</v>
      </c>
      <c r="D466" t="n">
        <v>4</v>
      </c>
      <c r="E466" t="n">
        <v>5</v>
      </c>
      <c r="F466" t="n">
        <v>4</v>
      </c>
      <c r="G466" t="n">
        <v>5</v>
      </c>
      <c r="H466" t="n">
        <v>1</v>
      </c>
      <c r="I466" t="n">
        <v>4</v>
      </c>
      <c r="J466" t="n">
        <v>3</v>
      </c>
      <c r="K466" t="n">
        <v>2</v>
      </c>
      <c r="L466" t="n">
        <v>4</v>
      </c>
      <c r="M466" t="n">
        <v>2</v>
      </c>
      <c r="N466" t="n">
        <v>2</v>
      </c>
      <c r="O466" t="n">
        <v>5</v>
      </c>
      <c r="P466" t="n">
        <v>3</v>
      </c>
      <c r="Q466" t="n">
        <v>5</v>
      </c>
      <c r="R466" t="n">
        <v>3</v>
      </c>
      <c r="S466" t="n">
        <v>5</v>
      </c>
      <c r="T466" t="n">
        <v>4</v>
      </c>
      <c r="U466">
        <f>(AVERAGE(B466:D466)-1)/4</f>
        <v/>
      </c>
      <c r="V466">
        <f>(AVERAGE(E466:F466)-1)/4</f>
        <v/>
      </c>
      <c r="W466">
        <f>(AVERAGE(G466:I466)-1)/4</f>
        <v/>
      </c>
      <c r="X466">
        <f>(AVERAGE(J466:L466)-1)/4</f>
        <v/>
      </c>
      <c r="Y466">
        <f>(AVERAGE(M466:O466)-1)/4</f>
        <v/>
      </c>
      <c r="Z466">
        <f>(AVERAGE(P466:R466)-1)/4</f>
        <v/>
      </c>
      <c r="AA466">
        <f>(AVERAGE(S466:T466)-1)/4</f>
        <v/>
      </c>
      <c r="AB466">
        <f>AVERAGE(U466:Y466)</f>
        <v/>
      </c>
      <c r="AC466">
        <f>MIN(U466:Y466)</f>
        <v/>
      </c>
      <c r="AD466">
        <f>1-alpha*MAX(0,delta-AC466)</f>
        <v/>
      </c>
      <c r="AE466">
        <f>AB466*AD466</f>
        <v/>
      </c>
      <c r="AF466">
        <f>1+COUNTIF(bounds,"&lt;"&amp;ROUND(AB466,12))</f>
        <v/>
      </c>
      <c r="AG466">
        <f>1+COUNTIF(bounds,"&lt;"&amp;ROUND(AE466,12))</f>
        <v/>
      </c>
      <c r="AH466">
        <f>IF(AD466&lt;1,1,0)</f>
        <v/>
      </c>
      <c r="AI466">
        <f>IF(AF466&lt;&gt;AG466,1,0)</f>
        <v/>
      </c>
      <c r="AJ466">
        <f>IF(AND(AG466&gt;=3,Z466&lt;=0.2),1,0)</f>
        <v/>
      </c>
      <c r="AK466">
        <f>AVERAGE(U466:Z466)</f>
        <v/>
      </c>
      <c r="AL466">
        <f>1+COUNTIF(bounds,"&lt;"&amp;ROUND(AK466,12))</f>
        <v/>
      </c>
      <c r="AM466">
        <f>IF(AI466=1,AB466,NA())</f>
        <v/>
      </c>
      <c r="AN466">
        <f>IF(AI466=0,AB466,NA())</f>
        <v/>
      </c>
    </row>
    <row r="467">
      <c r="A467" t="n">
        <v>459</v>
      </c>
      <c r="B467" t="n">
        <v>2</v>
      </c>
      <c r="C467" t="n">
        <v>5</v>
      </c>
      <c r="D467" t="n">
        <v>4</v>
      </c>
      <c r="E467" t="n">
        <v>4</v>
      </c>
      <c r="F467" t="n">
        <v>4</v>
      </c>
      <c r="G467" t="n">
        <v>1</v>
      </c>
      <c r="H467" t="n">
        <v>3</v>
      </c>
      <c r="I467" t="n">
        <v>4</v>
      </c>
      <c r="J467" t="n">
        <v>5</v>
      </c>
      <c r="K467" t="n">
        <v>4</v>
      </c>
      <c r="L467" t="n">
        <v>5</v>
      </c>
      <c r="M467" t="n">
        <v>5</v>
      </c>
      <c r="N467" t="n">
        <v>2</v>
      </c>
      <c r="O467" t="n">
        <v>3</v>
      </c>
      <c r="P467" t="n">
        <v>1</v>
      </c>
      <c r="Q467" t="n">
        <v>2</v>
      </c>
      <c r="R467" t="n">
        <v>2</v>
      </c>
      <c r="S467" t="n">
        <v>1</v>
      </c>
      <c r="T467" t="n">
        <v>3</v>
      </c>
      <c r="U467">
        <f>(AVERAGE(B467:D467)-1)/4</f>
        <v/>
      </c>
      <c r="V467">
        <f>(AVERAGE(E467:F467)-1)/4</f>
        <v/>
      </c>
      <c r="W467">
        <f>(AVERAGE(G467:I467)-1)/4</f>
        <v/>
      </c>
      <c r="X467">
        <f>(AVERAGE(J467:L467)-1)/4</f>
        <v/>
      </c>
      <c r="Y467">
        <f>(AVERAGE(M467:O467)-1)/4</f>
        <v/>
      </c>
      <c r="Z467">
        <f>(AVERAGE(P467:R467)-1)/4</f>
        <v/>
      </c>
      <c r="AA467">
        <f>(AVERAGE(S467:T467)-1)/4</f>
        <v/>
      </c>
      <c r="AB467">
        <f>AVERAGE(U467:Y467)</f>
        <v/>
      </c>
      <c r="AC467">
        <f>MIN(U467:Y467)</f>
        <v/>
      </c>
      <c r="AD467">
        <f>1-alpha*MAX(0,delta-AC467)</f>
        <v/>
      </c>
      <c r="AE467">
        <f>AB467*AD467</f>
        <v/>
      </c>
      <c r="AF467">
        <f>1+COUNTIF(bounds,"&lt;"&amp;ROUND(AB467,12))</f>
        <v/>
      </c>
      <c r="AG467">
        <f>1+COUNTIF(bounds,"&lt;"&amp;ROUND(AE467,12))</f>
        <v/>
      </c>
      <c r="AH467">
        <f>IF(AD467&lt;1,1,0)</f>
        <v/>
      </c>
      <c r="AI467">
        <f>IF(AF467&lt;&gt;AG467,1,0)</f>
        <v/>
      </c>
      <c r="AJ467">
        <f>IF(AND(AG467&gt;=3,Z467&lt;=0.2),1,0)</f>
        <v/>
      </c>
      <c r="AK467">
        <f>AVERAGE(U467:Z467)</f>
        <v/>
      </c>
      <c r="AL467">
        <f>1+COUNTIF(bounds,"&lt;"&amp;ROUND(AK467,12))</f>
        <v/>
      </c>
      <c r="AM467">
        <f>IF(AI467=1,AB467,NA())</f>
        <v/>
      </c>
      <c r="AN467">
        <f>IF(AI467=0,AB467,NA())</f>
        <v/>
      </c>
    </row>
    <row r="468">
      <c r="A468" t="n">
        <v>460</v>
      </c>
      <c r="B468" t="n">
        <v>4</v>
      </c>
      <c r="C468" t="n">
        <v>2</v>
      </c>
      <c r="D468" t="n">
        <v>1</v>
      </c>
      <c r="E468" t="n">
        <v>3</v>
      </c>
      <c r="F468" t="n">
        <v>2</v>
      </c>
      <c r="G468" t="n">
        <v>2</v>
      </c>
      <c r="H468" t="n">
        <v>3</v>
      </c>
      <c r="I468" t="n">
        <v>2</v>
      </c>
      <c r="J468" t="n">
        <v>2</v>
      </c>
      <c r="K468" t="n">
        <v>4</v>
      </c>
      <c r="L468" t="n">
        <v>4</v>
      </c>
      <c r="M468" t="n">
        <v>4</v>
      </c>
      <c r="N468" t="n">
        <v>2</v>
      </c>
      <c r="O468" t="n">
        <v>4</v>
      </c>
      <c r="P468" t="n">
        <v>3</v>
      </c>
      <c r="Q468" t="n">
        <v>4</v>
      </c>
      <c r="R468" t="n">
        <v>5</v>
      </c>
      <c r="S468" t="n">
        <v>5</v>
      </c>
      <c r="T468" t="n">
        <v>4</v>
      </c>
      <c r="U468">
        <f>(AVERAGE(B468:D468)-1)/4</f>
        <v/>
      </c>
      <c r="V468">
        <f>(AVERAGE(E468:F468)-1)/4</f>
        <v/>
      </c>
      <c r="W468">
        <f>(AVERAGE(G468:I468)-1)/4</f>
        <v/>
      </c>
      <c r="X468">
        <f>(AVERAGE(J468:L468)-1)/4</f>
        <v/>
      </c>
      <c r="Y468">
        <f>(AVERAGE(M468:O468)-1)/4</f>
        <v/>
      </c>
      <c r="Z468">
        <f>(AVERAGE(P468:R468)-1)/4</f>
        <v/>
      </c>
      <c r="AA468">
        <f>(AVERAGE(S468:T468)-1)/4</f>
        <v/>
      </c>
      <c r="AB468">
        <f>AVERAGE(U468:Y468)</f>
        <v/>
      </c>
      <c r="AC468">
        <f>MIN(U468:Y468)</f>
        <v/>
      </c>
      <c r="AD468">
        <f>1-alpha*MAX(0,delta-AC468)</f>
        <v/>
      </c>
      <c r="AE468">
        <f>AB468*AD468</f>
        <v/>
      </c>
      <c r="AF468">
        <f>1+COUNTIF(bounds,"&lt;"&amp;ROUND(AB468,12))</f>
        <v/>
      </c>
      <c r="AG468">
        <f>1+COUNTIF(bounds,"&lt;"&amp;ROUND(AE468,12))</f>
        <v/>
      </c>
      <c r="AH468">
        <f>IF(AD468&lt;1,1,0)</f>
        <v/>
      </c>
      <c r="AI468">
        <f>IF(AF468&lt;&gt;AG468,1,0)</f>
        <v/>
      </c>
      <c r="AJ468">
        <f>IF(AND(AG468&gt;=3,Z468&lt;=0.2),1,0)</f>
        <v/>
      </c>
      <c r="AK468">
        <f>AVERAGE(U468:Z468)</f>
        <v/>
      </c>
      <c r="AL468">
        <f>1+COUNTIF(bounds,"&lt;"&amp;ROUND(AK468,12))</f>
        <v/>
      </c>
      <c r="AM468">
        <f>IF(AI468=1,AB468,NA())</f>
        <v/>
      </c>
      <c r="AN468">
        <f>IF(AI468=0,AB468,NA())</f>
        <v/>
      </c>
    </row>
    <row r="469">
      <c r="A469" t="n">
        <v>461</v>
      </c>
      <c r="B469" t="n">
        <v>3</v>
      </c>
      <c r="C469" t="n">
        <v>4</v>
      </c>
      <c r="D469" t="n">
        <v>5</v>
      </c>
      <c r="E469" t="n">
        <v>3</v>
      </c>
      <c r="F469" t="n">
        <v>5</v>
      </c>
      <c r="G469" t="n">
        <v>4</v>
      </c>
      <c r="H469" t="n">
        <v>1</v>
      </c>
      <c r="I469" t="n">
        <v>2</v>
      </c>
      <c r="J469" t="n">
        <v>2</v>
      </c>
      <c r="K469" t="n">
        <v>2</v>
      </c>
      <c r="L469" t="n">
        <v>4</v>
      </c>
      <c r="M469" t="n">
        <v>1</v>
      </c>
      <c r="N469" t="n">
        <v>3</v>
      </c>
      <c r="O469" t="n">
        <v>4</v>
      </c>
      <c r="P469" t="n">
        <v>5</v>
      </c>
      <c r="Q469" t="n">
        <v>5</v>
      </c>
      <c r="R469" t="n">
        <v>1</v>
      </c>
      <c r="S469" t="n">
        <v>1</v>
      </c>
      <c r="T469" t="n">
        <v>5</v>
      </c>
      <c r="U469">
        <f>(AVERAGE(B469:D469)-1)/4</f>
        <v/>
      </c>
      <c r="V469">
        <f>(AVERAGE(E469:F469)-1)/4</f>
        <v/>
      </c>
      <c r="W469">
        <f>(AVERAGE(G469:I469)-1)/4</f>
        <v/>
      </c>
      <c r="X469">
        <f>(AVERAGE(J469:L469)-1)/4</f>
        <v/>
      </c>
      <c r="Y469">
        <f>(AVERAGE(M469:O469)-1)/4</f>
        <v/>
      </c>
      <c r="Z469">
        <f>(AVERAGE(P469:R469)-1)/4</f>
        <v/>
      </c>
      <c r="AA469">
        <f>(AVERAGE(S469:T469)-1)/4</f>
        <v/>
      </c>
      <c r="AB469">
        <f>AVERAGE(U469:Y469)</f>
        <v/>
      </c>
      <c r="AC469">
        <f>MIN(U469:Y469)</f>
        <v/>
      </c>
      <c r="AD469">
        <f>1-alpha*MAX(0,delta-AC469)</f>
        <v/>
      </c>
      <c r="AE469">
        <f>AB469*AD469</f>
        <v/>
      </c>
      <c r="AF469">
        <f>1+COUNTIF(bounds,"&lt;"&amp;ROUND(AB469,12))</f>
        <v/>
      </c>
      <c r="AG469">
        <f>1+COUNTIF(bounds,"&lt;"&amp;ROUND(AE469,12))</f>
        <v/>
      </c>
      <c r="AH469">
        <f>IF(AD469&lt;1,1,0)</f>
        <v/>
      </c>
      <c r="AI469">
        <f>IF(AF469&lt;&gt;AG469,1,0)</f>
        <v/>
      </c>
      <c r="AJ469">
        <f>IF(AND(AG469&gt;=3,Z469&lt;=0.2),1,0)</f>
        <v/>
      </c>
      <c r="AK469">
        <f>AVERAGE(U469:Z469)</f>
        <v/>
      </c>
      <c r="AL469">
        <f>1+COUNTIF(bounds,"&lt;"&amp;ROUND(AK469,12))</f>
        <v/>
      </c>
      <c r="AM469">
        <f>IF(AI469=1,AB469,NA())</f>
        <v/>
      </c>
      <c r="AN469">
        <f>IF(AI469=0,AB469,NA())</f>
        <v/>
      </c>
    </row>
    <row r="470">
      <c r="A470" t="n">
        <v>462</v>
      </c>
      <c r="B470" t="n">
        <v>2</v>
      </c>
      <c r="C470" t="n">
        <v>3</v>
      </c>
      <c r="D470" t="n">
        <v>5</v>
      </c>
      <c r="E470" t="n">
        <v>1</v>
      </c>
      <c r="F470" t="n">
        <v>1</v>
      </c>
      <c r="G470" t="n">
        <v>3</v>
      </c>
      <c r="H470" t="n">
        <v>3</v>
      </c>
      <c r="I470" t="n">
        <v>1</v>
      </c>
      <c r="J470" t="n">
        <v>4</v>
      </c>
      <c r="K470" t="n">
        <v>4</v>
      </c>
      <c r="L470" t="n">
        <v>5</v>
      </c>
      <c r="M470" t="n">
        <v>1</v>
      </c>
      <c r="N470" t="n">
        <v>4</v>
      </c>
      <c r="O470" t="n">
        <v>4</v>
      </c>
      <c r="P470" t="n">
        <v>2</v>
      </c>
      <c r="Q470" t="n">
        <v>2</v>
      </c>
      <c r="R470" t="n">
        <v>5</v>
      </c>
      <c r="S470" t="n">
        <v>4</v>
      </c>
      <c r="T470" t="n">
        <v>3</v>
      </c>
      <c r="U470">
        <f>(AVERAGE(B470:D470)-1)/4</f>
        <v/>
      </c>
      <c r="V470">
        <f>(AVERAGE(E470:F470)-1)/4</f>
        <v/>
      </c>
      <c r="W470">
        <f>(AVERAGE(G470:I470)-1)/4</f>
        <v/>
      </c>
      <c r="X470">
        <f>(AVERAGE(J470:L470)-1)/4</f>
        <v/>
      </c>
      <c r="Y470">
        <f>(AVERAGE(M470:O470)-1)/4</f>
        <v/>
      </c>
      <c r="Z470">
        <f>(AVERAGE(P470:R470)-1)/4</f>
        <v/>
      </c>
      <c r="AA470">
        <f>(AVERAGE(S470:T470)-1)/4</f>
        <v/>
      </c>
      <c r="AB470">
        <f>AVERAGE(U470:Y470)</f>
        <v/>
      </c>
      <c r="AC470">
        <f>MIN(U470:Y470)</f>
        <v/>
      </c>
      <c r="AD470">
        <f>1-alpha*MAX(0,delta-AC470)</f>
        <v/>
      </c>
      <c r="AE470">
        <f>AB470*AD470</f>
        <v/>
      </c>
      <c r="AF470">
        <f>1+COUNTIF(bounds,"&lt;"&amp;ROUND(AB470,12))</f>
        <v/>
      </c>
      <c r="AG470">
        <f>1+COUNTIF(bounds,"&lt;"&amp;ROUND(AE470,12))</f>
        <v/>
      </c>
      <c r="AH470">
        <f>IF(AD470&lt;1,1,0)</f>
        <v/>
      </c>
      <c r="AI470">
        <f>IF(AF470&lt;&gt;AG470,1,0)</f>
        <v/>
      </c>
      <c r="AJ470">
        <f>IF(AND(AG470&gt;=3,Z470&lt;=0.2),1,0)</f>
        <v/>
      </c>
      <c r="AK470">
        <f>AVERAGE(U470:Z470)</f>
        <v/>
      </c>
      <c r="AL470">
        <f>1+COUNTIF(bounds,"&lt;"&amp;ROUND(AK470,12))</f>
        <v/>
      </c>
      <c r="AM470">
        <f>IF(AI470=1,AB470,NA())</f>
        <v/>
      </c>
      <c r="AN470">
        <f>IF(AI470=0,AB470,NA())</f>
        <v/>
      </c>
    </row>
    <row r="471">
      <c r="A471" t="n">
        <v>463</v>
      </c>
      <c r="B471" t="n">
        <v>2</v>
      </c>
      <c r="C471" t="n">
        <v>4</v>
      </c>
      <c r="D471" t="n">
        <v>5</v>
      </c>
      <c r="E471" t="n">
        <v>1</v>
      </c>
      <c r="F471" t="n">
        <v>3</v>
      </c>
      <c r="G471" t="n">
        <v>4</v>
      </c>
      <c r="H471" t="n">
        <v>1</v>
      </c>
      <c r="I471" t="n">
        <v>2</v>
      </c>
      <c r="J471" t="n">
        <v>2</v>
      </c>
      <c r="K471" t="n">
        <v>4</v>
      </c>
      <c r="L471" t="n">
        <v>4</v>
      </c>
      <c r="M471" t="n">
        <v>1</v>
      </c>
      <c r="N471" t="n">
        <v>1</v>
      </c>
      <c r="O471" t="n">
        <v>1</v>
      </c>
      <c r="P471" t="n">
        <v>5</v>
      </c>
      <c r="Q471" t="n">
        <v>2</v>
      </c>
      <c r="R471" t="n">
        <v>3</v>
      </c>
      <c r="S471" t="n">
        <v>4</v>
      </c>
      <c r="T471" t="n">
        <v>3</v>
      </c>
      <c r="U471">
        <f>(AVERAGE(B471:D471)-1)/4</f>
        <v/>
      </c>
      <c r="V471">
        <f>(AVERAGE(E471:F471)-1)/4</f>
        <v/>
      </c>
      <c r="W471">
        <f>(AVERAGE(G471:I471)-1)/4</f>
        <v/>
      </c>
      <c r="X471">
        <f>(AVERAGE(J471:L471)-1)/4</f>
        <v/>
      </c>
      <c r="Y471">
        <f>(AVERAGE(M471:O471)-1)/4</f>
        <v/>
      </c>
      <c r="Z471">
        <f>(AVERAGE(P471:R471)-1)/4</f>
        <v/>
      </c>
      <c r="AA471">
        <f>(AVERAGE(S471:T471)-1)/4</f>
        <v/>
      </c>
      <c r="AB471">
        <f>AVERAGE(U471:Y471)</f>
        <v/>
      </c>
      <c r="AC471">
        <f>MIN(U471:Y471)</f>
        <v/>
      </c>
      <c r="AD471">
        <f>1-alpha*MAX(0,delta-AC471)</f>
        <v/>
      </c>
      <c r="AE471">
        <f>AB471*AD471</f>
        <v/>
      </c>
      <c r="AF471">
        <f>1+COUNTIF(bounds,"&lt;"&amp;ROUND(AB471,12))</f>
        <v/>
      </c>
      <c r="AG471">
        <f>1+COUNTIF(bounds,"&lt;"&amp;ROUND(AE471,12))</f>
        <v/>
      </c>
      <c r="AH471">
        <f>IF(AD471&lt;1,1,0)</f>
        <v/>
      </c>
      <c r="AI471">
        <f>IF(AF471&lt;&gt;AG471,1,0)</f>
        <v/>
      </c>
      <c r="AJ471">
        <f>IF(AND(AG471&gt;=3,Z471&lt;=0.2),1,0)</f>
        <v/>
      </c>
      <c r="AK471">
        <f>AVERAGE(U471:Z471)</f>
        <v/>
      </c>
      <c r="AL471">
        <f>1+COUNTIF(bounds,"&lt;"&amp;ROUND(AK471,12))</f>
        <v/>
      </c>
      <c r="AM471">
        <f>IF(AI471=1,AB471,NA())</f>
        <v/>
      </c>
      <c r="AN471">
        <f>IF(AI471=0,AB471,NA())</f>
        <v/>
      </c>
    </row>
    <row r="472">
      <c r="A472" t="n">
        <v>464</v>
      </c>
      <c r="B472" t="n">
        <v>4</v>
      </c>
      <c r="C472" t="n">
        <v>1</v>
      </c>
      <c r="D472" t="n">
        <v>4</v>
      </c>
      <c r="E472" t="n">
        <v>3</v>
      </c>
      <c r="F472" t="n">
        <v>5</v>
      </c>
      <c r="G472" t="n">
        <v>5</v>
      </c>
      <c r="H472" t="n">
        <v>2</v>
      </c>
      <c r="I472" t="n">
        <v>5</v>
      </c>
      <c r="J472" t="n">
        <v>1</v>
      </c>
      <c r="K472" t="n">
        <v>5</v>
      </c>
      <c r="L472" t="n">
        <v>3</v>
      </c>
      <c r="M472" t="n">
        <v>4</v>
      </c>
      <c r="N472" t="n">
        <v>3</v>
      </c>
      <c r="O472" t="n">
        <v>2</v>
      </c>
      <c r="P472" t="n">
        <v>1</v>
      </c>
      <c r="Q472" t="n">
        <v>2</v>
      </c>
      <c r="R472" t="n">
        <v>4</v>
      </c>
      <c r="S472" t="n">
        <v>2</v>
      </c>
      <c r="T472" t="n">
        <v>1</v>
      </c>
      <c r="U472">
        <f>(AVERAGE(B472:D472)-1)/4</f>
        <v/>
      </c>
      <c r="V472">
        <f>(AVERAGE(E472:F472)-1)/4</f>
        <v/>
      </c>
      <c r="W472">
        <f>(AVERAGE(G472:I472)-1)/4</f>
        <v/>
      </c>
      <c r="X472">
        <f>(AVERAGE(J472:L472)-1)/4</f>
        <v/>
      </c>
      <c r="Y472">
        <f>(AVERAGE(M472:O472)-1)/4</f>
        <v/>
      </c>
      <c r="Z472">
        <f>(AVERAGE(P472:R472)-1)/4</f>
        <v/>
      </c>
      <c r="AA472">
        <f>(AVERAGE(S472:T472)-1)/4</f>
        <v/>
      </c>
      <c r="AB472">
        <f>AVERAGE(U472:Y472)</f>
        <v/>
      </c>
      <c r="AC472">
        <f>MIN(U472:Y472)</f>
        <v/>
      </c>
      <c r="AD472">
        <f>1-alpha*MAX(0,delta-AC472)</f>
        <v/>
      </c>
      <c r="AE472">
        <f>AB472*AD472</f>
        <v/>
      </c>
      <c r="AF472">
        <f>1+COUNTIF(bounds,"&lt;"&amp;ROUND(AB472,12))</f>
        <v/>
      </c>
      <c r="AG472">
        <f>1+COUNTIF(bounds,"&lt;"&amp;ROUND(AE472,12))</f>
        <v/>
      </c>
      <c r="AH472">
        <f>IF(AD472&lt;1,1,0)</f>
        <v/>
      </c>
      <c r="AI472">
        <f>IF(AF472&lt;&gt;AG472,1,0)</f>
        <v/>
      </c>
      <c r="AJ472">
        <f>IF(AND(AG472&gt;=3,Z472&lt;=0.2),1,0)</f>
        <v/>
      </c>
      <c r="AK472">
        <f>AVERAGE(U472:Z472)</f>
        <v/>
      </c>
      <c r="AL472">
        <f>1+COUNTIF(bounds,"&lt;"&amp;ROUND(AK472,12))</f>
        <v/>
      </c>
      <c r="AM472">
        <f>IF(AI472=1,AB472,NA())</f>
        <v/>
      </c>
      <c r="AN472">
        <f>IF(AI472=0,AB472,NA())</f>
        <v/>
      </c>
    </row>
    <row r="473">
      <c r="A473" t="n">
        <v>465</v>
      </c>
      <c r="B473" t="n">
        <v>1</v>
      </c>
      <c r="C473" t="n">
        <v>2</v>
      </c>
      <c r="D473" t="n">
        <v>5</v>
      </c>
      <c r="E473" t="n">
        <v>2</v>
      </c>
      <c r="F473" t="n">
        <v>5</v>
      </c>
      <c r="G473" t="n">
        <v>3</v>
      </c>
      <c r="H473" t="n">
        <v>5</v>
      </c>
      <c r="I473" t="n">
        <v>4</v>
      </c>
      <c r="J473" t="n">
        <v>3</v>
      </c>
      <c r="K473" t="n">
        <v>4</v>
      </c>
      <c r="L473" t="n">
        <v>3</v>
      </c>
      <c r="M473" t="n">
        <v>2</v>
      </c>
      <c r="N473" t="n">
        <v>1</v>
      </c>
      <c r="O473" t="n">
        <v>2</v>
      </c>
      <c r="P473" t="n">
        <v>2</v>
      </c>
      <c r="Q473" t="n">
        <v>5</v>
      </c>
      <c r="R473" t="n">
        <v>2</v>
      </c>
      <c r="S473" t="n">
        <v>4</v>
      </c>
      <c r="T473" t="n">
        <v>2</v>
      </c>
      <c r="U473">
        <f>(AVERAGE(B473:D473)-1)/4</f>
        <v/>
      </c>
      <c r="V473">
        <f>(AVERAGE(E473:F473)-1)/4</f>
        <v/>
      </c>
      <c r="W473">
        <f>(AVERAGE(G473:I473)-1)/4</f>
        <v/>
      </c>
      <c r="X473">
        <f>(AVERAGE(J473:L473)-1)/4</f>
        <v/>
      </c>
      <c r="Y473">
        <f>(AVERAGE(M473:O473)-1)/4</f>
        <v/>
      </c>
      <c r="Z473">
        <f>(AVERAGE(P473:R473)-1)/4</f>
        <v/>
      </c>
      <c r="AA473">
        <f>(AVERAGE(S473:T473)-1)/4</f>
        <v/>
      </c>
      <c r="AB473">
        <f>AVERAGE(U473:Y473)</f>
        <v/>
      </c>
      <c r="AC473">
        <f>MIN(U473:Y473)</f>
        <v/>
      </c>
      <c r="AD473">
        <f>1-alpha*MAX(0,delta-AC473)</f>
        <v/>
      </c>
      <c r="AE473">
        <f>AB473*AD473</f>
        <v/>
      </c>
      <c r="AF473">
        <f>1+COUNTIF(bounds,"&lt;"&amp;ROUND(AB473,12))</f>
        <v/>
      </c>
      <c r="AG473">
        <f>1+COUNTIF(bounds,"&lt;"&amp;ROUND(AE473,12))</f>
        <v/>
      </c>
      <c r="AH473">
        <f>IF(AD473&lt;1,1,0)</f>
        <v/>
      </c>
      <c r="AI473">
        <f>IF(AF473&lt;&gt;AG473,1,0)</f>
        <v/>
      </c>
      <c r="AJ473">
        <f>IF(AND(AG473&gt;=3,Z473&lt;=0.2),1,0)</f>
        <v/>
      </c>
      <c r="AK473">
        <f>AVERAGE(U473:Z473)</f>
        <v/>
      </c>
      <c r="AL473">
        <f>1+COUNTIF(bounds,"&lt;"&amp;ROUND(AK473,12))</f>
        <v/>
      </c>
      <c r="AM473">
        <f>IF(AI473=1,AB473,NA())</f>
        <v/>
      </c>
      <c r="AN473">
        <f>IF(AI473=0,AB473,NA())</f>
        <v/>
      </c>
    </row>
    <row r="474">
      <c r="A474" t="n">
        <v>466</v>
      </c>
      <c r="B474" t="n">
        <v>4</v>
      </c>
      <c r="C474" t="n">
        <v>2</v>
      </c>
      <c r="D474" t="n">
        <v>4</v>
      </c>
      <c r="E474" t="n">
        <v>4</v>
      </c>
      <c r="F474" t="n">
        <v>4</v>
      </c>
      <c r="G474" t="n">
        <v>5</v>
      </c>
      <c r="H474" t="n">
        <v>1</v>
      </c>
      <c r="I474" t="n">
        <v>5</v>
      </c>
      <c r="J474" t="n">
        <v>5</v>
      </c>
      <c r="K474" t="n">
        <v>2</v>
      </c>
      <c r="L474" t="n">
        <v>5</v>
      </c>
      <c r="M474" t="n">
        <v>1</v>
      </c>
      <c r="N474" t="n">
        <v>3</v>
      </c>
      <c r="O474" t="n">
        <v>3</v>
      </c>
      <c r="P474" t="n">
        <v>3</v>
      </c>
      <c r="Q474" t="n">
        <v>5</v>
      </c>
      <c r="R474" t="n">
        <v>5</v>
      </c>
      <c r="S474" t="n">
        <v>2</v>
      </c>
      <c r="T474" t="n">
        <v>5</v>
      </c>
      <c r="U474">
        <f>(AVERAGE(B474:D474)-1)/4</f>
        <v/>
      </c>
      <c r="V474">
        <f>(AVERAGE(E474:F474)-1)/4</f>
        <v/>
      </c>
      <c r="W474">
        <f>(AVERAGE(G474:I474)-1)/4</f>
        <v/>
      </c>
      <c r="X474">
        <f>(AVERAGE(J474:L474)-1)/4</f>
        <v/>
      </c>
      <c r="Y474">
        <f>(AVERAGE(M474:O474)-1)/4</f>
        <v/>
      </c>
      <c r="Z474">
        <f>(AVERAGE(P474:R474)-1)/4</f>
        <v/>
      </c>
      <c r="AA474">
        <f>(AVERAGE(S474:T474)-1)/4</f>
        <v/>
      </c>
      <c r="AB474">
        <f>AVERAGE(U474:Y474)</f>
        <v/>
      </c>
      <c r="AC474">
        <f>MIN(U474:Y474)</f>
        <v/>
      </c>
      <c r="AD474">
        <f>1-alpha*MAX(0,delta-AC474)</f>
        <v/>
      </c>
      <c r="AE474">
        <f>AB474*AD474</f>
        <v/>
      </c>
      <c r="AF474">
        <f>1+COUNTIF(bounds,"&lt;"&amp;ROUND(AB474,12))</f>
        <v/>
      </c>
      <c r="AG474">
        <f>1+COUNTIF(bounds,"&lt;"&amp;ROUND(AE474,12))</f>
        <v/>
      </c>
      <c r="AH474">
        <f>IF(AD474&lt;1,1,0)</f>
        <v/>
      </c>
      <c r="AI474">
        <f>IF(AF474&lt;&gt;AG474,1,0)</f>
        <v/>
      </c>
      <c r="AJ474">
        <f>IF(AND(AG474&gt;=3,Z474&lt;=0.2),1,0)</f>
        <v/>
      </c>
      <c r="AK474">
        <f>AVERAGE(U474:Z474)</f>
        <v/>
      </c>
      <c r="AL474">
        <f>1+COUNTIF(bounds,"&lt;"&amp;ROUND(AK474,12))</f>
        <v/>
      </c>
      <c r="AM474">
        <f>IF(AI474=1,AB474,NA())</f>
        <v/>
      </c>
      <c r="AN474">
        <f>IF(AI474=0,AB474,NA())</f>
        <v/>
      </c>
    </row>
    <row r="475">
      <c r="A475" t="n">
        <v>467</v>
      </c>
      <c r="B475" t="n">
        <v>3</v>
      </c>
      <c r="C475" t="n">
        <v>5</v>
      </c>
      <c r="D475" t="n">
        <v>4</v>
      </c>
      <c r="E475" t="n">
        <v>5</v>
      </c>
      <c r="F475" t="n">
        <v>2</v>
      </c>
      <c r="G475" t="n">
        <v>1</v>
      </c>
      <c r="H475" t="n">
        <v>3</v>
      </c>
      <c r="I475" t="n">
        <v>4</v>
      </c>
      <c r="J475" t="n">
        <v>4</v>
      </c>
      <c r="K475" t="n">
        <v>1</v>
      </c>
      <c r="L475" t="n">
        <v>4</v>
      </c>
      <c r="M475" t="n">
        <v>4</v>
      </c>
      <c r="N475" t="n">
        <v>3</v>
      </c>
      <c r="O475" t="n">
        <v>3</v>
      </c>
      <c r="P475" t="n">
        <v>4</v>
      </c>
      <c r="Q475" t="n">
        <v>1</v>
      </c>
      <c r="R475" t="n">
        <v>5</v>
      </c>
      <c r="S475" t="n">
        <v>5</v>
      </c>
      <c r="T475" t="n">
        <v>1</v>
      </c>
      <c r="U475">
        <f>(AVERAGE(B475:D475)-1)/4</f>
        <v/>
      </c>
      <c r="V475">
        <f>(AVERAGE(E475:F475)-1)/4</f>
        <v/>
      </c>
      <c r="W475">
        <f>(AVERAGE(G475:I475)-1)/4</f>
        <v/>
      </c>
      <c r="X475">
        <f>(AVERAGE(J475:L475)-1)/4</f>
        <v/>
      </c>
      <c r="Y475">
        <f>(AVERAGE(M475:O475)-1)/4</f>
        <v/>
      </c>
      <c r="Z475">
        <f>(AVERAGE(P475:R475)-1)/4</f>
        <v/>
      </c>
      <c r="AA475">
        <f>(AVERAGE(S475:T475)-1)/4</f>
        <v/>
      </c>
      <c r="AB475">
        <f>AVERAGE(U475:Y475)</f>
        <v/>
      </c>
      <c r="AC475">
        <f>MIN(U475:Y475)</f>
        <v/>
      </c>
      <c r="AD475">
        <f>1-alpha*MAX(0,delta-AC475)</f>
        <v/>
      </c>
      <c r="AE475">
        <f>AB475*AD475</f>
        <v/>
      </c>
      <c r="AF475">
        <f>1+COUNTIF(bounds,"&lt;"&amp;ROUND(AB475,12))</f>
        <v/>
      </c>
      <c r="AG475">
        <f>1+COUNTIF(bounds,"&lt;"&amp;ROUND(AE475,12))</f>
        <v/>
      </c>
      <c r="AH475">
        <f>IF(AD475&lt;1,1,0)</f>
        <v/>
      </c>
      <c r="AI475">
        <f>IF(AF475&lt;&gt;AG475,1,0)</f>
        <v/>
      </c>
      <c r="AJ475">
        <f>IF(AND(AG475&gt;=3,Z475&lt;=0.2),1,0)</f>
        <v/>
      </c>
      <c r="AK475">
        <f>AVERAGE(U475:Z475)</f>
        <v/>
      </c>
      <c r="AL475">
        <f>1+COUNTIF(bounds,"&lt;"&amp;ROUND(AK475,12))</f>
        <v/>
      </c>
      <c r="AM475">
        <f>IF(AI475=1,AB475,NA())</f>
        <v/>
      </c>
      <c r="AN475">
        <f>IF(AI475=0,AB475,NA())</f>
        <v/>
      </c>
    </row>
    <row r="476">
      <c r="A476" t="n">
        <v>468</v>
      </c>
      <c r="B476" t="n">
        <v>5</v>
      </c>
      <c r="C476" t="n">
        <v>4</v>
      </c>
      <c r="D476" t="n">
        <v>1</v>
      </c>
      <c r="E476" t="n">
        <v>1</v>
      </c>
      <c r="F476" t="n">
        <v>1</v>
      </c>
      <c r="G476" t="n">
        <v>2</v>
      </c>
      <c r="H476" t="n">
        <v>4</v>
      </c>
      <c r="I476" t="n">
        <v>2</v>
      </c>
      <c r="J476" t="n">
        <v>3</v>
      </c>
      <c r="K476" t="n">
        <v>5</v>
      </c>
      <c r="L476" t="n">
        <v>5</v>
      </c>
      <c r="M476" t="n">
        <v>2</v>
      </c>
      <c r="N476" t="n">
        <v>5</v>
      </c>
      <c r="O476" t="n">
        <v>3</v>
      </c>
      <c r="P476" t="n">
        <v>4</v>
      </c>
      <c r="Q476" t="n">
        <v>1</v>
      </c>
      <c r="R476" t="n">
        <v>4</v>
      </c>
      <c r="S476" t="n">
        <v>4</v>
      </c>
      <c r="T476" t="n">
        <v>1</v>
      </c>
      <c r="U476">
        <f>(AVERAGE(B476:D476)-1)/4</f>
        <v/>
      </c>
      <c r="V476">
        <f>(AVERAGE(E476:F476)-1)/4</f>
        <v/>
      </c>
      <c r="W476">
        <f>(AVERAGE(G476:I476)-1)/4</f>
        <v/>
      </c>
      <c r="X476">
        <f>(AVERAGE(J476:L476)-1)/4</f>
        <v/>
      </c>
      <c r="Y476">
        <f>(AVERAGE(M476:O476)-1)/4</f>
        <v/>
      </c>
      <c r="Z476">
        <f>(AVERAGE(P476:R476)-1)/4</f>
        <v/>
      </c>
      <c r="AA476">
        <f>(AVERAGE(S476:T476)-1)/4</f>
        <v/>
      </c>
      <c r="AB476">
        <f>AVERAGE(U476:Y476)</f>
        <v/>
      </c>
      <c r="AC476">
        <f>MIN(U476:Y476)</f>
        <v/>
      </c>
      <c r="AD476">
        <f>1-alpha*MAX(0,delta-AC476)</f>
        <v/>
      </c>
      <c r="AE476">
        <f>AB476*AD476</f>
        <v/>
      </c>
      <c r="AF476">
        <f>1+COUNTIF(bounds,"&lt;"&amp;ROUND(AB476,12))</f>
        <v/>
      </c>
      <c r="AG476">
        <f>1+COUNTIF(bounds,"&lt;"&amp;ROUND(AE476,12))</f>
        <v/>
      </c>
      <c r="AH476">
        <f>IF(AD476&lt;1,1,0)</f>
        <v/>
      </c>
      <c r="AI476">
        <f>IF(AF476&lt;&gt;AG476,1,0)</f>
        <v/>
      </c>
      <c r="AJ476">
        <f>IF(AND(AG476&gt;=3,Z476&lt;=0.2),1,0)</f>
        <v/>
      </c>
      <c r="AK476">
        <f>AVERAGE(U476:Z476)</f>
        <v/>
      </c>
      <c r="AL476">
        <f>1+COUNTIF(bounds,"&lt;"&amp;ROUND(AK476,12))</f>
        <v/>
      </c>
      <c r="AM476">
        <f>IF(AI476=1,AB476,NA())</f>
        <v/>
      </c>
      <c r="AN476">
        <f>IF(AI476=0,AB476,NA())</f>
        <v/>
      </c>
    </row>
    <row r="477">
      <c r="A477" t="n">
        <v>469</v>
      </c>
      <c r="B477" t="n">
        <v>3</v>
      </c>
      <c r="C477" t="n">
        <v>1</v>
      </c>
      <c r="D477" t="n">
        <v>2</v>
      </c>
      <c r="E477" t="n">
        <v>1</v>
      </c>
      <c r="F477" t="n">
        <v>1</v>
      </c>
      <c r="G477" t="n">
        <v>2</v>
      </c>
      <c r="H477" t="n">
        <v>1</v>
      </c>
      <c r="I477" t="n">
        <v>1</v>
      </c>
      <c r="J477" t="n">
        <v>3</v>
      </c>
      <c r="K477" t="n">
        <v>5</v>
      </c>
      <c r="L477" t="n">
        <v>3</v>
      </c>
      <c r="M477" t="n">
        <v>3</v>
      </c>
      <c r="N477" t="n">
        <v>4</v>
      </c>
      <c r="O477" t="n">
        <v>3</v>
      </c>
      <c r="P477" t="n">
        <v>1</v>
      </c>
      <c r="Q477" t="n">
        <v>1</v>
      </c>
      <c r="R477" t="n">
        <v>4</v>
      </c>
      <c r="S477" t="n">
        <v>1</v>
      </c>
      <c r="T477" t="n">
        <v>5</v>
      </c>
      <c r="U477">
        <f>(AVERAGE(B477:D477)-1)/4</f>
        <v/>
      </c>
      <c r="V477">
        <f>(AVERAGE(E477:F477)-1)/4</f>
        <v/>
      </c>
      <c r="W477">
        <f>(AVERAGE(G477:I477)-1)/4</f>
        <v/>
      </c>
      <c r="X477">
        <f>(AVERAGE(J477:L477)-1)/4</f>
        <v/>
      </c>
      <c r="Y477">
        <f>(AVERAGE(M477:O477)-1)/4</f>
        <v/>
      </c>
      <c r="Z477">
        <f>(AVERAGE(P477:R477)-1)/4</f>
        <v/>
      </c>
      <c r="AA477">
        <f>(AVERAGE(S477:T477)-1)/4</f>
        <v/>
      </c>
      <c r="AB477">
        <f>AVERAGE(U477:Y477)</f>
        <v/>
      </c>
      <c r="AC477">
        <f>MIN(U477:Y477)</f>
        <v/>
      </c>
      <c r="AD477">
        <f>1-alpha*MAX(0,delta-AC477)</f>
        <v/>
      </c>
      <c r="AE477">
        <f>AB477*AD477</f>
        <v/>
      </c>
      <c r="AF477">
        <f>1+COUNTIF(bounds,"&lt;"&amp;ROUND(AB477,12))</f>
        <v/>
      </c>
      <c r="AG477">
        <f>1+COUNTIF(bounds,"&lt;"&amp;ROUND(AE477,12))</f>
        <v/>
      </c>
      <c r="AH477">
        <f>IF(AD477&lt;1,1,0)</f>
        <v/>
      </c>
      <c r="AI477">
        <f>IF(AF477&lt;&gt;AG477,1,0)</f>
        <v/>
      </c>
      <c r="AJ477">
        <f>IF(AND(AG477&gt;=3,Z477&lt;=0.2),1,0)</f>
        <v/>
      </c>
      <c r="AK477">
        <f>AVERAGE(U477:Z477)</f>
        <v/>
      </c>
      <c r="AL477">
        <f>1+COUNTIF(bounds,"&lt;"&amp;ROUND(AK477,12))</f>
        <v/>
      </c>
      <c r="AM477">
        <f>IF(AI477=1,AB477,NA())</f>
        <v/>
      </c>
      <c r="AN477">
        <f>IF(AI477=0,AB477,NA())</f>
        <v/>
      </c>
    </row>
    <row r="478">
      <c r="A478" t="n">
        <v>470</v>
      </c>
      <c r="B478" t="n">
        <v>2</v>
      </c>
      <c r="C478" t="n">
        <v>3</v>
      </c>
      <c r="D478" t="n">
        <v>2</v>
      </c>
      <c r="E478" t="n">
        <v>2</v>
      </c>
      <c r="F478" t="n">
        <v>4</v>
      </c>
      <c r="G478" t="n">
        <v>1</v>
      </c>
      <c r="H478" t="n">
        <v>5</v>
      </c>
      <c r="I478" t="n">
        <v>1</v>
      </c>
      <c r="J478" t="n">
        <v>5</v>
      </c>
      <c r="K478" t="n">
        <v>4</v>
      </c>
      <c r="L478" t="n">
        <v>3</v>
      </c>
      <c r="M478" t="n">
        <v>5</v>
      </c>
      <c r="N478" t="n">
        <v>3</v>
      </c>
      <c r="O478" t="n">
        <v>2</v>
      </c>
      <c r="P478" t="n">
        <v>2</v>
      </c>
      <c r="Q478" t="n">
        <v>1</v>
      </c>
      <c r="R478" t="n">
        <v>5</v>
      </c>
      <c r="S478" t="n">
        <v>4</v>
      </c>
      <c r="T478" t="n">
        <v>3</v>
      </c>
      <c r="U478">
        <f>(AVERAGE(B478:D478)-1)/4</f>
        <v/>
      </c>
      <c r="V478">
        <f>(AVERAGE(E478:F478)-1)/4</f>
        <v/>
      </c>
      <c r="W478">
        <f>(AVERAGE(G478:I478)-1)/4</f>
        <v/>
      </c>
      <c r="X478">
        <f>(AVERAGE(J478:L478)-1)/4</f>
        <v/>
      </c>
      <c r="Y478">
        <f>(AVERAGE(M478:O478)-1)/4</f>
        <v/>
      </c>
      <c r="Z478">
        <f>(AVERAGE(P478:R478)-1)/4</f>
        <v/>
      </c>
      <c r="AA478">
        <f>(AVERAGE(S478:T478)-1)/4</f>
        <v/>
      </c>
      <c r="AB478">
        <f>AVERAGE(U478:Y478)</f>
        <v/>
      </c>
      <c r="AC478">
        <f>MIN(U478:Y478)</f>
        <v/>
      </c>
      <c r="AD478">
        <f>1-alpha*MAX(0,delta-AC478)</f>
        <v/>
      </c>
      <c r="AE478">
        <f>AB478*AD478</f>
        <v/>
      </c>
      <c r="AF478">
        <f>1+COUNTIF(bounds,"&lt;"&amp;ROUND(AB478,12))</f>
        <v/>
      </c>
      <c r="AG478">
        <f>1+COUNTIF(bounds,"&lt;"&amp;ROUND(AE478,12))</f>
        <v/>
      </c>
      <c r="AH478">
        <f>IF(AD478&lt;1,1,0)</f>
        <v/>
      </c>
      <c r="AI478">
        <f>IF(AF478&lt;&gt;AG478,1,0)</f>
        <v/>
      </c>
      <c r="AJ478">
        <f>IF(AND(AG478&gt;=3,Z478&lt;=0.2),1,0)</f>
        <v/>
      </c>
      <c r="AK478">
        <f>AVERAGE(U478:Z478)</f>
        <v/>
      </c>
      <c r="AL478">
        <f>1+COUNTIF(bounds,"&lt;"&amp;ROUND(AK478,12))</f>
        <v/>
      </c>
      <c r="AM478">
        <f>IF(AI478=1,AB478,NA())</f>
        <v/>
      </c>
      <c r="AN478">
        <f>IF(AI478=0,AB478,NA())</f>
        <v/>
      </c>
    </row>
    <row r="479">
      <c r="A479" t="n">
        <v>471</v>
      </c>
      <c r="B479" t="n">
        <v>2</v>
      </c>
      <c r="C479" t="n">
        <v>5</v>
      </c>
      <c r="D479" t="n">
        <v>1</v>
      </c>
      <c r="E479" t="n">
        <v>1</v>
      </c>
      <c r="F479" t="n">
        <v>4</v>
      </c>
      <c r="G479" t="n">
        <v>2</v>
      </c>
      <c r="H479" t="n">
        <v>1</v>
      </c>
      <c r="I479" t="n">
        <v>4</v>
      </c>
      <c r="J479" t="n">
        <v>4</v>
      </c>
      <c r="K479" t="n">
        <v>5</v>
      </c>
      <c r="L479" t="n">
        <v>2</v>
      </c>
      <c r="M479" t="n">
        <v>1</v>
      </c>
      <c r="N479" t="n">
        <v>1</v>
      </c>
      <c r="O479" t="n">
        <v>2</v>
      </c>
      <c r="P479" t="n">
        <v>1</v>
      </c>
      <c r="Q479" t="n">
        <v>1</v>
      </c>
      <c r="R479" t="n">
        <v>5</v>
      </c>
      <c r="S479" t="n">
        <v>2</v>
      </c>
      <c r="T479" t="n">
        <v>3</v>
      </c>
      <c r="U479">
        <f>(AVERAGE(B479:D479)-1)/4</f>
        <v/>
      </c>
      <c r="V479">
        <f>(AVERAGE(E479:F479)-1)/4</f>
        <v/>
      </c>
      <c r="W479">
        <f>(AVERAGE(G479:I479)-1)/4</f>
        <v/>
      </c>
      <c r="X479">
        <f>(AVERAGE(J479:L479)-1)/4</f>
        <v/>
      </c>
      <c r="Y479">
        <f>(AVERAGE(M479:O479)-1)/4</f>
        <v/>
      </c>
      <c r="Z479">
        <f>(AVERAGE(P479:R479)-1)/4</f>
        <v/>
      </c>
      <c r="AA479">
        <f>(AVERAGE(S479:T479)-1)/4</f>
        <v/>
      </c>
      <c r="AB479">
        <f>AVERAGE(U479:Y479)</f>
        <v/>
      </c>
      <c r="AC479">
        <f>MIN(U479:Y479)</f>
        <v/>
      </c>
      <c r="AD479">
        <f>1-alpha*MAX(0,delta-AC479)</f>
        <v/>
      </c>
      <c r="AE479">
        <f>AB479*AD479</f>
        <v/>
      </c>
      <c r="AF479">
        <f>1+COUNTIF(bounds,"&lt;"&amp;ROUND(AB479,12))</f>
        <v/>
      </c>
      <c r="AG479">
        <f>1+COUNTIF(bounds,"&lt;"&amp;ROUND(AE479,12))</f>
        <v/>
      </c>
      <c r="AH479">
        <f>IF(AD479&lt;1,1,0)</f>
        <v/>
      </c>
      <c r="AI479">
        <f>IF(AF479&lt;&gt;AG479,1,0)</f>
        <v/>
      </c>
      <c r="AJ479">
        <f>IF(AND(AG479&gt;=3,Z479&lt;=0.2),1,0)</f>
        <v/>
      </c>
      <c r="AK479">
        <f>AVERAGE(U479:Z479)</f>
        <v/>
      </c>
      <c r="AL479">
        <f>1+COUNTIF(bounds,"&lt;"&amp;ROUND(AK479,12))</f>
        <v/>
      </c>
      <c r="AM479">
        <f>IF(AI479=1,AB479,NA())</f>
        <v/>
      </c>
      <c r="AN479">
        <f>IF(AI479=0,AB479,NA())</f>
        <v/>
      </c>
    </row>
    <row r="480">
      <c r="A480" t="n">
        <v>472</v>
      </c>
      <c r="B480" t="n">
        <v>3</v>
      </c>
      <c r="C480" t="n">
        <v>4</v>
      </c>
      <c r="D480" t="n">
        <v>1</v>
      </c>
      <c r="E480" t="n">
        <v>1</v>
      </c>
      <c r="F480" t="n">
        <v>5</v>
      </c>
      <c r="G480" t="n">
        <v>5</v>
      </c>
      <c r="H480" t="n">
        <v>3</v>
      </c>
      <c r="I480" t="n">
        <v>4</v>
      </c>
      <c r="J480" t="n">
        <v>5</v>
      </c>
      <c r="K480" t="n">
        <v>5</v>
      </c>
      <c r="L480" t="n">
        <v>5</v>
      </c>
      <c r="M480" t="n">
        <v>4</v>
      </c>
      <c r="N480" t="n">
        <v>4</v>
      </c>
      <c r="O480" t="n">
        <v>5</v>
      </c>
      <c r="P480" t="n">
        <v>3</v>
      </c>
      <c r="Q480" t="n">
        <v>4</v>
      </c>
      <c r="R480" t="n">
        <v>4</v>
      </c>
      <c r="S480" t="n">
        <v>2</v>
      </c>
      <c r="T480" t="n">
        <v>1</v>
      </c>
      <c r="U480">
        <f>(AVERAGE(B480:D480)-1)/4</f>
        <v/>
      </c>
      <c r="V480">
        <f>(AVERAGE(E480:F480)-1)/4</f>
        <v/>
      </c>
      <c r="W480">
        <f>(AVERAGE(G480:I480)-1)/4</f>
        <v/>
      </c>
      <c r="X480">
        <f>(AVERAGE(J480:L480)-1)/4</f>
        <v/>
      </c>
      <c r="Y480">
        <f>(AVERAGE(M480:O480)-1)/4</f>
        <v/>
      </c>
      <c r="Z480">
        <f>(AVERAGE(P480:R480)-1)/4</f>
        <v/>
      </c>
      <c r="AA480">
        <f>(AVERAGE(S480:T480)-1)/4</f>
        <v/>
      </c>
      <c r="AB480">
        <f>AVERAGE(U480:Y480)</f>
        <v/>
      </c>
      <c r="AC480">
        <f>MIN(U480:Y480)</f>
        <v/>
      </c>
      <c r="AD480">
        <f>1-alpha*MAX(0,delta-AC480)</f>
        <v/>
      </c>
      <c r="AE480">
        <f>AB480*AD480</f>
        <v/>
      </c>
      <c r="AF480">
        <f>1+COUNTIF(bounds,"&lt;"&amp;ROUND(AB480,12))</f>
        <v/>
      </c>
      <c r="AG480">
        <f>1+COUNTIF(bounds,"&lt;"&amp;ROUND(AE480,12))</f>
        <v/>
      </c>
      <c r="AH480">
        <f>IF(AD480&lt;1,1,0)</f>
        <v/>
      </c>
      <c r="AI480">
        <f>IF(AF480&lt;&gt;AG480,1,0)</f>
        <v/>
      </c>
      <c r="AJ480">
        <f>IF(AND(AG480&gt;=3,Z480&lt;=0.2),1,0)</f>
        <v/>
      </c>
      <c r="AK480">
        <f>AVERAGE(U480:Z480)</f>
        <v/>
      </c>
      <c r="AL480">
        <f>1+COUNTIF(bounds,"&lt;"&amp;ROUND(AK480,12))</f>
        <v/>
      </c>
      <c r="AM480">
        <f>IF(AI480=1,AB480,NA())</f>
        <v/>
      </c>
      <c r="AN480">
        <f>IF(AI480=0,AB480,NA())</f>
        <v/>
      </c>
    </row>
    <row r="481">
      <c r="A481" t="n">
        <v>473</v>
      </c>
      <c r="B481" t="n">
        <v>3</v>
      </c>
      <c r="C481" t="n">
        <v>2</v>
      </c>
      <c r="D481" t="n">
        <v>5</v>
      </c>
      <c r="E481" t="n">
        <v>4</v>
      </c>
      <c r="F481" t="n">
        <v>1</v>
      </c>
      <c r="G481" t="n">
        <v>4</v>
      </c>
      <c r="H481" t="n">
        <v>5</v>
      </c>
      <c r="I481" t="n">
        <v>4</v>
      </c>
      <c r="J481" t="n">
        <v>3</v>
      </c>
      <c r="K481" t="n">
        <v>3</v>
      </c>
      <c r="L481" t="n">
        <v>5</v>
      </c>
      <c r="M481" t="n">
        <v>3</v>
      </c>
      <c r="N481" t="n">
        <v>5</v>
      </c>
      <c r="O481" t="n">
        <v>1</v>
      </c>
      <c r="P481" t="n">
        <v>3</v>
      </c>
      <c r="Q481" t="n">
        <v>3</v>
      </c>
      <c r="R481" t="n">
        <v>4</v>
      </c>
      <c r="S481" t="n">
        <v>3</v>
      </c>
      <c r="T481" t="n">
        <v>2</v>
      </c>
      <c r="U481">
        <f>(AVERAGE(B481:D481)-1)/4</f>
        <v/>
      </c>
      <c r="V481">
        <f>(AVERAGE(E481:F481)-1)/4</f>
        <v/>
      </c>
      <c r="W481">
        <f>(AVERAGE(G481:I481)-1)/4</f>
        <v/>
      </c>
      <c r="X481">
        <f>(AVERAGE(J481:L481)-1)/4</f>
        <v/>
      </c>
      <c r="Y481">
        <f>(AVERAGE(M481:O481)-1)/4</f>
        <v/>
      </c>
      <c r="Z481">
        <f>(AVERAGE(P481:R481)-1)/4</f>
        <v/>
      </c>
      <c r="AA481">
        <f>(AVERAGE(S481:T481)-1)/4</f>
        <v/>
      </c>
      <c r="AB481">
        <f>AVERAGE(U481:Y481)</f>
        <v/>
      </c>
      <c r="AC481">
        <f>MIN(U481:Y481)</f>
        <v/>
      </c>
      <c r="AD481">
        <f>1-alpha*MAX(0,delta-AC481)</f>
        <v/>
      </c>
      <c r="AE481">
        <f>AB481*AD481</f>
        <v/>
      </c>
      <c r="AF481">
        <f>1+COUNTIF(bounds,"&lt;"&amp;ROUND(AB481,12))</f>
        <v/>
      </c>
      <c r="AG481">
        <f>1+COUNTIF(bounds,"&lt;"&amp;ROUND(AE481,12))</f>
        <v/>
      </c>
      <c r="AH481">
        <f>IF(AD481&lt;1,1,0)</f>
        <v/>
      </c>
      <c r="AI481">
        <f>IF(AF481&lt;&gt;AG481,1,0)</f>
        <v/>
      </c>
      <c r="AJ481">
        <f>IF(AND(AG481&gt;=3,Z481&lt;=0.2),1,0)</f>
        <v/>
      </c>
      <c r="AK481">
        <f>AVERAGE(U481:Z481)</f>
        <v/>
      </c>
      <c r="AL481">
        <f>1+COUNTIF(bounds,"&lt;"&amp;ROUND(AK481,12))</f>
        <v/>
      </c>
      <c r="AM481">
        <f>IF(AI481=1,AB481,NA())</f>
        <v/>
      </c>
      <c r="AN481">
        <f>IF(AI481=0,AB481,NA())</f>
        <v/>
      </c>
    </row>
    <row r="482">
      <c r="A482" t="n">
        <v>474</v>
      </c>
      <c r="B482" t="n">
        <v>1</v>
      </c>
      <c r="C482" t="n">
        <v>1</v>
      </c>
      <c r="D482" t="n">
        <v>3</v>
      </c>
      <c r="E482" t="n">
        <v>2</v>
      </c>
      <c r="F482" t="n">
        <v>3</v>
      </c>
      <c r="G482" t="n">
        <v>1</v>
      </c>
      <c r="H482" t="n">
        <v>1</v>
      </c>
      <c r="I482" t="n">
        <v>1</v>
      </c>
      <c r="J482" t="n">
        <v>5</v>
      </c>
      <c r="K482" t="n">
        <v>3</v>
      </c>
      <c r="L482" t="n">
        <v>5</v>
      </c>
      <c r="M482" t="n">
        <v>4</v>
      </c>
      <c r="N482" t="n">
        <v>5</v>
      </c>
      <c r="O482" t="n">
        <v>3</v>
      </c>
      <c r="P482" t="n">
        <v>5</v>
      </c>
      <c r="Q482" t="n">
        <v>2</v>
      </c>
      <c r="R482" t="n">
        <v>2</v>
      </c>
      <c r="S482" t="n">
        <v>2</v>
      </c>
      <c r="T482" t="n">
        <v>4</v>
      </c>
      <c r="U482">
        <f>(AVERAGE(B482:D482)-1)/4</f>
        <v/>
      </c>
      <c r="V482">
        <f>(AVERAGE(E482:F482)-1)/4</f>
        <v/>
      </c>
      <c r="W482">
        <f>(AVERAGE(G482:I482)-1)/4</f>
        <v/>
      </c>
      <c r="X482">
        <f>(AVERAGE(J482:L482)-1)/4</f>
        <v/>
      </c>
      <c r="Y482">
        <f>(AVERAGE(M482:O482)-1)/4</f>
        <v/>
      </c>
      <c r="Z482">
        <f>(AVERAGE(P482:R482)-1)/4</f>
        <v/>
      </c>
      <c r="AA482">
        <f>(AVERAGE(S482:T482)-1)/4</f>
        <v/>
      </c>
      <c r="AB482">
        <f>AVERAGE(U482:Y482)</f>
        <v/>
      </c>
      <c r="AC482">
        <f>MIN(U482:Y482)</f>
        <v/>
      </c>
      <c r="AD482">
        <f>1-alpha*MAX(0,delta-AC482)</f>
        <v/>
      </c>
      <c r="AE482">
        <f>AB482*AD482</f>
        <v/>
      </c>
      <c r="AF482">
        <f>1+COUNTIF(bounds,"&lt;"&amp;ROUND(AB482,12))</f>
        <v/>
      </c>
      <c r="AG482">
        <f>1+COUNTIF(bounds,"&lt;"&amp;ROUND(AE482,12))</f>
        <v/>
      </c>
      <c r="AH482">
        <f>IF(AD482&lt;1,1,0)</f>
        <v/>
      </c>
      <c r="AI482">
        <f>IF(AF482&lt;&gt;AG482,1,0)</f>
        <v/>
      </c>
      <c r="AJ482">
        <f>IF(AND(AG482&gt;=3,Z482&lt;=0.2),1,0)</f>
        <v/>
      </c>
      <c r="AK482">
        <f>AVERAGE(U482:Z482)</f>
        <v/>
      </c>
      <c r="AL482">
        <f>1+COUNTIF(bounds,"&lt;"&amp;ROUND(AK482,12))</f>
        <v/>
      </c>
      <c r="AM482">
        <f>IF(AI482=1,AB482,NA())</f>
        <v/>
      </c>
      <c r="AN482">
        <f>IF(AI482=0,AB482,NA())</f>
        <v/>
      </c>
    </row>
    <row r="483">
      <c r="A483" t="n">
        <v>475</v>
      </c>
      <c r="B483" t="n">
        <v>4</v>
      </c>
      <c r="C483" t="n">
        <v>5</v>
      </c>
      <c r="D483" t="n">
        <v>3</v>
      </c>
      <c r="E483" t="n">
        <v>1</v>
      </c>
      <c r="F483" t="n">
        <v>1</v>
      </c>
      <c r="G483" t="n">
        <v>5</v>
      </c>
      <c r="H483" t="n">
        <v>2</v>
      </c>
      <c r="I483" t="n">
        <v>5</v>
      </c>
      <c r="J483" t="n">
        <v>4</v>
      </c>
      <c r="K483" t="n">
        <v>4</v>
      </c>
      <c r="L483" t="n">
        <v>4</v>
      </c>
      <c r="M483" t="n">
        <v>4</v>
      </c>
      <c r="N483" t="n">
        <v>5</v>
      </c>
      <c r="O483" t="n">
        <v>1</v>
      </c>
      <c r="P483" t="n">
        <v>3</v>
      </c>
      <c r="Q483" t="n">
        <v>3</v>
      </c>
      <c r="R483" t="n">
        <v>2</v>
      </c>
      <c r="S483" t="n">
        <v>5</v>
      </c>
      <c r="T483" t="n">
        <v>3</v>
      </c>
      <c r="U483">
        <f>(AVERAGE(B483:D483)-1)/4</f>
        <v/>
      </c>
      <c r="V483">
        <f>(AVERAGE(E483:F483)-1)/4</f>
        <v/>
      </c>
      <c r="W483">
        <f>(AVERAGE(G483:I483)-1)/4</f>
        <v/>
      </c>
      <c r="X483">
        <f>(AVERAGE(J483:L483)-1)/4</f>
        <v/>
      </c>
      <c r="Y483">
        <f>(AVERAGE(M483:O483)-1)/4</f>
        <v/>
      </c>
      <c r="Z483">
        <f>(AVERAGE(P483:R483)-1)/4</f>
        <v/>
      </c>
      <c r="AA483">
        <f>(AVERAGE(S483:T483)-1)/4</f>
        <v/>
      </c>
      <c r="AB483">
        <f>AVERAGE(U483:Y483)</f>
        <v/>
      </c>
      <c r="AC483">
        <f>MIN(U483:Y483)</f>
        <v/>
      </c>
      <c r="AD483">
        <f>1-alpha*MAX(0,delta-AC483)</f>
        <v/>
      </c>
      <c r="AE483">
        <f>AB483*AD483</f>
        <v/>
      </c>
      <c r="AF483">
        <f>1+COUNTIF(bounds,"&lt;"&amp;ROUND(AB483,12))</f>
        <v/>
      </c>
      <c r="AG483">
        <f>1+COUNTIF(bounds,"&lt;"&amp;ROUND(AE483,12))</f>
        <v/>
      </c>
      <c r="AH483">
        <f>IF(AD483&lt;1,1,0)</f>
        <v/>
      </c>
      <c r="AI483">
        <f>IF(AF483&lt;&gt;AG483,1,0)</f>
        <v/>
      </c>
      <c r="AJ483">
        <f>IF(AND(AG483&gt;=3,Z483&lt;=0.2),1,0)</f>
        <v/>
      </c>
      <c r="AK483">
        <f>AVERAGE(U483:Z483)</f>
        <v/>
      </c>
      <c r="AL483">
        <f>1+COUNTIF(bounds,"&lt;"&amp;ROUND(AK483,12))</f>
        <v/>
      </c>
      <c r="AM483">
        <f>IF(AI483=1,AB483,NA())</f>
        <v/>
      </c>
      <c r="AN483">
        <f>IF(AI483=0,AB483,NA())</f>
        <v/>
      </c>
    </row>
    <row r="484">
      <c r="A484" t="n">
        <v>476</v>
      </c>
      <c r="B484" t="n">
        <v>5</v>
      </c>
      <c r="C484" t="n">
        <v>4</v>
      </c>
      <c r="D484" t="n">
        <v>5</v>
      </c>
      <c r="E484" t="n">
        <v>4</v>
      </c>
      <c r="F484" t="n">
        <v>3</v>
      </c>
      <c r="G484" t="n">
        <v>1</v>
      </c>
      <c r="H484" t="n">
        <v>2</v>
      </c>
      <c r="I484" t="n">
        <v>5</v>
      </c>
      <c r="J484" t="n">
        <v>2</v>
      </c>
      <c r="K484" t="n">
        <v>2</v>
      </c>
      <c r="L484" t="n">
        <v>3</v>
      </c>
      <c r="M484" t="n">
        <v>1</v>
      </c>
      <c r="N484" t="n">
        <v>3</v>
      </c>
      <c r="O484" t="n">
        <v>4</v>
      </c>
      <c r="P484" t="n">
        <v>5</v>
      </c>
      <c r="Q484" t="n">
        <v>1</v>
      </c>
      <c r="R484" t="n">
        <v>4</v>
      </c>
      <c r="S484" t="n">
        <v>4</v>
      </c>
      <c r="T484" t="n">
        <v>5</v>
      </c>
      <c r="U484">
        <f>(AVERAGE(B484:D484)-1)/4</f>
        <v/>
      </c>
      <c r="V484">
        <f>(AVERAGE(E484:F484)-1)/4</f>
        <v/>
      </c>
      <c r="W484">
        <f>(AVERAGE(G484:I484)-1)/4</f>
        <v/>
      </c>
      <c r="X484">
        <f>(AVERAGE(J484:L484)-1)/4</f>
        <v/>
      </c>
      <c r="Y484">
        <f>(AVERAGE(M484:O484)-1)/4</f>
        <v/>
      </c>
      <c r="Z484">
        <f>(AVERAGE(P484:R484)-1)/4</f>
        <v/>
      </c>
      <c r="AA484">
        <f>(AVERAGE(S484:T484)-1)/4</f>
        <v/>
      </c>
      <c r="AB484">
        <f>AVERAGE(U484:Y484)</f>
        <v/>
      </c>
      <c r="AC484">
        <f>MIN(U484:Y484)</f>
        <v/>
      </c>
      <c r="AD484">
        <f>1-alpha*MAX(0,delta-AC484)</f>
        <v/>
      </c>
      <c r="AE484">
        <f>AB484*AD484</f>
        <v/>
      </c>
      <c r="AF484">
        <f>1+COUNTIF(bounds,"&lt;"&amp;ROUND(AB484,12))</f>
        <v/>
      </c>
      <c r="AG484">
        <f>1+COUNTIF(bounds,"&lt;"&amp;ROUND(AE484,12))</f>
        <v/>
      </c>
      <c r="AH484">
        <f>IF(AD484&lt;1,1,0)</f>
        <v/>
      </c>
      <c r="AI484">
        <f>IF(AF484&lt;&gt;AG484,1,0)</f>
        <v/>
      </c>
      <c r="AJ484">
        <f>IF(AND(AG484&gt;=3,Z484&lt;=0.2),1,0)</f>
        <v/>
      </c>
      <c r="AK484">
        <f>AVERAGE(U484:Z484)</f>
        <v/>
      </c>
      <c r="AL484">
        <f>1+COUNTIF(bounds,"&lt;"&amp;ROUND(AK484,12))</f>
        <v/>
      </c>
      <c r="AM484">
        <f>IF(AI484=1,AB484,NA())</f>
        <v/>
      </c>
      <c r="AN484">
        <f>IF(AI484=0,AB484,NA())</f>
        <v/>
      </c>
    </row>
    <row r="485">
      <c r="A485" t="n">
        <v>477</v>
      </c>
      <c r="B485" t="n">
        <v>5</v>
      </c>
      <c r="C485" t="n">
        <v>5</v>
      </c>
      <c r="D485" t="n">
        <v>1</v>
      </c>
      <c r="E485" t="n">
        <v>4</v>
      </c>
      <c r="F485" t="n">
        <v>4</v>
      </c>
      <c r="G485" t="n">
        <v>1</v>
      </c>
      <c r="H485" t="n">
        <v>1</v>
      </c>
      <c r="I485" t="n">
        <v>2</v>
      </c>
      <c r="J485" t="n">
        <v>5</v>
      </c>
      <c r="K485" t="n">
        <v>4</v>
      </c>
      <c r="L485" t="n">
        <v>4</v>
      </c>
      <c r="M485" t="n">
        <v>2</v>
      </c>
      <c r="N485" t="n">
        <v>5</v>
      </c>
      <c r="O485" t="n">
        <v>5</v>
      </c>
      <c r="P485" t="n">
        <v>2</v>
      </c>
      <c r="Q485" t="n">
        <v>5</v>
      </c>
      <c r="R485" t="n">
        <v>4</v>
      </c>
      <c r="S485" t="n">
        <v>3</v>
      </c>
      <c r="T485" t="n">
        <v>3</v>
      </c>
      <c r="U485">
        <f>(AVERAGE(B485:D485)-1)/4</f>
        <v/>
      </c>
      <c r="V485">
        <f>(AVERAGE(E485:F485)-1)/4</f>
        <v/>
      </c>
      <c r="W485">
        <f>(AVERAGE(G485:I485)-1)/4</f>
        <v/>
      </c>
      <c r="X485">
        <f>(AVERAGE(J485:L485)-1)/4</f>
        <v/>
      </c>
      <c r="Y485">
        <f>(AVERAGE(M485:O485)-1)/4</f>
        <v/>
      </c>
      <c r="Z485">
        <f>(AVERAGE(P485:R485)-1)/4</f>
        <v/>
      </c>
      <c r="AA485">
        <f>(AVERAGE(S485:T485)-1)/4</f>
        <v/>
      </c>
      <c r="AB485">
        <f>AVERAGE(U485:Y485)</f>
        <v/>
      </c>
      <c r="AC485">
        <f>MIN(U485:Y485)</f>
        <v/>
      </c>
      <c r="AD485">
        <f>1-alpha*MAX(0,delta-AC485)</f>
        <v/>
      </c>
      <c r="AE485">
        <f>AB485*AD485</f>
        <v/>
      </c>
      <c r="AF485">
        <f>1+COUNTIF(bounds,"&lt;"&amp;ROUND(AB485,12))</f>
        <v/>
      </c>
      <c r="AG485">
        <f>1+COUNTIF(bounds,"&lt;"&amp;ROUND(AE485,12))</f>
        <v/>
      </c>
      <c r="AH485">
        <f>IF(AD485&lt;1,1,0)</f>
        <v/>
      </c>
      <c r="AI485">
        <f>IF(AF485&lt;&gt;AG485,1,0)</f>
        <v/>
      </c>
      <c r="AJ485">
        <f>IF(AND(AG485&gt;=3,Z485&lt;=0.2),1,0)</f>
        <v/>
      </c>
      <c r="AK485">
        <f>AVERAGE(U485:Z485)</f>
        <v/>
      </c>
      <c r="AL485">
        <f>1+COUNTIF(bounds,"&lt;"&amp;ROUND(AK485,12))</f>
        <v/>
      </c>
      <c r="AM485">
        <f>IF(AI485=1,AB485,NA())</f>
        <v/>
      </c>
      <c r="AN485">
        <f>IF(AI485=0,AB485,NA())</f>
        <v/>
      </c>
    </row>
    <row r="486">
      <c r="A486" t="n">
        <v>478</v>
      </c>
      <c r="B486" t="n">
        <v>5</v>
      </c>
      <c r="C486" t="n">
        <v>4</v>
      </c>
      <c r="D486" t="n">
        <v>1</v>
      </c>
      <c r="E486" t="n">
        <v>5</v>
      </c>
      <c r="F486" t="n">
        <v>3</v>
      </c>
      <c r="G486" t="n">
        <v>3</v>
      </c>
      <c r="H486" t="n">
        <v>3</v>
      </c>
      <c r="I486" t="n">
        <v>5</v>
      </c>
      <c r="J486" t="n">
        <v>1</v>
      </c>
      <c r="K486" t="n">
        <v>5</v>
      </c>
      <c r="L486" t="n">
        <v>3</v>
      </c>
      <c r="M486" t="n">
        <v>4</v>
      </c>
      <c r="N486" t="n">
        <v>5</v>
      </c>
      <c r="O486" t="n">
        <v>2</v>
      </c>
      <c r="P486" t="n">
        <v>4</v>
      </c>
      <c r="Q486" t="n">
        <v>2</v>
      </c>
      <c r="R486" t="n">
        <v>5</v>
      </c>
      <c r="S486" t="n">
        <v>3</v>
      </c>
      <c r="T486" t="n">
        <v>4</v>
      </c>
      <c r="U486">
        <f>(AVERAGE(B486:D486)-1)/4</f>
        <v/>
      </c>
      <c r="V486">
        <f>(AVERAGE(E486:F486)-1)/4</f>
        <v/>
      </c>
      <c r="W486">
        <f>(AVERAGE(G486:I486)-1)/4</f>
        <v/>
      </c>
      <c r="X486">
        <f>(AVERAGE(J486:L486)-1)/4</f>
        <v/>
      </c>
      <c r="Y486">
        <f>(AVERAGE(M486:O486)-1)/4</f>
        <v/>
      </c>
      <c r="Z486">
        <f>(AVERAGE(P486:R486)-1)/4</f>
        <v/>
      </c>
      <c r="AA486">
        <f>(AVERAGE(S486:T486)-1)/4</f>
        <v/>
      </c>
      <c r="AB486">
        <f>AVERAGE(U486:Y486)</f>
        <v/>
      </c>
      <c r="AC486">
        <f>MIN(U486:Y486)</f>
        <v/>
      </c>
      <c r="AD486">
        <f>1-alpha*MAX(0,delta-AC486)</f>
        <v/>
      </c>
      <c r="AE486">
        <f>AB486*AD486</f>
        <v/>
      </c>
      <c r="AF486">
        <f>1+COUNTIF(bounds,"&lt;"&amp;ROUND(AB486,12))</f>
        <v/>
      </c>
      <c r="AG486">
        <f>1+COUNTIF(bounds,"&lt;"&amp;ROUND(AE486,12))</f>
        <v/>
      </c>
      <c r="AH486">
        <f>IF(AD486&lt;1,1,0)</f>
        <v/>
      </c>
      <c r="AI486">
        <f>IF(AF486&lt;&gt;AG486,1,0)</f>
        <v/>
      </c>
      <c r="AJ486">
        <f>IF(AND(AG486&gt;=3,Z486&lt;=0.2),1,0)</f>
        <v/>
      </c>
      <c r="AK486">
        <f>AVERAGE(U486:Z486)</f>
        <v/>
      </c>
      <c r="AL486">
        <f>1+COUNTIF(bounds,"&lt;"&amp;ROUND(AK486,12))</f>
        <v/>
      </c>
      <c r="AM486">
        <f>IF(AI486=1,AB486,NA())</f>
        <v/>
      </c>
      <c r="AN486">
        <f>IF(AI486=0,AB486,NA())</f>
        <v/>
      </c>
    </row>
    <row r="487">
      <c r="A487" t="n">
        <v>479</v>
      </c>
      <c r="B487" t="n">
        <v>1</v>
      </c>
      <c r="C487" t="n">
        <v>1</v>
      </c>
      <c r="D487" t="n">
        <v>3</v>
      </c>
      <c r="E487" t="n">
        <v>2</v>
      </c>
      <c r="F487" t="n">
        <v>3</v>
      </c>
      <c r="G487" t="n">
        <v>5</v>
      </c>
      <c r="H487" t="n">
        <v>2</v>
      </c>
      <c r="I487" t="n">
        <v>1</v>
      </c>
      <c r="J487" t="n">
        <v>5</v>
      </c>
      <c r="K487" t="n">
        <v>2</v>
      </c>
      <c r="L487" t="n">
        <v>1</v>
      </c>
      <c r="M487" t="n">
        <v>5</v>
      </c>
      <c r="N487" t="n">
        <v>3</v>
      </c>
      <c r="O487" t="n">
        <v>2</v>
      </c>
      <c r="P487" t="n">
        <v>5</v>
      </c>
      <c r="Q487" t="n">
        <v>2</v>
      </c>
      <c r="R487" t="n">
        <v>1</v>
      </c>
      <c r="S487" t="n">
        <v>4</v>
      </c>
      <c r="T487" t="n">
        <v>5</v>
      </c>
      <c r="U487">
        <f>(AVERAGE(B487:D487)-1)/4</f>
        <v/>
      </c>
      <c r="V487">
        <f>(AVERAGE(E487:F487)-1)/4</f>
        <v/>
      </c>
      <c r="W487">
        <f>(AVERAGE(G487:I487)-1)/4</f>
        <v/>
      </c>
      <c r="X487">
        <f>(AVERAGE(J487:L487)-1)/4</f>
        <v/>
      </c>
      <c r="Y487">
        <f>(AVERAGE(M487:O487)-1)/4</f>
        <v/>
      </c>
      <c r="Z487">
        <f>(AVERAGE(P487:R487)-1)/4</f>
        <v/>
      </c>
      <c r="AA487">
        <f>(AVERAGE(S487:T487)-1)/4</f>
        <v/>
      </c>
      <c r="AB487">
        <f>AVERAGE(U487:Y487)</f>
        <v/>
      </c>
      <c r="AC487">
        <f>MIN(U487:Y487)</f>
        <v/>
      </c>
      <c r="AD487">
        <f>1-alpha*MAX(0,delta-AC487)</f>
        <v/>
      </c>
      <c r="AE487">
        <f>AB487*AD487</f>
        <v/>
      </c>
      <c r="AF487">
        <f>1+COUNTIF(bounds,"&lt;"&amp;ROUND(AB487,12))</f>
        <v/>
      </c>
      <c r="AG487">
        <f>1+COUNTIF(bounds,"&lt;"&amp;ROUND(AE487,12))</f>
        <v/>
      </c>
      <c r="AH487">
        <f>IF(AD487&lt;1,1,0)</f>
        <v/>
      </c>
      <c r="AI487">
        <f>IF(AF487&lt;&gt;AG487,1,0)</f>
        <v/>
      </c>
      <c r="AJ487">
        <f>IF(AND(AG487&gt;=3,Z487&lt;=0.2),1,0)</f>
        <v/>
      </c>
      <c r="AK487">
        <f>AVERAGE(U487:Z487)</f>
        <v/>
      </c>
      <c r="AL487">
        <f>1+COUNTIF(bounds,"&lt;"&amp;ROUND(AK487,12))</f>
        <v/>
      </c>
      <c r="AM487">
        <f>IF(AI487=1,AB487,NA())</f>
        <v/>
      </c>
      <c r="AN487">
        <f>IF(AI487=0,AB487,NA())</f>
        <v/>
      </c>
    </row>
    <row r="488">
      <c r="A488" t="n">
        <v>480</v>
      </c>
      <c r="B488" t="n">
        <v>1</v>
      </c>
      <c r="C488" t="n">
        <v>3</v>
      </c>
      <c r="D488" t="n">
        <v>1</v>
      </c>
      <c r="E488" t="n">
        <v>1</v>
      </c>
      <c r="F488" t="n">
        <v>4</v>
      </c>
      <c r="G488" t="n">
        <v>2</v>
      </c>
      <c r="H488" t="n">
        <v>1</v>
      </c>
      <c r="I488" t="n">
        <v>2</v>
      </c>
      <c r="J488" t="n">
        <v>4</v>
      </c>
      <c r="K488" t="n">
        <v>2</v>
      </c>
      <c r="L488" t="n">
        <v>4</v>
      </c>
      <c r="M488" t="n">
        <v>5</v>
      </c>
      <c r="N488" t="n">
        <v>5</v>
      </c>
      <c r="O488" t="n">
        <v>3</v>
      </c>
      <c r="P488" t="n">
        <v>2</v>
      </c>
      <c r="Q488" t="n">
        <v>3</v>
      </c>
      <c r="R488" t="n">
        <v>1</v>
      </c>
      <c r="S488" t="n">
        <v>1</v>
      </c>
      <c r="T488" t="n">
        <v>5</v>
      </c>
      <c r="U488">
        <f>(AVERAGE(B488:D488)-1)/4</f>
        <v/>
      </c>
      <c r="V488">
        <f>(AVERAGE(E488:F488)-1)/4</f>
        <v/>
      </c>
      <c r="W488">
        <f>(AVERAGE(G488:I488)-1)/4</f>
        <v/>
      </c>
      <c r="X488">
        <f>(AVERAGE(J488:L488)-1)/4</f>
        <v/>
      </c>
      <c r="Y488">
        <f>(AVERAGE(M488:O488)-1)/4</f>
        <v/>
      </c>
      <c r="Z488">
        <f>(AVERAGE(P488:R488)-1)/4</f>
        <v/>
      </c>
      <c r="AA488">
        <f>(AVERAGE(S488:T488)-1)/4</f>
        <v/>
      </c>
      <c r="AB488">
        <f>AVERAGE(U488:Y488)</f>
        <v/>
      </c>
      <c r="AC488">
        <f>MIN(U488:Y488)</f>
        <v/>
      </c>
      <c r="AD488">
        <f>1-alpha*MAX(0,delta-AC488)</f>
        <v/>
      </c>
      <c r="AE488">
        <f>AB488*AD488</f>
        <v/>
      </c>
      <c r="AF488">
        <f>1+COUNTIF(bounds,"&lt;"&amp;ROUND(AB488,12))</f>
        <v/>
      </c>
      <c r="AG488">
        <f>1+COUNTIF(bounds,"&lt;"&amp;ROUND(AE488,12))</f>
        <v/>
      </c>
      <c r="AH488">
        <f>IF(AD488&lt;1,1,0)</f>
        <v/>
      </c>
      <c r="AI488">
        <f>IF(AF488&lt;&gt;AG488,1,0)</f>
        <v/>
      </c>
      <c r="AJ488">
        <f>IF(AND(AG488&gt;=3,Z488&lt;=0.2),1,0)</f>
        <v/>
      </c>
      <c r="AK488">
        <f>AVERAGE(U488:Z488)</f>
        <v/>
      </c>
      <c r="AL488">
        <f>1+COUNTIF(bounds,"&lt;"&amp;ROUND(AK488,12))</f>
        <v/>
      </c>
      <c r="AM488">
        <f>IF(AI488=1,AB488,NA())</f>
        <v/>
      </c>
      <c r="AN488">
        <f>IF(AI488=0,AB488,NA())</f>
        <v/>
      </c>
    </row>
    <row r="489">
      <c r="A489" t="n">
        <v>481</v>
      </c>
      <c r="B489" t="n">
        <v>1</v>
      </c>
      <c r="C489" t="n">
        <v>1</v>
      </c>
      <c r="D489" t="n">
        <v>1</v>
      </c>
      <c r="E489" t="n">
        <v>4</v>
      </c>
      <c r="F489" t="n">
        <v>5</v>
      </c>
      <c r="G489" t="n">
        <v>1</v>
      </c>
      <c r="H489" t="n">
        <v>1</v>
      </c>
      <c r="I489" t="n">
        <v>2</v>
      </c>
      <c r="J489" t="n">
        <v>3</v>
      </c>
      <c r="K489" t="n">
        <v>5</v>
      </c>
      <c r="L489" t="n">
        <v>3</v>
      </c>
      <c r="M489" t="n">
        <v>5</v>
      </c>
      <c r="N489" t="n">
        <v>4</v>
      </c>
      <c r="O489" t="n">
        <v>1</v>
      </c>
      <c r="P489" t="n">
        <v>2</v>
      </c>
      <c r="Q489" t="n">
        <v>2</v>
      </c>
      <c r="R489" t="n">
        <v>5</v>
      </c>
      <c r="S489" t="n">
        <v>2</v>
      </c>
      <c r="T489" t="n">
        <v>2</v>
      </c>
      <c r="U489">
        <f>(AVERAGE(B489:D489)-1)/4</f>
        <v/>
      </c>
      <c r="V489">
        <f>(AVERAGE(E489:F489)-1)/4</f>
        <v/>
      </c>
      <c r="W489">
        <f>(AVERAGE(G489:I489)-1)/4</f>
        <v/>
      </c>
      <c r="X489">
        <f>(AVERAGE(J489:L489)-1)/4</f>
        <v/>
      </c>
      <c r="Y489">
        <f>(AVERAGE(M489:O489)-1)/4</f>
        <v/>
      </c>
      <c r="Z489">
        <f>(AVERAGE(P489:R489)-1)/4</f>
        <v/>
      </c>
      <c r="AA489">
        <f>(AVERAGE(S489:T489)-1)/4</f>
        <v/>
      </c>
      <c r="AB489">
        <f>AVERAGE(U489:Y489)</f>
        <v/>
      </c>
      <c r="AC489">
        <f>MIN(U489:Y489)</f>
        <v/>
      </c>
      <c r="AD489">
        <f>1-alpha*MAX(0,delta-AC489)</f>
        <v/>
      </c>
      <c r="AE489">
        <f>AB489*AD489</f>
        <v/>
      </c>
      <c r="AF489">
        <f>1+COUNTIF(bounds,"&lt;"&amp;ROUND(AB489,12))</f>
        <v/>
      </c>
      <c r="AG489">
        <f>1+COUNTIF(bounds,"&lt;"&amp;ROUND(AE489,12))</f>
        <v/>
      </c>
      <c r="AH489">
        <f>IF(AD489&lt;1,1,0)</f>
        <v/>
      </c>
      <c r="AI489">
        <f>IF(AF489&lt;&gt;AG489,1,0)</f>
        <v/>
      </c>
      <c r="AJ489">
        <f>IF(AND(AG489&gt;=3,Z489&lt;=0.2),1,0)</f>
        <v/>
      </c>
      <c r="AK489">
        <f>AVERAGE(U489:Z489)</f>
        <v/>
      </c>
      <c r="AL489">
        <f>1+COUNTIF(bounds,"&lt;"&amp;ROUND(AK489,12))</f>
        <v/>
      </c>
      <c r="AM489">
        <f>IF(AI489=1,AB489,NA())</f>
        <v/>
      </c>
      <c r="AN489">
        <f>IF(AI489=0,AB489,NA())</f>
        <v/>
      </c>
    </row>
    <row r="490">
      <c r="A490" t="n">
        <v>482</v>
      </c>
      <c r="B490" t="n">
        <v>5</v>
      </c>
      <c r="C490" t="n">
        <v>4</v>
      </c>
      <c r="D490" t="n">
        <v>4</v>
      </c>
      <c r="E490" t="n">
        <v>1</v>
      </c>
      <c r="F490" t="n">
        <v>5</v>
      </c>
      <c r="G490" t="n">
        <v>2</v>
      </c>
      <c r="H490" t="n">
        <v>3</v>
      </c>
      <c r="I490" t="n">
        <v>3</v>
      </c>
      <c r="J490" t="n">
        <v>1</v>
      </c>
      <c r="K490" t="n">
        <v>1</v>
      </c>
      <c r="L490" t="n">
        <v>3</v>
      </c>
      <c r="M490" t="n">
        <v>4</v>
      </c>
      <c r="N490" t="n">
        <v>2</v>
      </c>
      <c r="O490" t="n">
        <v>5</v>
      </c>
      <c r="P490" t="n">
        <v>2</v>
      </c>
      <c r="Q490" t="n">
        <v>3</v>
      </c>
      <c r="R490" t="n">
        <v>2</v>
      </c>
      <c r="S490" t="n">
        <v>2</v>
      </c>
      <c r="T490" t="n">
        <v>5</v>
      </c>
      <c r="U490">
        <f>(AVERAGE(B490:D490)-1)/4</f>
        <v/>
      </c>
      <c r="V490">
        <f>(AVERAGE(E490:F490)-1)/4</f>
        <v/>
      </c>
      <c r="W490">
        <f>(AVERAGE(G490:I490)-1)/4</f>
        <v/>
      </c>
      <c r="X490">
        <f>(AVERAGE(J490:L490)-1)/4</f>
        <v/>
      </c>
      <c r="Y490">
        <f>(AVERAGE(M490:O490)-1)/4</f>
        <v/>
      </c>
      <c r="Z490">
        <f>(AVERAGE(P490:R490)-1)/4</f>
        <v/>
      </c>
      <c r="AA490">
        <f>(AVERAGE(S490:T490)-1)/4</f>
        <v/>
      </c>
      <c r="AB490">
        <f>AVERAGE(U490:Y490)</f>
        <v/>
      </c>
      <c r="AC490">
        <f>MIN(U490:Y490)</f>
        <v/>
      </c>
      <c r="AD490">
        <f>1-alpha*MAX(0,delta-AC490)</f>
        <v/>
      </c>
      <c r="AE490">
        <f>AB490*AD490</f>
        <v/>
      </c>
      <c r="AF490">
        <f>1+COUNTIF(bounds,"&lt;"&amp;ROUND(AB490,12))</f>
        <v/>
      </c>
      <c r="AG490">
        <f>1+COUNTIF(bounds,"&lt;"&amp;ROUND(AE490,12))</f>
        <v/>
      </c>
      <c r="AH490">
        <f>IF(AD490&lt;1,1,0)</f>
        <v/>
      </c>
      <c r="AI490">
        <f>IF(AF490&lt;&gt;AG490,1,0)</f>
        <v/>
      </c>
      <c r="AJ490">
        <f>IF(AND(AG490&gt;=3,Z490&lt;=0.2),1,0)</f>
        <v/>
      </c>
      <c r="AK490">
        <f>AVERAGE(U490:Z490)</f>
        <v/>
      </c>
      <c r="AL490">
        <f>1+COUNTIF(bounds,"&lt;"&amp;ROUND(AK490,12))</f>
        <v/>
      </c>
      <c r="AM490">
        <f>IF(AI490=1,AB490,NA())</f>
        <v/>
      </c>
      <c r="AN490">
        <f>IF(AI490=0,AB490,NA())</f>
        <v/>
      </c>
    </row>
    <row r="491">
      <c r="A491" t="n">
        <v>483</v>
      </c>
      <c r="B491" t="n">
        <v>5</v>
      </c>
      <c r="C491" t="n">
        <v>3</v>
      </c>
      <c r="D491" t="n">
        <v>5</v>
      </c>
      <c r="E491" t="n">
        <v>3</v>
      </c>
      <c r="F491" t="n">
        <v>4</v>
      </c>
      <c r="G491" t="n">
        <v>3</v>
      </c>
      <c r="H491" t="n">
        <v>2</v>
      </c>
      <c r="I491" t="n">
        <v>5</v>
      </c>
      <c r="J491" t="n">
        <v>5</v>
      </c>
      <c r="K491" t="n">
        <v>1</v>
      </c>
      <c r="L491" t="n">
        <v>4</v>
      </c>
      <c r="M491" t="n">
        <v>2</v>
      </c>
      <c r="N491" t="n">
        <v>2</v>
      </c>
      <c r="O491" t="n">
        <v>2</v>
      </c>
      <c r="P491" t="n">
        <v>4</v>
      </c>
      <c r="Q491" t="n">
        <v>4</v>
      </c>
      <c r="R491" t="n">
        <v>2</v>
      </c>
      <c r="S491" t="n">
        <v>1</v>
      </c>
      <c r="T491" t="n">
        <v>3</v>
      </c>
      <c r="U491">
        <f>(AVERAGE(B491:D491)-1)/4</f>
        <v/>
      </c>
      <c r="V491">
        <f>(AVERAGE(E491:F491)-1)/4</f>
        <v/>
      </c>
      <c r="W491">
        <f>(AVERAGE(G491:I491)-1)/4</f>
        <v/>
      </c>
      <c r="X491">
        <f>(AVERAGE(J491:L491)-1)/4</f>
        <v/>
      </c>
      <c r="Y491">
        <f>(AVERAGE(M491:O491)-1)/4</f>
        <v/>
      </c>
      <c r="Z491">
        <f>(AVERAGE(P491:R491)-1)/4</f>
        <v/>
      </c>
      <c r="AA491">
        <f>(AVERAGE(S491:T491)-1)/4</f>
        <v/>
      </c>
      <c r="AB491">
        <f>AVERAGE(U491:Y491)</f>
        <v/>
      </c>
      <c r="AC491">
        <f>MIN(U491:Y491)</f>
        <v/>
      </c>
      <c r="AD491">
        <f>1-alpha*MAX(0,delta-AC491)</f>
        <v/>
      </c>
      <c r="AE491">
        <f>AB491*AD491</f>
        <v/>
      </c>
      <c r="AF491">
        <f>1+COUNTIF(bounds,"&lt;"&amp;ROUND(AB491,12))</f>
        <v/>
      </c>
      <c r="AG491">
        <f>1+COUNTIF(bounds,"&lt;"&amp;ROUND(AE491,12))</f>
        <v/>
      </c>
      <c r="AH491">
        <f>IF(AD491&lt;1,1,0)</f>
        <v/>
      </c>
      <c r="AI491">
        <f>IF(AF491&lt;&gt;AG491,1,0)</f>
        <v/>
      </c>
      <c r="AJ491">
        <f>IF(AND(AG491&gt;=3,Z491&lt;=0.2),1,0)</f>
        <v/>
      </c>
      <c r="AK491">
        <f>AVERAGE(U491:Z491)</f>
        <v/>
      </c>
      <c r="AL491">
        <f>1+COUNTIF(bounds,"&lt;"&amp;ROUND(AK491,12))</f>
        <v/>
      </c>
      <c r="AM491">
        <f>IF(AI491=1,AB491,NA())</f>
        <v/>
      </c>
      <c r="AN491">
        <f>IF(AI491=0,AB491,NA())</f>
        <v/>
      </c>
    </row>
    <row r="492">
      <c r="A492" t="n">
        <v>484</v>
      </c>
      <c r="B492" t="n">
        <v>4</v>
      </c>
      <c r="C492" t="n">
        <v>3</v>
      </c>
      <c r="D492" t="n">
        <v>4</v>
      </c>
      <c r="E492" t="n">
        <v>1</v>
      </c>
      <c r="F492" t="n">
        <v>3</v>
      </c>
      <c r="G492" t="n">
        <v>3</v>
      </c>
      <c r="H492" t="n">
        <v>2</v>
      </c>
      <c r="I492" t="n">
        <v>4</v>
      </c>
      <c r="J492" t="n">
        <v>1</v>
      </c>
      <c r="K492" t="n">
        <v>1</v>
      </c>
      <c r="L492" t="n">
        <v>5</v>
      </c>
      <c r="M492" t="n">
        <v>3</v>
      </c>
      <c r="N492" t="n">
        <v>5</v>
      </c>
      <c r="O492" t="n">
        <v>4</v>
      </c>
      <c r="P492" t="n">
        <v>2</v>
      </c>
      <c r="Q492" t="n">
        <v>1</v>
      </c>
      <c r="R492" t="n">
        <v>1</v>
      </c>
      <c r="S492" t="n">
        <v>5</v>
      </c>
      <c r="T492" t="n">
        <v>4</v>
      </c>
      <c r="U492">
        <f>(AVERAGE(B492:D492)-1)/4</f>
        <v/>
      </c>
      <c r="V492">
        <f>(AVERAGE(E492:F492)-1)/4</f>
        <v/>
      </c>
      <c r="W492">
        <f>(AVERAGE(G492:I492)-1)/4</f>
        <v/>
      </c>
      <c r="X492">
        <f>(AVERAGE(J492:L492)-1)/4</f>
        <v/>
      </c>
      <c r="Y492">
        <f>(AVERAGE(M492:O492)-1)/4</f>
        <v/>
      </c>
      <c r="Z492">
        <f>(AVERAGE(P492:R492)-1)/4</f>
        <v/>
      </c>
      <c r="AA492">
        <f>(AVERAGE(S492:T492)-1)/4</f>
        <v/>
      </c>
      <c r="AB492">
        <f>AVERAGE(U492:Y492)</f>
        <v/>
      </c>
      <c r="AC492">
        <f>MIN(U492:Y492)</f>
        <v/>
      </c>
      <c r="AD492">
        <f>1-alpha*MAX(0,delta-AC492)</f>
        <v/>
      </c>
      <c r="AE492">
        <f>AB492*AD492</f>
        <v/>
      </c>
      <c r="AF492">
        <f>1+COUNTIF(bounds,"&lt;"&amp;ROUND(AB492,12))</f>
        <v/>
      </c>
      <c r="AG492">
        <f>1+COUNTIF(bounds,"&lt;"&amp;ROUND(AE492,12))</f>
        <v/>
      </c>
      <c r="AH492">
        <f>IF(AD492&lt;1,1,0)</f>
        <v/>
      </c>
      <c r="AI492">
        <f>IF(AF492&lt;&gt;AG492,1,0)</f>
        <v/>
      </c>
      <c r="AJ492">
        <f>IF(AND(AG492&gt;=3,Z492&lt;=0.2),1,0)</f>
        <v/>
      </c>
      <c r="AK492">
        <f>AVERAGE(U492:Z492)</f>
        <v/>
      </c>
      <c r="AL492">
        <f>1+COUNTIF(bounds,"&lt;"&amp;ROUND(AK492,12))</f>
        <v/>
      </c>
      <c r="AM492">
        <f>IF(AI492=1,AB492,NA())</f>
        <v/>
      </c>
      <c r="AN492">
        <f>IF(AI492=0,AB492,NA())</f>
        <v/>
      </c>
    </row>
    <row r="493">
      <c r="A493" t="n">
        <v>485</v>
      </c>
      <c r="B493" t="n">
        <v>3</v>
      </c>
      <c r="C493" t="n">
        <v>1</v>
      </c>
      <c r="D493" t="n">
        <v>1</v>
      </c>
      <c r="E493" t="n">
        <v>3</v>
      </c>
      <c r="F493" t="n">
        <v>5</v>
      </c>
      <c r="G493" t="n">
        <v>3</v>
      </c>
      <c r="H493" t="n">
        <v>2</v>
      </c>
      <c r="I493" t="n">
        <v>2</v>
      </c>
      <c r="J493" t="n">
        <v>5</v>
      </c>
      <c r="K493" t="n">
        <v>5</v>
      </c>
      <c r="L493" t="n">
        <v>3</v>
      </c>
      <c r="M493" t="n">
        <v>1</v>
      </c>
      <c r="N493" t="n">
        <v>1</v>
      </c>
      <c r="O493" t="n">
        <v>1</v>
      </c>
      <c r="P493" t="n">
        <v>3</v>
      </c>
      <c r="Q493" t="n">
        <v>5</v>
      </c>
      <c r="R493" t="n">
        <v>2</v>
      </c>
      <c r="S493" t="n">
        <v>5</v>
      </c>
      <c r="T493" t="n">
        <v>3</v>
      </c>
      <c r="U493">
        <f>(AVERAGE(B493:D493)-1)/4</f>
        <v/>
      </c>
      <c r="V493">
        <f>(AVERAGE(E493:F493)-1)/4</f>
        <v/>
      </c>
      <c r="W493">
        <f>(AVERAGE(G493:I493)-1)/4</f>
        <v/>
      </c>
      <c r="X493">
        <f>(AVERAGE(J493:L493)-1)/4</f>
        <v/>
      </c>
      <c r="Y493">
        <f>(AVERAGE(M493:O493)-1)/4</f>
        <v/>
      </c>
      <c r="Z493">
        <f>(AVERAGE(P493:R493)-1)/4</f>
        <v/>
      </c>
      <c r="AA493">
        <f>(AVERAGE(S493:T493)-1)/4</f>
        <v/>
      </c>
      <c r="AB493">
        <f>AVERAGE(U493:Y493)</f>
        <v/>
      </c>
      <c r="AC493">
        <f>MIN(U493:Y493)</f>
        <v/>
      </c>
      <c r="AD493">
        <f>1-alpha*MAX(0,delta-AC493)</f>
        <v/>
      </c>
      <c r="AE493">
        <f>AB493*AD493</f>
        <v/>
      </c>
      <c r="AF493">
        <f>1+COUNTIF(bounds,"&lt;"&amp;ROUND(AB493,12))</f>
        <v/>
      </c>
      <c r="AG493">
        <f>1+COUNTIF(bounds,"&lt;"&amp;ROUND(AE493,12))</f>
        <v/>
      </c>
      <c r="AH493">
        <f>IF(AD493&lt;1,1,0)</f>
        <v/>
      </c>
      <c r="AI493">
        <f>IF(AF493&lt;&gt;AG493,1,0)</f>
        <v/>
      </c>
      <c r="AJ493">
        <f>IF(AND(AG493&gt;=3,Z493&lt;=0.2),1,0)</f>
        <v/>
      </c>
      <c r="AK493">
        <f>AVERAGE(U493:Z493)</f>
        <v/>
      </c>
      <c r="AL493">
        <f>1+COUNTIF(bounds,"&lt;"&amp;ROUND(AK493,12))</f>
        <v/>
      </c>
      <c r="AM493">
        <f>IF(AI493=1,AB493,NA())</f>
        <v/>
      </c>
      <c r="AN493">
        <f>IF(AI493=0,AB493,NA())</f>
        <v/>
      </c>
    </row>
    <row r="494">
      <c r="A494" t="n">
        <v>486</v>
      </c>
      <c r="B494" t="n">
        <v>5</v>
      </c>
      <c r="C494" t="n">
        <v>2</v>
      </c>
      <c r="D494" t="n">
        <v>5</v>
      </c>
      <c r="E494" t="n">
        <v>1</v>
      </c>
      <c r="F494" t="n">
        <v>3</v>
      </c>
      <c r="G494" t="n">
        <v>1</v>
      </c>
      <c r="H494" t="n">
        <v>3</v>
      </c>
      <c r="I494" t="n">
        <v>2</v>
      </c>
      <c r="J494" t="n">
        <v>3</v>
      </c>
      <c r="K494" t="n">
        <v>1</v>
      </c>
      <c r="L494" t="n">
        <v>3</v>
      </c>
      <c r="M494" t="n">
        <v>4</v>
      </c>
      <c r="N494" t="n">
        <v>3</v>
      </c>
      <c r="O494" t="n">
        <v>2</v>
      </c>
      <c r="P494" t="n">
        <v>3</v>
      </c>
      <c r="Q494" t="n">
        <v>1</v>
      </c>
      <c r="R494" t="n">
        <v>1</v>
      </c>
      <c r="S494" t="n">
        <v>4</v>
      </c>
      <c r="T494" t="n">
        <v>1</v>
      </c>
      <c r="U494">
        <f>(AVERAGE(B494:D494)-1)/4</f>
        <v/>
      </c>
      <c r="V494">
        <f>(AVERAGE(E494:F494)-1)/4</f>
        <v/>
      </c>
      <c r="W494">
        <f>(AVERAGE(G494:I494)-1)/4</f>
        <v/>
      </c>
      <c r="X494">
        <f>(AVERAGE(J494:L494)-1)/4</f>
        <v/>
      </c>
      <c r="Y494">
        <f>(AVERAGE(M494:O494)-1)/4</f>
        <v/>
      </c>
      <c r="Z494">
        <f>(AVERAGE(P494:R494)-1)/4</f>
        <v/>
      </c>
      <c r="AA494">
        <f>(AVERAGE(S494:T494)-1)/4</f>
        <v/>
      </c>
      <c r="AB494">
        <f>AVERAGE(U494:Y494)</f>
        <v/>
      </c>
      <c r="AC494">
        <f>MIN(U494:Y494)</f>
        <v/>
      </c>
      <c r="AD494">
        <f>1-alpha*MAX(0,delta-AC494)</f>
        <v/>
      </c>
      <c r="AE494">
        <f>AB494*AD494</f>
        <v/>
      </c>
      <c r="AF494">
        <f>1+COUNTIF(bounds,"&lt;"&amp;ROUND(AB494,12))</f>
        <v/>
      </c>
      <c r="AG494">
        <f>1+COUNTIF(bounds,"&lt;"&amp;ROUND(AE494,12))</f>
        <v/>
      </c>
      <c r="AH494">
        <f>IF(AD494&lt;1,1,0)</f>
        <v/>
      </c>
      <c r="AI494">
        <f>IF(AF494&lt;&gt;AG494,1,0)</f>
        <v/>
      </c>
      <c r="AJ494">
        <f>IF(AND(AG494&gt;=3,Z494&lt;=0.2),1,0)</f>
        <v/>
      </c>
      <c r="AK494">
        <f>AVERAGE(U494:Z494)</f>
        <v/>
      </c>
      <c r="AL494">
        <f>1+COUNTIF(bounds,"&lt;"&amp;ROUND(AK494,12))</f>
        <v/>
      </c>
      <c r="AM494">
        <f>IF(AI494=1,AB494,NA())</f>
        <v/>
      </c>
      <c r="AN494">
        <f>IF(AI494=0,AB494,NA())</f>
        <v/>
      </c>
    </row>
    <row r="495">
      <c r="A495" t="n">
        <v>487</v>
      </c>
      <c r="B495" t="n">
        <v>3</v>
      </c>
      <c r="C495" t="n">
        <v>1</v>
      </c>
      <c r="D495" t="n">
        <v>3</v>
      </c>
      <c r="E495" t="n">
        <v>3</v>
      </c>
      <c r="F495" t="n">
        <v>4</v>
      </c>
      <c r="G495" t="n">
        <v>1</v>
      </c>
      <c r="H495" t="n">
        <v>4</v>
      </c>
      <c r="I495" t="n">
        <v>5</v>
      </c>
      <c r="J495" t="n">
        <v>2</v>
      </c>
      <c r="K495" t="n">
        <v>4</v>
      </c>
      <c r="L495" t="n">
        <v>3</v>
      </c>
      <c r="M495" t="n">
        <v>5</v>
      </c>
      <c r="N495" t="n">
        <v>5</v>
      </c>
      <c r="O495" t="n">
        <v>1</v>
      </c>
      <c r="P495" t="n">
        <v>2</v>
      </c>
      <c r="Q495" t="n">
        <v>5</v>
      </c>
      <c r="R495" t="n">
        <v>2</v>
      </c>
      <c r="S495" t="n">
        <v>1</v>
      </c>
      <c r="T495" t="n">
        <v>1</v>
      </c>
      <c r="U495">
        <f>(AVERAGE(B495:D495)-1)/4</f>
        <v/>
      </c>
      <c r="V495">
        <f>(AVERAGE(E495:F495)-1)/4</f>
        <v/>
      </c>
      <c r="W495">
        <f>(AVERAGE(G495:I495)-1)/4</f>
        <v/>
      </c>
      <c r="X495">
        <f>(AVERAGE(J495:L495)-1)/4</f>
        <v/>
      </c>
      <c r="Y495">
        <f>(AVERAGE(M495:O495)-1)/4</f>
        <v/>
      </c>
      <c r="Z495">
        <f>(AVERAGE(P495:R495)-1)/4</f>
        <v/>
      </c>
      <c r="AA495">
        <f>(AVERAGE(S495:T495)-1)/4</f>
        <v/>
      </c>
      <c r="AB495">
        <f>AVERAGE(U495:Y495)</f>
        <v/>
      </c>
      <c r="AC495">
        <f>MIN(U495:Y495)</f>
        <v/>
      </c>
      <c r="AD495">
        <f>1-alpha*MAX(0,delta-AC495)</f>
        <v/>
      </c>
      <c r="AE495">
        <f>AB495*AD495</f>
        <v/>
      </c>
      <c r="AF495">
        <f>1+COUNTIF(bounds,"&lt;"&amp;ROUND(AB495,12))</f>
        <v/>
      </c>
      <c r="AG495">
        <f>1+COUNTIF(bounds,"&lt;"&amp;ROUND(AE495,12))</f>
        <v/>
      </c>
      <c r="AH495">
        <f>IF(AD495&lt;1,1,0)</f>
        <v/>
      </c>
      <c r="AI495">
        <f>IF(AF495&lt;&gt;AG495,1,0)</f>
        <v/>
      </c>
      <c r="AJ495">
        <f>IF(AND(AG495&gt;=3,Z495&lt;=0.2),1,0)</f>
        <v/>
      </c>
      <c r="AK495">
        <f>AVERAGE(U495:Z495)</f>
        <v/>
      </c>
      <c r="AL495">
        <f>1+COUNTIF(bounds,"&lt;"&amp;ROUND(AK495,12))</f>
        <v/>
      </c>
      <c r="AM495">
        <f>IF(AI495=1,AB495,NA())</f>
        <v/>
      </c>
      <c r="AN495">
        <f>IF(AI495=0,AB495,NA())</f>
        <v/>
      </c>
    </row>
    <row r="496">
      <c r="A496" t="n">
        <v>488</v>
      </c>
      <c r="B496" t="n">
        <v>1</v>
      </c>
      <c r="C496" t="n">
        <v>4</v>
      </c>
      <c r="D496" t="n">
        <v>2</v>
      </c>
      <c r="E496" t="n">
        <v>4</v>
      </c>
      <c r="F496" t="n">
        <v>4</v>
      </c>
      <c r="G496" t="n">
        <v>4</v>
      </c>
      <c r="H496" t="n">
        <v>3</v>
      </c>
      <c r="I496" t="n">
        <v>4</v>
      </c>
      <c r="J496" t="n">
        <v>4</v>
      </c>
      <c r="K496" t="n">
        <v>5</v>
      </c>
      <c r="L496" t="n">
        <v>1</v>
      </c>
      <c r="M496" t="n">
        <v>1</v>
      </c>
      <c r="N496" t="n">
        <v>1</v>
      </c>
      <c r="O496" t="n">
        <v>4</v>
      </c>
      <c r="P496" t="n">
        <v>3</v>
      </c>
      <c r="Q496" t="n">
        <v>1</v>
      </c>
      <c r="R496" t="n">
        <v>5</v>
      </c>
      <c r="S496" t="n">
        <v>1</v>
      </c>
      <c r="T496" t="n">
        <v>2</v>
      </c>
      <c r="U496">
        <f>(AVERAGE(B496:D496)-1)/4</f>
        <v/>
      </c>
      <c r="V496">
        <f>(AVERAGE(E496:F496)-1)/4</f>
        <v/>
      </c>
      <c r="W496">
        <f>(AVERAGE(G496:I496)-1)/4</f>
        <v/>
      </c>
      <c r="X496">
        <f>(AVERAGE(J496:L496)-1)/4</f>
        <v/>
      </c>
      <c r="Y496">
        <f>(AVERAGE(M496:O496)-1)/4</f>
        <v/>
      </c>
      <c r="Z496">
        <f>(AVERAGE(P496:R496)-1)/4</f>
        <v/>
      </c>
      <c r="AA496">
        <f>(AVERAGE(S496:T496)-1)/4</f>
        <v/>
      </c>
      <c r="AB496">
        <f>AVERAGE(U496:Y496)</f>
        <v/>
      </c>
      <c r="AC496">
        <f>MIN(U496:Y496)</f>
        <v/>
      </c>
      <c r="AD496">
        <f>1-alpha*MAX(0,delta-AC496)</f>
        <v/>
      </c>
      <c r="AE496">
        <f>AB496*AD496</f>
        <v/>
      </c>
      <c r="AF496">
        <f>1+COUNTIF(bounds,"&lt;"&amp;ROUND(AB496,12))</f>
        <v/>
      </c>
      <c r="AG496">
        <f>1+COUNTIF(bounds,"&lt;"&amp;ROUND(AE496,12))</f>
        <v/>
      </c>
      <c r="AH496">
        <f>IF(AD496&lt;1,1,0)</f>
        <v/>
      </c>
      <c r="AI496">
        <f>IF(AF496&lt;&gt;AG496,1,0)</f>
        <v/>
      </c>
      <c r="AJ496">
        <f>IF(AND(AG496&gt;=3,Z496&lt;=0.2),1,0)</f>
        <v/>
      </c>
      <c r="AK496">
        <f>AVERAGE(U496:Z496)</f>
        <v/>
      </c>
      <c r="AL496">
        <f>1+COUNTIF(bounds,"&lt;"&amp;ROUND(AK496,12))</f>
        <v/>
      </c>
      <c r="AM496">
        <f>IF(AI496=1,AB496,NA())</f>
        <v/>
      </c>
      <c r="AN496">
        <f>IF(AI496=0,AB496,NA())</f>
        <v/>
      </c>
    </row>
    <row r="497">
      <c r="A497" t="n">
        <v>489</v>
      </c>
      <c r="B497" t="n">
        <v>4</v>
      </c>
      <c r="C497" t="n">
        <v>1</v>
      </c>
      <c r="D497" t="n">
        <v>1</v>
      </c>
      <c r="E497" t="n">
        <v>4</v>
      </c>
      <c r="F497" t="n">
        <v>1</v>
      </c>
      <c r="G497" t="n">
        <v>4</v>
      </c>
      <c r="H497" t="n">
        <v>3</v>
      </c>
      <c r="I497" t="n">
        <v>3</v>
      </c>
      <c r="J497" t="n">
        <v>3</v>
      </c>
      <c r="K497" t="n">
        <v>5</v>
      </c>
      <c r="L497" t="n">
        <v>2</v>
      </c>
      <c r="M497" t="n">
        <v>5</v>
      </c>
      <c r="N497" t="n">
        <v>5</v>
      </c>
      <c r="O497" t="n">
        <v>5</v>
      </c>
      <c r="P497" t="n">
        <v>2</v>
      </c>
      <c r="Q497" t="n">
        <v>5</v>
      </c>
      <c r="R497" t="n">
        <v>2</v>
      </c>
      <c r="S497" t="n">
        <v>5</v>
      </c>
      <c r="T497" t="n">
        <v>1</v>
      </c>
      <c r="U497">
        <f>(AVERAGE(B497:D497)-1)/4</f>
        <v/>
      </c>
      <c r="V497">
        <f>(AVERAGE(E497:F497)-1)/4</f>
        <v/>
      </c>
      <c r="W497">
        <f>(AVERAGE(G497:I497)-1)/4</f>
        <v/>
      </c>
      <c r="X497">
        <f>(AVERAGE(J497:L497)-1)/4</f>
        <v/>
      </c>
      <c r="Y497">
        <f>(AVERAGE(M497:O497)-1)/4</f>
        <v/>
      </c>
      <c r="Z497">
        <f>(AVERAGE(P497:R497)-1)/4</f>
        <v/>
      </c>
      <c r="AA497">
        <f>(AVERAGE(S497:T497)-1)/4</f>
        <v/>
      </c>
      <c r="AB497">
        <f>AVERAGE(U497:Y497)</f>
        <v/>
      </c>
      <c r="AC497">
        <f>MIN(U497:Y497)</f>
        <v/>
      </c>
      <c r="AD497">
        <f>1-alpha*MAX(0,delta-AC497)</f>
        <v/>
      </c>
      <c r="AE497">
        <f>AB497*AD497</f>
        <v/>
      </c>
      <c r="AF497">
        <f>1+COUNTIF(bounds,"&lt;"&amp;ROUND(AB497,12))</f>
        <v/>
      </c>
      <c r="AG497">
        <f>1+COUNTIF(bounds,"&lt;"&amp;ROUND(AE497,12))</f>
        <v/>
      </c>
      <c r="AH497">
        <f>IF(AD497&lt;1,1,0)</f>
        <v/>
      </c>
      <c r="AI497">
        <f>IF(AF497&lt;&gt;AG497,1,0)</f>
        <v/>
      </c>
      <c r="AJ497">
        <f>IF(AND(AG497&gt;=3,Z497&lt;=0.2),1,0)</f>
        <v/>
      </c>
      <c r="AK497">
        <f>AVERAGE(U497:Z497)</f>
        <v/>
      </c>
      <c r="AL497">
        <f>1+COUNTIF(bounds,"&lt;"&amp;ROUND(AK497,12))</f>
        <v/>
      </c>
      <c r="AM497">
        <f>IF(AI497=1,AB497,NA())</f>
        <v/>
      </c>
      <c r="AN497">
        <f>IF(AI497=0,AB497,NA())</f>
        <v/>
      </c>
    </row>
    <row r="498">
      <c r="A498" t="n">
        <v>490</v>
      </c>
      <c r="B498" t="n">
        <v>1</v>
      </c>
      <c r="C498" t="n">
        <v>5</v>
      </c>
      <c r="D498" t="n">
        <v>2</v>
      </c>
      <c r="E498" t="n">
        <v>3</v>
      </c>
      <c r="F498" t="n">
        <v>2</v>
      </c>
      <c r="G498" t="n">
        <v>4</v>
      </c>
      <c r="H498" t="n">
        <v>3</v>
      </c>
      <c r="I498" t="n">
        <v>1</v>
      </c>
      <c r="J498" t="n">
        <v>2</v>
      </c>
      <c r="K498" t="n">
        <v>5</v>
      </c>
      <c r="L498" t="n">
        <v>3</v>
      </c>
      <c r="M498" t="n">
        <v>3</v>
      </c>
      <c r="N498" t="n">
        <v>3</v>
      </c>
      <c r="O498" t="n">
        <v>3</v>
      </c>
      <c r="P498" t="n">
        <v>2</v>
      </c>
      <c r="Q498" t="n">
        <v>1</v>
      </c>
      <c r="R498" t="n">
        <v>5</v>
      </c>
      <c r="S498" t="n">
        <v>3</v>
      </c>
      <c r="T498" t="n">
        <v>2</v>
      </c>
      <c r="U498">
        <f>(AVERAGE(B498:D498)-1)/4</f>
        <v/>
      </c>
      <c r="V498">
        <f>(AVERAGE(E498:F498)-1)/4</f>
        <v/>
      </c>
      <c r="W498">
        <f>(AVERAGE(G498:I498)-1)/4</f>
        <v/>
      </c>
      <c r="X498">
        <f>(AVERAGE(J498:L498)-1)/4</f>
        <v/>
      </c>
      <c r="Y498">
        <f>(AVERAGE(M498:O498)-1)/4</f>
        <v/>
      </c>
      <c r="Z498">
        <f>(AVERAGE(P498:R498)-1)/4</f>
        <v/>
      </c>
      <c r="AA498">
        <f>(AVERAGE(S498:T498)-1)/4</f>
        <v/>
      </c>
      <c r="AB498">
        <f>AVERAGE(U498:Y498)</f>
        <v/>
      </c>
      <c r="AC498">
        <f>MIN(U498:Y498)</f>
        <v/>
      </c>
      <c r="AD498">
        <f>1-alpha*MAX(0,delta-AC498)</f>
        <v/>
      </c>
      <c r="AE498">
        <f>AB498*AD498</f>
        <v/>
      </c>
      <c r="AF498">
        <f>1+COUNTIF(bounds,"&lt;"&amp;ROUND(AB498,12))</f>
        <v/>
      </c>
      <c r="AG498">
        <f>1+COUNTIF(bounds,"&lt;"&amp;ROUND(AE498,12))</f>
        <v/>
      </c>
      <c r="AH498">
        <f>IF(AD498&lt;1,1,0)</f>
        <v/>
      </c>
      <c r="AI498">
        <f>IF(AF498&lt;&gt;AG498,1,0)</f>
        <v/>
      </c>
      <c r="AJ498">
        <f>IF(AND(AG498&gt;=3,Z498&lt;=0.2),1,0)</f>
        <v/>
      </c>
      <c r="AK498">
        <f>AVERAGE(U498:Z498)</f>
        <v/>
      </c>
      <c r="AL498">
        <f>1+COUNTIF(bounds,"&lt;"&amp;ROUND(AK498,12))</f>
        <v/>
      </c>
      <c r="AM498">
        <f>IF(AI498=1,AB498,NA())</f>
        <v/>
      </c>
      <c r="AN498">
        <f>IF(AI498=0,AB498,NA())</f>
        <v/>
      </c>
    </row>
    <row r="499">
      <c r="A499" t="n">
        <v>491</v>
      </c>
      <c r="B499" t="n">
        <v>3</v>
      </c>
      <c r="C499" t="n">
        <v>2</v>
      </c>
      <c r="D499" t="n">
        <v>2</v>
      </c>
      <c r="E499" t="n">
        <v>5</v>
      </c>
      <c r="F499" t="n">
        <v>2</v>
      </c>
      <c r="G499" t="n">
        <v>3</v>
      </c>
      <c r="H499" t="n">
        <v>5</v>
      </c>
      <c r="I499" t="n">
        <v>4</v>
      </c>
      <c r="J499" t="n">
        <v>4</v>
      </c>
      <c r="K499" t="n">
        <v>5</v>
      </c>
      <c r="L499" t="n">
        <v>3</v>
      </c>
      <c r="M499" t="n">
        <v>3</v>
      </c>
      <c r="N499" t="n">
        <v>5</v>
      </c>
      <c r="O499" t="n">
        <v>2</v>
      </c>
      <c r="P499" t="n">
        <v>2</v>
      </c>
      <c r="Q499" t="n">
        <v>3</v>
      </c>
      <c r="R499" t="n">
        <v>1</v>
      </c>
      <c r="S499" t="n">
        <v>5</v>
      </c>
      <c r="T499" t="n">
        <v>4</v>
      </c>
      <c r="U499">
        <f>(AVERAGE(B499:D499)-1)/4</f>
        <v/>
      </c>
      <c r="V499">
        <f>(AVERAGE(E499:F499)-1)/4</f>
        <v/>
      </c>
      <c r="W499">
        <f>(AVERAGE(G499:I499)-1)/4</f>
        <v/>
      </c>
      <c r="X499">
        <f>(AVERAGE(J499:L499)-1)/4</f>
        <v/>
      </c>
      <c r="Y499">
        <f>(AVERAGE(M499:O499)-1)/4</f>
        <v/>
      </c>
      <c r="Z499">
        <f>(AVERAGE(P499:R499)-1)/4</f>
        <v/>
      </c>
      <c r="AA499">
        <f>(AVERAGE(S499:T499)-1)/4</f>
        <v/>
      </c>
      <c r="AB499">
        <f>AVERAGE(U499:Y499)</f>
        <v/>
      </c>
      <c r="AC499">
        <f>MIN(U499:Y499)</f>
        <v/>
      </c>
      <c r="AD499">
        <f>1-alpha*MAX(0,delta-AC499)</f>
        <v/>
      </c>
      <c r="AE499">
        <f>AB499*AD499</f>
        <v/>
      </c>
      <c r="AF499">
        <f>1+COUNTIF(bounds,"&lt;"&amp;ROUND(AB499,12))</f>
        <v/>
      </c>
      <c r="AG499">
        <f>1+COUNTIF(bounds,"&lt;"&amp;ROUND(AE499,12))</f>
        <v/>
      </c>
      <c r="AH499">
        <f>IF(AD499&lt;1,1,0)</f>
        <v/>
      </c>
      <c r="AI499">
        <f>IF(AF499&lt;&gt;AG499,1,0)</f>
        <v/>
      </c>
      <c r="AJ499">
        <f>IF(AND(AG499&gt;=3,Z499&lt;=0.2),1,0)</f>
        <v/>
      </c>
      <c r="AK499">
        <f>AVERAGE(U499:Z499)</f>
        <v/>
      </c>
      <c r="AL499">
        <f>1+COUNTIF(bounds,"&lt;"&amp;ROUND(AK499,12))</f>
        <v/>
      </c>
      <c r="AM499">
        <f>IF(AI499=1,AB499,NA())</f>
        <v/>
      </c>
      <c r="AN499">
        <f>IF(AI499=0,AB499,NA())</f>
        <v/>
      </c>
    </row>
    <row r="500">
      <c r="A500" t="n">
        <v>492</v>
      </c>
      <c r="B500" t="n">
        <v>1</v>
      </c>
      <c r="C500" t="n">
        <v>3</v>
      </c>
      <c r="D500" t="n">
        <v>3</v>
      </c>
      <c r="E500" t="n">
        <v>2</v>
      </c>
      <c r="F500" t="n">
        <v>5</v>
      </c>
      <c r="G500" t="n">
        <v>1</v>
      </c>
      <c r="H500" t="n">
        <v>2</v>
      </c>
      <c r="I500" t="n">
        <v>2</v>
      </c>
      <c r="J500" t="n">
        <v>2</v>
      </c>
      <c r="K500" t="n">
        <v>5</v>
      </c>
      <c r="L500" t="n">
        <v>5</v>
      </c>
      <c r="M500" t="n">
        <v>1</v>
      </c>
      <c r="N500" t="n">
        <v>3</v>
      </c>
      <c r="O500" t="n">
        <v>5</v>
      </c>
      <c r="P500" t="n">
        <v>5</v>
      </c>
      <c r="Q500" t="n">
        <v>3</v>
      </c>
      <c r="R500" t="n">
        <v>3</v>
      </c>
      <c r="S500" t="n">
        <v>4</v>
      </c>
      <c r="T500" t="n">
        <v>5</v>
      </c>
      <c r="U500">
        <f>(AVERAGE(B500:D500)-1)/4</f>
        <v/>
      </c>
      <c r="V500">
        <f>(AVERAGE(E500:F500)-1)/4</f>
        <v/>
      </c>
      <c r="W500">
        <f>(AVERAGE(G500:I500)-1)/4</f>
        <v/>
      </c>
      <c r="X500">
        <f>(AVERAGE(J500:L500)-1)/4</f>
        <v/>
      </c>
      <c r="Y500">
        <f>(AVERAGE(M500:O500)-1)/4</f>
        <v/>
      </c>
      <c r="Z500">
        <f>(AVERAGE(P500:R500)-1)/4</f>
        <v/>
      </c>
      <c r="AA500">
        <f>(AVERAGE(S500:T500)-1)/4</f>
        <v/>
      </c>
      <c r="AB500">
        <f>AVERAGE(U500:Y500)</f>
        <v/>
      </c>
      <c r="AC500">
        <f>MIN(U500:Y500)</f>
        <v/>
      </c>
      <c r="AD500">
        <f>1-alpha*MAX(0,delta-AC500)</f>
        <v/>
      </c>
      <c r="AE500">
        <f>AB500*AD500</f>
        <v/>
      </c>
      <c r="AF500">
        <f>1+COUNTIF(bounds,"&lt;"&amp;ROUND(AB500,12))</f>
        <v/>
      </c>
      <c r="AG500">
        <f>1+COUNTIF(bounds,"&lt;"&amp;ROUND(AE500,12))</f>
        <v/>
      </c>
      <c r="AH500">
        <f>IF(AD500&lt;1,1,0)</f>
        <v/>
      </c>
      <c r="AI500">
        <f>IF(AF500&lt;&gt;AG500,1,0)</f>
        <v/>
      </c>
      <c r="AJ500">
        <f>IF(AND(AG500&gt;=3,Z500&lt;=0.2),1,0)</f>
        <v/>
      </c>
      <c r="AK500">
        <f>AVERAGE(U500:Z500)</f>
        <v/>
      </c>
      <c r="AL500">
        <f>1+COUNTIF(bounds,"&lt;"&amp;ROUND(AK500,12))</f>
        <v/>
      </c>
      <c r="AM500">
        <f>IF(AI500=1,AB500,NA())</f>
        <v/>
      </c>
      <c r="AN500">
        <f>IF(AI500=0,AB500,NA())</f>
        <v/>
      </c>
    </row>
    <row r="501">
      <c r="A501" t="n">
        <v>493</v>
      </c>
      <c r="B501" t="n">
        <v>5</v>
      </c>
      <c r="C501" t="n">
        <v>5</v>
      </c>
      <c r="D501" t="n">
        <v>5</v>
      </c>
      <c r="E501" t="n">
        <v>4</v>
      </c>
      <c r="F501" t="n">
        <v>1</v>
      </c>
      <c r="G501" t="n">
        <v>1</v>
      </c>
      <c r="H501" t="n">
        <v>5</v>
      </c>
      <c r="I501" t="n">
        <v>3</v>
      </c>
      <c r="J501" t="n">
        <v>2</v>
      </c>
      <c r="K501" t="n">
        <v>5</v>
      </c>
      <c r="L501" t="n">
        <v>4</v>
      </c>
      <c r="M501" t="n">
        <v>3</v>
      </c>
      <c r="N501" t="n">
        <v>2</v>
      </c>
      <c r="O501" t="n">
        <v>2</v>
      </c>
      <c r="P501" t="n">
        <v>2</v>
      </c>
      <c r="Q501" t="n">
        <v>5</v>
      </c>
      <c r="R501" t="n">
        <v>2</v>
      </c>
      <c r="S501" t="n">
        <v>1</v>
      </c>
      <c r="T501" t="n">
        <v>4</v>
      </c>
      <c r="U501">
        <f>(AVERAGE(B501:D501)-1)/4</f>
        <v/>
      </c>
      <c r="V501">
        <f>(AVERAGE(E501:F501)-1)/4</f>
        <v/>
      </c>
      <c r="W501">
        <f>(AVERAGE(G501:I501)-1)/4</f>
        <v/>
      </c>
      <c r="X501">
        <f>(AVERAGE(J501:L501)-1)/4</f>
        <v/>
      </c>
      <c r="Y501">
        <f>(AVERAGE(M501:O501)-1)/4</f>
        <v/>
      </c>
      <c r="Z501">
        <f>(AVERAGE(P501:R501)-1)/4</f>
        <v/>
      </c>
      <c r="AA501">
        <f>(AVERAGE(S501:T501)-1)/4</f>
        <v/>
      </c>
      <c r="AB501">
        <f>AVERAGE(U501:Y501)</f>
        <v/>
      </c>
      <c r="AC501">
        <f>MIN(U501:Y501)</f>
        <v/>
      </c>
      <c r="AD501">
        <f>1-alpha*MAX(0,delta-AC501)</f>
        <v/>
      </c>
      <c r="AE501">
        <f>AB501*AD501</f>
        <v/>
      </c>
      <c r="AF501">
        <f>1+COUNTIF(bounds,"&lt;"&amp;ROUND(AB501,12))</f>
        <v/>
      </c>
      <c r="AG501">
        <f>1+COUNTIF(bounds,"&lt;"&amp;ROUND(AE501,12))</f>
        <v/>
      </c>
      <c r="AH501">
        <f>IF(AD501&lt;1,1,0)</f>
        <v/>
      </c>
      <c r="AI501">
        <f>IF(AF501&lt;&gt;AG501,1,0)</f>
        <v/>
      </c>
      <c r="AJ501">
        <f>IF(AND(AG501&gt;=3,Z501&lt;=0.2),1,0)</f>
        <v/>
      </c>
      <c r="AK501">
        <f>AVERAGE(U501:Z501)</f>
        <v/>
      </c>
      <c r="AL501">
        <f>1+COUNTIF(bounds,"&lt;"&amp;ROUND(AK501,12))</f>
        <v/>
      </c>
      <c r="AM501">
        <f>IF(AI501=1,AB501,NA())</f>
        <v/>
      </c>
      <c r="AN501">
        <f>IF(AI501=0,AB501,NA())</f>
        <v/>
      </c>
    </row>
    <row r="502">
      <c r="A502" t="n">
        <v>494</v>
      </c>
      <c r="B502" t="n">
        <v>1</v>
      </c>
      <c r="C502" t="n">
        <v>3</v>
      </c>
      <c r="D502" t="n">
        <v>1</v>
      </c>
      <c r="E502" t="n">
        <v>2</v>
      </c>
      <c r="F502" t="n">
        <v>1</v>
      </c>
      <c r="G502" t="n">
        <v>1</v>
      </c>
      <c r="H502" t="n">
        <v>4</v>
      </c>
      <c r="I502" t="n">
        <v>3</v>
      </c>
      <c r="J502" t="n">
        <v>4</v>
      </c>
      <c r="K502" t="n">
        <v>3</v>
      </c>
      <c r="L502" t="n">
        <v>2</v>
      </c>
      <c r="M502" t="n">
        <v>4</v>
      </c>
      <c r="N502" t="n">
        <v>4</v>
      </c>
      <c r="O502" t="n">
        <v>3</v>
      </c>
      <c r="P502" t="n">
        <v>3</v>
      </c>
      <c r="Q502" t="n">
        <v>1</v>
      </c>
      <c r="R502" t="n">
        <v>4</v>
      </c>
      <c r="S502" t="n">
        <v>1</v>
      </c>
      <c r="T502" t="n">
        <v>5</v>
      </c>
      <c r="U502">
        <f>(AVERAGE(B502:D502)-1)/4</f>
        <v/>
      </c>
      <c r="V502">
        <f>(AVERAGE(E502:F502)-1)/4</f>
        <v/>
      </c>
      <c r="W502">
        <f>(AVERAGE(G502:I502)-1)/4</f>
        <v/>
      </c>
      <c r="X502">
        <f>(AVERAGE(J502:L502)-1)/4</f>
        <v/>
      </c>
      <c r="Y502">
        <f>(AVERAGE(M502:O502)-1)/4</f>
        <v/>
      </c>
      <c r="Z502">
        <f>(AVERAGE(P502:R502)-1)/4</f>
        <v/>
      </c>
      <c r="AA502">
        <f>(AVERAGE(S502:T502)-1)/4</f>
        <v/>
      </c>
      <c r="AB502">
        <f>AVERAGE(U502:Y502)</f>
        <v/>
      </c>
      <c r="AC502">
        <f>MIN(U502:Y502)</f>
        <v/>
      </c>
      <c r="AD502">
        <f>1-alpha*MAX(0,delta-AC502)</f>
        <v/>
      </c>
      <c r="AE502">
        <f>AB502*AD502</f>
        <v/>
      </c>
      <c r="AF502">
        <f>1+COUNTIF(bounds,"&lt;"&amp;ROUND(AB502,12))</f>
        <v/>
      </c>
      <c r="AG502">
        <f>1+COUNTIF(bounds,"&lt;"&amp;ROUND(AE502,12))</f>
        <v/>
      </c>
      <c r="AH502">
        <f>IF(AD502&lt;1,1,0)</f>
        <v/>
      </c>
      <c r="AI502">
        <f>IF(AF502&lt;&gt;AG502,1,0)</f>
        <v/>
      </c>
      <c r="AJ502">
        <f>IF(AND(AG502&gt;=3,Z502&lt;=0.2),1,0)</f>
        <v/>
      </c>
      <c r="AK502">
        <f>AVERAGE(U502:Z502)</f>
        <v/>
      </c>
      <c r="AL502">
        <f>1+COUNTIF(bounds,"&lt;"&amp;ROUND(AK502,12))</f>
        <v/>
      </c>
      <c r="AM502">
        <f>IF(AI502=1,AB502,NA())</f>
        <v/>
      </c>
      <c r="AN502">
        <f>IF(AI502=0,AB502,NA())</f>
        <v/>
      </c>
    </row>
    <row r="503">
      <c r="A503" t="n">
        <v>495</v>
      </c>
      <c r="B503" t="n">
        <v>5</v>
      </c>
      <c r="C503" t="n">
        <v>2</v>
      </c>
      <c r="D503" t="n">
        <v>3</v>
      </c>
      <c r="E503" t="n">
        <v>1</v>
      </c>
      <c r="F503" t="n">
        <v>5</v>
      </c>
      <c r="G503" t="n">
        <v>1</v>
      </c>
      <c r="H503" t="n">
        <v>5</v>
      </c>
      <c r="I503" t="n">
        <v>2</v>
      </c>
      <c r="J503" t="n">
        <v>5</v>
      </c>
      <c r="K503" t="n">
        <v>5</v>
      </c>
      <c r="L503" t="n">
        <v>4</v>
      </c>
      <c r="M503" t="n">
        <v>3</v>
      </c>
      <c r="N503" t="n">
        <v>2</v>
      </c>
      <c r="O503" t="n">
        <v>1</v>
      </c>
      <c r="P503" t="n">
        <v>2</v>
      </c>
      <c r="Q503" t="n">
        <v>5</v>
      </c>
      <c r="R503" t="n">
        <v>5</v>
      </c>
      <c r="S503" t="n">
        <v>1</v>
      </c>
      <c r="T503" t="n">
        <v>2</v>
      </c>
      <c r="U503">
        <f>(AVERAGE(B503:D503)-1)/4</f>
        <v/>
      </c>
      <c r="V503">
        <f>(AVERAGE(E503:F503)-1)/4</f>
        <v/>
      </c>
      <c r="W503">
        <f>(AVERAGE(G503:I503)-1)/4</f>
        <v/>
      </c>
      <c r="X503">
        <f>(AVERAGE(J503:L503)-1)/4</f>
        <v/>
      </c>
      <c r="Y503">
        <f>(AVERAGE(M503:O503)-1)/4</f>
        <v/>
      </c>
      <c r="Z503">
        <f>(AVERAGE(P503:R503)-1)/4</f>
        <v/>
      </c>
      <c r="AA503">
        <f>(AVERAGE(S503:T503)-1)/4</f>
        <v/>
      </c>
      <c r="AB503">
        <f>AVERAGE(U503:Y503)</f>
        <v/>
      </c>
      <c r="AC503">
        <f>MIN(U503:Y503)</f>
        <v/>
      </c>
      <c r="AD503">
        <f>1-alpha*MAX(0,delta-AC503)</f>
        <v/>
      </c>
      <c r="AE503">
        <f>AB503*AD503</f>
        <v/>
      </c>
      <c r="AF503">
        <f>1+COUNTIF(bounds,"&lt;"&amp;ROUND(AB503,12))</f>
        <v/>
      </c>
      <c r="AG503">
        <f>1+COUNTIF(bounds,"&lt;"&amp;ROUND(AE503,12))</f>
        <v/>
      </c>
      <c r="AH503">
        <f>IF(AD503&lt;1,1,0)</f>
        <v/>
      </c>
      <c r="AI503">
        <f>IF(AF503&lt;&gt;AG503,1,0)</f>
        <v/>
      </c>
      <c r="AJ503">
        <f>IF(AND(AG503&gt;=3,Z503&lt;=0.2),1,0)</f>
        <v/>
      </c>
      <c r="AK503">
        <f>AVERAGE(U503:Z503)</f>
        <v/>
      </c>
      <c r="AL503">
        <f>1+COUNTIF(bounds,"&lt;"&amp;ROUND(AK503,12))</f>
        <v/>
      </c>
      <c r="AM503">
        <f>IF(AI503=1,AB503,NA())</f>
        <v/>
      </c>
      <c r="AN503">
        <f>IF(AI503=0,AB503,NA())</f>
        <v/>
      </c>
    </row>
    <row r="504">
      <c r="A504" t="n">
        <v>496</v>
      </c>
      <c r="B504" t="n">
        <v>2</v>
      </c>
      <c r="C504" t="n">
        <v>1</v>
      </c>
      <c r="D504" t="n">
        <v>5</v>
      </c>
      <c r="E504" t="n">
        <v>4</v>
      </c>
      <c r="F504" t="n">
        <v>5</v>
      </c>
      <c r="G504" t="n">
        <v>1</v>
      </c>
      <c r="H504" t="n">
        <v>4</v>
      </c>
      <c r="I504" t="n">
        <v>3</v>
      </c>
      <c r="J504" t="n">
        <v>1</v>
      </c>
      <c r="K504" t="n">
        <v>4</v>
      </c>
      <c r="L504" t="n">
        <v>3</v>
      </c>
      <c r="M504" t="n">
        <v>5</v>
      </c>
      <c r="N504" t="n">
        <v>4</v>
      </c>
      <c r="O504" t="n">
        <v>3</v>
      </c>
      <c r="P504" t="n">
        <v>1</v>
      </c>
      <c r="Q504" t="n">
        <v>4</v>
      </c>
      <c r="R504" t="n">
        <v>4</v>
      </c>
      <c r="S504" t="n">
        <v>2</v>
      </c>
      <c r="T504" t="n">
        <v>1</v>
      </c>
      <c r="U504">
        <f>(AVERAGE(B504:D504)-1)/4</f>
        <v/>
      </c>
      <c r="V504">
        <f>(AVERAGE(E504:F504)-1)/4</f>
        <v/>
      </c>
      <c r="W504">
        <f>(AVERAGE(G504:I504)-1)/4</f>
        <v/>
      </c>
      <c r="X504">
        <f>(AVERAGE(J504:L504)-1)/4</f>
        <v/>
      </c>
      <c r="Y504">
        <f>(AVERAGE(M504:O504)-1)/4</f>
        <v/>
      </c>
      <c r="Z504">
        <f>(AVERAGE(P504:R504)-1)/4</f>
        <v/>
      </c>
      <c r="AA504">
        <f>(AVERAGE(S504:T504)-1)/4</f>
        <v/>
      </c>
      <c r="AB504">
        <f>AVERAGE(U504:Y504)</f>
        <v/>
      </c>
      <c r="AC504">
        <f>MIN(U504:Y504)</f>
        <v/>
      </c>
      <c r="AD504">
        <f>1-alpha*MAX(0,delta-AC504)</f>
        <v/>
      </c>
      <c r="AE504">
        <f>AB504*AD504</f>
        <v/>
      </c>
      <c r="AF504">
        <f>1+COUNTIF(bounds,"&lt;"&amp;ROUND(AB504,12))</f>
        <v/>
      </c>
      <c r="AG504">
        <f>1+COUNTIF(bounds,"&lt;"&amp;ROUND(AE504,12))</f>
        <v/>
      </c>
      <c r="AH504">
        <f>IF(AD504&lt;1,1,0)</f>
        <v/>
      </c>
      <c r="AI504">
        <f>IF(AF504&lt;&gt;AG504,1,0)</f>
        <v/>
      </c>
      <c r="AJ504">
        <f>IF(AND(AG504&gt;=3,Z504&lt;=0.2),1,0)</f>
        <v/>
      </c>
      <c r="AK504">
        <f>AVERAGE(U504:Z504)</f>
        <v/>
      </c>
      <c r="AL504">
        <f>1+COUNTIF(bounds,"&lt;"&amp;ROUND(AK504,12))</f>
        <v/>
      </c>
      <c r="AM504">
        <f>IF(AI504=1,AB504,NA())</f>
        <v/>
      </c>
      <c r="AN504">
        <f>IF(AI504=0,AB504,NA())</f>
        <v/>
      </c>
    </row>
    <row r="505">
      <c r="A505" t="n">
        <v>497</v>
      </c>
      <c r="B505" t="n">
        <v>3</v>
      </c>
      <c r="C505" t="n">
        <v>3</v>
      </c>
      <c r="D505" t="n">
        <v>4</v>
      </c>
      <c r="E505" t="n">
        <v>3</v>
      </c>
      <c r="F505" t="n">
        <v>2</v>
      </c>
      <c r="G505" t="n">
        <v>1</v>
      </c>
      <c r="H505" t="n">
        <v>1</v>
      </c>
      <c r="I505" t="n">
        <v>1</v>
      </c>
      <c r="J505" t="n">
        <v>4</v>
      </c>
      <c r="K505" t="n">
        <v>2</v>
      </c>
      <c r="L505" t="n">
        <v>5</v>
      </c>
      <c r="M505" t="n">
        <v>2</v>
      </c>
      <c r="N505" t="n">
        <v>1</v>
      </c>
      <c r="O505" t="n">
        <v>2</v>
      </c>
      <c r="P505" t="n">
        <v>5</v>
      </c>
      <c r="Q505" t="n">
        <v>2</v>
      </c>
      <c r="R505" t="n">
        <v>5</v>
      </c>
      <c r="S505" t="n">
        <v>4</v>
      </c>
      <c r="T505" t="n">
        <v>5</v>
      </c>
      <c r="U505">
        <f>(AVERAGE(B505:D505)-1)/4</f>
        <v/>
      </c>
      <c r="V505">
        <f>(AVERAGE(E505:F505)-1)/4</f>
        <v/>
      </c>
      <c r="W505">
        <f>(AVERAGE(G505:I505)-1)/4</f>
        <v/>
      </c>
      <c r="X505">
        <f>(AVERAGE(J505:L505)-1)/4</f>
        <v/>
      </c>
      <c r="Y505">
        <f>(AVERAGE(M505:O505)-1)/4</f>
        <v/>
      </c>
      <c r="Z505">
        <f>(AVERAGE(P505:R505)-1)/4</f>
        <v/>
      </c>
      <c r="AA505">
        <f>(AVERAGE(S505:T505)-1)/4</f>
        <v/>
      </c>
      <c r="AB505">
        <f>AVERAGE(U505:Y505)</f>
        <v/>
      </c>
      <c r="AC505">
        <f>MIN(U505:Y505)</f>
        <v/>
      </c>
      <c r="AD505">
        <f>1-alpha*MAX(0,delta-AC505)</f>
        <v/>
      </c>
      <c r="AE505">
        <f>AB505*AD505</f>
        <v/>
      </c>
      <c r="AF505">
        <f>1+COUNTIF(bounds,"&lt;"&amp;ROUND(AB505,12))</f>
        <v/>
      </c>
      <c r="AG505">
        <f>1+COUNTIF(bounds,"&lt;"&amp;ROUND(AE505,12))</f>
        <v/>
      </c>
      <c r="AH505">
        <f>IF(AD505&lt;1,1,0)</f>
        <v/>
      </c>
      <c r="AI505">
        <f>IF(AF505&lt;&gt;AG505,1,0)</f>
        <v/>
      </c>
      <c r="AJ505">
        <f>IF(AND(AG505&gt;=3,Z505&lt;=0.2),1,0)</f>
        <v/>
      </c>
      <c r="AK505">
        <f>AVERAGE(U505:Z505)</f>
        <v/>
      </c>
      <c r="AL505">
        <f>1+COUNTIF(bounds,"&lt;"&amp;ROUND(AK505,12))</f>
        <v/>
      </c>
      <c r="AM505">
        <f>IF(AI505=1,AB505,NA())</f>
        <v/>
      </c>
      <c r="AN505">
        <f>IF(AI505=0,AB505,NA())</f>
        <v/>
      </c>
    </row>
    <row r="506">
      <c r="A506" t="n">
        <v>498</v>
      </c>
      <c r="B506" t="n">
        <v>3</v>
      </c>
      <c r="C506" t="n">
        <v>5</v>
      </c>
      <c r="D506" t="n">
        <v>5</v>
      </c>
      <c r="E506" t="n">
        <v>5</v>
      </c>
      <c r="F506" t="n">
        <v>4</v>
      </c>
      <c r="G506" t="n">
        <v>2</v>
      </c>
      <c r="H506" t="n">
        <v>4</v>
      </c>
      <c r="I506" t="n">
        <v>3</v>
      </c>
      <c r="J506" t="n">
        <v>5</v>
      </c>
      <c r="K506" t="n">
        <v>5</v>
      </c>
      <c r="L506" t="n">
        <v>2</v>
      </c>
      <c r="M506" t="n">
        <v>1</v>
      </c>
      <c r="N506" t="n">
        <v>3</v>
      </c>
      <c r="O506" t="n">
        <v>3</v>
      </c>
      <c r="P506" t="n">
        <v>3</v>
      </c>
      <c r="Q506" t="n">
        <v>2</v>
      </c>
      <c r="R506" t="n">
        <v>1</v>
      </c>
      <c r="S506" t="n">
        <v>3</v>
      </c>
      <c r="T506" t="n">
        <v>3</v>
      </c>
      <c r="U506">
        <f>(AVERAGE(B506:D506)-1)/4</f>
        <v/>
      </c>
      <c r="V506">
        <f>(AVERAGE(E506:F506)-1)/4</f>
        <v/>
      </c>
      <c r="W506">
        <f>(AVERAGE(G506:I506)-1)/4</f>
        <v/>
      </c>
      <c r="X506">
        <f>(AVERAGE(J506:L506)-1)/4</f>
        <v/>
      </c>
      <c r="Y506">
        <f>(AVERAGE(M506:O506)-1)/4</f>
        <v/>
      </c>
      <c r="Z506">
        <f>(AVERAGE(P506:R506)-1)/4</f>
        <v/>
      </c>
      <c r="AA506">
        <f>(AVERAGE(S506:T506)-1)/4</f>
        <v/>
      </c>
      <c r="AB506">
        <f>AVERAGE(U506:Y506)</f>
        <v/>
      </c>
      <c r="AC506">
        <f>MIN(U506:Y506)</f>
        <v/>
      </c>
      <c r="AD506">
        <f>1-alpha*MAX(0,delta-AC506)</f>
        <v/>
      </c>
      <c r="AE506">
        <f>AB506*AD506</f>
        <v/>
      </c>
      <c r="AF506">
        <f>1+COUNTIF(bounds,"&lt;"&amp;ROUND(AB506,12))</f>
        <v/>
      </c>
      <c r="AG506">
        <f>1+COUNTIF(bounds,"&lt;"&amp;ROUND(AE506,12))</f>
        <v/>
      </c>
      <c r="AH506">
        <f>IF(AD506&lt;1,1,0)</f>
        <v/>
      </c>
      <c r="AI506">
        <f>IF(AF506&lt;&gt;AG506,1,0)</f>
        <v/>
      </c>
      <c r="AJ506">
        <f>IF(AND(AG506&gt;=3,Z506&lt;=0.2),1,0)</f>
        <v/>
      </c>
      <c r="AK506">
        <f>AVERAGE(U506:Z506)</f>
        <v/>
      </c>
      <c r="AL506">
        <f>1+COUNTIF(bounds,"&lt;"&amp;ROUND(AK506,12))</f>
        <v/>
      </c>
      <c r="AM506">
        <f>IF(AI506=1,AB506,NA())</f>
        <v/>
      </c>
      <c r="AN506">
        <f>IF(AI506=0,AB506,NA())</f>
        <v/>
      </c>
    </row>
    <row r="507">
      <c r="A507" t="n">
        <v>499</v>
      </c>
      <c r="B507" t="n">
        <v>1</v>
      </c>
      <c r="C507" t="n">
        <v>3</v>
      </c>
      <c r="D507" t="n">
        <v>1</v>
      </c>
      <c r="E507" t="n">
        <v>3</v>
      </c>
      <c r="F507" t="n">
        <v>4</v>
      </c>
      <c r="G507" t="n">
        <v>2</v>
      </c>
      <c r="H507" t="n">
        <v>2</v>
      </c>
      <c r="I507" t="n">
        <v>4</v>
      </c>
      <c r="J507" t="n">
        <v>1</v>
      </c>
      <c r="K507" t="n">
        <v>3</v>
      </c>
      <c r="L507" t="n">
        <v>2</v>
      </c>
      <c r="M507" t="n">
        <v>1</v>
      </c>
      <c r="N507" t="n">
        <v>5</v>
      </c>
      <c r="O507" t="n">
        <v>2</v>
      </c>
      <c r="P507" t="n">
        <v>5</v>
      </c>
      <c r="Q507" t="n">
        <v>3</v>
      </c>
      <c r="R507" t="n">
        <v>3</v>
      </c>
      <c r="S507" t="n">
        <v>3</v>
      </c>
      <c r="T507" t="n">
        <v>1</v>
      </c>
      <c r="U507">
        <f>(AVERAGE(B507:D507)-1)/4</f>
        <v/>
      </c>
      <c r="V507">
        <f>(AVERAGE(E507:F507)-1)/4</f>
        <v/>
      </c>
      <c r="W507">
        <f>(AVERAGE(G507:I507)-1)/4</f>
        <v/>
      </c>
      <c r="X507">
        <f>(AVERAGE(J507:L507)-1)/4</f>
        <v/>
      </c>
      <c r="Y507">
        <f>(AVERAGE(M507:O507)-1)/4</f>
        <v/>
      </c>
      <c r="Z507">
        <f>(AVERAGE(P507:R507)-1)/4</f>
        <v/>
      </c>
      <c r="AA507">
        <f>(AVERAGE(S507:T507)-1)/4</f>
        <v/>
      </c>
      <c r="AB507">
        <f>AVERAGE(U507:Y507)</f>
        <v/>
      </c>
      <c r="AC507">
        <f>MIN(U507:Y507)</f>
        <v/>
      </c>
      <c r="AD507">
        <f>1-alpha*MAX(0,delta-AC507)</f>
        <v/>
      </c>
      <c r="AE507">
        <f>AB507*AD507</f>
        <v/>
      </c>
      <c r="AF507">
        <f>1+COUNTIF(bounds,"&lt;"&amp;ROUND(AB507,12))</f>
        <v/>
      </c>
      <c r="AG507">
        <f>1+COUNTIF(bounds,"&lt;"&amp;ROUND(AE507,12))</f>
        <v/>
      </c>
      <c r="AH507">
        <f>IF(AD507&lt;1,1,0)</f>
        <v/>
      </c>
      <c r="AI507">
        <f>IF(AF507&lt;&gt;AG507,1,0)</f>
        <v/>
      </c>
      <c r="AJ507">
        <f>IF(AND(AG507&gt;=3,Z507&lt;=0.2),1,0)</f>
        <v/>
      </c>
      <c r="AK507">
        <f>AVERAGE(U507:Z507)</f>
        <v/>
      </c>
      <c r="AL507">
        <f>1+COUNTIF(bounds,"&lt;"&amp;ROUND(AK507,12))</f>
        <v/>
      </c>
      <c r="AM507">
        <f>IF(AI507=1,AB507,NA())</f>
        <v/>
      </c>
      <c r="AN507">
        <f>IF(AI507=0,AB507,NA())</f>
        <v/>
      </c>
    </row>
    <row r="508">
      <c r="A508" t="n">
        <v>500</v>
      </c>
      <c r="B508" t="n">
        <v>2</v>
      </c>
      <c r="C508" t="n">
        <v>2</v>
      </c>
      <c r="D508" t="n">
        <v>4</v>
      </c>
      <c r="E508" t="n">
        <v>4</v>
      </c>
      <c r="F508" t="n">
        <v>1</v>
      </c>
      <c r="G508" t="n">
        <v>4</v>
      </c>
      <c r="H508" t="n">
        <v>2</v>
      </c>
      <c r="I508" t="n">
        <v>2</v>
      </c>
      <c r="J508" t="n">
        <v>1</v>
      </c>
      <c r="K508" t="n">
        <v>3</v>
      </c>
      <c r="L508" t="n">
        <v>1</v>
      </c>
      <c r="M508" t="n">
        <v>5</v>
      </c>
      <c r="N508" t="n">
        <v>3</v>
      </c>
      <c r="O508" t="n">
        <v>5</v>
      </c>
      <c r="P508" t="n">
        <v>3</v>
      </c>
      <c r="Q508" t="n">
        <v>1</v>
      </c>
      <c r="R508" t="n">
        <v>1</v>
      </c>
      <c r="S508" t="n">
        <v>1</v>
      </c>
      <c r="T508" t="n">
        <v>2</v>
      </c>
      <c r="U508">
        <f>(AVERAGE(B508:D508)-1)/4</f>
        <v/>
      </c>
      <c r="V508">
        <f>(AVERAGE(E508:F508)-1)/4</f>
        <v/>
      </c>
      <c r="W508">
        <f>(AVERAGE(G508:I508)-1)/4</f>
        <v/>
      </c>
      <c r="X508">
        <f>(AVERAGE(J508:L508)-1)/4</f>
        <v/>
      </c>
      <c r="Y508">
        <f>(AVERAGE(M508:O508)-1)/4</f>
        <v/>
      </c>
      <c r="Z508">
        <f>(AVERAGE(P508:R508)-1)/4</f>
        <v/>
      </c>
      <c r="AA508">
        <f>(AVERAGE(S508:T508)-1)/4</f>
        <v/>
      </c>
      <c r="AB508">
        <f>AVERAGE(U508:Y508)</f>
        <v/>
      </c>
      <c r="AC508">
        <f>MIN(U508:Y508)</f>
        <v/>
      </c>
      <c r="AD508">
        <f>1-alpha*MAX(0,delta-AC508)</f>
        <v/>
      </c>
      <c r="AE508">
        <f>AB508*AD508</f>
        <v/>
      </c>
      <c r="AF508">
        <f>1+COUNTIF(bounds,"&lt;"&amp;ROUND(AB508,12))</f>
        <v/>
      </c>
      <c r="AG508">
        <f>1+COUNTIF(bounds,"&lt;"&amp;ROUND(AE508,12))</f>
        <v/>
      </c>
      <c r="AH508">
        <f>IF(AD508&lt;1,1,0)</f>
        <v/>
      </c>
      <c r="AI508">
        <f>IF(AF508&lt;&gt;AG508,1,0)</f>
        <v/>
      </c>
      <c r="AJ508">
        <f>IF(AND(AG508&gt;=3,Z508&lt;=0.2),1,0)</f>
        <v/>
      </c>
      <c r="AK508">
        <f>AVERAGE(U508:Z508)</f>
        <v/>
      </c>
      <c r="AL508">
        <f>1+COUNTIF(bounds,"&lt;"&amp;ROUND(AK508,12))</f>
        <v/>
      </c>
      <c r="AM508">
        <f>IF(AI508=1,AB508,NA())</f>
        <v/>
      </c>
      <c r="AN508">
        <f>IF(AI508=0,AB508,NA())</f>
        <v/>
      </c>
    </row>
    <row r="509">
      <c r="A509" t="n">
        <v>501</v>
      </c>
      <c r="B509" t="n">
        <v>2</v>
      </c>
      <c r="C509" t="n">
        <v>3</v>
      </c>
      <c r="D509" t="n">
        <v>3</v>
      </c>
      <c r="E509" t="n">
        <v>2</v>
      </c>
      <c r="F509" t="n">
        <v>2</v>
      </c>
      <c r="G509" t="n">
        <v>2</v>
      </c>
      <c r="H509" t="n">
        <v>5</v>
      </c>
      <c r="I509" t="n">
        <v>5</v>
      </c>
      <c r="J509" t="n">
        <v>3</v>
      </c>
      <c r="K509" t="n">
        <v>2</v>
      </c>
      <c r="L509" t="n">
        <v>5</v>
      </c>
      <c r="M509" t="n">
        <v>1</v>
      </c>
      <c r="N509" t="n">
        <v>4</v>
      </c>
      <c r="O509" t="n">
        <v>2</v>
      </c>
      <c r="P509" t="n">
        <v>2</v>
      </c>
      <c r="Q509" t="n">
        <v>3</v>
      </c>
      <c r="R509" t="n">
        <v>4</v>
      </c>
      <c r="S509" t="n">
        <v>3</v>
      </c>
      <c r="T509" t="n">
        <v>5</v>
      </c>
      <c r="U509">
        <f>(AVERAGE(B509:D509)-1)/4</f>
        <v/>
      </c>
      <c r="V509">
        <f>(AVERAGE(E509:F509)-1)/4</f>
        <v/>
      </c>
      <c r="W509">
        <f>(AVERAGE(G509:I509)-1)/4</f>
        <v/>
      </c>
      <c r="X509">
        <f>(AVERAGE(J509:L509)-1)/4</f>
        <v/>
      </c>
      <c r="Y509">
        <f>(AVERAGE(M509:O509)-1)/4</f>
        <v/>
      </c>
      <c r="Z509">
        <f>(AVERAGE(P509:R509)-1)/4</f>
        <v/>
      </c>
      <c r="AA509">
        <f>(AVERAGE(S509:T509)-1)/4</f>
        <v/>
      </c>
      <c r="AB509">
        <f>AVERAGE(U509:Y509)</f>
        <v/>
      </c>
      <c r="AC509">
        <f>MIN(U509:Y509)</f>
        <v/>
      </c>
      <c r="AD509">
        <f>1-alpha*MAX(0,delta-AC509)</f>
        <v/>
      </c>
      <c r="AE509">
        <f>AB509*AD509</f>
        <v/>
      </c>
      <c r="AF509">
        <f>1+COUNTIF(bounds,"&lt;"&amp;ROUND(AB509,12))</f>
        <v/>
      </c>
      <c r="AG509">
        <f>1+COUNTIF(bounds,"&lt;"&amp;ROUND(AE509,12))</f>
        <v/>
      </c>
      <c r="AH509">
        <f>IF(AD509&lt;1,1,0)</f>
        <v/>
      </c>
      <c r="AI509">
        <f>IF(AF509&lt;&gt;AG509,1,0)</f>
        <v/>
      </c>
      <c r="AJ509">
        <f>IF(AND(AG509&gt;=3,Z509&lt;=0.2),1,0)</f>
        <v/>
      </c>
      <c r="AK509">
        <f>AVERAGE(U509:Z509)</f>
        <v/>
      </c>
      <c r="AL509">
        <f>1+COUNTIF(bounds,"&lt;"&amp;ROUND(AK509,12))</f>
        <v/>
      </c>
      <c r="AM509">
        <f>IF(AI509=1,AB509,NA())</f>
        <v/>
      </c>
      <c r="AN509">
        <f>IF(AI509=0,AB509,NA())</f>
        <v/>
      </c>
    </row>
    <row r="510">
      <c r="A510" t="n">
        <v>502</v>
      </c>
      <c r="B510" t="n">
        <v>5</v>
      </c>
      <c r="C510" t="n">
        <v>5</v>
      </c>
      <c r="D510" t="n">
        <v>1</v>
      </c>
      <c r="E510" t="n">
        <v>2</v>
      </c>
      <c r="F510" t="n">
        <v>1</v>
      </c>
      <c r="G510" t="n">
        <v>2</v>
      </c>
      <c r="H510" t="n">
        <v>4</v>
      </c>
      <c r="I510" t="n">
        <v>1</v>
      </c>
      <c r="J510" t="n">
        <v>4</v>
      </c>
      <c r="K510" t="n">
        <v>2</v>
      </c>
      <c r="L510" t="n">
        <v>5</v>
      </c>
      <c r="M510" t="n">
        <v>5</v>
      </c>
      <c r="N510" t="n">
        <v>1</v>
      </c>
      <c r="O510" t="n">
        <v>4</v>
      </c>
      <c r="P510" t="n">
        <v>2</v>
      </c>
      <c r="Q510" t="n">
        <v>5</v>
      </c>
      <c r="R510" t="n">
        <v>1</v>
      </c>
      <c r="S510" t="n">
        <v>1</v>
      </c>
      <c r="T510" t="n">
        <v>5</v>
      </c>
      <c r="U510">
        <f>(AVERAGE(B510:D510)-1)/4</f>
        <v/>
      </c>
      <c r="V510">
        <f>(AVERAGE(E510:F510)-1)/4</f>
        <v/>
      </c>
      <c r="W510">
        <f>(AVERAGE(G510:I510)-1)/4</f>
        <v/>
      </c>
      <c r="X510">
        <f>(AVERAGE(J510:L510)-1)/4</f>
        <v/>
      </c>
      <c r="Y510">
        <f>(AVERAGE(M510:O510)-1)/4</f>
        <v/>
      </c>
      <c r="Z510">
        <f>(AVERAGE(P510:R510)-1)/4</f>
        <v/>
      </c>
      <c r="AA510">
        <f>(AVERAGE(S510:T510)-1)/4</f>
        <v/>
      </c>
      <c r="AB510">
        <f>AVERAGE(U510:Y510)</f>
        <v/>
      </c>
      <c r="AC510">
        <f>MIN(U510:Y510)</f>
        <v/>
      </c>
      <c r="AD510">
        <f>1-alpha*MAX(0,delta-AC510)</f>
        <v/>
      </c>
      <c r="AE510">
        <f>AB510*AD510</f>
        <v/>
      </c>
      <c r="AF510">
        <f>1+COUNTIF(bounds,"&lt;"&amp;ROUND(AB510,12))</f>
        <v/>
      </c>
      <c r="AG510">
        <f>1+COUNTIF(bounds,"&lt;"&amp;ROUND(AE510,12))</f>
        <v/>
      </c>
      <c r="AH510">
        <f>IF(AD510&lt;1,1,0)</f>
        <v/>
      </c>
      <c r="AI510">
        <f>IF(AF510&lt;&gt;AG510,1,0)</f>
        <v/>
      </c>
      <c r="AJ510">
        <f>IF(AND(AG510&gt;=3,Z510&lt;=0.2),1,0)</f>
        <v/>
      </c>
      <c r="AK510">
        <f>AVERAGE(U510:Z510)</f>
        <v/>
      </c>
      <c r="AL510">
        <f>1+COUNTIF(bounds,"&lt;"&amp;ROUND(AK510,12))</f>
        <v/>
      </c>
      <c r="AM510">
        <f>IF(AI510=1,AB510,NA())</f>
        <v/>
      </c>
      <c r="AN510">
        <f>IF(AI510=0,AB510,NA())</f>
        <v/>
      </c>
    </row>
    <row r="511">
      <c r="A511" t="n">
        <v>503</v>
      </c>
      <c r="B511" t="n">
        <v>4</v>
      </c>
      <c r="C511" t="n">
        <v>1</v>
      </c>
      <c r="D511" t="n">
        <v>4</v>
      </c>
      <c r="E511" t="n">
        <v>1</v>
      </c>
      <c r="F511" t="n">
        <v>1</v>
      </c>
      <c r="G511" t="n">
        <v>2</v>
      </c>
      <c r="H511" t="n">
        <v>3</v>
      </c>
      <c r="I511" t="n">
        <v>2</v>
      </c>
      <c r="J511" t="n">
        <v>5</v>
      </c>
      <c r="K511" t="n">
        <v>4</v>
      </c>
      <c r="L511" t="n">
        <v>5</v>
      </c>
      <c r="M511" t="n">
        <v>5</v>
      </c>
      <c r="N511" t="n">
        <v>4</v>
      </c>
      <c r="O511" t="n">
        <v>3</v>
      </c>
      <c r="P511" t="n">
        <v>2</v>
      </c>
      <c r="Q511" t="n">
        <v>5</v>
      </c>
      <c r="R511" t="n">
        <v>4</v>
      </c>
      <c r="S511" t="n">
        <v>4</v>
      </c>
      <c r="T511" t="n">
        <v>3</v>
      </c>
      <c r="U511">
        <f>(AVERAGE(B511:D511)-1)/4</f>
        <v/>
      </c>
      <c r="V511">
        <f>(AVERAGE(E511:F511)-1)/4</f>
        <v/>
      </c>
      <c r="W511">
        <f>(AVERAGE(G511:I511)-1)/4</f>
        <v/>
      </c>
      <c r="X511">
        <f>(AVERAGE(J511:L511)-1)/4</f>
        <v/>
      </c>
      <c r="Y511">
        <f>(AVERAGE(M511:O511)-1)/4</f>
        <v/>
      </c>
      <c r="Z511">
        <f>(AVERAGE(P511:R511)-1)/4</f>
        <v/>
      </c>
      <c r="AA511">
        <f>(AVERAGE(S511:T511)-1)/4</f>
        <v/>
      </c>
      <c r="AB511">
        <f>AVERAGE(U511:Y511)</f>
        <v/>
      </c>
      <c r="AC511">
        <f>MIN(U511:Y511)</f>
        <v/>
      </c>
      <c r="AD511">
        <f>1-alpha*MAX(0,delta-AC511)</f>
        <v/>
      </c>
      <c r="AE511">
        <f>AB511*AD511</f>
        <v/>
      </c>
      <c r="AF511">
        <f>1+COUNTIF(bounds,"&lt;"&amp;ROUND(AB511,12))</f>
        <v/>
      </c>
      <c r="AG511">
        <f>1+COUNTIF(bounds,"&lt;"&amp;ROUND(AE511,12))</f>
        <v/>
      </c>
      <c r="AH511">
        <f>IF(AD511&lt;1,1,0)</f>
        <v/>
      </c>
      <c r="AI511">
        <f>IF(AF511&lt;&gt;AG511,1,0)</f>
        <v/>
      </c>
      <c r="AJ511">
        <f>IF(AND(AG511&gt;=3,Z511&lt;=0.2),1,0)</f>
        <v/>
      </c>
      <c r="AK511">
        <f>AVERAGE(U511:Z511)</f>
        <v/>
      </c>
      <c r="AL511">
        <f>1+COUNTIF(bounds,"&lt;"&amp;ROUND(AK511,12))</f>
        <v/>
      </c>
      <c r="AM511">
        <f>IF(AI511=1,AB511,NA())</f>
        <v/>
      </c>
      <c r="AN511">
        <f>IF(AI511=0,AB511,NA())</f>
        <v/>
      </c>
    </row>
    <row r="512">
      <c r="A512" t="n">
        <v>504</v>
      </c>
      <c r="B512" t="n">
        <v>1</v>
      </c>
      <c r="C512" t="n">
        <v>1</v>
      </c>
      <c r="D512" t="n">
        <v>5</v>
      </c>
      <c r="E512" t="n">
        <v>4</v>
      </c>
      <c r="F512" t="n">
        <v>1</v>
      </c>
      <c r="G512" t="n">
        <v>2</v>
      </c>
      <c r="H512" t="n">
        <v>4</v>
      </c>
      <c r="I512" t="n">
        <v>2</v>
      </c>
      <c r="J512" t="n">
        <v>2</v>
      </c>
      <c r="K512" t="n">
        <v>5</v>
      </c>
      <c r="L512" t="n">
        <v>1</v>
      </c>
      <c r="M512" t="n">
        <v>1</v>
      </c>
      <c r="N512" t="n">
        <v>4</v>
      </c>
      <c r="O512" t="n">
        <v>3</v>
      </c>
      <c r="P512" t="n">
        <v>5</v>
      </c>
      <c r="Q512" t="n">
        <v>4</v>
      </c>
      <c r="R512" t="n">
        <v>5</v>
      </c>
      <c r="S512" t="n">
        <v>5</v>
      </c>
      <c r="T512" t="n">
        <v>1</v>
      </c>
      <c r="U512">
        <f>(AVERAGE(B512:D512)-1)/4</f>
        <v/>
      </c>
      <c r="V512">
        <f>(AVERAGE(E512:F512)-1)/4</f>
        <v/>
      </c>
      <c r="W512">
        <f>(AVERAGE(G512:I512)-1)/4</f>
        <v/>
      </c>
      <c r="X512">
        <f>(AVERAGE(J512:L512)-1)/4</f>
        <v/>
      </c>
      <c r="Y512">
        <f>(AVERAGE(M512:O512)-1)/4</f>
        <v/>
      </c>
      <c r="Z512">
        <f>(AVERAGE(P512:R512)-1)/4</f>
        <v/>
      </c>
      <c r="AA512">
        <f>(AVERAGE(S512:T512)-1)/4</f>
        <v/>
      </c>
      <c r="AB512">
        <f>AVERAGE(U512:Y512)</f>
        <v/>
      </c>
      <c r="AC512">
        <f>MIN(U512:Y512)</f>
        <v/>
      </c>
      <c r="AD512">
        <f>1-alpha*MAX(0,delta-AC512)</f>
        <v/>
      </c>
      <c r="AE512">
        <f>AB512*AD512</f>
        <v/>
      </c>
      <c r="AF512">
        <f>1+COUNTIF(bounds,"&lt;"&amp;ROUND(AB512,12))</f>
        <v/>
      </c>
      <c r="AG512">
        <f>1+COUNTIF(bounds,"&lt;"&amp;ROUND(AE512,12))</f>
        <v/>
      </c>
      <c r="AH512">
        <f>IF(AD512&lt;1,1,0)</f>
        <v/>
      </c>
      <c r="AI512">
        <f>IF(AF512&lt;&gt;AG512,1,0)</f>
        <v/>
      </c>
      <c r="AJ512">
        <f>IF(AND(AG512&gt;=3,Z512&lt;=0.2),1,0)</f>
        <v/>
      </c>
      <c r="AK512">
        <f>AVERAGE(U512:Z512)</f>
        <v/>
      </c>
      <c r="AL512">
        <f>1+COUNTIF(bounds,"&lt;"&amp;ROUND(AK512,12))</f>
        <v/>
      </c>
      <c r="AM512">
        <f>IF(AI512=1,AB512,NA())</f>
        <v/>
      </c>
      <c r="AN512">
        <f>IF(AI512=0,AB512,NA())</f>
        <v/>
      </c>
    </row>
    <row r="513">
      <c r="A513" t="n">
        <v>505</v>
      </c>
      <c r="B513" t="n">
        <v>5</v>
      </c>
      <c r="C513" t="n">
        <v>3</v>
      </c>
      <c r="D513" t="n">
        <v>2</v>
      </c>
      <c r="E513" t="n">
        <v>2</v>
      </c>
      <c r="F513" t="n">
        <v>4</v>
      </c>
      <c r="G513" t="n">
        <v>4</v>
      </c>
      <c r="H513" t="n">
        <v>2</v>
      </c>
      <c r="I513" t="n">
        <v>2</v>
      </c>
      <c r="J513" t="n">
        <v>3</v>
      </c>
      <c r="K513" t="n">
        <v>2</v>
      </c>
      <c r="L513" t="n">
        <v>5</v>
      </c>
      <c r="M513" t="n">
        <v>1</v>
      </c>
      <c r="N513" t="n">
        <v>2</v>
      </c>
      <c r="O513" t="n">
        <v>2</v>
      </c>
      <c r="P513" t="n">
        <v>2</v>
      </c>
      <c r="Q513" t="n">
        <v>5</v>
      </c>
      <c r="R513" t="n">
        <v>3</v>
      </c>
      <c r="S513" t="n">
        <v>1</v>
      </c>
      <c r="T513" t="n">
        <v>5</v>
      </c>
      <c r="U513">
        <f>(AVERAGE(B513:D513)-1)/4</f>
        <v/>
      </c>
      <c r="V513">
        <f>(AVERAGE(E513:F513)-1)/4</f>
        <v/>
      </c>
      <c r="W513">
        <f>(AVERAGE(G513:I513)-1)/4</f>
        <v/>
      </c>
      <c r="X513">
        <f>(AVERAGE(J513:L513)-1)/4</f>
        <v/>
      </c>
      <c r="Y513">
        <f>(AVERAGE(M513:O513)-1)/4</f>
        <v/>
      </c>
      <c r="Z513">
        <f>(AVERAGE(P513:R513)-1)/4</f>
        <v/>
      </c>
      <c r="AA513">
        <f>(AVERAGE(S513:T513)-1)/4</f>
        <v/>
      </c>
      <c r="AB513">
        <f>AVERAGE(U513:Y513)</f>
        <v/>
      </c>
      <c r="AC513">
        <f>MIN(U513:Y513)</f>
        <v/>
      </c>
      <c r="AD513">
        <f>1-alpha*MAX(0,delta-AC513)</f>
        <v/>
      </c>
      <c r="AE513">
        <f>AB513*AD513</f>
        <v/>
      </c>
      <c r="AF513">
        <f>1+COUNTIF(bounds,"&lt;"&amp;ROUND(AB513,12))</f>
        <v/>
      </c>
      <c r="AG513">
        <f>1+COUNTIF(bounds,"&lt;"&amp;ROUND(AE513,12))</f>
        <v/>
      </c>
      <c r="AH513">
        <f>IF(AD513&lt;1,1,0)</f>
        <v/>
      </c>
      <c r="AI513">
        <f>IF(AF513&lt;&gt;AG513,1,0)</f>
        <v/>
      </c>
      <c r="AJ513">
        <f>IF(AND(AG513&gt;=3,Z513&lt;=0.2),1,0)</f>
        <v/>
      </c>
      <c r="AK513">
        <f>AVERAGE(U513:Z513)</f>
        <v/>
      </c>
      <c r="AL513">
        <f>1+COUNTIF(bounds,"&lt;"&amp;ROUND(AK513,12))</f>
        <v/>
      </c>
      <c r="AM513">
        <f>IF(AI513=1,AB513,NA())</f>
        <v/>
      </c>
      <c r="AN513">
        <f>IF(AI513=0,AB513,NA())</f>
        <v/>
      </c>
    </row>
    <row r="514">
      <c r="A514" t="n">
        <v>506</v>
      </c>
      <c r="B514" t="n">
        <v>2</v>
      </c>
      <c r="C514" t="n">
        <v>2</v>
      </c>
      <c r="D514" t="n">
        <v>2</v>
      </c>
      <c r="E514" t="n">
        <v>3</v>
      </c>
      <c r="F514" t="n">
        <v>2</v>
      </c>
      <c r="G514" t="n">
        <v>4</v>
      </c>
      <c r="H514" t="n">
        <v>3</v>
      </c>
      <c r="I514" t="n">
        <v>4</v>
      </c>
      <c r="J514" t="n">
        <v>3</v>
      </c>
      <c r="K514" t="n">
        <v>3</v>
      </c>
      <c r="L514" t="n">
        <v>3</v>
      </c>
      <c r="M514" t="n">
        <v>3</v>
      </c>
      <c r="N514" t="n">
        <v>1</v>
      </c>
      <c r="O514" t="n">
        <v>5</v>
      </c>
      <c r="P514" t="n">
        <v>4</v>
      </c>
      <c r="Q514" t="n">
        <v>4</v>
      </c>
      <c r="R514" t="n">
        <v>3</v>
      </c>
      <c r="S514" t="n">
        <v>1</v>
      </c>
      <c r="T514" t="n">
        <v>1</v>
      </c>
      <c r="U514">
        <f>(AVERAGE(B514:D514)-1)/4</f>
        <v/>
      </c>
      <c r="V514">
        <f>(AVERAGE(E514:F514)-1)/4</f>
        <v/>
      </c>
      <c r="W514">
        <f>(AVERAGE(G514:I514)-1)/4</f>
        <v/>
      </c>
      <c r="X514">
        <f>(AVERAGE(J514:L514)-1)/4</f>
        <v/>
      </c>
      <c r="Y514">
        <f>(AVERAGE(M514:O514)-1)/4</f>
        <v/>
      </c>
      <c r="Z514">
        <f>(AVERAGE(P514:R514)-1)/4</f>
        <v/>
      </c>
      <c r="AA514">
        <f>(AVERAGE(S514:T514)-1)/4</f>
        <v/>
      </c>
      <c r="AB514">
        <f>AVERAGE(U514:Y514)</f>
        <v/>
      </c>
      <c r="AC514">
        <f>MIN(U514:Y514)</f>
        <v/>
      </c>
      <c r="AD514">
        <f>1-alpha*MAX(0,delta-AC514)</f>
        <v/>
      </c>
      <c r="AE514">
        <f>AB514*AD514</f>
        <v/>
      </c>
      <c r="AF514">
        <f>1+COUNTIF(bounds,"&lt;"&amp;ROUND(AB514,12))</f>
        <v/>
      </c>
      <c r="AG514">
        <f>1+COUNTIF(bounds,"&lt;"&amp;ROUND(AE514,12))</f>
        <v/>
      </c>
      <c r="AH514">
        <f>IF(AD514&lt;1,1,0)</f>
        <v/>
      </c>
      <c r="AI514">
        <f>IF(AF514&lt;&gt;AG514,1,0)</f>
        <v/>
      </c>
      <c r="AJ514">
        <f>IF(AND(AG514&gt;=3,Z514&lt;=0.2),1,0)</f>
        <v/>
      </c>
      <c r="AK514">
        <f>AVERAGE(U514:Z514)</f>
        <v/>
      </c>
      <c r="AL514">
        <f>1+COUNTIF(bounds,"&lt;"&amp;ROUND(AK514,12))</f>
        <v/>
      </c>
      <c r="AM514">
        <f>IF(AI514=1,AB514,NA())</f>
        <v/>
      </c>
      <c r="AN514">
        <f>IF(AI514=0,AB514,NA())</f>
        <v/>
      </c>
    </row>
    <row r="515">
      <c r="A515" t="n">
        <v>507</v>
      </c>
      <c r="B515" t="n">
        <v>1</v>
      </c>
      <c r="C515" t="n">
        <v>2</v>
      </c>
      <c r="D515" t="n">
        <v>1</v>
      </c>
      <c r="E515" t="n">
        <v>1</v>
      </c>
      <c r="F515" t="n">
        <v>1</v>
      </c>
      <c r="G515" t="n">
        <v>1</v>
      </c>
      <c r="H515" t="n">
        <v>5</v>
      </c>
      <c r="I515" t="n">
        <v>2</v>
      </c>
      <c r="J515" t="n">
        <v>2</v>
      </c>
      <c r="K515" t="n">
        <v>1</v>
      </c>
      <c r="L515" t="n">
        <v>5</v>
      </c>
      <c r="M515" t="n">
        <v>2</v>
      </c>
      <c r="N515" t="n">
        <v>3</v>
      </c>
      <c r="O515" t="n">
        <v>1</v>
      </c>
      <c r="P515" t="n">
        <v>5</v>
      </c>
      <c r="Q515" t="n">
        <v>1</v>
      </c>
      <c r="R515" t="n">
        <v>3</v>
      </c>
      <c r="S515" t="n">
        <v>4</v>
      </c>
      <c r="T515" t="n">
        <v>3</v>
      </c>
      <c r="U515">
        <f>(AVERAGE(B515:D515)-1)/4</f>
        <v/>
      </c>
      <c r="V515">
        <f>(AVERAGE(E515:F515)-1)/4</f>
        <v/>
      </c>
      <c r="W515">
        <f>(AVERAGE(G515:I515)-1)/4</f>
        <v/>
      </c>
      <c r="X515">
        <f>(AVERAGE(J515:L515)-1)/4</f>
        <v/>
      </c>
      <c r="Y515">
        <f>(AVERAGE(M515:O515)-1)/4</f>
        <v/>
      </c>
      <c r="Z515">
        <f>(AVERAGE(P515:R515)-1)/4</f>
        <v/>
      </c>
      <c r="AA515">
        <f>(AVERAGE(S515:T515)-1)/4</f>
        <v/>
      </c>
      <c r="AB515">
        <f>AVERAGE(U515:Y515)</f>
        <v/>
      </c>
      <c r="AC515">
        <f>MIN(U515:Y515)</f>
        <v/>
      </c>
      <c r="AD515">
        <f>1-alpha*MAX(0,delta-AC515)</f>
        <v/>
      </c>
      <c r="AE515">
        <f>AB515*AD515</f>
        <v/>
      </c>
      <c r="AF515">
        <f>1+COUNTIF(bounds,"&lt;"&amp;ROUND(AB515,12))</f>
        <v/>
      </c>
      <c r="AG515">
        <f>1+COUNTIF(bounds,"&lt;"&amp;ROUND(AE515,12))</f>
        <v/>
      </c>
      <c r="AH515">
        <f>IF(AD515&lt;1,1,0)</f>
        <v/>
      </c>
      <c r="AI515">
        <f>IF(AF515&lt;&gt;AG515,1,0)</f>
        <v/>
      </c>
      <c r="AJ515">
        <f>IF(AND(AG515&gt;=3,Z515&lt;=0.2),1,0)</f>
        <v/>
      </c>
      <c r="AK515">
        <f>AVERAGE(U515:Z515)</f>
        <v/>
      </c>
      <c r="AL515">
        <f>1+COUNTIF(bounds,"&lt;"&amp;ROUND(AK515,12))</f>
        <v/>
      </c>
      <c r="AM515">
        <f>IF(AI515=1,AB515,NA())</f>
        <v/>
      </c>
      <c r="AN515">
        <f>IF(AI515=0,AB515,NA())</f>
        <v/>
      </c>
    </row>
    <row r="516">
      <c r="A516" t="n">
        <v>508</v>
      </c>
      <c r="B516" t="n">
        <v>1</v>
      </c>
      <c r="C516" t="n">
        <v>5</v>
      </c>
      <c r="D516" t="n">
        <v>4</v>
      </c>
      <c r="E516" t="n">
        <v>4</v>
      </c>
      <c r="F516" t="n">
        <v>2</v>
      </c>
      <c r="G516" t="n">
        <v>5</v>
      </c>
      <c r="H516" t="n">
        <v>4</v>
      </c>
      <c r="I516" t="n">
        <v>3</v>
      </c>
      <c r="J516" t="n">
        <v>5</v>
      </c>
      <c r="K516" t="n">
        <v>2</v>
      </c>
      <c r="L516" t="n">
        <v>4</v>
      </c>
      <c r="M516" t="n">
        <v>2</v>
      </c>
      <c r="N516" t="n">
        <v>2</v>
      </c>
      <c r="O516" t="n">
        <v>4</v>
      </c>
      <c r="P516" t="n">
        <v>3</v>
      </c>
      <c r="Q516" t="n">
        <v>5</v>
      </c>
      <c r="R516" t="n">
        <v>2</v>
      </c>
      <c r="S516" t="n">
        <v>3</v>
      </c>
      <c r="T516" t="n">
        <v>2</v>
      </c>
      <c r="U516">
        <f>(AVERAGE(B516:D516)-1)/4</f>
        <v/>
      </c>
      <c r="V516">
        <f>(AVERAGE(E516:F516)-1)/4</f>
        <v/>
      </c>
      <c r="W516">
        <f>(AVERAGE(G516:I516)-1)/4</f>
        <v/>
      </c>
      <c r="X516">
        <f>(AVERAGE(J516:L516)-1)/4</f>
        <v/>
      </c>
      <c r="Y516">
        <f>(AVERAGE(M516:O516)-1)/4</f>
        <v/>
      </c>
      <c r="Z516">
        <f>(AVERAGE(P516:R516)-1)/4</f>
        <v/>
      </c>
      <c r="AA516">
        <f>(AVERAGE(S516:T516)-1)/4</f>
        <v/>
      </c>
      <c r="AB516">
        <f>AVERAGE(U516:Y516)</f>
        <v/>
      </c>
      <c r="AC516">
        <f>MIN(U516:Y516)</f>
        <v/>
      </c>
      <c r="AD516">
        <f>1-alpha*MAX(0,delta-AC516)</f>
        <v/>
      </c>
      <c r="AE516">
        <f>AB516*AD516</f>
        <v/>
      </c>
      <c r="AF516">
        <f>1+COUNTIF(bounds,"&lt;"&amp;ROUND(AB516,12))</f>
        <v/>
      </c>
      <c r="AG516">
        <f>1+COUNTIF(bounds,"&lt;"&amp;ROUND(AE516,12))</f>
        <v/>
      </c>
      <c r="AH516">
        <f>IF(AD516&lt;1,1,0)</f>
        <v/>
      </c>
      <c r="AI516">
        <f>IF(AF516&lt;&gt;AG516,1,0)</f>
        <v/>
      </c>
      <c r="AJ516">
        <f>IF(AND(AG516&gt;=3,Z516&lt;=0.2),1,0)</f>
        <v/>
      </c>
      <c r="AK516">
        <f>AVERAGE(U516:Z516)</f>
        <v/>
      </c>
      <c r="AL516">
        <f>1+COUNTIF(bounds,"&lt;"&amp;ROUND(AK516,12))</f>
        <v/>
      </c>
      <c r="AM516">
        <f>IF(AI516=1,AB516,NA())</f>
        <v/>
      </c>
      <c r="AN516">
        <f>IF(AI516=0,AB516,NA())</f>
        <v/>
      </c>
    </row>
    <row r="517">
      <c r="A517" t="n">
        <v>509</v>
      </c>
      <c r="B517" t="n">
        <v>4</v>
      </c>
      <c r="C517" t="n">
        <v>4</v>
      </c>
      <c r="D517" t="n">
        <v>2</v>
      </c>
      <c r="E517" t="n">
        <v>2</v>
      </c>
      <c r="F517" t="n">
        <v>3</v>
      </c>
      <c r="G517" t="n">
        <v>3</v>
      </c>
      <c r="H517" t="n">
        <v>1</v>
      </c>
      <c r="I517" t="n">
        <v>1</v>
      </c>
      <c r="J517" t="n">
        <v>1</v>
      </c>
      <c r="K517" t="n">
        <v>2</v>
      </c>
      <c r="L517" t="n">
        <v>4</v>
      </c>
      <c r="M517" t="n">
        <v>2</v>
      </c>
      <c r="N517" t="n">
        <v>2</v>
      </c>
      <c r="O517" t="n">
        <v>3</v>
      </c>
      <c r="P517" t="n">
        <v>5</v>
      </c>
      <c r="Q517" t="n">
        <v>2</v>
      </c>
      <c r="R517" t="n">
        <v>1</v>
      </c>
      <c r="S517" t="n">
        <v>2</v>
      </c>
      <c r="T517" t="n">
        <v>2</v>
      </c>
      <c r="U517">
        <f>(AVERAGE(B517:D517)-1)/4</f>
        <v/>
      </c>
      <c r="V517">
        <f>(AVERAGE(E517:F517)-1)/4</f>
        <v/>
      </c>
      <c r="W517">
        <f>(AVERAGE(G517:I517)-1)/4</f>
        <v/>
      </c>
      <c r="X517">
        <f>(AVERAGE(J517:L517)-1)/4</f>
        <v/>
      </c>
      <c r="Y517">
        <f>(AVERAGE(M517:O517)-1)/4</f>
        <v/>
      </c>
      <c r="Z517">
        <f>(AVERAGE(P517:R517)-1)/4</f>
        <v/>
      </c>
      <c r="AA517">
        <f>(AVERAGE(S517:T517)-1)/4</f>
        <v/>
      </c>
      <c r="AB517">
        <f>AVERAGE(U517:Y517)</f>
        <v/>
      </c>
      <c r="AC517">
        <f>MIN(U517:Y517)</f>
        <v/>
      </c>
      <c r="AD517">
        <f>1-alpha*MAX(0,delta-AC517)</f>
        <v/>
      </c>
      <c r="AE517">
        <f>AB517*AD517</f>
        <v/>
      </c>
      <c r="AF517">
        <f>1+COUNTIF(bounds,"&lt;"&amp;ROUND(AB517,12))</f>
        <v/>
      </c>
      <c r="AG517">
        <f>1+COUNTIF(bounds,"&lt;"&amp;ROUND(AE517,12))</f>
        <v/>
      </c>
      <c r="AH517">
        <f>IF(AD517&lt;1,1,0)</f>
        <v/>
      </c>
      <c r="AI517">
        <f>IF(AF517&lt;&gt;AG517,1,0)</f>
        <v/>
      </c>
      <c r="AJ517">
        <f>IF(AND(AG517&gt;=3,Z517&lt;=0.2),1,0)</f>
        <v/>
      </c>
      <c r="AK517">
        <f>AVERAGE(U517:Z517)</f>
        <v/>
      </c>
      <c r="AL517">
        <f>1+COUNTIF(bounds,"&lt;"&amp;ROUND(AK517,12))</f>
        <v/>
      </c>
      <c r="AM517">
        <f>IF(AI517=1,AB517,NA())</f>
        <v/>
      </c>
      <c r="AN517">
        <f>IF(AI517=0,AB517,NA())</f>
        <v/>
      </c>
    </row>
    <row r="518">
      <c r="A518" t="n">
        <v>510</v>
      </c>
      <c r="B518" t="n">
        <v>4</v>
      </c>
      <c r="C518" t="n">
        <v>5</v>
      </c>
      <c r="D518" t="n">
        <v>5</v>
      </c>
      <c r="E518" t="n">
        <v>5</v>
      </c>
      <c r="F518" t="n">
        <v>2</v>
      </c>
      <c r="G518" t="n">
        <v>1</v>
      </c>
      <c r="H518" t="n">
        <v>3</v>
      </c>
      <c r="I518" t="n">
        <v>3</v>
      </c>
      <c r="J518" t="n">
        <v>1</v>
      </c>
      <c r="K518" t="n">
        <v>3</v>
      </c>
      <c r="L518" t="n">
        <v>2</v>
      </c>
      <c r="M518" t="n">
        <v>1</v>
      </c>
      <c r="N518" t="n">
        <v>4</v>
      </c>
      <c r="O518" t="n">
        <v>4</v>
      </c>
      <c r="P518" t="n">
        <v>4</v>
      </c>
      <c r="Q518" t="n">
        <v>1</v>
      </c>
      <c r="R518" t="n">
        <v>1</v>
      </c>
      <c r="S518" t="n">
        <v>2</v>
      </c>
      <c r="T518" t="n">
        <v>3</v>
      </c>
      <c r="U518">
        <f>(AVERAGE(B518:D518)-1)/4</f>
        <v/>
      </c>
      <c r="V518">
        <f>(AVERAGE(E518:F518)-1)/4</f>
        <v/>
      </c>
      <c r="W518">
        <f>(AVERAGE(G518:I518)-1)/4</f>
        <v/>
      </c>
      <c r="X518">
        <f>(AVERAGE(J518:L518)-1)/4</f>
        <v/>
      </c>
      <c r="Y518">
        <f>(AVERAGE(M518:O518)-1)/4</f>
        <v/>
      </c>
      <c r="Z518">
        <f>(AVERAGE(P518:R518)-1)/4</f>
        <v/>
      </c>
      <c r="AA518">
        <f>(AVERAGE(S518:T518)-1)/4</f>
        <v/>
      </c>
      <c r="AB518">
        <f>AVERAGE(U518:Y518)</f>
        <v/>
      </c>
      <c r="AC518">
        <f>MIN(U518:Y518)</f>
        <v/>
      </c>
      <c r="AD518">
        <f>1-alpha*MAX(0,delta-AC518)</f>
        <v/>
      </c>
      <c r="AE518">
        <f>AB518*AD518</f>
        <v/>
      </c>
      <c r="AF518">
        <f>1+COUNTIF(bounds,"&lt;"&amp;ROUND(AB518,12))</f>
        <v/>
      </c>
      <c r="AG518">
        <f>1+COUNTIF(bounds,"&lt;"&amp;ROUND(AE518,12))</f>
        <v/>
      </c>
      <c r="AH518">
        <f>IF(AD518&lt;1,1,0)</f>
        <v/>
      </c>
      <c r="AI518">
        <f>IF(AF518&lt;&gt;AG518,1,0)</f>
        <v/>
      </c>
      <c r="AJ518">
        <f>IF(AND(AG518&gt;=3,Z518&lt;=0.2),1,0)</f>
        <v/>
      </c>
      <c r="AK518">
        <f>AVERAGE(U518:Z518)</f>
        <v/>
      </c>
      <c r="AL518">
        <f>1+COUNTIF(bounds,"&lt;"&amp;ROUND(AK518,12))</f>
        <v/>
      </c>
      <c r="AM518">
        <f>IF(AI518=1,AB518,NA())</f>
        <v/>
      </c>
      <c r="AN518">
        <f>IF(AI518=0,AB518,NA())</f>
        <v/>
      </c>
    </row>
    <row r="519">
      <c r="A519" t="n">
        <v>511</v>
      </c>
      <c r="B519" t="n">
        <v>3</v>
      </c>
      <c r="C519" t="n">
        <v>5</v>
      </c>
      <c r="D519" t="n">
        <v>4</v>
      </c>
      <c r="E519" t="n">
        <v>2</v>
      </c>
      <c r="F519" t="n">
        <v>4</v>
      </c>
      <c r="G519" t="n">
        <v>4</v>
      </c>
      <c r="H519" t="n">
        <v>5</v>
      </c>
      <c r="I519" t="n">
        <v>2</v>
      </c>
      <c r="J519" t="n">
        <v>1</v>
      </c>
      <c r="K519" t="n">
        <v>1</v>
      </c>
      <c r="L519" t="n">
        <v>1</v>
      </c>
      <c r="M519" t="n">
        <v>3</v>
      </c>
      <c r="N519" t="n">
        <v>5</v>
      </c>
      <c r="O519" t="n">
        <v>1</v>
      </c>
      <c r="P519" t="n">
        <v>1</v>
      </c>
      <c r="Q519" t="n">
        <v>2</v>
      </c>
      <c r="R519" t="n">
        <v>5</v>
      </c>
      <c r="S519" t="n">
        <v>1</v>
      </c>
      <c r="T519" t="n">
        <v>4</v>
      </c>
      <c r="U519">
        <f>(AVERAGE(B519:D519)-1)/4</f>
        <v/>
      </c>
      <c r="V519">
        <f>(AVERAGE(E519:F519)-1)/4</f>
        <v/>
      </c>
      <c r="W519">
        <f>(AVERAGE(G519:I519)-1)/4</f>
        <v/>
      </c>
      <c r="X519">
        <f>(AVERAGE(J519:L519)-1)/4</f>
        <v/>
      </c>
      <c r="Y519">
        <f>(AVERAGE(M519:O519)-1)/4</f>
        <v/>
      </c>
      <c r="Z519">
        <f>(AVERAGE(P519:R519)-1)/4</f>
        <v/>
      </c>
      <c r="AA519">
        <f>(AVERAGE(S519:T519)-1)/4</f>
        <v/>
      </c>
      <c r="AB519">
        <f>AVERAGE(U519:Y519)</f>
        <v/>
      </c>
      <c r="AC519">
        <f>MIN(U519:Y519)</f>
        <v/>
      </c>
      <c r="AD519">
        <f>1-alpha*MAX(0,delta-AC519)</f>
        <v/>
      </c>
      <c r="AE519">
        <f>AB519*AD519</f>
        <v/>
      </c>
      <c r="AF519">
        <f>1+COUNTIF(bounds,"&lt;"&amp;ROUND(AB519,12))</f>
        <v/>
      </c>
      <c r="AG519">
        <f>1+COUNTIF(bounds,"&lt;"&amp;ROUND(AE519,12))</f>
        <v/>
      </c>
      <c r="AH519">
        <f>IF(AD519&lt;1,1,0)</f>
        <v/>
      </c>
      <c r="AI519">
        <f>IF(AF519&lt;&gt;AG519,1,0)</f>
        <v/>
      </c>
      <c r="AJ519">
        <f>IF(AND(AG519&gt;=3,Z519&lt;=0.2),1,0)</f>
        <v/>
      </c>
      <c r="AK519">
        <f>AVERAGE(U519:Z519)</f>
        <v/>
      </c>
      <c r="AL519">
        <f>1+COUNTIF(bounds,"&lt;"&amp;ROUND(AK519,12))</f>
        <v/>
      </c>
      <c r="AM519">
        <f>IF(AI519=1,AB519,NA())</f>
        <v/>
      </c>
      <c r="AN519">
        <f>IF(AI519=0,AB519,NA())</f>
        <v/>
      </c>
    </row>
    <row r="520">
      <c r="A520" t="n">
        <v>512</v>
      </c>
      <c r="B520" t="n">
        <v>2</v>
      </c>
      <c r="C520" t="n">
        <v>3</v>
      </c>
      <c r="D520" t="n">
        <v>2</v>
      </c>
      <c r="E520" t="n">
        <v>3</v>
      </c>
      <c r="F520" t="n">
        <v>1</v>
      </c>
      <c r="G520" t="n">
        <v>3</v>
      </c>
      <c r="H520" t="n">
        <v>1</v>
      </c>
      <c r="I520" t="n">
        <v>1</v>
      </c>
      <c r="J520" t="n">
        <v>1</v>
      </c>
      <c r="K520" t="n">
        <v>2</v>
      </c>
      <c r="L520" t="n">
        <v>2</v>
      </c>
      <c r="M520" t="n">
        <v>1</v>
      </c>
      <c r="N520" t="n">
        <v>3</v>
      </c>
      <c r="O520" t="n">
        <v>3</v>
      </c>
      <c r="P520" t="n">
        <v>2</v>
      </c>
      <c r="Q520" t="n">
        <v>5</v>
      </c>
      <c r="R520" t="n">
        <v>4</v>
      </c>
      <c r="S520" t="n">
        <v>2</v>
      </c>
      <c r="T520" t="n">
        <v>2</v>
      </c>
      <c r="U520">
        <f>(AVERAGE(B520:D520)-1)/4</f>
        <v/>
      </c>
      <c r="V520">
        <f>(AVERAGE(E520:F520)-1)/4</f>
        <v/>
      </c>
      <c r="W520">
        <f>(AVERAGE(G520:I520)-1)/4</f>
        <v/>
      </c>
      <c r="X520">
        <f>(AVERAGE(J520:L520)-1)/4</f>
        <v/>
      </c>
      <c r="Y520">
        <f>(AVERAGE(M520:O520)-1)/4</f>
        <v/>
      </c>
      <c r="Z520">
        <f>(AVERAGE(P520:R520)-1)/4</f>
        <v/>
      </c>
      <c r="AA520">
        <f>(AVERAGE(S520:T520)-1)/4</f>
        <v/>
      </c>
      <c r="AB520">
        <f>AVERAGE(U520:Y520)</f>
        <v/>
      </c>
      <c r="AC520">
        <f>MIN(U520:Y520)</f>
        <v/>
      </c>
      <c r="AD520">
        <f>1-alpha*MAX(0,delta-AC520)</f>
        <v/>
      </c>
      <c r="AE520">
        <f>AB520*AD520</f>
        <v/>
      </c>
      <c r="AF520">
        <f>1+COUNTIF(bounds,"&lt;"&amp;ROUND(AB520,12))</f>
        <v/>
      </c>
      <c r="AG520">
        <f>1+COUNTIF(bounds,"&lt;"&amp;ROUND(AE520,12))</f>
        <v/>
      </c>
      <c r="AH520">
        <f>IF(AD520&lt;1,1,0)</f>
        <v/>
      </c>
      <c r="AI520">
        <f>IF(AF520&lt;&gt;AG520,1,0)</f>
        <v/>
      </c>
      <c r="AJ520">
        <f>IF(AND(AG520&gt;=3,Z520&lt;=0.2),1,0)</f>
        <v/>
      </c>
      <c r="AK520">
        <f>AVERAGE(U520:Z520)</f>
        <v/>
      </c>
      <c r="AL520">
        <f>1+COUNTIF(bounds,"&lt;"&amp;ROUND(AK520,12))</f>
        <v/>
      </c>
      <c r="AM520">
        <f>IF(AI520=1,AB520,NA())</f>
        <v/>
      </c>
      <c r="AN520">
        <f>IF(AI520=0,AB520,NA())</f>
        <v/>
      </c>
    </row>
    <row r="521">
      <c r="A521" t="n">
        <v>513</v>
      </c>
      <c r="B521" t="n">
        <v>2</v>
      </c>
      <c r="C521" t="n">
        <v>3</v>
      </c>
      <c r="D521" t="n">
        <v>4</v>
      </c>
      <c r="E521" t="n">
        <v>1</v>
      </c>
      <c r="F521" t="n">
        <v>2</v>
      </c>
      <c r="G521" t="n">
        <v>4</v>
      </c>
      <c r="H521" t="n">
        <v>3</v>
      </c>
      <c r="I521" t="n">
        <v>5</v>
      </c>
      <c r="J521" t="n">
        <v>3</v>
      </c>
      <c r="K521" t="n">
        <v>2</v>
      </c>
      <c r="L521" t="n">
        <v>5</v>
      </c>
      <c r="M521" t="n">
        <v>4</v>
      </c>
      <c r="N521" t="n">
        <v>3</v>
      </c>
      <c r="O521" t="n">
        <v>5</v>
      </c>
      <c r="P521" t="n">
        <v>5</v>
      </c>
      <c r="Q521" t="n">
        <v>4</v>
      </c>
      <c r="R521" t="n">
        <v>1</v>
      </c>
      <c r="S521" t="n">
        <v>5</v>
      </c>
      <c r="T521" t="n">
        <v>3</v>
      </c>
      <c r="U521">
        <f>(AVERAGE(B521:D521)-1)/4</f>
        <v/>
      </c>
      <c r="V521">
        <f>(AVERAGE(E521:F521)-1)/4</f>
        <v/>
      </c>
      <c r="W521">
        <f>(AVERAGE(G521:I521)-1)/4</f>
        <v/>
      </c>
      <c r="X521">
        <f>(AVERAGE(J521:L521)-1)/4</f>
        <v/>
      </c>
      <c r="Y521">
        <f>(AVERAGE(M521:O521)-1)/4</f>
        <v/>
      </c>
      <c r="Z521">
        <f>(AVERAGE(P521:R521)-1)/4</f>
        <v/>
      </c>
      <c r="AA521">
        <f>(AVERAGE(S521:T521)-1)/4</f>
        <v/>
      </c>
      <c r="AB521">
        <f>AVERAGE(U521:Y521)</f>
        <v/>
      </c>
      <c r="AC521">
        <f>MIN(U521:Y521)</f>
        <v/>
      </c>
      <c r="AD521">
        <f>1-alpha*MAX(0,delta-AC521)</f>
        <v/>
      </c>
      <c r="AE521">
        <f>AB521*AD521</f>
        <v/>
      </c>
      <c r="AF521">
        <f>1+COUNTIF(bounds,"&lt;"&amp;ROUND(AB521,12))</f>
        <v/>
      </c>
      <c r="AG521">
        <f>1+COUNTIF(bounds,"&lt;"&amp;ROUND(AE521,12))</f>
        <v/>
      </c>
      <c r="AH521">
        <f>IF(AD521&lt;1,1,0)</f>
        <v/>
      </c>
      <c r="AI521">
        <f>IF(AF521&lt;&gt;AG521,1,0)</f>
        <v/>
      </c>
      <c r="AJ521">
        <f>IF(AND(AG521&gt;=3,Z521&lt;=0.2),1,0)</f>
        <v/>
      </c>
      <c r="AK521">
        <f>AVERAGE(U521:Z521)</f>
        <v/>
      </c>
      <c r="AL521">
        <f>1+COUNTIF(bounds,"&lt;"&amp;ROUND(AK521,12))</f>
        <v/>
      </c>
      <c r="AM521">
        <f>IF(AI521=1,AB521,NA())</f>
        <v/>
      </c>
      <c r="AN521">
        <f>IF(AI521=0,AB521,NA())</f>
        <v/>
      </c>
    </row>
    <row r="522">
      <c r="A522" t="n">
        <v>514</v>
      </c>
      <c r="B522" t="n">
        <v>1</v>
      </c>
      <c r="C522" t="n">
        <v>2</v>
      </c>
      <c r="D522" t="n">
        <v>2</v>
      </c>
      <c r="E522" t="n">
        <v>4</v>
      </c>
      <c r="F522" t="n">
        <v>4</v>
      </c>
      <c r="G522" t="n">
        <v>5</v>
      </c>
      <c r="H522" t="n">
        <v>2</v>
      </c>
      <c r="I522" t="n">
        <v>1</v>
      </c>
      <c r="J522" t="n">
        <v>2</v>
      </c>
      <c r="K522" t="n">
        <v>4</v>
      </c>
      <c r="L522" t="n">
        <v>2</v>
      </c>
      <c r="M522" t="n">
        <v>3</v>
      </c>
      <c r="N522" t="n">
        <v>5</v>
      </c>
      <c r="O522" t="n">
        <v>4</v>
      </c>
      <c r="P522" t="n">
        <v>2</v>
      </c>
      <c r="Q522" t="n">
        <v>4</v>
      </c>
      <c r="R522" t="n">
        <v>3</v>
      </c>
      <c r="S522" t="n">
        <v>2</v>
      </c>
      <c r="T522" t="n">
        <v>4</v>
      </c>
      <c r="U522">
        <f>(AVERAGE(B522:D522)-1)/4</f>
        <v/>
      </c>
      <c r="V522">
        <f>(AVERAGE(E522:F522)-1)/4</f>
        <v/>
      </c>
      <c r="W522">
        <f>(AVERAGE(G522:I522)-1)/4</f>
        <v/>
      </c>
      <c r="X522">
        <f>(AVERAGE(J522:L522)-1)/4</f>
        <v/>
      </c>
      <c r="Y522">
        <f>(AVERAGE(M522:O522)-1)/4</f>
        <v/>
      </c>
      <c r="Z522">
        <f>(AVERAGE(P522:R522)-1)/4</f>
        <v/>
      </c>
      <c r="AA522">
        <f>(AVERAGE(S522:T522)-1)/4</f>
        <v/>
      </c>
      <c r="AB522">
        <f>AVERAGE(U522:Y522)</f>
        <v/>
      </c>
      <c r="AC522">
        <f>MIN(U522:Y522)</f>
        <v/>
      </c>
      <c r="AD522">
        <f>1-alpha*MAX(0,delta-AC522)</f>
        <v/>
      </c>
      <c r="AE522">
        <f>AB522*AD522</f>
        <v/>
      </c>
      <c r="AF522">
        <f>1+COUNTIF(bounds,"&lt;"&amp;ROUND(AB522,12))</f>
        <v/>
      </c>
      <c r="AG522">
        <f>1+COUNTIF(bounds,"&lt;"&amp;ROUND(AE522,12))</f>
        <v/>
      </c>
      <c r="AH522">
        <f>IF(AD522&lt;1,1,0)</f>
        <v/>
      </c>
      <c r="AI522">
        <f>IF(AF522&lt;&gt;AG522,1,0)</f>
        <v/>
      </c>
      <c r="AJ522">
        <f>IF(AND(AG522&gt;=3,Z522&lt;=0.2),1,0)</f>
        <v/>
      </c>
      <c r="AK522">
        <f>AVERAGE(U522:Z522)</f>
        <v/>
      </c>
      <c r="AL522">
        <f>1+COUNTIF(bounds,"&lt;"&amp;ROUND(AK522,12))</f>
        <v/>
      </c>
      <c r="AM522">
        <f>IF(AI522=1,AB522,NA())</f>
        <v/>
      </c>
      <c r="AN522">
        <f>IF(AI522=0,AB522,NA())</f>
        <v/>
      </c>
    </row>
    <row r="523">
      <c r="A523" t="n">
        <v>515</v>
      </c>
      <c r="B523" t="n">
        <v>2</v>
      </c>
      <c r="C523" t="n">
        <v>4</v>
      </c>
      <c r="D523" t="n">
        <v>2</v>
      </c>
      <c r="E523" t="n">
        <v>4</v>
      </c>
      <c r="F523" t="n">
        <v>1</v>
      </c>
      <c r="G523" t="n">
        <v>5</v>
      </c>
      <c r="H523" t="n">
        <v>1</v>
      </c>
      <c r="I523" t="n">
        <v>5</v>
      </c>
      <c r="J523" t="n">
        <v>3</v>
      </c>
      <c r="K523" t="n">
        <v>2</v>
      </c>
      <c r="L523" t="n">
        <v>5</v>
      </c>
      <c r="M523" t="n">
        <v>3</v>
      </c>
      <c r="N523" t="n">
        <v>1</v>
      </c>
      <c r="O523" t="n">
        <v>5</v>
      </c>
      <c r="P523" t="n">
        <v>2</v>
      </c>
      <c r="Q523" t="n">
        <v>2</v>
      </c>
      <c r="R523" t="n">
        <v>1</v>
      </c>
      <c r="S523" t="n">
        <v>4</v>
      </c>
      <c r="T523" t="n">
        <v>5</v>
      </c>
      <c r="U523">
        <f>(AVERAGE(B523:D523)-1)/4</f>
        <v/>
      </c>
      <c r="V523">
        <f>(AVERAGE(E523:F523)-1)/4</f>
        <v/>
      </c>
      <c r="W523">
        <f>(AVERAGE(G523:I523)-1)/4</f>
        <v/>
      </c>
      <c r="X523">
        <f>(AVERAGE(J523:L523)-1)/4</f>
        <v/>
      </c>
      <c r="Y523">
        <f>(AVERAGE(M523:O523)-1)/4</f>
        <v/>
      </c>
      <c r="Z523">
        <f>(AVERAGE(P523:R523)-1)/4</f>
        <v/>
      </c>
      <c r="AA523">
        <f>(AVERAGE(S523:T523)-1)/4</f>
        <v/>
      </c>
      <c r="AB523">
        <f>AVERAGE(U523:Y523)</f>
        <v/>
      </c>
      <c r="AC523">
        <f>MIN(U523:Y523)</f>
        <v/>
      </c>
      <c r="AD523">
        <f>1-alpha*MAX(0,delta-AC523)</f>
        <v/>
      </c>
      <c r="AE523">
        <f>AB523*AD523</f>
        <v/>
      </c>
      <c r="AF523">
        <f>1+COUNTIF(bounds,"&lt;"&amp;ROUND(AB523,12))</f>
        <v/>
      </c>
      <c r="AG523">
        <f>1+COUNTIF(bounds,"&lt;"&amp;ROUND(AE523,12))</f>
        <v/>
      </c>
      <c r="AH523">
        <f>IF(AD523&lt;1,1,0)</f>
        <v/>
      </c>
      <c r="AI523">
        <f>IF(AF523&lt;&gt;AG523,1,0)</f>
        <v/>
      </c>
      <c r="AJ523">
        <f>IF(AND(AG523&gt;=3,Z523&lt;=0.2),1,0)</f>
        <v/>
      </c>
      <c r="AK523">
        <f>AVERAGE(U523:Z523)</f>
        <v/>
      </c>
      <c r="AL523">
        <f>1+COUNTIF(bounds,"&lt;"&amp;ROUND(AK523,12))</f>
        <v/>
      </c>
      <c r="AM523">
        <f>IF(AI523=1,AB523,NA())</f>
        <v/>
      </c>
      <c r="AN523">
        <f>IF(AI523=0,AB523,NA())</f>
        <v/>
      </c>
    </row>
    <row r="524">
      <c r="A524" t="n">
        <v>516</v>
      </c>
      <c r="B524" t="n">
        <v>3</v>
      </c>
      <c r="C524" t="n">
        <v>5</v>
      </c>
      <c r="D524" t="n">
        <v>5</v>
      </c>
      <c r="E524" t="n">
        <v>1</v>
      </c>
      <c r="F524" t="n">
        <v>4</v>
      </c>
      <c r="G524" t="n">
        <v>5</v>
      </c>
      <c r="H524" t="n">
        <v>4</v>
      </c>
      <c r="I524" t="n">
        <v>2</v>
      </c>
      <c r="J524" t="n">
        <v>4</v>
      </c>
      <c r="K524" t="n">
        <v>1</v>
      </c>
      <c r="L524" t="n">
        <v>4</v>
      </c>
      <c r="M524" t="n">
        <v>2</v>
      </c>
      <c r="N524" t="n">
        <v>1</v>
      </c>
      <c r="O524" t="n">
        <v>2</v>
      </c>
      <c r="P524" t="n">
        <v>3</v>
      </c>
      <c r="Q524" t="n">
        <v>3</v>
      </c>
      <c r="R524" t="n">
        <v>2</v>
      </c>
      <c r="S524" t="n">
        <v>2</v>
      </c>
      <c r="T524" t="n">
        <v>1</v>
      </c>
      <c r="U524">
        <f>(AVERAGE(B524:D524)-1)/4</f>
        <v/>
      </c>
      <c r="V524">
        <f>(AVERAGE(E524:F524)-1)/4</f>
        <v/>
      </c>
      <c r="W524">
        <f>(AVERAGE(G524:I524)-1)/4</f>
        <v/>
      </c>
      <c r="X524">
        <f>(AVERAGE(J524:L524)-1)/4</f>
        <v/>
      </c>
      <c r="Y524">
        <f>(AVERAGE(M524:O524)-1)/4</f>
        <v/>
      </c>
      <c r="Z524">
        <f>(AVERAGE(P524:R524)-1)/4</f>
        <v/>
      </c>
      <c r="AA524">
        <f>(AVERAGE(S524:T524)-1)/4</f>
        <v/>
      </c>
      <c r="AB524">
        <f>AVERAGE(U524:Y524)</f>
        <v/>
      </c>
      <c r="AC524">
        <f>MIN(U524:Y524)</f>
        <v/>
      </c>
      <c r="AD524">
        <f>1-alpha*MAX(0,delta-AC524)</f>
        <v/>
      </c>
      <c r="AE524">
        <f>AB524*AD524</f>
        <v/>
      </c>
      <c r="AF524">
        <f>1+COUNTIF(bounds,"&lt;"&amp;ROUND(AB524,12))</f>
        <v/>
      </c>
      <c r="AG524">
        <f>1+COUNTIF(bounds,"&lt;"&amp;ROUND(AE524,12))</f>
        <v/>
      </c>
      <c r="AH524">
        <f>IF(AD524&lt;1,1,0)</f>
        <v/>
      </c>
      <c r="AI524">
        <f>IF(AF524&lt;&gt;AG524,1,0)</f>
        <v/>
      </c>
      <c r="AJ524">
        <f>IF(AND(AG524&gt;=3,Z524&lt;=0.2),1,0)</f>
        <v/>
      </c>
      <c r="AK524">
        <f>AVERAGE(U524:Z524)</f>
        <v/>
      </c>
      <c r="AL524">
        <f>1+COUNTIF(bounds,"&lt;"&amp;ROUND(AK524,12))</f>
        <v/>
      </c>
      <c r="AM524">
        <f>IF(AI524=1,AB524,NA())</f>
        <v/>
      </c>
      <c r="AN524">
        <f>IF(AI524=0,AB524,NA())</f>
        <v/>
      </c>
    </row>
    <row r="525">
      <c r="A525" t="n">
        <v>517</v>
      </c>
      <c r="B525" t="n">
        <v>1</v>
      </c>
      <c r="C525" t="n">
        <v>2</v>
      </c>
      <c r="D525" t="n">
        <v>2</v>
      </c>
      <c r="E525" t="n">
        <v>2</v>
      </c>
      <c r="F525" t="n">
        <v>3</v>
      </c>
      <c r="G525" t="n">
        <v>5</v>
      </c>
      <c r="H525" t="n">
        <v>4</v>
      </c>
      <c r="I525" t="n">
        <v>4</v>
      </c>
      <c r="J525" t="n">
        <v>1</v>
      </c>
      <c r="K525" t="n">
        <v>5</v>
      </c>
      <c r="L525" t="n">
        <v>5</v>
      </c>
      <c r="M525" t="n">
        <v>4</v>
      </c>
      <c r="N525" t="n">
        <v>5</v>
      </c>
      <c r="O525" t="n">
        <v>5</v>
      </c>
      <c r="P525" t="n">
        <v>3</v>
      </c>
      <c r="Q525" t="n">
        <v>1</v>
      </c>
      <c r="R525" t="n">
        <v>3</v>
      </c>
      <c r="S525" t="n">
        <v>4</v>
      </c>
      <c r="T525" t="n">
        <v>2</v>
      </c>
      <c r="U525">
        <f>(AVERAGE(B525:D525)-1)/4</f>
        <v/>
      </c>
      <c r="V525">
        <f>(AVERAGE(E525:F525)-1)/4</f>
        <v/>
      </c>
      <c r="W525">
        <f>(AVERAGE(G525:I525)-1)/4</f>
        <v/>
      </c>
      <c r="X525">
        <f>(AVERAGE(J525:L525)-1)/4</f>
        <v/>
      </c>
      <c r="Y525">
        <f>(AVERAGE(M525:O525)-1)/4</f>
        <v/>
      </c>
      <c r="Z525">
        <f>(AVERAGE(P525:R525)-1)/4</f>
        <v/>
      </c>
      <c r="AA525">
        <f>(AVERAGE(S525:T525)-1)/4</f>
        <v/>
      </c>
      <c r="AB525">
        <f>AVERAGE(U525:Y525)</f>
        <v/>
      </c>
      <c r="AC525">
        <f>MIN(U525:Y525)</f>
        <v/>
      </c>
      <c r="AD525">
        <f>1-alpha*MAX(0,delta-AC525)</f>
        <v/>
      </c>
      <c r="AE525">
        <f>AB525*AD525</f>
        <v/>
      </c>
      <c r="AF525">
        <f>1+COUNTIF(bounds,"&lt;"&amp;ROUND(AB525,12))</f>
        <v/>
      </c>
      <c r="AG525">
        <f>1+COUNTIF(bounds,"&lt;"&amp;ROUND(AE525,12))</f>
        <v/>
      </c>
      <c r="AH525">
        <f>IF(AD525&lt;1,1,0)</f>
        <v/>
      </c>
      <c r="AI525">
        <f>IF(AF525&lt;&gt;AG525,1,0)</f>
        <v/>
      </c>
      <c r="AJ525">
        <f>IF(AND(AG525&gt;=3,Z525&lt;=0.2),1,0)</f>
        <v/>
      </c>
      <c r="AK525">
        <f>AVERAGE(U525:Z525)</f>
        <v/>
      </c>
      <c r="AL525">
        <f>1+COUNTIF(bounds,"&lt;"&amp;ROUND(AK525,12))</f>
        <v/>
      </c>
      <c r="AM525">
        <f>IF(AI525=1,AB525,NA())</f>
        <v/>
      </c>
      <c r="AN525">
        <f>IF(AI525=0,AB525,NA())</f>
        <v/>
      </c>
    </row>
    <row r="526">
      <c r="A526" t="n">
        <v>518</v>
      </c>
      <c r="B526" t="n">
        <v>2</v>
      </c>
      <c r="C526" t="n">
        <v>2</v>
      </c>
      <c r="D526" t="n">
        <v>4</v>
      </c>
      <c r="E526" t="n">
        <v>1</v>
      </c>
      <c r="F526" t="n">
        <v>2</v>
      </c>
      <c r="G526" t="n">
        <v>5</v>
      </c>
      <c r="H526" t="n">
        <v>2</v>
      </c>
      <c r="I526" t="n">
        <v>5</v>
      </c>
      <c r="J526" t="n">
        <v>4</v>
      </c>
      <c r="K526" t="n">
        <v>2</v>
      </c>
      <c r="L526" t="n">
        <v>2</v>
      </c>
      <c r="M526" t="n">
        <v>1</v>
      </c>
      <c r="N526" t="n">
        <v>2</v>
      </c>
      <c r="O526" t="n">
        <v>3</v>
      </c>
      <c r="P526" t="n">
        <v>5</v>
      </c>
      <c r="Q526" t="n">
        <v>4</v>
      </c>
      <c r="R526" t="n">
        <v>5</v>
      </c>
      <c r="S526" t="n">
        <v>3</v>
      </c>
      <c r="T526" t="n">
        <v>3</v>
      </c>
      <c r="U526">
        <f>(AVERAGE(B526:D526)-1)/4</f>
        <v/>
      </c>
      <c r="V526">
        <f>(AVERAGE(E526:F526)-1)/4</f>
        <v/>
      </c>
      <c r="W526">
        <f>(AVERAGE(G526:I526)-1)/4</f>
        <v/>
      </c>
      <c r="X526">
        <f>(AVERAGE(J526:L526)-1)/4</f>
        <v/>
      </c>
      <c r="Y526">
        <f>(AVERAGE(M526:O526)-1)/4</f>
        <v/>
      </c>
      <c r="Z526">
        <f>(AVERAGE(P526:R526)-1)/4</f>
        <v/>
      </c>
      <c r="AA526">
        <f>(AVERAGE(S526:T526)-1)/4</f>
        <v/>
      </c>
      <c r="AB526">
        <f>AVERAGE(U526:Y526)</f>
        <v/>
      </c>
      <c r="AC526">
        <f>MIN(U526:Y526)</f>
        <v/>
      </c>
      <c r="AD526">
        <f>1-alpha*MAX(0,delta-AC526)</f>
        <v/>
      </c>
      <c r="AE526">
        <f>AB526*AD526</f>
        <v/>
      </c>
      <c r="AF526">
        <f>1+COUNTIF(bounds,"&lt;"&amp;ROUND(AB526,12))</f>
        <v/>
      </c>
      <c r="AG526">
        <f>1+COUNTIF(bounds,"&lt;"&amp;ROUND(AE526,12))</f>
        <v/>
      </c>
      <c r="AH526">
        <f>IF(AD526&lt;1,1,0)</f>
        <v/>
      </c>
      <c r="AI526">
        <f>IF(AF526&lt;&gt;AG526,1,0)</f>
        <v/>
      </c>
      <c r="AJ526">
        <f>IF(AND(AG526&gt;=3,Z526&lt;=0.2),1,0)</f>
        <v/>
      </c>
      <c r="AK526">
        <f>AVERAGE(U526:Z526)</f>
        <v/>
      </c>
      <c r="AL526">
        <f>1+COUNTIF(bounds,"&lt;"&amp;ROUND(AK526,12))</f>
        <v/>
      </c>
      <c r="AM526">
        <f>IF(AI526=1,AB526,NA())</f>
        <v/>
      </c>
      <c r="AN526">
        <f>IF(AI526=0,AB526,NA())</f>
        <v/>
      </c>
    </row>
    <row r="527">
      <c r="A527" t="n">
        <v>519</v>
      </c>
      <c r="B527" t="n">
        <v>3</v>
      </c>
      <c r="C527" t="n">
        <v>1</v>
      </c>
      <c r="D527" t="n">
        <v>2</v>
      </c>
      <c r="E527" t="n">
        <v>4</v>
      </c>
      <c r="F527" t="n">
        <v>5</v>
      </c>
      <c r="G527" t="n">
        <v>1</v>
      </c>
      <c r="H527" t="n">
        <v>1</v>
      </c>
      <c r="I527" t="n">
        <v>1</v>
      </c>
      <c r="J527" t="n">
        <v>4</v>
      </c>
      <c r="K527" t="n">
        <v>3</v>
      </c>
      <c r="L527" t="n">
        <v>3</v>
      </c>
      <c r="M527" t="n">
        <v>2</v>
      </c>
      <c r="N527" t="n">
        <v>2</v>
      </c>
      <c r="O527" t="n">
        <v>2</v>
      </c>
      <c r="P527" t="n">
        <v>2</v>
      </c>
      <c r="Q527" t="n">
        <v>4</v>
      </c>
      <c r="R527" t="n">
        <v>4</v>
      </c>
      <c r="S527" t="n">
        <v>2</v>
      </c>
      <c r="T527" t="n">
        <v>2</v>
      </c>
      <c r="U527">
        <f>(AVERAGE(B527:D527)-1)/4</f>
        <v/>
      </c>
      <c r="V527">
        <f>(AVERAGE(E527:F527)-1)/4</f>
        <v/>
      </c>
      <c r="W527">
        <f>(AVERAGE(G527:I527)-1)/4</f>
        <v/>
      </c>
      <c r="X527">
        <f>(AVERAGE(J527:L527)-1)/4</f>
        <v/>
      </c>
      <c r="Y527">
        <f>(AVERAGE(M527:O527)-1)/4</f>
        <v/>
      </c>
      <c r="Z527">
        <f>(AVERAGE(P527:R527)-1)/4</f>
        <v/>
      </c>
      <c r="AA527">
        <f>(AVERAGE(S527:T527)-1)/4</f>
        <v/>
      </c>
      <c r="AB527">
        <f>AVERAGE(U527:Y527)</f>
        <v/>
      </c>
      <c r="AC527">
        <f>MIN(U527:Y527)</f>
        <v/>
      </c>
      <c r="AD527">
        <f>1-alpha*MAX(0,delta-AC527)</f>
        <v/>
      </c>
      <c r="AE527">
        <f>AB527*AD527</f>
        <v/>
      </c>
      <c r="AF527">
        <f>1+COUNTIF(bounds,"&lt;"&amp;ROUND(AB527,12))</f>
        <v/>
      </c>
      <c r="AG527">
        <f>1+COUNTIF(bounds,"&lt;"&amp;ROUND(AE527,12))</f>
        <v/>
      </c>
      <c r="AH527">
        <f>IF(AD527&lt;1,1,0)</f>
        <v/>
      </c>
      <c r="AI527">
        <f>IF(AF527&lt;&gt;AG527,1,0)</f>
        <v/>
      </c>
      <c r="AJ527">
        <f>IF(AND(AG527&gt;=3,Z527&lt;=0.2),1,0)</f>
        <v/>
      </c>
      <c r="AK527">
        <f>AVERAGE(U527:Z527)</f>
        <v/>
      </c>
      <c r="AL527">
        <f>1+COUNTIF(bounds,"&lt;"&amp;ROUND(AK527,12))</f>
        <v/>
      </c>
      <c r="AM527">
        <f>IF(AI527=1,AB527,NA())</f>
        <v/>
      </c>
      <c r="AN527">
        <f>IF(AI527=0,AB527,NA())</f>
        <v/>
      </c>
    </row>
    <row r="528">
      <c r="A528" t="n">
        <v>520</v>
      </c>
      <c r="B528" t="n">
        <v>2</v>
      </c>
      <c r="C528" t="n">
        <v>4</v>
      </c>
      <c r="D528" t="n">
        <v>1</v>
      </c>
      <c r="E528" t="n">
        <v>4</v>
      </c>
      <c r="F528" t="n">
        <v>2</v>
      </c>
      <c r="G528" t="n">
        <v>2</v>
      </c>
      <c r="H528" t="n">
        <v>4</v>
      </c>
      <c r="I528" t="n">
        <v>1</v>
      </c>
      <c r="J528" t="n">
        <v>5</v>
      </c>
      <c r="K528" t="n">
        <v>3</v>
      </c>
      <c r="L528" t="n">
        <v>1</v>
      </c>
      <c r="M528" t="n">
        <v>3</v>
      </c>
      <c r="N528" t="n">
        <v>5</v>
      </c>
      <c r="O528" t="n">
        <v>1</v>
      </c>
      <c r="P528" t="n">
        <v>3</v>
      </c>
      <c r="Q528" t="n">
        <v>4</v>
      </c>
      <c r="R528" t="n">
        <v>1</v>
      </c>
      <c r="S528" t="n">
        <v>2</v>
      </c>
      <c r="T528" t="n">
        <v>1</v>
      </c>
      <c r="U528">
        <f>(AVERAGE(B528:D528)-1)/4</f>
        <v/>
      </c>
      <c r="V528">
        <f>(AVERAGE(E528:F528)-1)/4</f>
        <v/>
      </c>
      <c r="W528">
        <f>(AVERAGE(G528:I528)-1)/4</f>
        <v/>
      </c>
      <c r="X528">
        <f>(AVERAGE(J528:L528)-1)/4</f>
        <v/>
      </c>
      <c r="Y528">
        <f>(AVERAGE(M528:O528)-1)/4</f>
        <v/>
      </c>
      <c r="Z528">
        <f>(AVERAGE(P528:R528)-1)/4</f>
        <v/>
      </c>
      <c r="AA528">
        <f>(AVERAGE(S528:T528)-1)/4</f>
        <v/>
      </c>
      <c r="AB528">
        <f>AVERAGE(U528:Y528)</f>
        <v/>
      </c>
      <c r="AC528">
        <f>MIN(U528:Y528)</f>
        <v/>
      </c>
      <c r="AD528">
        <f>1-alpha*MAX(0,delta-AC528)</f>
        <v/>
      </c>
      <c r="AE528">
        <f>AB528*AD528</f>
        <v/>
      </c>
      <c r="AF528">
        <f>1+COUNTIF(bounds,"&lt;"&amp;ROUND(AB528,12))</f>
        <v/>
      </c>
      <c r="AG528">
        <f>1+COUNTIF(bounds,"&lt;"&amp;ROUND(AE528,12))</f>
        <v/>
      </c>
      <c r="AH528">
        <f>IF(AD528&lt;1,1,0)</f>
        <v/>
      </c>
      <c r="AI528">
        <f>IF(AF528&lt;&gt;AG528,1,0)</f>
        <v/>
      </c>
      <c r="AJ528">
        <f>IF(AND(AG528&gt;=3,Z528&lt;=0.2),1,0)</f>
        <v/>
      </c>
      <c r="AK528">
        <f>AVERAGE(U528:Z528)</f>
        <v/>
      </c>
      <c r="AL528">
        <f>1+COUNTIF(bounds,"&lt;"&amp;ROUND(AK528,12))</f>
        <v/>
      </c>
      <c r="AM528">
        <f>IF(AI528=1,AB528,NA())</f>
        <v/>
      </c>
      <c r="AN528">
        <f>IF(AI528=0,AB528,NA())</f>
        <v/>
      </c>
    </row>
    <row r="529">
      <c r="A529" t="n">
        <v>521</v>
      </c>
      <c r="B529" t="n">
        <v>1</v>
      </c>
      <c r="C529" t="n">
        <v>4</v>
      </c>
      <c r="D529" t="n">
        <v>1</v>
      </c>
      <c r="E529" t="n">
        <v>4</v>
      </c>
      <c r="F529" t="n">
        <v>2</v>
      </c>
      <c r="G529" t="n">
        <v>3</v>
      </c>
      <c r="H529" t="n">
        <v>3</v>
      </c>
      <c r="I529" t="n">
        <v>5</v>
      </c>
      <c r="J529" t="n">
        <v>1</v>
      </c>
      <c r="K529" t="n">
        <v>2</v>
      </c>
      <c r="L529" t="n">
        <v>1</v>
      </c>
      <c r="M529" t="n">
        <v>2</v>
      </c>
      <c r="N529" t="n">
        <v>2</v>
      </c>
      <c r="O529" t="n">
        <v>3</v>
      </c>
      <c r="P529" t="n">
        <v>2</v>
      </c>
      <c r="Q529" t="n">
        <v>3</v>
      </c>
      <c r="R529" t="n">
        <v>5</v>
      </c>
      <c r="S529" t="n">
        <v>5</v>
      </c>
      <c r="T529" t="n">
        <v>1</v>
      </c>
      <c r="U529">
        <f>(AVERAGE(B529:D529)-1)/4</f>
        <v/>
      </c>
      <c r="V529">
        <f>(AVERAGE(E529:F529)-1)/4</f>
        <v/>
      </c>
      <c r="W529">
        <f>(AVERAGE(G529:I529)-1)/4</f>
        <v/>
      </c>
      <c r="X529">
        <f>(AVERAGE(J529:L529)-1)/4</f>
        <v/>
      </c>
      <c r="Y529">
        <f>(AVERAGE(M529:O529)-1)/4</f>
        <v/>
      </c>
      <c r="Z529">
        <f>(AVERAGE(P529:R529)-1)/4</f>
        <v/>
      </c>
      <c r="AA529">
        <f>(AVERAGE(S529:T529)-1)/4</f>
        <v/>
      </c>
      <c r="AB529">
        <f>AVERAGE(U529:Y529)</f>
        <v/>
      </c>
      <c r="AC529">
        <f>MIN(U529:Y529)</f>
        <v/>
      </c>
      <c r="AD529">
        <f>1-alpha*MAX(0,delta-AC529)</f>
        <v/>
      </c>
      <c r="AE529">
        <f>AB529*AD529</f>
        <v/>
      </c>
      <c r="AF529">
        <f>1+COUNTIF(bounds,"&lt;"&amp;ROUND(AB529,12))</f>
        <v/>
      </c>
      <c r="AG529">
        <f>1+COUNTIF(bounds,"&lt;"&amp;ROUND(AE529,12))</f>
        <v/>
      </c>
      <c r="AH529">
        <f>IF(AD529&lt;1,1,0)</f>
        <v/>
      </c>
      <c r="AI529">
        <f>IF(AF529&lt;&gt;AG529,1,0)</f>
        <v/>
      </c>
      <c r="AJ529">
        <f>IF(AND(AG529&gt;=3,Z529&lt;=0.2),1,0)</f>
        <v/>
      </c>
      <c r="AK529">
        <f>AVERAGE(U529:Z529)</f>
        <v/>
      </c>
      <c r="AL529">
        <f>1+COUNTIF(bounds,"&lt;"&amp;ROUND(AK529,12))</f>
        <v/>
      </c>
      <c r="AM529">
        <f>IF(AI529=1,AB529,NA())</f>
        <v/>
      </c>
      <c r="AN529">
        <f>IF(AI529=0,AB529,NA())</f>
        <v/>
      </c>
    </row>
    <row r="530">
      <c r="A530" t="n">
        <v>522</v>
      </c>
      <c r="B530" t="n">
        <v>4</v>
      </c>
      <c r="C530" t="n">
        <v>1</v>
      </c>
      <c r="D530" t="n">
        <v>4</v>
      </c>
      <c r="E530" t="n">
        <v>3</v>
      </c>
      <c r="F530" t="n">
        <v>4</v>
      </c>
      <c r="G530" t="n">
        <v>2</v>
      </c>
      <c r="H530" t="n">
        <v>1</v>
      </c>
      <c r="I530" t="n">
        <v>4</v>
      </c>
      <c r="J530" t="n">
        <v>4</v>
      </c>
      <c r="K530" t="n">
        <v>1</v>
      </c>
      <c r="L530" t="n">
        <v>1</v>
      </c>
      <c r="M530" t="n">
        <v>2</v>
      </c>
      <c r="N530" t="n">
        <v>2</v>
      </c>
      <c r="O530" t="n">
        <v>5</v>
      </c>
      <c r="P530" t="n">
        <v>2</v>
      </c>
      <c r="Q530" t="n">
        <v>4</v>
      </c>
      <c r="R530" t="n">
        <v>2</v>
      </c>
      <c r="S530" t="n">
        <v>3</v>
      </c>
      <c r="T530" t="n">
        <v>3</v>
      </c>
      <c r="U530">
        <f>(AVERAGE(B530:D530)-1)/4</f>
        <v/>
      </c>
      <c r="V530">
        <f>(AVERAGE(E530:F530)-1)/4</f>
        <v/>
      </c>
      <c r="W530">
        <f>(AVERAGE(G530:I530)-1)/4</f>
        <v/>
      </c>
      <c r="X530">
        <f>(AVERAGE(J530:L530)-1)/4</f>
        <v/>
      </c>
      <c r="Y530">
        <f>(AVERAGE(M530:O530)-1)/4</f>
        <v/>
      </c>
      <c r="Z530">
        <f>(AVERAGE(P530:R530)-1)/4</f>
        <v/>
      </c>
      <c r="AA530">
        <f>(AVERAGE(S530:T530)-1)/4</f>
        <v/>
      </c>
      <c r="AB530">
        <f>AVERAGE(U530:Y530)</f>
        <v/>
      </c>
      <c r="AC530">
        <f>MIN(U530:Y530)</f>
        <v/>
      </c>
      <c r="AD530">
        <f>1-alpha*MAX(0,delta-AC530)</f>
        <v/>
      </c>
      <c r="AE530">
        <f>AB530*AD530</f>
        <v/>
      </c>
      <c r="AF530">
        <f>1+COUNTIF(bounds,"&lt;"&amp;ROUND(AB530,12))</f>
        <v/>
      </c>
      <c r="AG530">
        <f>1+COUNTIF(bounds,"&lt;"&amp;ROUND(AE530,12))</f>
        <v/>
      </c>
      <c r="AH530">
        <f>IF(AD530&lt;1,1,0)</f>
        <v/>
      </c>
      <c r="AI530">
        <f>IF(AF530&lt;&gt;AG530,1,0)</f>
        <v/>
      </c>
      <c r="AJ530">
        <f>IF(AND(AG530&gt;=3,Z530&lt;=0.2),1,0)</f>
        <v/>
      </c>
      <c r="AK530">
        <f>AVERAGE(U530:Z530)</f>
        <v/>
      </c>
      <c r="AL530">
        <f>1+COUNTIF(bounds,"&lt;"&amp;ROUND(AK530,12))</f>
        <v/>
      </c>
      <c r="AM530">
        <f>IF(AI530=1,AB530,NA())</f>
        <v/>
      </c>
      <c r="AN530">
        <f>IF(AI530=0,AB530,NA())</f>
        <v/>
      </c>
    </row>
    <row r="531">
      <c r="A531" t="n">
        <v>523</v>
      </c>
      <c r="B531" t="n">
        <v>2</v>
      </c>
      <c r="C531" t="n">
        <v>1</v>
      </c>
      <c r="D531" t="n">
        <v>4</v>
      </c>
      <c r="E531" t="n">
        <v>5</v>
      </c>
      <c r="F531" t="n">
        <v>2</v>
      </c>
      <c r="G531" t="n">
        <v>1</v>
      </c>
      <c r="H531" t="n">
        <v>1</v>
      </c>
      <c r="I531" t="n">
        <v>5</v>
      </c>
      <c r="J531" t="n">
        <v>5</v>
      </c>
      <c r="K531" t="n">
        <v>4</v>
      </c>
      <c r="L531" t="n">
        <v>4</v>
      </c>
      <c r="M531" t="n">
        <v>4</v>
      </c>
      <c r="N531" t="n">
        <v>2</v>
      </c>
      <c r="O531" t="n">
        <v>4</v>
      </c>
      <c r="P531" t="n">
        <v>3</v>
      </c>
      <c r="Q531" t="n">
        <v>2</v>
      </c>
      <c r="R531" t="n">
        <v>5</v>
      </c>
      <c r="S531" t="n">
        <v>4</v>
      </c>
      <c r="T531" t="n">
        <v>5</v>
      </c>
      <c r="U531">
        <f>(AVERAGE(B531:D531)-1)/4</f>
        <v/>
      </c>
      <c r="V531">
        <f>(AVERAGE(E531:F531)-1)/4</f>
        <v/>
      </c>
      <c r="W531">
        <f>(AVERAGE(G531:I531)-1)/4</f>
        <v/>
      </c>
      <c r="X531">
        <f>(AVERAGE(J531:L531)-1)/4</f>
        <v/>
      </c>
      <c r="Y531">
        <f>(AVERAGE(M531:O531)-1)/4</f>
        <v/>
      </c>
      <c r="Z531">
        <f>(AVERAGE(P531:R531)-1)/4</f>
        <v/>
      </c>
      <c r="AA531">
        <f>(AVERAGE(S531:T531)-1)/4</f>
        <v/>
      </c>
      <c r="AB531">
        <f>AVERAGE(U531:Y531)</f>
        <v/>
      </c>
      <c r="AC531">
        <f>MIN(U531:Y531)</f>
        <v/>
      </c>
      <c r="AD531">
        <f>1-alpha*MAX(0,delta-AC531)</f>
        <v/>
      </c>
      <c r="AE531">
        <f>AB531*AD531</f>
        <v/>
      </c>
      <c r="AF531">
        <f>1+COUNTIF(bounds,"&lt;"&amp;ROUND(AB531,12))</f>
        <v/>
      </c>
      <c r="AG531">
        <f>1+COUNTIF(bounds,"&lt;"&amp;ROUND(AE531,12))</f>
        <v/>
      </c>
      <c r="AH531">
        <f>IF(AD531&lt;1,1,0)</f>
        <v/>
      </c>
      <c r="AI531">
        <f>IF(AF531&lt;&gt;AG531,1,0)</f>
        <v/>
      </c>
      <c r="AJ531">
        <f>IF(AND(AG531&gt;=3,Z531&lt;=0.2),1,0)</f>
        <v/>
      </c>
      <c r="AK531">
        <f>AVERAGE(U531:Z531)</f>
        <v/>
      </c>
      <c r="AL531">
        <f>1+COUNTIF(bounds,"&lt;"&amp;ROUND(AK531,12))</f>
        <v/>
      </c>
      <c r="AM531">
        <f>IF(AI531=1,AB531,NA())</f>
        <v/>
      </c>
      <c r="AN531">
        <f>IF(AI531=0,AB531,NA())</f>
        <v/>
      </c>
    </row>
    <row r="532">
      <c r="A532" t="n">
        <v>524</v>
      </c>
      <c r="B532" t="n">
        <v>1</v>
      </c>
      <c r="C532" t="n">
        <v>4</v>
      </c>
      <c r="D532" t="n">
        <v>5</v>
      </c>
      <c r="E532" t="n">
        <v>2</v>
      </c>
      <c r="F532" t="n">
        <v>2</v>
      </c>
      <c r="G532" t="n">
        <v>5</v>
      </c>
      <c r="H532" t="n">
        <v>3</v>
      </c>
      <c r="I532" t="n">
        <v>4</v>
      </c>
      <c r="J532" t="n">
        <v>2</v>
      </c>
      <c r="K532" t="n">
        <v>2</v>
      </c>
      <c r="L532" t="n">
        <v>2</v>
      </c>
      <c r="M532" t="n">
        <v>1</v>
      </c>
      <c r="N532" t="n">
        <v>5</v>
      </c>
      <c r="O532" t="n">
        <v>2</v>
      </c>
      <c r="P532" t="n">
        <v>1</v>
      </c>
      <c r="Q532" t="n">
        <v>3</v>
      </c>
      <c r="R532" t="n">
        <v>4</v>
      </c>
      <c r="S532" t="n">
        <v>4</v>
      </c>
      <c r="T532" t="n">
        <v>3</v>
      </c>
      <c r="U532">
        <f>(AVERAGE(B532:D532)-1)/4</f>
        <v/>
      </c>
      <c r="V532">
        <f>(AVERAGE(E532:F532)-1)/4</f>
        <v/>
      </c>
      <c r="W532">
        <f>(AVERAGE(G532:I532)-1)/4</f>
        <v/>
      </c>
      <c r="X532">
        <f>(AVERAGE(J532:L532)-1)/4</f>
        <v/>
      </c>
      <c r="Y532">
        <f>(AVERAGE(M532:O532)-1)/4</f>
        <v/>
      </c>
      <c r="Z532">
        <f>(AVERAGE(P532:R532)-1)/4</f>
        <v/>
      </c>
      <c r="AA532">
        <f>(AVERAGE(S532:T532)-1)/4</f>
        <v/>
      </c>
      <c r="AB532">
        <f>AVERAGE(U532:Y532)</f>
        <v/>
      </c>
      <c r="AC532">
        <f>MIN(U532:Y532)</f>
        <v/>
      </c>
      <c r="AD532">
        <f>1-alpha*MAX(0,delta-AC532)</f>
        <v/>
      </c>
      <c r="AE532">
        <f>AB532*AD532</f>
        <v/>
      </c>
      <c r="AF532">
        <f>1+COUNTIF(bounds,"&lt;"&amp;ROUND(AB532,12))</f>
        <v/>
      </c>
      <c r="AG532">
        <f>1+COUNTIF(bounds,"&lt;"&amp;ROUND(AE532,12))</f>
        <v/>
      </c>
      <c r="AH532">
        <f>IF(AD532&lt;1,1,0)</f>
        <v/>
      </c>
      <c r="AI532">
        <f>IF(AF532&lt;&gt;AG532,1,0)</f>
        <v/>
      </c>
      <c r="AJ532">
        <f>IF(AND(AG532&gt;=3,Z532&lt;=0.2),1,0)</f>
        <v/>
      </c>
      <c r="AK532">
        <f>AVERAGE(U532:Z532)</f>
        <v/>
      </c>
      <c r="AL532">
        <f>1+COUNTIF(bounds,"&lt;"&amp;ROUND(AK532,12))</f>
        <v/>
      </c>
      <c r="AM532">
        <f>IF(AI532=1,AB532,NA())</f>
        <v/>
      </c>
      <c r="AN532">
        <f>IF(AI532=0,AB532,NA())</f>
        <v/>
      </c>
    </row>
    <row r="533">
      <c r="A533" t="n">
        <v>525</v>
      </c>
      <c r="B533" t="n">
        <v>2</v>
      </c>
      <c r="C533" t="n">
        <v>3</v>
      </c>
      <c r="D533" t="n">
        <v>4</v>
      </c>
      <c r="E533" t="n">
        <v>1</v>
      </c>
      <c r="F533" t="n">
        <v>4</v>
      </c>
      <c r="G533" t="n">
        <v>1</v>
      </c>
      <c r="H533" t="n">
        <v>4</v>
      </c>
      <c r="I533" t="n">
        <v>2</v>
      </c>
      <c r="J533" t="n">
        <v>4</v>
      </c>
      <c r="K533" t="n">
        <v>5</v>
      </c>
      <c r="L533" t="n">
        <v>4</v>
      </c>
      <c r="M533" t="n">
        <v>1</v>
      </c>
      <c r="N533" t="n">
        <v>2</v>
      </c>
      <c r="O533" t="n">
        <v>5</v>
      </c>
      <c r="P533" t="n">
        <v>2</v>
      </c>
      <c r="Q533" t="n">
        <v>2</v>
      </c>
      <c r="R533" t="n">
        <v>2</v>
      </c>
      <c r="S533" t="n">
        <v>3</v>
      </c>
      <c r="T533" t="n">
        <v>5</v>
      </c>
      <c r="U533">
        <f>(AVERAGE(B533:D533)-1)/4</f>
        <v/>
      </c>
      <c r="V533">
        <f>(AVERAGE(E533:F533)-1)/4</f>
        <v/>
      </c>
      <c r="W533">
        <f>(AVERAGE(G533:I533)-1)/4</f>
        <v/>
      </c>
      <c r="X533">
        <f>(AVERAGE(J533:L533)-1)/4</f>
        <v/>
      </c>
      <c r="Y533">
        <f>(AVERAGE(M533:O533)-1)/4</f>
        <v/>
      </c>
      <c r="Z533">
        <f>(AVERAGE(P533:R533)-1)/4</f>
        <v/>
      </c>
      <c r="AA533">
        <f>(AVERAGE(S533:T533)-1)/4</f>
        <v/>
      </c>
      <c r="AB533">
        <f>AVERAGE(U533:Y533)</f>
        <v/>
      </c>
      <c r="AC533">
        <f>MIN(U533:Y533)</f>
        <v/>
      </c>
      <c r="AD533">
        <f>1-alpha*MAX(0,delta-AC533)</f>
        <v/>
      </c>
      <c r="AE533">
        <f>AB533*AD533</f>
        <v/>
      </c>
      <c r="AF533">
        <f>1+COUNTIF(bounds,"&lt;"&amp;ROUND(AB533,12))</f>
        <v/>
      </c>
      <c r="AG533">
        <f>1+COUNTIF(bounds,"&lt;"&amp;ROUND(AE533,12))</f>
        <v/>
      </c>
      <c r="AH533">
        <f>IF(AD533&lt;1,1,0)</f>
        <v/>
      </c>
      <c r="AI533">
        <f>IF(AF533&lt;&gt;AG533,1,0)</f>
        <v/>
      </c>
      <c r="AJ533">
        <f>IF(AND(AG533&gt;=3,Z533&lt;=0.2),1,0)</f>
        <v/>
      </c>
      <c r="AK533">
        <f>AVERAGE(U533:Z533)</f>
        <v/>
      </c>
      <c r="AL533">
        <f>1+COUNTIF(bounds,"&lt;"&amp;ROUND(AK533,12))</f>
        <v/>
      </c>
      <c r="AM533">
        <f>IF(AI533=1,AB533,NA())</f>
        <v/>
      </c>
      <c r="AN533">
        <f>IF(AI533=0,AB533,NA())</f>
        <v/>
      </c>
    </row>
    <row r="534">
      <c r="A534" t="n">
        <v>526</v>
      </c>
      <c r="B534" t="n">
        <v>2</v>
      </c>
      <c r="C534" t="n">
        <v>3</v>
      </c>
      <c r="D534" t="n">
        <v>1</v>
      </c>
      <c r="E534" t="n">
        <v>3</v>
      </c>
      <c r="F534" t="n">
        <v>3</v>
      </c>
      <c r="G534" t="n">
        <v>5</v>
      </c>
      <c r="H534" t="n">
        <v>1</v>
      </c>
      <c r="I534" t="n">
        <v>1</v>
      </c>
      <c r="J534" t="n">
        <v>4</v>
      </c>
      <c r="K534" t="n">
        <v>4</v>
      </c>
      <c r="L534" t="n">
        <v>2</v>
      </c>
      <c r="M534" t="n">
        <v>4</v>
      </c>
      <c r="N534" t="n">
        <v>2</v>
      </c>
      <c r="O534" t="n">
        <v>5</v>
      </c>
      <c r="P534" t="n">
        <v>1</v>
      </c>
      <c r="Q534" t="n">
        <v>1</v>
      </c>
      <c r="R534" t="n">
        <v>2</v>
      </c>
      <c r="S534" t="n">
        <v>2</v>
      </c>
      <c r="T534" t="n">
        <v>5</v>
      </c>
      <c r="U534">
        <f>(AVERAGE(B534:D534)-1)/4</f>
        <v/>
      </c>
      <c r="V534">
        <f>(AVERAGE(E534:F534)-1)/4</f>
        <v/>
      </c>
      <c r="W534">
        <f>(AVERAGE(G534:I534)-1)/4</f>
        <v/>
      </c>
      <c r="X534">
        <f>(AVERAGE(J534:L534)-1)/4</f>
        <v/>
      </c>
      <c r="Y534">
        <f>(AVERAGE(M534:O534)-1)/4</f>
        <v/>
      </c>
      <c r="Z534">
        <f>(AVERAGE(P534:R534)-1)/4</f>
        <v/>
      </c>
      <c r="AA534">
        <f>(AVERAGE(S534:T534)-1)/4</f>
        <v/>
      </c>
      <c r="AB534">
        <f>AVERAGE(U534:Y534)</f>
        <v/>
      </c>
      <c r="AC534">
        <f>MIN(U534:Y534)</f>
        <v/>
      </c>
      <c r="AD534">
        <f>1-alpha*MAX(0,delta-AC534)</f>
        <v/>
      </c>
      <c r="AE534">
        <f>AB534*AD534</f>
        <v/>
      </c>
      <c r="AF534">
        <f>1+COUNTIF(bounds,"&lt;"&amp;ROUND(AB534,12))</f>
        <v/>
      </c>
      <c r="AG534">
        <f>1+COUNTIF(bounds,"&lt;"&amp;ROUND(AE534,12))</f>
        <v/>
      </c>
      <c r="AH534">
        <f>IF(AD534&lt;1,1,0)</f>
        <v/>
      </c>
      <c r="AI534">
        <f>IF(AF534&lt;&gt;AG534,1,0)</f>
        <v/>
      </c>
      <c r="AJ534">
        <f>IF(AND(AG534&gt;=3,Z534&lt;=0.2),1,0)</f>
        <v/>
      </c>
      <c r="AK534">
        <f>AVERAGE(U534:Z534)</f>
        <v/>
      </c>
      <c r="AL534">
        <f>1+COUNTIF(bounds,"&lt;"&amp;ROUND(AK534,12))</f>
        <v/>
      </c>
      <c r="AM534">
        <f>IF(AI534=1,AB534,NA())</f>
        <v/>
      </c>
      <c r="AN534">
        <f>IF(AI534=0,AB534,NA())</f>
        <v/>
      </c>
    </row>
    <row r="535">
      <c r="A535" t="n">
        <v>527</v>
      </c>
      <c r="B535" t="n">
        <v>2</v>
      </c>
      <c r="C535" t="n">
        <v>2</v>
      </c>
      <c r="D535" t="n">
        <v>4</v>
      </c>
      <c r="E535" t="n">
        <v>4</v>
      </c>
      <c r="F535" t="n">
        <v>3</v>
      </c>
      <c r="G535" t="n">
        <v>5</v>
      </c>
      <c r="H535" t="n">
        <v>1</v>
      </c>
      <c r="I535" t="n">
        <v>5</v>
      </c>
      <c r="J535" t="n">
        <v>1</v>
      </c>
      <c r="K535" t="n">
        <v>3</v>
      </c>
      <c r="L535" t="n">
        <v>1</v>
      </c>
      <c r="M535" t="n">
        <v>4</v>
      </c>
      <c r="N535" t="n">
        <v>1</v>
      </c>
      <c r="O535" t="n">
        <v>4</v>
      </c>
      <c r="P535" t="n">
        <v>5</v>
      </c>
      <c r="Q535" t="n">
        <v>3</v>
      </c>
      <c r="R535" t="n">
        <v>3</v>
      </c>
      <c r="S535" t="n">
        <v>5</v>
      </c>
      <c r="T535" t="n">
        <v>4</v>
      </c>
      <c r="U535">
        <f>(AVERAGE(B535:D535)-1)/4</f>
        <v/>
      </c>
      <c r="V535">
        <f>(AVERAGE(E535:F535)-1)/4</f>
        <v/>
      </c>
      <c r="W535">
        <f>(AVERAGE(G535:I535)-1)/4</f>
        <v/>
      </c>
      <c r="X535">
        <f>(AVERAGE(J535:L535)-1)/4</f>
        <v/>
      </c>
      <c r="Y535">
        <f>(AVERAGE(M535:O535)-1)/4</f>
        <v/>
      </c>
      <c r="Z535">
        <f>(AVERAGE(P535:R535)-1)/4</f>
        <v/>
      </c>
      <c r="AA535">
        <f>(AVERAGE(S535:T535)-1)/4</f>
        <v/>
      </c>
      <c r="AB535">
        <f>AVERAGE(U535:Y535)</f>
        <v/>
      </c>
      <c r="AC535">
        <f>MIN(U535:Y535)</f>
        <v/>
      </c>
      <c r="AD535">
        <f>1-alpha*MAX(0,delta-AC535)</f>
        <v/>
      </c>
      <c r="AE535">
        <f>AB535*AD535</f>
        <v/>
      </c>
      <c r="AF535">
        <f>1+COUNTIF(bounds,"&lt;"&amp;ROUND(AB535,12))</f>
        <v/>
      </c>
      <c r="AG535">
        <f>1+COUNTIF(bounds,"&lt;"&amp;ROUND(AE535,12))</f>
        <v/>
      </c>
      <c r="AH535">
        <f>IF(AD535&lt;1,1,0)</f>
        <v/>
      </c>
      <c r="AI535">
        <f>IF(AF535&lt;&gt;AG535,1,0)</f>
        <v/>
      </c>
      <c r="AJ535">
        <f>IF(AND(AG535&gt;=3,Z535&lt;=0.2),1,0)</f>
        <v/>
      </c>
      <c r="AK535">
        <f>AVERAGE(U535:Z535)</f>
        <v/>
      </c>
      <c r="AL535">
        <f>1+COUNTIF(bounds,"&lt;"&amp;ROUND(AK535,12))</f>
        <v/>
      </c>
      <c r="AM535">
        <f>IF(AI535=1,AB535,NA())</f>
        <v/>
      </c>
      <c r="AN535">
        <f>IF(AI535=0,AB535,NA())</f>
        <v/>
      </c>
    </row>
    <row r="536">
      <c r="A536" t="n">
        <v>528</v>
      </c>
      <c r="B536" t="n">
        <v>4</v>
      </c>
      <c r="C536" t="n">
        <v>4</v>
      </c>
      <c r="D536" t="n">
        <v>5</v>
      </c>
      <c r="E536" t="n">
        <v>5</v>
      </c>
      <c r="F536" t="n">
        <v>4</v>
      </c>
      <c r="G536" t="n">
        <v>4</v>
      </c>
      <c r="H536" t="n">
        <v>3</v>
      </c>
      <c r="I536" t="n">
        <v>1</v>
      </c>
      <c r="J536" t="n">
        <v>5</v>
      </c>
      <c r="K536" t="n">
        <v>4</v>
      </c>
      <c r="L536" t="n">
        <v>4</v>
      </c>
      <c r="M536" t="n">
        <v>5</v>
      </c>
      <c r="N536" t="n">
        <v>3</v>
      </c>
      <c r="O536" t="n">
        <v>4</v>
      </c>
      <c r="P536" t="n">
        <v>2</v>
      </c>
      <c r="Q536" t="n">
        <v>2</v>
      </c>
      <c r="R536" t="n">
        <v>3</v>
      </c>
      <c r="S536" t="n">
        <v>3</v>
      </c>
      <c r="T536" t="n">
        <v>2</v>
      </c>
      <c r="U536">
        <f>(AVERAGE(B536:D536)-1)/4</f>
        <v/>
      </c>
      <c r="V536">
        <f>(AVERAGE(E536:F536)-1)/4</f>
        <v/>
      </c>
      <c r="W536">
        <f>(AVERAGE(G536:I536)-1)/4</f>
        <v/>
      </c>
      <c r="X536">
        <f>(AVERAGE(J536:L536)-1)/4</f>
        <v/>
      </c>
      <c r="Y536">
        <f>(AVERAGE(M536:O536)-1)/4</f>
        <v/>
      </c>
      <c r="Z536">
        <f>(AVERAGE(P536:R536)-1)/4</f>
        <v/>
      </c>
      <c r="AA536">
        <f>(AVERAGE(S536:T536)-1)/4</f>
        <v/>
      </c>
      <c r="AB536">
        <f>AVERAGE(U536:Y536)</f>
        <v/>
      </c>
      <c r="AC536">
        <f>MIN(U536:Y536)</f>
        <v/>
      </c>
      <c r="AD536">
        <f>1-alpha*MAX(0,delta-AC536)</f>
        <v/>
      </c>
      <c r="AE536">
        <f>AB536*AD536</f>
        <v/>
      </c>
      <c r="AF536">
        <f>1+COUNTIF(bounds,"&lt;"&amp;ROUND(AB536,12))</f>
        <v/>
      </c>
      <c r="AG536">
        <f>1+COUNTIF(bounds,"&lt;"&amp;ROUND(AE536,12))</f>
        <v/>
      </c>
      <c r="AH536">
        <f>IF(AD536&lt;1,1,0)</f>
        <v/>
      </c>
      <c r="AI536">
        <f>IF(AF536&lt;&gt;AG536,1,0)</f>
        <v/>
      </c>
      <c r="AJ536">
        <f>IF(AND(AG536&gt;=3,Z536&lt;=0.2),1,0)</f>
        <v/>
      </c>
      <c r="AK536">
        <f>AVERAGE(U536:Z536)</f>
        <v/>
      </c>
      <c r="AL536">
        <f>1+COUNTIF(bounds,"&lt;"&amp;ROUND(AK536,12))</f>
        <v/>
      </c>
      <c r="AM536">
        <f>IF(AI536=1,AB536,NA())</f>
        <v/>
      </c>
      <c r="AN536">
        <f>IF(AI536=0,AB536,NA())</f>
        <v/>
      </c>
    </row>
    <row r="537">
      <c r="A537" t="n">
        <v>529</v>
      </c>
      <c r="B537" t="n">
        <v>5</v>
      </c>
      <c r="C537" t="n">
        <v>1</v>
      </c>
      <c r="D537" t="n">
        <v>4</v>
      </c>
      <c r="E537" t="n">
        <v>2</v>
      </c>
      <c r="F537" t="n">
        <v>3</v>
      </c>
      <c r="G537" t="n">
        <v>1</v>
      </c>
      <c r="H537" t="n">
        <v>5</v>
      </c>
      <c r="I537" t="n">
        <v>2</v>
      </c>
      <c r="J537" t="n">
        <v>3</v>
      </c>
      <c r="K537" t="n">
        <v>4</v>
      </c>
      <c r="L537" t="n">
        <v>3</v>
      </c>
      <c r="M537" t="n">
        <v>3</v>
      </c>
      <c r="N537" t="n">
        <v>3</v>
      </c>
      <c r="O537" t="n">
        <v>3</v>
      </c>
      <c r="P537" t="n">
        <v>4</v>
      </c>
      <c r="Q537" t="n">
        <v>2</v>
      </c>
      <c r="R537" t="n">
        <v>1</v>
      </c>
      <c r="S537" t="n">
        <v>1</v>
      </c>
      <c r="T537" t="n">
        <v>1</v>
      </c>
      <c r="U537">
        <f>(AVERAGE(B537:D537)-1)/4</f>
        <v/>
      </c>
      <c r="V537">
        <f>(AVERAGE(E537:F537)-1)/4</f>
        <v/>
      </c>
      <c r="W537">
        <f>(AVERAGE(G537:I537)-1)/4</f>
        <v/>
      </c>
      <c r="X537">
        <f>(AVERAGE(J537:L537)-1)/4</f>
        <v/>
      </c>
      <c r="Y537">
        <f>(AVERAGE(M537:O537)-1)/4</f>
        <v/>
      </c>
      <c r="Z537">
        <f>(AVERAGE(P537:R537)-1)/4</f>
        <v/>
      </c>
      <c r="AA537">
        <f>(AVERAGE(S537:T537)-1)/4</f>
        <v/>
      </c>
      <c r="AB537">
        <f>AVERAGE(U537:Y537)</f>
        <v/>
      </c>
      <c r="AC537">
        <f>MIN(U537:Y537)</f>
        <v/>
      </c>
      <c r="AD537">
        <f>1-alpha*MAX(0,delta-AC537)</f>
        <v/>
      </c>
      <c r="AE537">
        <f>AB537*AD537</f>
        <v/>
      </c>
      <c r="AF537">
        <f>1+COUNTIF(bounds,"&lt;"&amp;ROUND(AB537,12))</f>
        <v/>
      </c>
      <c r="AG537">
        <f>1+COUNTIF(bounds,"&lt;"&amp;ROUND(AE537,12))</f>
        <v/>
      </c>
      <c r="AH537">
        <f>IF(AD537&lt;1,1,0)</f>
        <v/>
      </c>
      <c r="AI537">
        <f>IF(AF537&lt;&gt;AG537,1,0)</f>
        <v/>
      </c>
      <c r="AJ537">
        <f>IF(AND(AG537&gt;=3,Z537&lt;=0.2),1,0)</f>
        <v/>
      </c>
      <c r="AK537">
        <f>AVERAGE(U537:Z537)</f>
        <v/>
      </c>
      <c r="AL537">
        <f>1+COUNTIF(bounds,"&lt;"&amp;ROUND(AK537,12))</f>
        <v/>
      </c>
      <c r="AM537">
        <f>IF(AI537=1,AB537,NA())</f>
        <v/>
      </c>
      <c r="AN537">
        <f>IF(AI537=0,AB537,NA())</f>
        <v/>
      </c>
    </row>
    <row r="538">
      <c r="A538" t="n">
        <v>530</v>
      </c>
      <c r="B538" t="n">
        <v>2</v>
      </c>
      <c r="C538" t="n">
        <v>2</v>
      </c>
      <c r="D538" t="n">
        <v>5</v>
      </c>
      <c r="E538" t="n">
        <v>2</v>
      </c>
      <c r="F538" t="n">
        <v>2</v>
      </c>
      <c r="G538" t="n">
        <v>1</v>
      </c>
      <c r="H538" t="n">
        <v>4</v>
      </c>
      <c r="I538" t="n">
        <v>1</v>
      </c>
      <c r="J538" t="n">
        <v>2</v>
      </c>
      <c r="K538" t="n">
        <v>1</v>
      </c>
      <c r="L538" t="n">
        <v>2</v>
      </c>
      <c r="M538" t="n">
        <v>3</v>
      </c>
      <c r="N538" t="n">
        <v>1</v>
      </c>
      <c r="O538" t="n">
        <v>5</v>
      </c>
      <c r="P538" t="n">
        <v>4</v>
      </c>
      <c r="Q538" t="n">
        <v>2</v>
      </c>
      <c r="R538" t="n">
        <v>2</v>
      </c>
      <c r="S538" t="n">
        <v>2</v>
      </c>
      <c r="T538" t="n">
        <v>4</v>
      </c>
      <c r="U538">
        <f>(AVERAGE(B538:D538)-1)/4</f>
        <v/>
      </c>
      <c r="V538">
        <f>(AVERAGE(E538:F538)-1)/4</f>
        <v/>
      </c>
      <c r="W538">
        <f>(AVERAGE(G538:I538)-1)/4</f>
        <v/>
      </c>
      <c r="X538">
        <f>(AVERAGE(J538:L538)-1)/4</f>
        <v/>
      </c>
      <c r="Y538">
        <f>(AVERAGE(M538:O538)-1)/4</f>
        <v/>
      </c>
      <c r="Z538">
        <f>(AVERAGE(P538:R538)-1)/4</f>
        <v/>
      </c>
      <c r="AA538">
        <f>(AVERAGE(S538:T538)-1)/4</f>
        <v/>
      </c>
      <c r="AB538">
        <f>AVERAGE(U538:Y538)</f>
        <v/>
      </c>
      <c r="AC538">
        <f>MIN(U538:Y538)</f>
        <v/>
      </c>
      <c r="AD538">
        <f>1-alpha*MAX(0,delta-AC538)</f>
        <v/>
      </c>
      <c r="AE538">
        <f>AB538*AD538</f>
        <v/>
      </c>
      <c r="AF538">
        <f>1+COUNTIF(bounds,"&lt;"&amp;ROUND(AB538,12))</f>
        <v/>
      </c>
      <c r="AG538">
        <f>1+COUNTIF(bounds,"&lt;"&amp;ROUND(AE538,12))</f>
        <v/>
      </c>
      <c r="AH538">
        <f>IF(AD538&lt;1,1,0)</f>
        <v/>
      </c>
      <c r="AI538">
        <f>IF(AF538&lt;&gt;AG538,1,0)</f>
        <v/>
      </c>
      <c r="AJ538">
        <f>IF(AND(AG538&gt;=3,Z538&lt;=0.2),1,0)</f>
        <v/>
      </c>
      <c r="AK538">
        <f>AVERAGE(U538:Z538)</f>
        <v/>
      </c>
      <c r="AL538">
        <f>1+COUNTIF(bounds,"&lt;"&amp;ROUND(AK538,12))</f>
        <v/>
      </c>
      <c r="AM538">
        <f>IF(AI538=1,AB538,NA())</f>
        <v/>
      </c>
      <c r="AN538">
        <f>IF(AI538=0,AB538,NA())</f>
        <v/>
      </c>
    </row>
    <row r="539">
      <c r="A539" t="n">
        <v>531</v>
      </c>
      <c r="B539" t="n">
        <v>3</v>
      </c>
      <c r="C539" t="n">
        <v>3</v>
      </c>
      <c r="D539" t="n">
        <v>1</v>
      </c>
      <c r="E539" t="n">
        <v>2</v>
      </c>
      <c r="F539" t="n">
        <v>2</v>
      </c>
      <c r="G539" t="n">
        <v>4</v>
      </c>
      <c r="H539" t="n">
        <v>2</v>
      </c>
      <c r="I539" t="n">
        <v>3</v>
      </c>
      <c r="J539" t="n">
        <v>5</v>
      </c>
      <c r="K539" t="n">
        <v>1</v>
      </c>
      <c r="L539" t="n">
        <v>5</v>
      </c>
      <c r="M539" t="n">
        <v>3</v>
      </c>
      <c r="N539" t="n">
        <v>3</v>
      </c>
      <c r="O539" t="n">
        <v>1</v>
      </c>
      <c r="P539" t="n">
        <v>1</v>
      </c>
      <c r="Q539" t="n">
        <v>1</v>
      </c>
      <c r="R539" t="n">
        <v>1</v>
      </c>
      <c r="S539" t="n">
        <v>3</v>
      </c>
      <c r="T539" t="n">
        <v>2</v>
      </c>
      <c r="U539">
        <f>(AVERAGE(B539:D539)-1)/4</f>
        <v/>
      </c>
      <c r="V539">
        <f>(AVERAGE(E539:F539)-1)/4</f>
        <v/>
      </c>
      <c r="W539">
        <f>(AVERAGE(G539:I539)-1)/4</f>
        <v/>
      </c>
      <c r="X539">
        <f>(AVERAGE(J539:L539)-1)/4</f>
        <v/>
      </c>
      <c r="Y539">
        <f>(AVERAGE(M539:O539)-1)/4</f>
        <v/>
      </c>
      <c r="Z539">
        <f>(AVERAGE(P539:R539)-1)/4</f>
        <v/>
      </c>
      <c r="AA539">
        <f>(AVERAGE(S539:T539)-1)/4</f>
        <v/>
      </c>
      <c r="AB539">
        <f>AVERAGE(U539:Y539)</f>
        <v/>
      </c>
      <c r="AC539">
        <f>MIN(U539:Y539)</f>
        <v/>
      </c>
      <c r="AD539">
        <f>1-alpha*MAX(0,delta-AC539)</f>
        <v/>
      </c>
      <c r="AE539">
        <f>AB539*AD539</f>
        <v/>
      </c>
      <c r="AF539">
        <f>1+COUNTIF(bounds,"&lt;"&amp;ROUND(AB539,12))</f>
        <v/>
      </c>
      <c r="AG539">
        <f>1+COUNTIF(bounds,"&lt;"&amp;ROUND(AE539,12))</f>
        <v/>
      </c>
      <c r="AH539">
        <f>IF(AD539&lt;1,1,0)</f>
        <v/>
      </c>
      <c r="AI539">
        <f>IF(AF539&lt;&gt;AG539,1,0)</f>
        <v/>
      </c>
      <c r="AJ539">
        <f>IF(AND(AG539&gt;=3,Z539&lt;=0.2),1,0)</f>
        <v/>
      </c>
      <c r="AK539">
        <f>AVERAGE(U539:Z539)</f>
        <v/>
      </c>
      <c r="AL539">
        <f>1+COUNTIF(bounds,"&lt;"&amp;ROUND(AK539,12))</f>
        <v/>
      </c>
      <c r="AM539">
        <f>IF(AI539=1,AB539,NA())</f>
        <v/>
      </c>
      <c r="AN539">
        <f>IF(AI539=0,AB539,NA())</f>
        <v/>
      </c>
    </row>
    <row r="540">
      <c r="A540" t="n">
        <v>532</v>
      </c>
      <c r="B540" t="n">
        <v>4</v>
      </c>
      <c r="C540" t="n">
        <v>5</v>
      </c>
      <c r="D540" t="n">
        <v>4</v>
      </c>
      <c r="E540" t="n">
        <v>4</v>
      </c>
      <c r="F540" t="n">
        <v>2</v>
      </c>
      <c r="G540" t="n">
        <v>4</v>
      </c>
      <c r="H540" t="n">
        <v>5</v>
      </c>
      <c r="I540" t="n">
        <v>3</v>
      </c>
      <c r="J540" t="n">
        <v>3</v>
      </c>
      <c r="K540" t="n">
        <v>5</v>
      </c>
      <c r="L540" t="n">
        <v>4</v>
      </c>
      <c r="M540" t="n">
        <v>1</v>
      </c>
      <c r="N540" t="n">
        <v>5</v>
      </c>
      <c r="O540" t="n">
        <v>1</v>
      </c>
      <c r="P540" t="n">
        <v>2</v>
      </c>
      <c r="Q540" t="n">
        <v>2</v>
      </c>
      <c r="R540" t="n">
        <v>1</v>
      </c>
      <c r="S540" t="n">
        <v>4</v>
      </c>
      <c r="T540" t="n">
        <v>2</v>
      </c>
      <c r="U540">
        <f>(AVERAGE(B540:D540)-1)/4</f>
        <v/>
      </c>
      <c r="V540">
        <f>(AVERAGE(E540:F540)-1)/4</f>
        <v/>
      </c>
      <c r="W540">
        <f>(AVERAGE(G540:I540)-1)/4</f>
        <v/>
      </c>
      <c r="X540">
        <f>(AVERAGE(J540:L540)-1)/4</f>
        <v/>
      </c>
      <c r="Y540">
        <f>(AVERAGE(M540:O540)-1)/4</f>
        <v/>
      </c>
      <c r="Z540">
        <f>(AVERAGE(P540:R540)-1)/4</f>
        <v/>
      </c>
      <c r="AA540">
        <f>(AVERAGE(S540:T540)-1)/4</f>
        <v/>
      </c>
      <c r="AB540">
        <f>AVERAGE(U540:Y540)</f>
        <v/>
      </c>
      <c r="AC540">
        <f>MIN(U540:Y540)</f>
        <v/>
      </c>
      <c r="AD540">
        <f>1-alpha*MAX(0,delta-AC540)</f>
        <v/>
      </c>
      <c r="AE540">
        <f>AB540*AD540</f>
        <v/>
      </c>
      <c r="AF540">
        <f>1+COUNTIF(bounds,"&lt;"&amp;ROUND(AB540,12))</f>
        <v/>
      </c>
      <c r="AG540">
        <f>1+COUNTIF(bounds,"&lt;"&amp;ROUND(AE540,12))</f>
        <v/>
      </c>
      <c r="AH540">
        <f>IF(AD540&lt;1,1,0)</f>
        <v/>
      </c>
      <c r="AI540">
        <f>IF(AF540&lt;&gt;AG540,1,0)</f>
        <v/>
      </c>
      <c r="AJ540">
        <f>IF(AND(AG540&gt;=3,Z540&lt;=0.2),1,0)</f>
        <v/>
      </c>
      <c r="AK540">
        <f>AVERAGE(U540:Z540)</f>
        <v/>
      </c>
      <c r="AL540">
        <f>1+COUNTIF(bounds,"&lt;"&amp;ROUND(AK540,12))</f>
        <v/>
      </c>
      <c r="AM540">
        <f>IF(AI540=1,AB540,NA())</f>
        <v/>
      </c>
      <c r="AN540">
        <f>IF(AI540=0,AB540,NA())</f>
        <v/>
      </c>
    </row>
    <row r="541">
      <c r="A541" t="n">
        <v>533</v>
      </c>
      <c r="B541" t="n">
        <v>4</v>
      </c>
      <c r="C541" t="n">
        <v>1</v>
      </c>
      <c r="D541" t="n">
        <v>2</v>
      </c>
      <c r="E541" t="n">
        <v>5</v>
      </c>
      <c r="F541" t="n">
        <v>4</v>
      </c>
      <c r="G541" t="n">
        <v>3</v>
      </c>
      <c r="H541" t="n">
        <v>5</v>
      </c>
      <c r="I541" t="n">
        <v>4</v>
      </c>
      <c r="J541" t="n">
        <v>5</v>
      </c>
      <c r="K541" t="n">
        <v>5</v>
      </c>
      <c r="L541" t="n">
        <v>1</v>
      </c>
      <c r="M541" t="n">
        <v>2</v>
      </c>
      <c r="N541" t="n">
        <v>5</v>
      </c>
      <c r="O541" t="n">
        <v>2</v>
      </c>
      <c r="P541" t="n">
        <v>1</v>
      </c>
      <c r="Q541" t="n">
        <v>2</v>
      </c>
      <c r="R541" t="n">
        <v>2</v>
      </c>
      <c r="S541" t="n">
        <v>1</v>
      </c>
      <c r="T541" t="n">
        <v>3</v>
      </c>
      <c r="U541">
        <f>(AVERAGE(B541:D541)-1)/4</f>
        <v/>
      </c>
      <c r="V541">
        <f>(AVERAGE(E541:F541)-1)/4</f>
        <v/>
      </c>
      <c r="W541">
        <f>(AVERAGE(G541:I541)-1)/4</f>
        <v/>
      </c>
      <c r="X541">
        <f>(AVERAGE(J541:L541)-1)/4</f>
        <v/>
      </c>
      <c r="Y541">
        <f>(AVERAGE(M541:O541)-1)/4</f>
        <v/>
      </c>
      <c r="Z541">
        <f>(AVERAGE(P541:R541)-1)/4</f>
        <v/>
      </c>
      <c r="AA541">
        <f>(AVERAGE(S541:T541)-1)/4</f>
        <v/>
      </c>
      <c r="AB541">
        <f>AVERAGE(U541:Y541)</f>
        <v/>
      </c>
      <c r="AC541">
        <f>MIN(U541:Y541)</f>
        <v/>
      </c>
      <c r="AD541">
        <f>1-alpha*MAX(0,delta-AC541)</f>
        <v/>
      </c>
      <c r="AE541">
        <f>AB541*AD541</f>
        <v/>
      </c>
      <c r="AF541">
        <f>1+COUNTIF(bounds,"&lt;"&amp;ROUND(AB541,12))</f>
        <v/>
      </c>
      <c r="AG541">
        <f>1+COUNTIF(bounds,"&lt;"&amp;ROUND(AE541,12))</f>
        <v/>
      </c>
      <c r="AH541">
        <f>IF(AD541&lt;1,1,0)</f>
        <v/>
      </c>
      <c r="AI541">
        <f>IF(AF541&lt;&gt;AG541,1,0)</f>
        <v/>
      </c>
      <c r="AJ541">
        <f>IF(AND(AG541&gt;=3,Z541&lt;=0.2),1,0)</f>
        <v/>
      </c>
      <c r="AK541">
        <f>AVERAGE(U541:Z541)</f>
        <v/>
      </c>
      <c r="AL541">
        <f>1+COUNTIF(bounds,"&lt;"&amp;ROUND(AK541,12))</f>
        <v/>
      </c>
      <c r="AM541">
        <f>IF(AI541=1,AB541,NA())</f>
        <v/>
      </c>
      <c r="AN541">
        <f>IF(AI541=0,AB541,NA())</f>
        <v/>
      </c>
    </row>
    <row r="542">
      <c r="A542" t="n">
        <v>534</v>
      </c>
      <c r="B542" t="n">
        <v>3</v>
      </c>
      <c r="C542" t="n">
        <v>4</v>
      </c>
      <c r="D542" t="n">
        <v>1</v>
      </c>
      <c r="E542" t="n">
        <v>1</v>
      </c>
      <c r="F542" t="n">
        <v>4</v>
      </c>
      <c r="G542" t="n">
        <v>2</v>
      </c>
      <c r="H542" t="n">
        <v>1</v>
      </c>
      <c r="I542" t="n">
        <v>3</v>
      </c>
      <c r="J542" t="n">
        <v>1</v>
      </c>
      <c r="K542" t="n">
        <v>4</v>
      </c>
      <c r="L542" t="n">
        <v>3</v>
      </c>
      <c r="M542" t="n">
        <v>2</v>
      </c>
      <c r="N542" t="n">
        <v>1</v>
      </c>
      <c r="O542" t="n">
        <v>1</v>
      </c>
      <c r="P542" t="n">
        <v>5</v>
      </c>
      <c r="Q542" t="n">
        <v>5</v>
      </c>
      <c r="R542" t="n">
        <v>1</v>
      </c>
      <c r="S542" t="n">
        <v>4</v>
      </c>
      <c r="T542" t="n">
        <v>3</v>
      </c>
      <c r="U542">
        <f>(AVERAGE(B542:D542)-1)/4</f>
        <v/>
      </c>
      <c r="V542">
        <f>(AVERAGE(E542:F542)-1)/4</f>
        <v/>
      </c>
      <c r="W542">
        <f>(AVERAGE(G542:I542)-1)/4</f>
        <v/>
      </c>
      <c r="X542">
        <f>(AVERAGE(J542:L542)-1)/4</f>
        <v/>
      </c>
      <c r="Y542">
        <f>(AVERAGE(M542:O542)-1)/4</f>
        <v/>
      </c>
      <c r="Z542">
        <f>(AVERAGE(P542:R542)-1)/4</f>
        <v/>
      </c>
      <c r="AA542">
        <f>(AVERAGE(S542:T542)-1)/4</f>
        <v/>
      </c>
      <c r="AB542">
        <f>AVERAGE(U542:Y542)</f>
        <v/>
      </c>
      <c r="AC542">
        <f>MIN(U542:Y542)</f>
        <v/>
      </c>
      <c r="AD542">
        <f>1-alpha*MAX(0,delta-AC542)</f>
        <v/>
      </c>
      <c r="AE542">
        <f>AB542*AD542</f>
        <v/>
      </c>
      <c r="AF542">
        <f>1+COUNTIF(bounds,"&lt;"&amp;ROUND(AB542,12))</f>
        <v/>
      </c>
      <c r="AG542">
        <f>1+COUNTIF(bounds,"&lt;"&amp;ROUND(AE542,12))</f>
        <v/>
      </c>
      <c r="AH542">
        <f>IF(AD542&lt;1,1,0)</f>
        <v/>
      </c>
      <c r="AI542">
        <f>IF(AF542&lt;&gt;AG542,1,0)</f>
        <v/>
      </c>
      <c r="AJ542">
        <f>IF(AND(AG542&gt;=3,Z542&lt;=0.2),1,0)</f>
        <v/>
      </c>
      <c r="AK542">
        <f>AVERAGE(U542:Z542)</f>
        <v/>
      </c>
      <c r="AL542">
        <f>1+COUNTIF(bounds,"&lt;"&amp;ROUND(AK542,12))</f>
        <v/>
      </c>
      <c r="AM542">
        <f>IF(AI542=1,AB542,NA())</f>
        <v/>
      </c>
      <c r="AN542">
        <f>IF(AI542=0,AB542,NA())</f>
        <v/>
      </c>
    </row>
    <row r="543">
      <c r="A543" t="n">
        <v>535</v>
      </c>
      <c r="B543" t="n">
        <v>2</v>
      </c>
      <c r="C543" t="n">
        <v>5</v>
      </c>
      <c r="D543" t="n">
        <v>1</v>
      </c>
      <c r="E543" t="n">
        <v>3</v>
      </c>
      <c r="F543" t="n">
        <v>1</v>
      </c>
      <c r="G543" t="n">
        <v>2</v>
      </c>
      <c r="H543" t="n">
        <v>2</v>
      </c>
      <c r="I543" t="n">
        <v>2</v>
      </c>
      <c r="J543" t="n">
        <v>5</v>
      </c>
      <c r="K543" t="n">
        <v>4</v>
      </c>
      <c r="L543" t="n">
        <v>1</v>
      </c>
      <c r="M543" t="n">
        <v>1</v>
      </c>
      <c r="N543" t="n">
        <v>1</v>
      </c>
      <c r="O543" t="n">
        <v>3</v>
      </c>
      <c r="P543" t="n">
        <v>3</v>
      </c>
      <c r="Q543" t="n">
        <v>2</v>
      </c>
      <c r="R543" t="n">
        <v>4</v>
      </c>
      <c r="S543" t="n">
        <v>4</v>
      </c>
      <c r="T543" t="n">
        <v>5</v>
      </c>
      <c r="U543">
        <f>(AVERAGE(B543:D543)-1)/4</f>
        <v/>
      </c>
      <c r="V543">
        <f>(AVERAGE(E543:F543)-1)/4</f>
        <v/>
      </c>
      <c r="W543">
        <f>(AVERAGE(G543:I543)-1)/4</f>
        <v/>
      </c>
      <c r="X543">
        <f>(AVERAGE(J543:L543)-1)/4</f>
        <v/>
      </c>
      <c r="Y543">
        <f>(AVERAGE(M543:O543)-1)/4</f>
        <v/>
      </c>
      <c r="Z543">
        <f>(AVERAGE(P543:R543)-1)/4</f>
        <v/>
      </c>
      <c r="AA543">
        <f>(AVERAGE(S543:T543)-1)/4</f>
        <v/>
      </c>
      <c r="AB543">
        <f>AVERAGE(U543:Y543)</f>
        <v/>
      </c>
      <c r="AC543">
        <f>MIN(U543:Y543)</f>
        <v/>
      </c>
      <c r="AD543">
        <f>1-alpha*MAX(0,delta-AC543)</f>
        <v/>
      </c>
      <c r="AE543">
        <f>AB543*AD543</f>
        <v/>
      </c>
      <c r="AF543">
        <f>1+COUNTIF(bounds,"&lt;"&amp;ROUND(AB543,12))</f>
        <v/>
      </c>
      <c r="AG543">
        <f>1+COUNTIF(bounds,"&lt;"&amp;ROUND(AE543,12))</f>
        <v/>
      </c>
      <c r="AH543">
        <f>IF(AD543&lt;1,1,0)</f>
        <v/>
      </c>
      <c r="AI543">
        <f>IF(AF543&lt;&gt;AG543,1,0)</f>
        <v/>
      </c>
      <c r="AJ543">
        <f>IF(AND(AG543&gt;=3,Z543&lt;=0.2),1,0)</f>
        <v/>
      </c>
      <c r="AK543">
        <f>AVERAGE(U543:Z543)</f>
        <v/>
      </c>
      <c r="AL543">
        <f>1+COUNTIF(bounds,"&lt;"&amp;ROUND(AK543,12))</f>
        <v/>
      </c>
      <c r="AM543">
        <f>IF(AI543=1,AB543,NA())</f>
        <v/>
      </c>
      <c r="AN543">
        <f>IF(AI543=0,AB543,NA())</f>
        <v/>
      </c>
    </row>
    <row r="544">
      <c r="A544" t="n">
        <v>536</v>
      </c>
      <c r="B544" t="n">
        <v>4</v>
      </c>
      <c r="C544" t="n">
        <v>3</v>
      </c>
      <c r="D544" t="n">
        <v>5</v>
      </c>
      <c r="E544" t="n">
        <v>2</v>
      </c>
      <c r="F544" t="n">
        <v>2</v>
      </c>
      <c r="G544" t="n">
        <v>5</v>
      </c>
      <c r="H544" t="n">
        <v>1</v>
      </c>
      <c r="I544" t="n">
        <v>2</v>
      </c>
      <c r="J544" t="n">
        <v>3</v>
      </c>
      <c r="K544" t="n">
        <v>3</v>
      </c>
      <c r="L544" t="n">
        <v>3</v>
      </c>
      <c r="M544" t="n">
        <v>1</v>
      </c>
      <c r="N544" t="n">
        <v>5</v>
      </c>
      <c r="O544" t="n">
        <v>5</v>
      </c>
      <c r="P544" t="n">
        <v>3</v>
      </c>
      <c r="Q544" t="n">
        <v>5</v>
      </c>
      <c r="R544" t="n">
        <v>5</v>
      </c>
      <c r="S544" t="n">
        <v>5</v>
      </c>
      <c r="T544" t="n">
        <v>3</v>
      </c>
      <c r="U544">
        <f>(AVERAGE(B544:D544)-1)/4</f>
        <v/>
      </c>
      <c r="V544">
        <f>(AVERAGE(E544:F544)-1)/4</f>
        <v/>
      </c>
      <c r="W544">
        <f>(AVERAGE(G544:I544)-1)/4</f>
        <v/>
      </c>
      <c r="X544">
        <f>(AVERAGE(J544:L544)-1)/4</f>
        <v/>
      </c>
      <c r="Y544">
        <f>(AVERAGE(M544:O544)-1)/4</f>
        <v/>
      </c>
      <c r="Z544">
        <f>(AVERAGE(P544:R544)-1)/4</f>
        <v/>
      </c>
      <c r="AA544">
        <f>(AVERAGE(S544:T544)-1)/4</f>
        <v/>
      </c>
      <c r="AB544">
        <f>AVERAGE(U544:Y544)</f>
        <v/>
      </c>
      <c r="AC544">
        <f>MIN(U544:Y544)</f>
        <v/>
      </c>
      <c r="AD544">
        <f>1-alpha*MAX(0,delta-AC544)</f>
        <v/>
      </c>
      <c r="AE544">
        <f>AB544*AD544</f>
        <v/>
      </c>
      <c r="AF544">
        <f>1+COUNTIF(bounds,"&lt;"&amp;ROUND(AB544,12))</f>
        <v/>
      </c>
      <c r="AG544">
        <f>1+COUNTIF(bounds,"&lt;"&amp;ROUND(AE544,12))</f>
        <v/>
      </c>
      <c r="AH544">
        <f>IF(AD544&lt;1,1,0)</f>
        <v/>
      </c>
      <c r="AI544">
        <f>IF(AF544&lt;&gt;AG544,1,0)</f>
        <v/>
      </c>
      <c r="AJ544">
        <f>IF(AND(AG544&gt;=3,Z544&lt;=0.2),1,0)</f>
        <v/>
      </c>
      <c r="AK544">
        <f>AVERAGE(U544:Z544)</f>
        <v/>
      </c>
      <c r="AL544">
        <f>1+COUNTIF(bounds,"&lt;"&amp;ROUND(AK544,12))</f>
        <v/>
      </c>
      <c r="AM544">
        <f>IF(AI544=1,AB544,NA())</f>
        <v/>
      </c>
      <c r="AN544">
        <f>IF(AI544=0,AB544,NA())</f>
        <v/>
      </c>
    </row>
    <row r="545">
      <c r="A545" t="n">
        <v>537</v>
      </c>
      <c r="B545" t="n">
        <v>1</v>
      </c>
      <c r="C545" t="n">
        <v>4</v>
      </c>
      <c r="D545" t="n">
        <v>5</v>
      </c>
      <c r="E545" t="n">
        <v>2</v>
      </c>
      <c r="F545" t="n">
        <v>2</v>
      </c>
      <c r="G545" t="n">
        <v>5</v>
      </c>
      <c r="H545" t="n">
        <v>2</v>
      </c>
      <c r="I545" t="n">
        <v>5</v>
      </c>
      <c r="J545" t="n">
        <v>4</v>
      </c>
      <c r="K545" t="n">
        <v>3</v>
      </c>
      <c r="L545" t="n">
        <v>5</v>
      </c>
      <c r="M545" t="n">
        <v>1</v>
      </c>
      <c r="N545" t="n">
        <v>1</v>
      </c>
      <c r="O545" t="n">
        <v>2</v>
      </c>
      <c r="P545" t="n">
        <v>3</v>
      </c>
      <c r="Q545" t="n">
        <v>5</v>
      </c>
      <c r="R545" t="n">
        <v>3</v>
      </c>
      <c r="S545" t="n">
        <v>1</v>
      </c>
      <c r="T545" t="n">
        <v>5</v>
      </c>
      <c r="U545">
        <f>(AVERAGE(B545:D545)-1)/4</f>
        <v/>
      </c>
      <c r="V545">
        <f>(AVERAGE(E545:F545)-1)/4</f>
        <v/>
      </c>
      <c r="W545">
        <f>(AVERAGE(G545:I545)-1)/4</f>
        <v/>
      </c>
      <c r="X545">
        <f>(AVERAGE(J545:L545)-1)/4</f>
        <v/>
      </c>
      <c r="Y545">
        <f>(AVERAGE(M545:O545)-1)/4</f>
        <v/>
      </c>
      <c r="Z545">
        <f>(AVERAGE(P545:R545)-1)/4</f>
        <v/>
      </c>
      <c r="AA545">
        <f>(AVERAGE(S545:T545)-1)/4</f>
        <v/>
      </c>
      <c r="AB545">
        <f>AVERAGE(U545:Y545)</f>
        <v/>
      </c>
      <c r="AC545">
        <f>MIN(U545:Y545)</f>
        <v/>
      </c>
      <c r="AD545">
        <f>1-alpha*MAX(0,delta-AC545)</f>
        <v/>
      </c>
      <c r="AE545">
        <f>AB545*AD545</f>
        <v/>
      </c>
      <c r="AF545">
        <f>1+COUNTIF(bounds,"&lt;"&amp;ROUND(AB545,12))</f>
        <v/>
      </c>
      <c r="AG545">
        <f>1+COUNTIF(bounds,"&lt;"&amp;ROUND(AE545,12))</f>
        <v/>
      </c>
      <c r="AH545">
        <f>IF(AD545&lt;1,1,0)</f>
        <v/>
      </c>
      <c r="AI545">
        <f>IF(AF545&lt;&gt;AG545,1,0)</f>
        <v/>
      </c>
      <c r="AJ545">
        <f>IF(AND(AG545&gt;=3,Z545&lt;=0.2),1,0)</f>
        <v/>
      </c>
      <c r="AK545">
        <f>AVERAGE(U545:Z545)</f>
        <v/>
      </c>
      <c r="AL545">
        <f>1+COUNTIF(bounds,"&lt;"&amp;ROUND(AK545,12))</f>
        <v/>
      </c>
      <c r="AM545">
        <f>IF(AI545=1,AB545,NA())</f>
        <v/>
      </c>
      <c r="AN545">
        <f>IF(AI545=0,AB545,NA())</f>
        <v/>
      </c>
    </row>
    <row r="546">
      <c r="A546" t="n">
        <v>538</v>
      </c>
      <c r="B546" t="n">
        <v>4</v>
      </c>
      <c r="C546" t="n">
        <v>2</v>
      </c>
      <c r="D546" t="n">
        <v>5</v>
      </c>
      <c r="E546" t="n">
        <v>2</v>
      </c>
      <c r="F546" t="n">
        <v>3</v>
      </c>
      <c r="G546" t="n">
        <v>1</v>
      </c>
      <c r="H546" t="n">
        <v>5</v>
      </c>
      <c r="I546" t="n">
        <v>5</v>
      </c>
      <c r="J546" t="n">
        <v>3</v>
      </c>
      <c r="K546" t="n">
        <v>2</v>
      </c>
      <c r="L546" t="n">
        <v>3</v>
      </c>
      <c r="M546" t="n">
        <v>3</v>
      </c>
      <c r="N546" t="n">
        <v>1</v>
      </c>
      <c r="O546" t="n">
        <v>4</v>
      </c>
      <c r="P546" t="n">
        <v>3</v>
      </c>
      <c r="Q546" t="n">
        <v>2</v>
      </c>
      <c r="R546" t="n">
        <v>3</v>
      </c>
      <c r="S546" t="n">
        <v>4</v>
      </c>
      <c r="T546" t="n">
        <v>3</v>
      </c>
      <c r="U546">
        <f>(AVERAGE(B546:D546)-1)/4</f>
        <v/>
      </c>
      <c r="V546">
        <f>(AVERAGE(E546:F546)-1)/4</f>
        <v/>
      </c>
      <c r="W546">
        <f>(AVERAGE(G546:I546)-1)/4</f>
        <v/>
      </c>
      <c r="X546">
        <f>(AVERAGE(J546:L546)-1)/4</f>
        <v/>
      </c>
      <c r="Y546">
        <f>(AVERAGE(M546:O546)-1)/4</f>
        <v/>
      </c>
      <c r="Z546">
        <f>(AVERAGE(P546:R546)-1)/4</f>
        <v/>
      </c>
      <c r="AA546">
        <f>(AVERAGE(S546:T546)-1)/4</f>
        <v/>
      </c>
      <c r="AB546">
        <f>AVERAGE(U546:Y546)</f>
        <v/>
      </c>
      <c r="AC546">
        <f>MIN(U546:Y546)</f>
        <v/>
      </c>
      <c r="AD546">
        <f>1-alpha*MAX(0,delta-AC546)</f>
        <v/>
      </c>
      <c r="AE546">
        <f>AB546*AD546</f>
        <v/>
      </c>
      <c r="AF546">
        <f>1+COUNTIF(bounds,"&lt;"&amp;ROUND(AB546,12))</f>
        <v/>
      </c>
      <c r="AG546">
        <f>1+COUNTIF(bounds,"&lt;"&amp;ROUND(AE546,12))</f>
        <v/>
      </c>
      <c r="AH546">
        <f>IF(AD546&lt;1,1,0)</f>
        <v/>
      </c>
      <c r="AI546">
        <f>IF(AF546&lt;&gt;AG546,1,0)</f>
        <v/>
      </c>
      <c r="AJ546">
        <f>IF(AND(AG546&gt;=3,Z546&lt;=0.2),1,0)</f>
        <v/>
      </c>
      <c r="AK546">
        <f>AVERAGE(U546:Z546)</f>
        <v/>
      </c>
      <c r="AL546">
        <f>1+COUNTIF(bounds,"&lt;"&amp;ROUND(AK546,12))</f>
        <v/>
      </c>
      <c r="AM546">
        <f>IF(AI546=1,AB546,NA())</f>
        <v/>
      </c>
      <c r="AN546">
        <f>IF(AI546=0,AB546,NA())</f>
        <v/>
      </c>
    </row>
    <row r="547">
      <c r="A547" t="n">
        <v>539</v>
      </c>
      <c r="B547" t="n">
        <v>5</v>
      </c>
      <c r="C547" t="n">
        <v>4</v>
      </c>
      <c r="D547" t="n">
        <v>2</v>
      </c>
      <c r="E547" t="n">
        <v>2</v>
      </c>
      <c r="F547" t="n">
        <v>2</v>
      </c>
      <c r="G547" t="n">
        <v>2</v>
      </c>
      <c r="H547" t="n">
        <v>1</v>
      </c>
      <c r="I547" t="n">
        <v>2</v>
      </c>
      <c r="J547" t="n">
        <v>3</v>
      </c>
      <c r="K547" t="n">
        <v>4</v>
      </c>
      <c r="L547" t="n">
        <v>1</v>
      </c>
      <c r="M547" t="n">
        <v>1</v>
      </c>
      <c r="N547" t="n">
        <v>2</v>
      </c>
      <c r="O547" t="n">
        <v>4</v>
      </c>
      <c r="P547" t="n">
        <v>2</v>
      </c>
      <c r="Q547" t="n">
        <v>2</v>
      </c>
      <c r="R547" t="n">
        <v>1</v>
      </c>
      <c r="S547" t="n">
        <v>5</v>
      </c>
      <c r="T547" t="n">
        <v>1</v>
      </c>
      <c r="U547">
        <f>(AVERAGE(B547:D547)-1)/4</f>
        <v/>
      </c>
      <c r="V547">
        <f>(AVERAGE(E547:F547)-1)/4</f>
        <v/>
      </c>
      <c r="W547">
        <f>(AVERAGE(G547:I547)-1)/4</f>
        <v/>
      </c>
      <c r="X547">
        <f>(AVERAGE(J547:L547)-1)/4</f>
        <v/>
      </c>
      <c r="Y547">
        <f>(AVERAGE(M547:O547)-1)/4</f>
        <v/>
      </c>
      <c r="Z547">
        <f>(AVERAGE(P547:R547)-1)/4</f>
        <v/>
      </c>
      <c r="AA547">
        <f>(AVERAGE(S547:T547)-1)/4</f>
        <v/>
      </c>
      <c r="AB547">
        <f>AVERAGE(U547:Y547)</f>
        <v/>
      </c>
      <c r="AC547">
        <f>MIN(U547:Y547)</f>
        <v/>
      </c>
      <c r="AD547">
        <f>1-alpha*MAX(0,delta-AC547)</f>
        <v/>
      </c>
      <c r="AE547">
        <f>AB547*AD547</f>
        <v/>
      </c>
      <c r="AF547">
        <f>1+COUNTIF(bounds,"&lt;"&amp;ROUND(AB547,12))</f>
        <v/>
      </c>
      <c r="AG547">
        <f>1+COUNTIF(bounds,"&lt;"&amp;ROUND(AE547,12))</f>
        <v/>
      </c>
      <c r="AH547">
        <f>IF(AD547&lt;1,1,0)</f>
        <v/>
      </c>
      <c r="AI547">
        <f>IF(AF547&lt;&gt;AG547,1,0)</f>
        <v/>
      </c>
      <c r="AJ547">
        <f>IF(AND(AG547&gt;=3,Z547&lt;=0.2),1,0)</f>
        <v/>
      </c>
      <c r="AK547">
        <f>AVERAGE(U547:Z547)</f>
        <v/>
      </c>
      <c r="AL547">
        <f>1+COUNTIF(bounds,"&lt;"&amp;ROUND(AK547,12))</f>
        <v/>
      </c>
      <c r="AM547">
        <f>IF(AI547=1,AB547,NA())</f>
        <v/>
      </c>
      <c r="AN547">
        <f>IF(AI547=0,AB547,NA())</f>
        <v/>
      </c>
    </row>
    <row r="548">
      <c r="A548" t="n">
        <v>540</v>
      </c>
      <c r="B548" t="n">
        <v>4</v>
      </c>
      <c r="C548" t="n">
        <v>5</v>
      </c>
      <c r="D548" t="n">
        <v>4</v>
      </c>
      <c r="E548" t="n">
        <v>5</v>
      </c>
      <c r="F548" t="n">
        <v>1</v>
      </c>
      <c r="G548" t="n">
        <v>4</v>
      </c>
      <c r="H548" t="n">
        <v>1</v>
      </c>
      <c r="I548" t="n">
        <v>2</v>
      </c>
      <c r="J548" t="n">
        <v>2</v>
      </c>
      <c r="K548" t="n">
        <v>1</v>
      </c>
      <c r="L548" t="n">
        <v>3</v>
      </c>
      <c r="M548" t="n">
        <v>5</v>
      </c>
      <c r="N548" t="n">
        <v>1</v>
      </c>
      <c r="O548" t="n">
        <v>4</v>
      </c>
      <c r="P548" t="n">
        <v>3</v>
      </c>
      <c r="Q548" t="n">
        <v>2</v>
      </c>
      <c r="R548" t="n">
        <v>3</v>
      </c>
      <c r="S548" t="n">
        <v>3</v>
      </c>
      <c r="T548" t="n">
        <v>1</v>
      </c>
      <c r="U548">
        <f>(AVERAGE(B548:D548)-1)/4</f>
        <v/>
      </c>
      <c r="V548">
        <f>(AVERAGE(E548:F548)-1)/4</f>
        <v/>
      </c>
      <c r="W548">
        <f>(AVERAGE(G548:I548)-1)/4</f>
        <v/>
      </c>
      <c r="X548">
        <f>(AVERAGE(J548:L548)-1)/4</f>
        <v/>
      </c>
      <c r="Y548">
        <f>(AVERAGE(M548:O548)-1)/4</f>
        <v/>
      </c>
      <c r="Z548">
        <f>(AVERAGE(P548:R548)-1)/4</f>
        <v/>
      </c>
      <c r="AA548">
        <f>(AVERAGE(S548:T548)-1)/4</f>
        <v/>
      </c>
      <c r="AB548">
        <f>AVERAGE(U548:Y548)</f>
        <v/>
      </c>
      <c r="AC548">
        <f>MIN(U548:Y548)</f>
        <v/>
      </c>
      <c r="AD548">
        <f>1-alpha*MAX(0,delta-AC548)</f>
        <v/>
      </c>
      <c r="AE548">
        <f>AB548*AD548</f>
        <v/>
      </c>
      <c r="AF548">
        <f>1+COUNTIF(bounds,"&lt;"&amp;ROUND(AB548,12))</f>
        <v/>
      </c>
      <c r="AG548">
        <f>1+COUNTIF(bounds,"&lt;"&amp;ROUND(AE548,12))</f>
        <v/>
      </c>
      <c r="AH548">
        <f>IF(AD548&lt;1,1,0)</f>
        <v/>
      </c>
      <c r="AI548">
        <f>IF(AF548&lt;&gt;AG548,1,0)</f>
        <v/>
      </c>
      <c r="AJ548">
        <f>IF(AND(AG548&gt;=3,Z548&lt;=0.2),1,0)</f>
        <v/>
      </c>
      <c r="AK548">
        <f>AVERAGE(U548:Z548)</f>
        <v/>
      </c>
      <c r="AL548">
        <f>1+COUNTIF(bounds,"&lt;"&amp;ROUND(AK548,12))</f>
        <v/>
      </c>
      <c r="AM548">
        <f>IF(AI548=1,AB548,NA())</f>
        <v/>
      </c>
      <c r="AN548">
        <f>IF(AI548=0,AB548,NA())</f>
        <v/>
      </c>
    </row>
    <row r="549">
      <c r="A549" t="n">
        <v>541</v>
      </c>
      <c r="B549" t="n">
        <v>2</v>
      </c>
      <c r="C549" t="n">
        <v>5</v>
      </c>
      <c r="D549" t="n">
        <v>1</v>
      </c>
      <c r="E549" t="n">
        <v>4</v>
      </c>
      <c r="F549" t="n">
        <v>3</v>
      </c>
      <c r="G549" t="n">
        <v>2</v>
      </c>
      <c r="H549" t="n">
        <v>5</v>
      </c>
      <c r="I549" t="n">
        <v>5</v>
      </c>
      <c r="J549" t="n">
        <v>5</v>
      </c>
      <c r="K549" t="n">
        <v>1</v>
      </c>
      <c r="L549" t="n">
        <v>4</v>
      </c>
      <c r="M549" t="n">
        <v>1</v>
      </c>
      <c r="N549" t="n">
        <v>3</v>
      </c>
      <c r="O549" t="n">
        <v>5</v>
      </c>
      <c r="P549" t="n">
        <v>1</v>
      </c>
      <c r="Q549" t="n">
        <v>4</v>
      </c>
      <c r="R549" t="n">
        <v>1</v>
      </c>
      <c r="S549" t="n">
        <v>5</v>
      </c>
      <c r="T549" t="n">
        <v>5</v>
      </c>
      <c r="U549">
        <f>(AVERAGE(B549:D549)-1)/4</f>
        <v/>
      </c>
      <c r="V549">
        <f>(AVERAGE(E549:F549)-1)/4</f>
        <v/>
      </c>
      <c r="W549">
        <f>(AVERAGE(G549:I549)-1)/4</f>
        <v/>
      </c>
      <c r="X549">
        <f>(AVERAGE(J549:L549)-1)/4</f>
        <v/>
      </c>
      <c r="Y549">
        <f>(AVERAGE(M549:O549)-1)/4</f>
        <v/>
      </c>
      <c r="Z549">
        <f>(AVERAGE(P549:R549)-1)/4</f>
        <v/>
      </c>
      <c r="AA549">
        <f>(AVERAGE(S549:T549)-1)/4</f>
        <v/>
      </c>
      <c r="AB549">
        <f>AVERAGE(U549:Y549)</f>
        <v/>
      </c>
      <c r="AC549">
        <f>MIN(U549:Y549)</f>
        <v/>
      </c>
      <c r="AD549">
        <f>1-alpha*MAX(0,delta-AC549)</f>
        <v/>
      </c>
      <c r="AE549">
        <f>AB549*AD549</f>
        <v/>
      </c>
      <c r="AF549">
        <f>1+COUNTIF(bounds,"&lt;"&amp;ROUND(AB549,12))</f>
        <v/>
      </c>
      <c r="AG549">
        <f>1+COUNTIF(bounds,"&lt;"&amp;ROUND(AE549,12))</f>
        <v/>
      </c>
      <c r="AH549">
        <f>IF(AD549&lt;1,1,0)</f>
        <v/>
      </c>
      <c r="AI549">
        <f>IF(AF549&lt;&gt;AG549,1,0)</f>
        <v/>
      </c>
      <c r="AJ549">
        <f>IF(AND(AG549&gt;=3,Z549&lt;=0.2),1,0)</f>
        <v/>
      </c>
      <c r="AK549">
        <f>AVERAGE(U549:Z549)</f>
        <v/>
      </c>
      <c r="AL549">
        <f>1+COUNTIF(bounds,"&lt;"&amp;ROUND(AK549,12))</f>
        <v/>
      </c>
      <c r="AM549">
        <f>IF(AI549=1,AB549,NA())</f>
        <v/>
      </c>
      <c r="AN549">
        <f>IF(AI549=0,AB549,NA())</f>
        <v/>
      </c>
    </row>
    <row r="550">
      <c r="A550" t="n">
        <v>542</v>
      </c>
      <c r="B550" t="n">
        <v>2</v>
      </c>
      <c r="C550" t="n">
        <v>5</v>
      </c>
      <c r="D550" t="n">
        <v>4</v>
      </c>
      <c r="E550" t="n">
        <v>2</v>
      </c>
      <c r="F550" t="n">
        <v>1</v>
      </c>
      <c r="G550" t="n">
        <v>5</v>
      </c>
      <c r="H550" t="n">
        <v>2</v>
      </c>
      <c r="I550" t="n">
        <v>4</v>
      </c>
      <c r="J550" t="n">
        <v>5</v>
      </c>
      <c r="K550" t="n">
        <v>5</v>
      </c>
      <c r="L550" t="n">
        <v>5</v>
      </c>
      <c r="M550" t="n">
        <v>2</v>
      </c>
      <c r="N550" t="n">
        <v>4</v>
      </c>
      <c r="O550" t="n">
        <v>1</v>
      </c>
      <c r="P550" t="n">
        <v>3</v>
      </c>
      <c r="Q550" t="n">
        <v>3</v>
      </c>
      <c r="R550" t="n">
        <v>1</v>
      </c>
      <c r="S550" t="n">
        <v>5</v>
      </c>
      <c r="T550" t="n">
        <v>2</v>
      </c>
      <c r="U550">
        <f>(AVERAGE(B550:D550)-1)/4</f>
        <v/>
      </c>
      <c r="V550">
        <f>(AVERAGE(E550:F550)-1)/4</f>
        <v/>
      </c>
      <c r="W550">
        <f>(AVERAGE(G550:I550)-1)/4</f>
        <v/>
      </c>
      <c r="X550">
        <f>(AVERAGE(J550:L550)-1)/4</f>
        <v/>
      </c>
      <c r="Y550">
        <f>(AVERAGE(M550:O550)-1)/4</f>
        <v/>
      </c>
      <c r="Z550">
        <f>(AVERAGE(P550:R550)-1)/4</f>
        <v/>
      </c>
      <c r="AA550">
        <f>(AVERAGE(S550:T550)-1)/4</f>
        <v/>
      </c>
      <c r="AB550">
        <f>AVERAGE(U550:Y550)</f>
        <v/>
      </c>
      <c r="AC550">
        <f>MIN(U550:Y550)</f>
        <v/>
      </c>
      <c r="AD550">
        <f>1-alpha*MAX(0,delta-AC550)</f>
        <v/>
      </c>
      <c r="AE550">
        <f>AB550*AD550</f>
        <v/>
      </c>
      <c r="AF550">
        <f>1+COUNTIF(bounds,"&lt;"&amp;ROUND(AB550,12))</f>
        <v/>
      </c>
      <c r="AG550">
        <f>1+COUNTIF(bounds,"&lt;"&amp;ROUND(AE550,12))</f>
        <v/>
      </c>
      <c r="AH550">
        <f>IF(AD550&lt;1,1,0)</f>
        <v/>
      </c>
      <c r="AI550">
        <f>IF(AF550&lt;&gt;AG550,1,0)</f>
        <v/>
      </c>
      <c r="AJ550">
        <f>IF(AND(AG550&gt;=3,Z550&lt;=0.2),1,0)</f>
        <v/>
      </c>
      <c r="AK550">
        <f>AVERAGE(U550:Z550)</f>
        <v/>
      </c>
      <c r="AL550">
        <f>1+COUNTIF(bounds,"&lt;"&amp;ROUND(AK550,12))</f>
        <v/>
      </c>
      <c r="AM550">
        <f>IF(AI550=1,AB550,NA())</f>
        <v/>
      </c>
      <c r="AN550">
        <f>IF(AI550=0,AB550,NA())</f>
        <v/>
      </c>
    </row>
    <row r="551">
      <c r="A551" t="n">
        <v>543</v>
      </c>
      <c r="B551" t="n">
        <v>1</v>
      </c>
      <c r="C551" t="n">
        <v>3</v>
      </c>
      <c r="D551" t="n">
        <v>5</v>
      </c>
      <c r="E551" t="n">
        <v>3</v>
      </c>
      <c r="F551" t="n">
        <v>1</v>
      </c>
      <c r="G551" t="n">
        <v>5</v>
      </c>
      <c r="H551" t="n">
        <v>1</v>
      </c>
      <c r="I551" t="n">
        <v>2</v>
      </c>
      <c r="J551" t="n">
        <v>1</v>
      </c>
      <c r="K551" t="n">
        <v>1</v>
      </c>
      <c r="L551" t="n">
        <v>3</v>
      </c>
      <c r="M551" t="n">
        <v>4</v>
      </c>
      <c r="N551" t="n">
        <v>5</v>
      </c>
      <c r="O551" t="n">
        <v>3</v>
      </c>
      <c r="P551" t="n">
        <v>2</v>
      </c>
      <c r="Q551" t="n">
        <v>5</v>
      </c>
      <c r="R551" t="n">
        <v>2</v>
      </c>
      <c r="S551" t="n">
        <v>3</v>
      </c>
      <c r="T551" t="n">
        <v>1</v>
      </c>
      <c r="U551">
        <f>(AVERAGE(B551:D551)-1)/4</f>
        <v/>
      </c>
      <c r="V551">
        <f>(AVERAGE(E551:F551)-1)/4</f>
        <v/>
      </c>
      <c r="W551">
        <f>(AVERAGE(G551:I551)-1)/4</f>
        <v/>
      </c>
      <c r="X551">
        <f>(AVERAGE(J551:L551)-1)/4</f>
        <v/>
      </c>
      <c r="Y551">
        <f>(AVERAGE(M551:O551)-1)/4</f>
        <v/>
      </c>
      <c r="Z551">
        <f>(AVERAGE(P551:R551)-1)/4</f>
        <v/>
      </c>
      <c r="AA551">
        <f>(AVERAGE(S551:T551)-1)/4</f>
        <v/>
      </c>
      <c r="AB551">
        <f>AVERAGE(U551:Y551)</f>
        <v/>
      </c>
      <c r="AC551">
        <f>MIN(U551:Y551)</f>
        <v/>
      </c>
      <c r="AD551">
        <f>1-alpha*MAX(0,delta-AC551)</f>
        <v/>
      </c>
      <c r="AE551">
        <f>AB551*AD551</f>
        <v/>
      </c>
      <c r="AF551">
        <f>1+COUNTIF(bounds,"&lt;"&amp;ROUND(AB551,12))</f>
        <v/>
      </c>
      <c r="AG551">
        <f>1+COUNTIF(bounds,"&lt;"&amp;ROUND(AE551,12))</f>
        <v/>
      </c>
      <c r="AH551">
        <f>IF(AD551&lt;1,1,0)</f>
        <v/>
      </c>
      <c r="AI551">
        <f>IF(AF551&lt;&gt;AG551,1,0)</f>
        <v/>
      </c>
      <c r="AJ551">
        <f>IF(AND(AG551&gt;=3,Z551&lt;=0.2),1,0)</f>
        <v/>
      </c>
      <c r="AK551">
        <f>AVERAGE(U551:Z551)</f>
        <v/>
      </c>
      <c r="AL551">
        <f>1+COUNTIF(bounds,"&lt;"&amp;ROUND(AK551,12))</f>
        <v/>
      </c>
      <c r="AM551">
        <f>IF(AI551=1,AB551,NA())</f>
        <v/>
      </c>
      <c r="AN551">
        <f>IF(AI551=0,AB551,NA())</f>
        <v/>
      </c>
    </row>
    <row r="552">
      <c r="A552" t="n">
        <v>544</v>
      </c>
      <c r="B552" t="n">
        <v>5</v>
      </c>
      <c r="C552" t="n">
        <v>2</v>
      </c>
      <c r="D552" t="n">
        <v>2</v>
      </c>
      <c r="E552" t="n">
        <v>4</v>
      </c>
      <c r="F552" t="n">
        <v>3</v>
      </c>
      <c r="G552" t="n">
        <v>5</v>
      </c>
      <c r="H552" t="n">
        <v>4</v>
      </c>
      <c r="I552" t="n">
        <v>2</v>
      </c>
      <c r="J552" t="n">
        <v>5</v>
      </c>
      <c r="K552" t="n">
        <v>5</v>
      </c>
      <c r="L552" t="n">
        <v>1</v>
      </c>
      <c r="M552" t="n">
        <v>4</v>
      </c>
      <c r="N552" t="n">
        <v>2</v>
      </c>
      <c r="O552" t="n">
        <v>3</v>
      </c>
      <c r="P552" t="n">
        <v>2</v>
      </c>
      <c r="Q552" t="n">
        <v>5</v>
      </c>
      <c r="R552" t="n">
        <v>1</v>
      </c>
      <c r="S552" t="n">
        <v>3</v>
      </c>
      <c r="T552" t="n">
        <v>3</v>
      </c>
      <c r="U552">
        <f>(AVERAGE(B552:D552)-1)/4</f>
        <v/>
      </c>
      <c r="V552">
        <f>(AVERAGE(E552:F552)-1)/4</f>
        <v/>
      </c>
      <c r="W552">
        <f>(AVERAGE(G552:I552)-1)/4</f>
        <v/>
      </c>
      <c r="X552">
        <f>(AVERAGE(J552:L552)-1)/4</f>
        <v/>
      </c>
      <c r="Y552">
        <f>(AVERAGE(M552:O552)-1)/4</f>
        <v/>
      </c>
      <c r="Z552">
        <f>(AVERAGE(P552:R552)-1)/4</f>
        <v/>
      </c>
      <c r="AA552">
        <f>(AVERAGE(S552:T552)-1)/4</f>
        <v/>
      </c>
      <c r="AB552">
        <f>AVERAGE(U552:Y552)</f>
        <v/>
      </c>
      <c r="AC552">
        <f>MIN(U552:Y552)</f>
        <v/>
      </c>
      <c r="AD552">
        <f>1-alpha*MAX(0,delta-AC552)</f>
        <v/>
      </c>
      <c r="AE552">
        <f>AB552*AD552</f>
        <v/>
      </c>
      <c r="AF552">
        <f>1+COUNTIF(bounds,"&lt;"&amp;ROUND(AB552,12))</f>
        <v/>
      </c>
      <c r="AG552">
        <f>1+COUNTIF(bounds,"&lt;"&amp;ROUND(AE552,12))</f>
        <v/>
      </c>
      <c r="AH552">
        <f>IF(AD552&lt;1,1,0)</f>
        <v/>
      </c>
      <c r="AI552">
        <f>IF(AF552&lt;&gt;AG552,1,0)</f>
        <v/>
      </c>
      <c r="AJ552">
        <f>IF(AND(AG552&gt;=3,Z552&lt;=0.2),1,0)</f>
        <v/>
      </c>
      <c r="AK552">
        <f>AVERAGE(U552:Z552)</f>
        <v/>
      </c>
      <c r="AL552">
        <f>1+COUNTIF(bounds,"&lt;"&amp;ROUND(AK552,12))</f>
        <v/>
      </c>
      <c r="AM552">
        <f>IF(AI552=1,AB552,NA())</f>
        <v/>
      </c>
      <c r="AN552">
        <f>IF(AI552=0,AB552,NA())</f>
        <v/>
      </c>
    </row>
    <row r="553">
      <c r="A553" t="n">
        <v>545</v>
      </c>
      <c r="B553" t="n">
        <v>2</v>
      </c>
      <c r="C553" t="n">
        <v>2</v>
      </c>
      <c r="D553" t="n">
        <v>1</v>
      </c>
      <c r="E553" t="n">
        <v>1</v>
      </c>
      <c r="F553" t="n">
        <v>1</v>
      </c>
      <c r="G553" t="n">
        <v>1</v>
      </c>
      <c r="H553" t="n">
        <v>2</v>
      </c>
      <c r="I553" t="n">
        <v>5</v>
      </c>
      <c r="J553" t="n">
        <v>3</v>
      </c>
      <c r="K553" t="n">
        <v>2</v>
      </c>
      <c r="L553" t="n">
        <v>1</v>
      </c>
      <c r="M553" t="n">
        <v>3</v>
      </c>
      <c r="N553" t="n">
        <v>5</v>
      </c>
      <c r="O553" t="n">
        <v>4</v>
      </c>
      <c r="P553" t="n">
        <v>5</v>
      </c>
      <c r="Q553" t="n">
        <v>5</v>
      </c>
      <c r="R553" t="n">
        <v>3</v>
      </c>
      <c r="S553" t="n">
        <v>3</v>
      </c>
      <c r="T553" t="n">
        <v>3</v>
      </c>
      <c r="U553">
        <f>(AVERAGE(B553:D553)-1)/4</f>
        <v/>
      </c>
      <c r="V553">
        <f>(AVERAGE(E553:F553)-1)/4</f>
        <v/>
      </c>
      <c r="W553">
        <f>(AVERAGE(G553:I553)-1)/4</f>
        <v/>
      </c>
      <c r="X553">
        <f>(AVERAGE(J553:L553)-1)/4</f>
        <v/>
      </c>
      <c r="Y553">
        <f>(AVERAGE(M553:O553)-1)/4</f>
        <v/>
      </c>
      <c r="Z553">
        <f>(AVERAGE(P553:R553)-1)/4</f>
        <v/>
      </c>
      <c r="AA553">
        <f>(AVERAGE(S553:T553)-1)/4</f>
        <v/>
      </c>
      <c r="AB553">
        <f>AVERAGE(U553:Y553)</f>
        <v/>
      </c>
      <c r="AC553">
        <f>MIN(U553:Y553)</f>
        <v/>
      </c>
      <c r="AD553">
        <f>1-alpha*MAX(0,delta-AC553)</f>
        <v/>
      </c>
      <c r="AE553">
        <f>AB553*AD553</f>
        <v/>
      </c>
      <c r="AF553">
        <f>1+COUNTIF(bounds,"&lt;"&amp;ROUND(AB553,12))</f>
        <v/>
      </c>
      <c r="AG553">
        <f>1+COUNTIF(bounds,"&lt;"&amp;ROUND(AE553,12))</f>
        <v/>
      </c>
      <c r="AH553">
        <f>IF(AD553&lt;1,1,0)</f>
        <v/>
      </c>
      <c r="AI553">
        <f>IF(AF553&lt;&gt;AG553,1,0)</f>
        <v/>
      </c>
      <c r="AJ553">
        <f>IF(AND(AG553&gt;=3,Z553&lt;=0.2),1,0)</f>
        <v/>
      </c>
      <c r="AK553">
        <f>AVERAGE(U553:Z553)</f>
        <v/>
      </c>
      <c r="AL553">
        <f>1+COUNTIF(bounds,"&lt;"&amp;ROUND(AK553,12))</f>
        <v/>
      </c>
      <c r="AM553">
        <f>IF(AI553=1,AB553,NA())</f>
        <v/>
      </c>
      <c r="AN553">
        <f>IF(AI553=0,AB553,NA())</f>
        <v/>
      </c>
    </row>
    <row r="554">
      <c r="A554" t="n">
        <v>546</v>
      </c>
      <c r="B554" t="n">
        <v>2</v>
      </c>
      <c r="C554" t="n">
        <v>4</v>
      </c>
      <c r="D554" t="n">
        <v>3</v>
      </c>
      <c r="E554" t="n">
        <v>4</v>
      </c>
      <c r="F554" t="n">
        <v>3</v>
      </c>
      <c r="G554" t="n">
        <v>4</v>
      </c>
      <c r="H554" t="n">
        <v>4</v>
      </c>
      <c r="I554" t="n">
        <v>3</v>
      </c>
      <c r="J554" t="n">
        <v>3</v>
      </c>
      <c r="K554" t="n">
        <v>4</v>
      </c>
      <c r="L554" t="n">
        <v>3</v>
      </c>
      <c r="M554" t="n">
        <v>1</v>
      </c>
      <c r="N554" t="n">
        <v>2</v>
      </c>
      <c r="O554" t="n">
        <v>4</v>
      </c>
      <c r="P554" t="n">
        <v>4</v>
      </c>
      <c r="Q554" t="n">
        <v>5</v>
      </c>
      <c r="R554" t="n">
        <v>3</v>
      </c>
      <c r="S554" t="n">
        <v>2</v>
      </c>
      <c r="T554" t="n">
        <v>3</v>
      </c>
      <c r="U554">
        <f>(AVERAGE(B554:D554)-1)/4</f>
        <v/>
      </c>
      <c r="V554">
        <f>(AVERAGE(E554:F554)-1)/4</f>
        <v/>
      </c>
      <c r="W554">
        <f>(AVERAGE(G554:I554)-1)/4</f>
        <v/>
      </c>
      <c r="X554">
        <f>(AVERAGE(J554:L554)-1)/4</f>
        <v/>
      </c>
      <c r="Y554">
        <f>(AVERAGE(M554:O554)-1)/4</f>
        <v/>
      </c>
      <c r="Z554">
        <f>(AVERAGE(P554:R554)-1)/4</f>
        <v/>
      </c>
      <c r="AA554">
        <f>(AVERAGE(S554:T554)-1)/4</f>
        <v/>
      </c>
      <c r="AB554">
        <f>AVERAGE(U554:Y554)</f>
        <v/>
      </c>
      <c r="AC554">
        <f>MIN(U554:Y554)</f>
        <v/>
      </c>
      <c r="AD554">
        <f>1-alpha*MAX(0,delta-AC554)</f>
        <v/>
      </c>
      <c r="AE554">
        <f>AB554*AD554</f>
        <v/>
      </c>
      <c r="AF554">
        <f>1+COUNTIF(bounds,"&lt;"&amp;ROUND(AB554,12))</f>
        <v/>
      </c>
      <c r="AG554">
        <f>1+COUNTIF(bounds,"&lt;"&amp;ROUND(AE554,12))</f>
        <v/>
      </c>
      <c r="AH554">
        <f>IF(AD554&lt;1,1,0)</f>
        <v/>
      </c>
      <c r="AI554">
        <f>IF(AF554&lt;&gt;AG554,1,0)</f>
        <v/>
      </c>
      <c r="AJ554">
        <f>IF(AND(AG554&gt;=3,Z554&lt;=0.2),1,0)</f>
        <v/>
      </c>
      <c r="AK554">
        <f>AVERAGE(U554:Z554)</f>
        <v/>
      </c>
      <c r="AL554">
        <f>1+COUNTIF(bounds,"&lt;"&amp;ROUND(AK554,12))</f>
        <v/>
      </c>
      <c r="AM554">
        <f>IF(AI554=1,AB554,NA())</f>
        <v/>
      </c>
      <c r="AN554">
        <f>IF(AI554=0,AB554,NA())</f>
        <v/>
      </c>
    </row>
    <row r="555">
      <c r="A555" t="n">
        <v>547</v>
      </c>
      <c r="B555" t="n">
        <v>2</v>
      </c>
      <c r="C555" t="n">
        <v>5</v>
      </c>
      <c r="D555" t="n">
        <v>3</v>
      </c>
      <c r="E555" t="n">
        <v>3</v>
      </c>
      <c r="F555" t="n">
        <v>3</v>
      </c>
      <c r="G555" t="n">
        <v>1</v>
      </c>
      <c r="H555" t="n">
        <v>2</v>
      </c>
      <c r="I555" t="n">
        <v>1</v>
      </c>
      <c r="J555" t="n">
        <v>4</v>
      </c>
      <c r="K555" t="n">
        <v>4</v>
      </c>
      <c r="L555" t="n">
        <v>5</v>
      </c>
      <c r="M555" t="n">
        <v>3</v>
      </c>
      <c r="N555" t="n">
        <v>5</v>
      </c>
      <c r="O555" t="n">
        <v>4</v>
      </c>
      <c r="P555" t="n">
        <v>5</v>
      </c>
      <c r="Q555" t="n">
        <v>1</v>
      </c>
      <c r="R555" t="n">
        <v>4</v>
      </c>
      <c r="S555" t="n">
        <v>1</v>
      </c>
      <c r="T555" t="n">
        <v>1</v>
      </c>
      <c r="U555">
        <f>(AVERAGE(B555:D555)-1)/4</f>
        <v/>
      </c>
      <c r="V555">
        <f>(AVERAGE(E555:F555)-1)/4</f>
        <v/>
      </c>
      <c r="W555">
        <f>(AVERAGE(G555:I555)-1)/4</f>
        <v/>
      </c>
      <c r="X555">
        <f>(AVERAGE(J555:L555)-1)/4</f>
        <v/>
      </c>
      <c r="Y555">
        <f>(AVERAGE(M555:O555)-1)/4</f>
        <v/>
      </c>
      <c r="Z555">
        <f>(AVERAGE(P555:R555)-1)/4</f>
        <v/>
      </c>
      <c r="AA555">
        <f>(AVERAGE(S555:T555)-1)/4</f>
        <v/>
      </c>
      <c r="AB555">
        <f>AVERAGE(U555:Y555)</f>
        <v/>
      </c>
      <c r="AC555">
        <f>MIN(U555:Y555)</f>
        <v/>
      </c>
      <c r="AD555">
        <f>1-alpha*MAX(0,delta-AC555)</f>
        <v/>
      </c>
      <c r="AE555">
        <f>AB555*AD555</f>
        <v/>
      </c>
      <c r="AF555">
        <f>1+COUNTIF(bounds,"&lt;"&amp;ROUND(AB555,12))</f>
        <v/>
      </c>
      <c r="AG555">
        <f>1+COUNTIF(bounds,"&lt;"&amp;ROUND(AE555,12))</f>
        <v/>
      </c>
      <c r="AH555">
        <f>IF(AD555&lt;1,1,0)</f>
        <v/>
      </c>
      <c r="AI555">
        <f>IF(AF555&lt;&gt;AG555,1,0)</f>
        <v/>
      </c>
      <c r="AJ555">
        <f>IF(AND(AG555&gt;=3,Z555&lt;=0.2),1,0)</f>
        <v/>
      </c>
      <c r="AK555">
        <f>AVERAGE(U555:Z555)</f>
        <v/>
      </c>
      <c r="AL555">
        <f>1+COUNTIF(bounds,"&lt;"&amp;ROUND(AK555,12))</f>
        <v/>
      </c>
      <c r="AM555">
        <f>IF(AI555=1,AB555,NA())</f>
        <v/>
      </c>
      <c r="AN555">
        <f>IF(AI555=0,AB555,NA())</f>
        <v/>
      </c>
    </row>
    <row r="556">
      <c r="A556" t="n">
        <v>548</v>
      </c>
      <c r="B556" t="n">
        <v>1</v>
      </c>
      <c r="C556" t="n">
        <v>4</v>
      </c>
      <c r="D556" t="n">
        <v>1</v>
      </c>
      <c r="E556" t="n">
        <v>4</v>
      </c>
      <c r="F556" t="n">
        <v>3</v>
      </c>
      <c r="G556" t="n">
        <v>5</v>
      </c>
      <c r="H556" t="n">
        <v>1</v>
      </c>
      <c r="I556" t="n">
        <v>1</v>
      </c>
      <c r="J556" t="n">
        <v>1</v>
      </c>
      <c r="K556" t="n">
        <v>4</v>
      </c>
      <c r="L556" t="n">
        <v>3</v>
      </c>
      <c r="M556" t="n">
        <v>4</v>
      </c>
      <c r="N556" t="n">
        <v>4</v>
      </c>
      <c r="O556" t="n">
        <v>5</v>
      </c>
      <c r="P556" t="n">
        <v>4</v>
      </c>
      <c r="Q556" t="n">
        <v>1</v>
      </c>
      <c r="R556" t="n">
        <v>1</v>
      </c>
      <c r="S556" t="n">
        <v>4</v>
      </c>
      <c r="T556" t="n">
        <v>2</v>
      </c>
      <c r="U556">
        <f>(AVERAGE(B556:D556)-1)/4</f>
        <v/>
      </c>
      <c r="V556">
        <f>(AVERAGE(E556:F556)-1)/4</f>
        <v/>
      </c>
      <c r="W556">
        <f>(AVERAGE(G556:I556)-1)/4</f>
        <v/>
      </c>
      <c r="X556">
        <f>(AVERAGE(J556:L556)-1)/4</f>
        <v/>
      </c>
      <c r="Y556">
        <f>(AVERAGE(M556:O556)-1)/4</f>
        <v/>
      </c>
      <c r="Z556">
        <f>(AVERAGE(P556:R556)-1)/4</f>
        <v/>
      </c>
      <c r="AA556">
        <f>(AVERAGE(S556:T556)-1)/4</f>
        <v/>
      </c>
      <c r="AB556">
        <f>AVERAGE(U556:Y556)</f>
        <v/>
      </c>
      <c r="AC556">
        <f>MIN(U556:Y556)</f>
        <v/>
      </c>
      <c r="AD556">
        <f>1-alpha*MAX(0,delta-AC556)</f>
        <v/>
      </c>
      <c r="AE556">
        <f>AB556*AD556</f>
        <v/>
      </c>
      <c r="AF556">
        <f>1+COUNTIF(bounds,"&lt;"&amp;ROUND(AB556,12))</f>
        <v/>
      </c>
      <c r="AG556">
        <f>1+COUNTIF(bounds,"&lt;"&amp;ROUND(AE556,12))</f>
        <v/>
      </c>
      <c r="AH556">
        <f>IF(AD556&lt;1,1,0)</f>
        <v/>
      </c>
      <c r="AI556">
        <f>IF(AF556&lt;&gt;AG556,1,0)</f>
        <v/>
      </c>
      <c r="AJ556">
        <f>IF(AND(AG556&gt;=3,Z556&lt;=0.2),1,0)</f>
        <v/>
      </c>
      <c r="AK556">
        <f>AVERAGE(U556:Z556)</f>
        <v/>
      </c>
      <c r="AL556">
        <f>1+COUNTIF(bounds,"&lt;"&amp;ROUND(AK556,12))</f>
        <v/>
      </c>
      <c r="AM556">
        <f>IF(AI556=1,AB556,NA())</f>
        <v/>
      </c>
      <c r="AN556">
        <f>IF(AI556=0,AB556,NA())</f>
        <v/>
      </c>
    </row>
    <row r="557">
      <c r="A557" t="n">
        <v>549</v>
      </c>
      <c r="B557" t="n">
        <v>1</v>
      </c>
      <c r="C557" t="n">
        <v>4</v>
      </c>
      <c r="D557" t="n">
        <v>2</v>
      </c>
      <c r="E557" t="n">
        <v>3</v>
      </c>
      <c r="F557" t="n">
        <v>2</v>
      </c>
      <c r="G557" t="n">
        <v>3</v>
      </c>
      <c r="H557" t="n">
        <v>3</v>
      </c>
      <c r="I557" t="n">
        <v>5</v>
      </c>
      <c r="J557" t="n">
        <v>2</v>
      </c>
      <c r="K557" t="n">
        <v>1</v>
      </c>
      <c r="L557" t="n">
        <v>5</v>
      </c>
      <c r="M557" t="n">
        <v>4</v>
      </c>
      <c r="N557" t="n">
        <v>3</v>
      </c>
      <c r="O557" t="n">
        <v>3</v>
      </c>
      <c r="P557" t="n">
        <v>5</v>
      </c>
      <c r="Q557" t="n">
        <v>2</v>
      </c>
      <c r="R557" t="n">
        <v>3</v>
      </c>
      <c r="S557" t="n">
        <v>3</v>
      </c>
      <c r="T557" t="n">
        <v>2</v>
      </c>
      <c r="U557">
        <f>(AVERAGE(B557:D557)-1)/4</f>
        <v/>
      </c>
      <c r="V557">
        <f>(AVERAGE(E557:F557)-1)/4</f>
        <v/>
      </c>
      <c r="W557">
        <f>(AVERAGE(G557:I557)-1)/4</f>
        <v/>
      </c>
      <c r="X557">
        <f>(AVERAGE(J557:L557)-1)/4</f>
        <v/>
      </c>
      <c r="Y557">
        <f>(AVERAGE(M557:O557)-1)/4</f>
        <v/>
      </c>
      <c r="Z557">
        <f>(AVERAGE(P557:R557)-1)/4</f>
        <v/>
      </c>
      <c r="AA557">
        <f>(AVERAGE(S557:T557)-1)/4</f>
        <v/>
      </c>
      <c r="AB557">
        <f>AVERAGE(U557:Y557)</f>
        <v/>
      </c>
      <c r="AC557">
        <f>MIN(U557:Y557)</f>
        <v/>
      </c>
      <c r="AD557">
        <f>1-alpha*MAX(0,delta-AC557)</f>
        <v/>
      </c>
      <c r="AE557">
        <f>AB557*AD557</f>
        <v/>
      </c>
      <c r="AF557">
        <f>1+COUNTIF(bounds,"&lt;"&amp;ROUND(AB557,12))</f>
        <v/>
      </c>
      <c r="AG557">
        <f>1+COUNTIF(bounds,"&lt;"&amp;ROUND(AE557,12))</f>
        <v/>
      </c>
      <c r="AH557">
        <f>IF(AD557&lt;1,1,0)</f>
        <v/>
      </c>
      <c r="AI557">
        <f>IF(AF557&lt;&gt;AG557,1,0)</f>
        <v/>
      </c>
      <c r="AJ557">
        <f>IF(AND(AG557&gt;=3,Z557&lt;=0.2),1,0)</f>
        <v/>
      </c>
      <c r="AK557">
        <f>AVERAGE(U557:Z557)</f>
        <v/>
      </c>
      <c r="AL557">
        <f>1+COUNTIF(bounds,"&lt;"&amp;ROUND(AK557,12))</f>
        <v/>
      </c>
      <c r="AM557">
        <f>IF(AI557=1,AB557,NA())</f>
        <v/>
      </c>
      <c r="AN557">
        <f>IF(AI557=0,AB557,NA())</f>
        <v/>
      </c>
    </row>
    <row r="558">
      <c r="A558" t="n">
        <v>550</v>
      </c>
      <c r="B558" t="n">
        <v>4</v>
      </c>
      <c r="C558" t="n">
        <v>3</v>
      </c>
      <c r="D558" t="n">
        <v>5</v>
      </c>
      <c r="E558" t="n">
        <v>3</v>
      </c>
      <c r="F558" t="n">
        <v>5</v>
      </c>
      <c r="G558" t="n">
        <v>2</v>
      </c>
      <c r="H558" t="n">
        <v>5</v>
      </c>
      <c r="I558" t="n">
        <v>4</v>
      </c>
      <c r="J558" t="n">
        <v>4</v>
      </c>
      <c r="K558" t="n">
        <v>5</v>
      </c>
      <c r="L558" t="n">
        <v>2</v>
      </c>
      <c r="M558" t="n">
        <v>3</v>
      </c>
      <c r="N558" t="n">
        <v>3</v>
      </c>
      <c r="O558" t="n">
        <v>1</v>
      </c>
      <c r="P558" t="n">
        <v>3</v>
      </c>
      <c r="Q558" t="n">
        <v>4</v>
      </c>
      <c r="R558" t="n">
        <v>4</v>
      </c>
      <c r="S558" t="n">
        <v>3</v>
      </c>
      <c r="T558" t="n">
        <v>3</v>
      </c>
      <c r="U558">
        <f>(AVERAGE(B558:D558)-1)/4</f>
        <v/>
      </c>
      <c r="V558">
        <f>(AVERAGE(E558:F558)-1)/4</f>
        <v/>
      </c>
      <c r="W558">
        <f>(AVERAGE(G558:I558)-1)/4</f>
        <v/>
      </c>
      <c r="X558">
        <f>(AVERAGE(J558:L558)-1)/4</f>
        <v/>
      </c>
      <c r="Y558">
        <f>(AVERAGE(M558:O558)-1)/4</f>
        <v/>
      </c>
      <c r="Z558">
        <f>(AVERAGE(P558:R558)-1)/4</f>
        <v/>
      </c>
      <c r="AA558">
        <f>(AVERAGE(S558:T558)-1)/4</f>
        <v/>
      </c>
      <c r="AB558">
        <f>AVERAGE(U558:Y558)</f>
        <v/>
      </c>
      <c r="AC558">
        <f>MIN(U558:Y558)</f>
        <v/>
      </c>
      <c r="AD558">
        <f>1-alpha*MAX(0,delta-AC558)</f>
        <v/>
      </c>
      <c r="AE558">
        <f>AB558*AD558</f>
        <v/>
      </c>
      <c r="AF558">
        <f>1+COUNTIF(bounds,"&lt;"&amp;ROUND(AB558,12))</f>
        <v/>
      </c>
      <c r="AG558">
        <f>1+COUNTIF(bounds,"&lt;"&amp;ROUND(AE558,12))</f>
        <v/>
      </c>
      <c r="AH558">
        <f>IF(AD558&lt;1,1,0)</f>
        <v/>
      </c>
      <c r="AI558">
        <f>IF(AF558&lt;&gt;AG558,1,0)</f>
        <v/>
      </c>
      <c r="AJ558">
        <f>IF(AND(AG558&gt;=3,Z558&lt;=0.2),1,0)</f>
        <v/>
      </c>
      <c r="AK558">
        <f>AVERAGE(U558:Z558)</f>
        <v/>
      </c>
      <c r="AL558">
        <f>1+COUNTIF(bounds,"&lt;"&amp;ROUND(AK558,12))</f>
        <v/>
      </c>
      <c r="AM558">
        <f>IF(AI558=1,AB558,NA())</f>
        <v/>
      </c>
      <c r="AN558">
        <f>IF(AI558=0,AB558,NA())</f>
        <v/>
      </c>
    </row>
    <row r="559">
      <c r="A559" t="n">
        <v>551</v>
      </c>
      <c r="B559" t="n">
        <v>1</v>
      </c>
      <c r="C559" t="n">
        <v>5</v>
      </c>
      <c r="D559" t="n">
        <v>4</v>
      </c>
      <c r="E559" t="n">
        <v>2</v>
      </c>
      <c r="F559" t="n">
        <v>1</v>
      </c>
      <c r="G559" t="n">
        <v>1</v>
      </c>
      <c r="H559" t="n">
        <v>4</v>
      </c>
      <c r="I559" t="n">
        <v>2</v>
      </c>
      <c r="J559" t="n">
        <v>1</v>
      </c>
      <c r="K559" t="n">
        <v>2</v>
      </c>
      <c r="L559" t="n">
        <v>3</v>
      </c>
      <c r="M559" t="n">
        <v>5</v>
      </c>
      <c r="N559" t="n">
        <v>2</v>
      </c>
      <c r="O559" t="n">
        <v>5</v>
      </c>
      <c r="P559" t="n">
        <v>5</v>
      </c>
      <c r="Q559" t="n">
        <v>2</v>
      </c>
      <c r="R559" t="n">
        <v>2</v>
      </c>
      <c r="S559" t="n">
        <v>2</v>
      </c>
      <c r="T559" t="n">
        <v>1</v>
      </c>
      <c r="U559">
        <f>(AVERAGE(B559:D559)-1)/4</f>
        <v/>
      </c>
      <c r="V559">
        <f>(AVERAGE(E559:F559)-1)/4</f>
        <v/>
      </c>
      <c r="W559">
        <f>(AVERAGE(G559:I559)-1)/4</f>
        <v/>
      </c>
      <c r="X559">
        <f>(AVERAGE(J559:L559)-1)/4</f>
        <v/>
      </c>
      <c r="Y559">
        <f>(AVERAGE(M559:O559)-1)/4</f>
        <v/>
      </c>
      <c r="Z559">
        <f>(AVERAGE(P559:R559)-1)/4</f>
        <v/>
      </c>
      <c r="AA559">
        <f>(AVERAGE(S559:T559)-1)/4</f>
        <v/>
      </c>
      <c r="AB559">
        <f>AVERAGE(U559:Y559)</f>
        <v/>
      </c>
      <c r="AC559">
        <f>MIN(U559:Y559)</f>
        <v/>
      </c>
      <c r="AD559">
        <f>1-alpha*MAX(0,delta-AC559)</f>
        <v/>
      </c>
      <c r="AE559">
        <f>AB559*AD559</f>
        <v/>
      </c>
      <c r="AF559">
        <f>1+COUNTIF(bounds,"&lt;"&amp;ROUND(AB559,12))</f>
        <v/>
      </c>
      <c r="AG559">
        <f>1+COUNTIF(bounds,"&lt;"&amp;ROUND(AE559,12))</f>
        <v/>
      </c>
      <c r="AH559">
        <f>IF(AD559&lt;1,1,0)</f>
        <v/>
      </c>
      <c r="AI559">
        <f>IF(AF559&lt;&gt;AG559,1,0)</f>
        <v/>
      </c>
      <c r="AJ559">
        <f>IF(AND(AG559&gt;=3,Z559&lt;=0.2),1,0)</f>
        <v/>
      </c>
      <c r="AK559">
        <f>AVERAGE(U559:Z559)</f>
        <v/>
      </c>
      <c r="AL559">
        <f>1+COUNTIF(bounds,"&lt;"&amp;ROUND(AK559,12))</f>
        <v/>
      </c>
      <c r="AM559">
        <f>IF(AI559=1,AB559,NA())</f>
        <v/>
      </c>
      <c r="AN559">
        <f>IF(AI559=0,AB559,NA())</f>
        <v/>
      </c>
    </row>
    <row r="560">
      <c r="A560" t="n">
        <v>552</v>
      </c>
      <c r="B560" t="n">
        <v>5</v>
      </c>
      <c r="C560" t="n">
        <v>1</v>
      </c>
      <c r="D560" t="n">
        <v>2</v>
      </c>
      <c r="E560" t="n">
        <v>1</v>
      </c>
      <c r="F560" t="n">
        <v>2</v>
      </c>
      <c r="G560" t="n">
        <v>5</v>
      </c>
      <c r="H560" t="n">
        <v>2</v>
      </c>
      <c r="I560" t="n">
        <v>2</v>
      </c>
      <c r="J560" t="n">
        <v>2</v>
      </c>
      <c r="K560" t="n">
        <v>4</v>
      </c>
      <c r="L560" t="n">
        <v>1</v>
      </c>
      <c r="M560" t="n">
        <v>3</v>
      </c>
      <c r="N560" t="n">
        <v>2</v>
      </c>
      <c r="O560" t="n">
        <v>1</v>
      </c>
      <c r="P560" t="n">
        <v>4</v>
      </c>
      <c r="Q560" t="n">
        <v>4</v>
      </c>
      <c r="R560" t="n">
        <v>3</v>
      </c>
      <c r="S560" t="n">
        <v>3</v>
      </c>
      <c r="T560" t="n">
        <v>1</v>
      </c>
      <c r="U560">
        <f>(AVERAGE(B560:D560)-1)/4</f>
        <v/>
      </c>
      <c r="V560">
        <f>(AVERAGE(E560:F560)-1)/4</f>
        <v/>
      </c>
      <c r="W560">
        <f>(AVERAGE(G560:I560)-1)/4</f>
        <v/>
      </c>
      <c r="X560">
        <f>(AVERAGE(J560:L560)-1)/4</f>
        <v/>
      </c>
      <c r="Y560">
        <f>(AVERAGE(M560:O560)-1)/4</f>
        <v/>
      </c>
      <c r="Z560">
        <f>(AVERAGE(P560:R560)-1)/4</f>
        <v/>
      </c>
      <c r="AA560">
        <f>(AVERAGE(S560:T560)-1)/4</f>
        <v/>
      </c>
      <c r="AB560">
        <f>AVERAGE(U560:Y560)</f>
        <v/>
      </c>
      <c r="AC560">
        <f>MIN(U560:Y560)</f>
        <v/>
      </c>
      <c r="AD560">
        <f>1-alpha*MAX(0,delta-AC560)</f>
        <v/>
      </c>
      <c r="AE560">
        <f>AB560*AD560</f>
        <v/>
      </c>
      <c r="AF560">
        <f>1+COUNTIF(bounds,"&lt;"&amp;ROUND(AB560,12))</f>
        <v/>
      </c>
      <c r="AG560">
        <f>1+COUNTIF(bounds,"&lt;"&amp;ROUND(AE560,12))</f>
        <v/>
      </c>
      <c r="AH560">
        <f>IF(AD560&lt;1,1,0)</f>
        <v/>
      </c>
      <c r="AI560">
        <f>IF(AF560&lt;&gt;AG560,1,0)</f>
        <v/>
      </c>
      <c r="AJ560">
        <f>IF(AND(AG560&gt;=3,Z560&lt;=0.2),1,0)</f>
        <v/>
      </c>
      <c r="AK560">
        <f>AVERAGE(U560:Z560)</f>
        <v/>
      </c>
      <c r="AL560">
        <f>1+COUNTIF(bounds,"&lt;"&amp;ROUND(AK560,12))</f>
        <v/>
      </c>
      <c r="AM560">
        <f>IF(AI560=1,AB560,NA())</f>
        <v/>
      </c>
      <c r="AN560">
        <f>IF(AI560=0,AB560,NA())</f>
        <v/>
      </c>
    </row>
    <row r="561">
      <c r="A561" t="n">
        <v>553</v>
      </c>
      <c r="B561" t="n">
        <v>1</v>
      </c>
      <c r="C561" t="n">
        <v>5</v>
      </c>
      <c r="D561" t="n">
        <v>2</v>
      </c>
      <c r="E561" t="n">
        <v>4</v>
      </c>
      <c r="F561" t="n">
        <v>4</v>
      </c>
      <c r="G561" t="n">
        <v>1</v>
      </c>
      <c r="H561" t="n">
        <v>1</v>
      </c>
      <c r="I561" t="n">
        <v>5</v>
      </c>
      <c r="J561" t="n">
        <v>4</v>
      </c>
      <c r="K561" t="n">
        <v>2</v>
      </c>
      <c r="L561" t="n">
        <v>1</v>
      </c>
      <c r="M561" t="n">
        <v>4</v>
      </c>
      <c r="N561" t="n">
        <v>3</v>
      </c>
      <c r="O561" t="n">
        <v>2</v>
      </c>
      <c r="P561" t="n">
        <v>2</v>
      </c>
      <c r="Q561" t="n">
        <v>1</v>
      </c>
      <c r="R561" t="n">
        <v>5</v>
      </c>
      <c r="S561" t="n">
        <v>5</v>
      </c>
      <c r="T561" t="n">
        <v>4</v>
      </c>
      <c r="U561">
        <f>(AVERAGE(B561:D561)-1)/4</f>
        <v/>
      </c>
      <c r="V561">
        <f>(AVERAGE(E561:F561)-1)/4</f>
        <v/>
      </c>
      <c r="W561">
        <f>(AVERAGE(G561:I561)-1)/4</f>
        <v/>
      </c>
      <c r="X561">
        <f>(AVERAGE(J561:L561)-1)/4</f>
        <v/>
      </c>
      <c r="Y561">
        <f>(AVERAGE(M561:O561)-1)/4</f>
        <v/>
      </c>
      <c r="Z561">
        <f>(AVERAGE(P561:R561)-1)/4</f>
        <v/>
      </c>
      <c r="AA561">
        <f>(AVERAGE(S561:T561)-1)/4</f>
        <v/>
      </c>
      <c r="AB561">
        <f>AVERAGE(U561:Y561)</f>
        <v/>
      </c>
      <c r="AC561">
        <f>MIN(U561:Y561)</f>
        <v/>
      </c>
      <c r="AD561">
        <f>1-alpha*MAX(0,delta-AC561)</f>
        <v/>
      </c>
      <c r="AE561">
        <f>AB561*AD561</f>
        <v/>
      </c>
      <c r="AF561">
        <f>1+COUNTIF(bounds,"&lt;"&amp;ROUND(AB561,12))</f>
        <v/>
      </c>
      <c r="AG561">
        <f>1+COUNTIF(bounds,"&lt;"&amp;ROUND(AE561,12))</f>
        <v/>
      </c>
      <c r="AH561">
        <f>IF(AD561&lt;1,1,0)</f>
        <v/>
      </c>
      <c r="AI561">
        <f>IF(AF561&lt;&gt;AG561,1,0)</f>
        <v/>
      </c>
      <c r="AJ561">
        <f>IF(AND(AG561&gt;=3,Z561&lt;=0.2),1,0)</f>
        <v/>
      </c>
      <c r="AK561">
        <f>AVERAGE(U561:Z561)</f>
        <v/>
      </c>
      <c r="AL561">
        <f>1+COUNTIF(bounds,"&lt;"&amp;ROUND(AK561,12))</f>
        <v/>
      </c>
      <c r="AM561">
        <f>IF(AI561=1,AB561,NA())</f>
        <v/>
      </c>
      <c r="AN561">
        <f>IF(AI561=0,AB561,NA())</f>
        <v/>
      </c>
    </row>
    <row r="562">
      <c r="A562" t="n">
        <v>554</v>
      </c>
      <c r="B562" t="n">
        <v>2</v>
      </c>
      <c r="C562" t="n">
        <v>3</v>
      </c>
      <c r="D562" t="n">
        <v>5</v>
      </c>
      <c r="E562" t="n">
        <v>1</v>
      </c>
      <c r="F562" t="n">
        <v>3</v>
      </c>
      <c r="G562" t="n">
        <v>5</v>
      </c>
      <c r="H562" t="n">
        <v>4</v>
      </c>
      <c r="I562" t="n">
        <v>4</v>
      </c>
      <c r="J562" t="n">
        <v>3</v>
      </c>
      <c r="K562" t="n">
        <v>3</v>
      </c>
      <c r="L562" t="n">
        <v>5</v>
      </c>
      <c r="M562" t="n">
        <v>5</v>
      </c>
      <c r="N562" t="n">
        <v>5</v>
      </c>
      <c r="O562" t="n">
        <v>2</v>
      </c>
      <c r="P562" t="n">
        <v>2</v>
      </c>
      <c r="Q562" t="n">
        <v>5</v>
      </c>
      <c r="R562" t="n">
        <v>3</v>
      </c>
      <c r="S562" t="n">
        <v>3</v>
      </c>
      <c r="T562" t="n">
        <v>2</v>
      </c>
      <c r="U562">
        <f>(AVERAGE(B562:D562)-1)/4</f>
        <v/>
      </c>
      <c r="V562">
        <f>(AVERAGE(E562:F562)-1)/4</f>
        <v/>
      </c>
      <c r="W562">
        <f>(AVERAGE(G562:I562)-1)/4</f>
        <v/>
      </c>
      <c r="X562">
        <f>(AVERAGE(J562:L562)-1)/4</f>
        <v/>
      </c>
      <c r="Y562">
        <f>(AVERAGE(M562:O562)-1)/4</f>
        <v/>
      </c>
      <c r="Z562">
        <f>(AVERAGE(P562:R562)-1)/4</f>
        <v/>
      </c>
      <c r="AA562">
        <f>(AVERAGE(S562:T562)-1)/4</f>
        <v/>
      </c>
      <c r="AB562">
        <f>AVERAGE(U562:Y562)</f>
        <v/>
      </c>
      <c r="AC562">
        <f>MIN(U562:Y562)</f>
        <v/>
      </c>
      <c r="AD562">
        <f>1-alpha*MAX(0,delta-AC562)</f>
        <v/>
      </c>
      <c r="AE562">
        <f>AB562*AD562</f>
        <v/>
      </c>
      <c r="AF562">
        <f>1+COUNTIF(bounds,"&lt;"&amp;ROUND(AB562,12))</f>
        <v/>
      </c>
      <c r="AG562">
        <f>1+COUNTIF(bounds,"&lt;"&amp;ROUND(AE562,12))</f>
        <v/>
      </c>
      <c r="AH562">
        <f>IF(AD562&lt;1,1,0)</f>
        <v/>
      </c>
      <c r="AI562">
        <f>IF(AF562&lt;&gt;AG562,1,0)</f>
        <v/>
      </c>
      <c r="AJ562">
        <f>IF(AND(AG562&gt;=3,Z562&lt;=0.2),1,0)</f>
        <v/>
      </c>
      <c r="AK562">
        <f>AVERAGE(U562:Z562)</f>
        <v/>
      </c>
      <c r="AL562">
        <f>1+COUNTIF(bounds,"&lt;"&amp;ROUND(AK562,12))</f>
        <v/>
      </c>
      <c r="AM562">
        <f>IF(AI562=1,AB562,NA())</f>
        <v/>
      </c>
      <c r="AN562">
        <f>IF(AI562=0,AB562,NA())</f>
        <v/>
      </c>
    </row>
    <row r="563">
      <c r="A563" t="n">
        <v>555</v>
      </c>
      <c r="B563" t="n">
        <v>3</v>
      </c>
      <c r="C563" t="n">
        <v>1</v>
      </c>
      <c r="D563" t="n">
        <v>2</v>
      </c>
      <c r="E563" t="n">
        <v>1</v>
      </c>
      <c r="F563" t="n">
        <v>2</v>
      </c>
      <c r="G563" t="n">
        <v>2</v>
      </c>
      <c r="H563" t="n">
        <v>3</v>
      </c>
      <c r="I563" t="n">
        <v>1</v>
      </c>
      <c r="J563" t="n">
        <v>3</v>
      </c>
      <c r="K563" t="n">
        <v>4</v>
      </c>
      <c r="L563" t="n">
        <v>2</v>
      </c>
      <c r="M563" t="n">
        <v>4</v>
      </c>
      <c r="N563" t="n">
        <v>5</v>
      </c>
      <c r="O563" t="n">
        <v>1</v>
      </c>
      <c r="P563" t="n">
        <v>4</v>
      </c>
      <c r="Q563" t="n">
        <v>4</v>
      </c>
      <c r="R563" t="n">
        <v>1</v>
      </c>
      <c r="S563" t="n">
        <v>3</v>
      </c>
      <c r="T563" t="n">
        <v>2</v>
      </c>
      <c r="U563">
        <f>(AVERAGE(B563:D563)-1)/4</f>
        <v/>
      </c>
      <c r="V563">
        <f>(AVERAGE(E563:F563)-1)/4</f>
        <v/>
      </c>
      <c r="W563">
        <f>(AVERAGE(G563:I563)-1)/4</f>
        <v/>
      </c>
      <c r="X563">
        <f>(AVERAGE(J563:L563)-1)/4</f>
        <v/>
      </c>
      <c r="Y563">
        <f>(AVERAGE(M563:O563)-1)/4</f>
        <v/>
      </c>
      <c r="Z563">
        <f>(AVERAGE(P563:R563)-1)/4</f>
        <v/>
      </c>
      <c r="AA563">
        <f>(AVERAGE(S563:T563)-1)/4</f>
        <v/>
      </c>
      <c r="AB563">
        <f>AVERAGE(U563:Y563)</f>
        <v/>
      </c>
      <c r="AC563">
        <f>MIN(U563:Y563)</f>
        <v/>
      </c>
      <c r="AD563">
        <f>1-alpha*MAX(0,delta-AC563)</f>
        <v/>
      </c>
      <c r="AE563">
        <f>AB563*AD563</f>
        <v/>
      </c>
      <c r="AF563">
        <f>1+COUNTIF(bounds,"&lt;"&amp;ROUND(AB563,12))</f>
        <v/>
      </c>
      <c r="AG563">
        <f>1+COUNTIF(bounds,"&lt;"&amp;ROUND(AE563,12))</f>
        <v/>
      </c>
      <c r="AH563">
        <f>IF(AD563&lt;1,1,0)</f>
        <v/>
      </c>
      <c r="AI563">
        <f>IF(AF563&lt;&gt;AG563,1,0)</f>
        <v/>
      </c>
      <c r="AJ563">
        <f>IF(AND(AG563&gt;=3,Z563&lt;=0.2),1,0)</f>
        <v/>
      </c>
      <c r="AK563">
        <f>AVERAGE(U563:Z563)</f>
        <v/>
      </c>
      <c r="AL563">
        <f>1+COUNTIF(bounds,"&lt;"&amp;ROUND(AK563,12))</f>
        <v/>
      </c>
      <c r="AM563">
        <f>IF(AI563=1,AB563,NA())</f>
        <v/>
      </c>
      <c r="AN563">
        <f>IF(AI563=0,AB563,NA())</f>
        <v/>
      </c>
    </row>
    <row r="564">
      <c r="A564" t="n">
        <v>556</v>
      </c>
      <c r="B564" t="n">
        <v>4</v>
      </c>
      <c r="C564" t="n">
        <v>3</v>
      </c>
      <c r="D564" t="n">
        <v>2</v>
      </c>
      <c r="E564" t="n">
        <v>1</v>
      </c>
      <c r="F564" t="n">
        <v>3</v>
      </c>
      <c r="G564" t="n">
        <v>2</v>
      </c>
      <c r="H564" t="n">
        <v>5</v>
      </c>
      <c r="I564" t="n">
        <v>3</v>
      </c>
      <c r="J564" t="n">
        <v>2</v>
      </c>
      <c r="K564" t="n">
        <v>5</v>
      </c>
      <c r="L564" t="n">
        <v>5</v>
      </c>
      <c r="M564" t="n">
        <v>5</v>
      </c>
      <c r="N564" t="n">
        <v>4</v>
      </c>
      <c r="O564" t="n">
        <v>3</v>
      </c>
      <c r="P564" t="n">
        <v>1</v>
      </c>
      <c r="Q564" t="n">
        <v>2</v>
      </c>
      <c r="R564" t="n">
        <v>3</v>
      </c>
      <c r="S564" t="n">
        <v>2</v>
      </c>
      <c r="T564" t="n">
        <v>4</v>
      </c>
      <c r="U564">
        <f>(AVERAGE(B564:D564)-1)/4</f>
        <v/>
      </c>
      <c r="V564">
        <f>(AVERAGE(E564:F564)-1)/4</f>
        <v/>
      </c>
      <c r="W564">
        <f>(AVERAGE(G564:I564)-1)/4</f>
        <v/>
      </c>
      <c r="X564">
        <f>(AVERAGE(J564:L564)-1)/4</f>
        <v/>
      </c>
      <c r="Y564">
        <f>(AVERAGE(M564:O564)-1)/4</f>
        <v/>
      </c>
      <c r="Z564">
        <f>(AVERAGE(P564:R564)-1)/4</f>
        <v/>
      </c>
      <c r="AA564">
        <f>(AVERAGE(S564:T564)-1)/4</f>
        <v/>
      </c>
      <c r="AB564">
        <f>AVERAGE(U564:Y564)</f>
        <v/>
      </c>
      <c r="AC564">
        <f>MIN(U564:Y564)</f>
        <v/>
      </c>
      <c r="AD564">
        <f>1-alpha*MAX(0,delta-AC564)</f>
        <v/>
      </c>
      <c r="AE564">
        <f>AB564*AD564</f>
        <v/>
      </c>
      <c r="AF564">
        <f>1+COUNTIF(bounds,"&lt;"&amp;ROUND(AB564,12))</f>
        <v/>
      </c>
      <c r="AG564">
        <f>1+COUNTIF(bounds,"&lt;"&amp;ROUND(AE564,12))</f>
        <v/>
      </c>
      <c r="AH564">
        <f>IF(AD564&lt;1,1,0)</f>
        <v/>
      </c>
      <c r="AI564">
        <f>IF(AF564&lt;&gt;AG564,1,0)</f>
        <v/>
      </c>
      <c r="AJ564">
        <f>IF(AND(AG564&gt;=3,Z564&lt;=0.2),1,0)</f>
        <v/>
      </c>
      <c r="AK564">
        <f>AVERAGE(U564:Z564)</f>
        <v/>
      </c>
      <c r="AL564">
        <f>1+COUNTIF(bounds,"&lt;"&amp;ROUND(AK564,12))</f>
        <v/>
      </c>
      <c r="AM564">
        <f>IF(AI564=1,AB564,NA())</f>
        <v/>
      </c>
      <c r="AN564">
        <f>IF(AI564=0,AB564,NA())</f>
        <v/>
      </c>
    </row>
    <row r="565">
      <c r="A565" t="n">
        <v>557</v>
      </c>
      <c r="B565" t="n">
        <v>2</v>
      </c>
      <c r="C565" t="n">
        <v>3</v>
      </c>
      <c r="D565" t="n">
        <v>1</v>
      </c>
      <c r="E565" t="n">
        <v>5</v>
      </c>
      <c r="F565" t="n">
        <v>4</v>
      </c>
      <c r="G565" t="n">
        <v>3</v>
      </c>
      <c r="H565" t="n">
        <v>1</v>
      </c>
      <c r="I565" t="n">
        <v>1</v>
      </c>
      <c r="J565" t="n">
        <v>1</v>
      </c>
      <c r="K565" t="n">
        <v>1</v>
      </c>
      <c r="L565" t="n">
        <v>2</v>
      </c>
      <c r="M565" t="n">
        <v>5</v>
      </c>
      <c r="N565" t="n">
        <v>1</v>
      </c>
      <c r="O565" t="n">
        <v>2</v>
      </c>
      <c r="P565" t="n">
        <v>5</v>
      </c>
      <c r="Q565" t="n">
        <v>2</v>
      </c>
      <c r="R565" t="n">
        <v>4</v>
      </c>
      <c r="S565" t="n">
        <v>3</v>
      </c>
      <c r="T565" t="n">
        <v>5</v>
      </c>
      <c r="U565">
        <f>(AVERAGE(B565:D565)-1)/4</f>
        <v/>
      </c>
      <c r="V565">
        <f>(AVERAGE(E565:F565)-1)/4</f>
        <v/>
      </c>
      <c r="W565">
        <f>(AVERAGE(G565:I565)-1)/4</f>
        <v/>
      </c>
      <c r="X565">
        <f>(AVERAGE(J565:L565)-1)/4</f>
        <v/>
      </c>
      <c r="Y565">
        <f>(AVERAGE(M565:O565)-1)/4</f>
        <v/>
      </c>
      <c r="Z565">
        <f>(AVERAGE(P565:R565)-1)/4</f>
        <v/>
      </c>
      <c r="AA565">
        <f>(AVERAGE(S565:T565)-1)/4</f>
        <v/>
      </c>
      <c r="AB565">
        <f>AVERAGE(U565:Y565)</f>
        <v/>
      </c>
      <c r="AC565">
        <f>MIN(U565:Y565)</f>
        <v/>
      </c>
      <c r="AD565">
        <f>1-alpha*MAX(0,delta-AC565)</f>
        <v/>
      </c>
      <c r="AE565">
        <f>AB565*AD565</f>
        <v/>
      </c>
      <c r="AF565">
        <f>1+COUNTIF(bounds,"&lt;"&amp;ROUND(AB565,12))</f>
        <v/>
      </c>
      <c r="AG565">
        <f>1+COUNTIF(bounds,"&lt;"&amp;ROUND(AE565,12))</f>
        <v/>
      </c>
      <c r="AH565">
        <f>IF(AD565&lt;1,1,0)</f>
        <v/>
      </c>
      <c r="AI565">
        <f>IF(AF565&lt;&gt;AG565,1,0)</f>
        <v/>
      </c>
      <c r="AJ565">
        <f>IF(AND(AG565&gt;=3,Z565&lt;=0.2),1,0)</f>
        <v/>
      </c>
      <c r="AK565">
        <f>AVERAGE(U565:Z565)</f>
        <v/>
      </c>
      <c r="AL565">
        <f>1+COUNTIF(bounds,"&lt;"&amp;ROUND(AK565,12))</f>
        <v/>
      </c>
      <c r="AM565">
        <f>IF(AI565=1,AB565,NA())</f>
        <v/>
      </c>
      <c r="AN565">
        <f>IF(AI565=0,AB565,NA())</f>
        <v/>
      </c>
    </row>
    <row r="566">
      <c r="A566" t="n">
        <v>558</v>
      </c>
      <c r="B566" t="n">
        <v>4</v>
      </c>
      <c r="C566" t="n">
        <v>5</v>
      </c>
      <c r="D566" t="n">
        <v>1</v>
      </c>
      <c r="E566" t="n">
        <v>5</v>
      </c>
      <c r="F566" t="n">
        <v>4</v>
      </c>
      <c r="G566" t="n">
        <v>1</v>
      </c>
      <c r="H566" t="n">
        <v>1</v>
      </c>
      <c r="I566" t="n">
        <v>3</v>
      </c>
      <c r="J566" t="n">
        <v>1</v>
      </c>
      <c r="K566" t="n">
        <v>1</v>
      </c>
      <c r="L566" t="n">
        <v>2</v>
      </c>
      <c r="M566" t="n">
        <v>5</v>
      </c>
      <c r="N566" t="n">
        <v>5</v>
      </c>
      <c r="O566" t="n">
        <v>5</v>
      </c>
      <c r="P566" t="n">
        <v>2</v>
      </c>
      <c r="Q566" t="n">
        <v>4</v>
      </c>
      <c r="R566" t="n">
        <v>1</v>
      </c>
      <c r="S566" t="n">
        <v>4</v>
      </c>
      <c r="T566" t="n">
        <v>2</v>
      </c>
      <c r="U566">
        <f>(AVERAGE(B566:D566)-1)/4</f>
        <v/>
      </c>
      <c r="V566">
        <f>(AVERAGE(E566:F566)-1)/4</f>
        <v/>
      </c>
      <c r="W566">
        <f>(AVERAGE(G566:I566)-1)/4</f>
        <v/>
      </c>
      <c r="X566">
        <f>(AVERAGE(J566:L566)-1)/4</f>
        <v/>
      </c>
      <c r="Y566">
        <f>(AVERAGE(M566:O566)-1)/4</f>
        <v/>
      </c>
      <c r="Z566">
        <f>(AVERAGE(P566:R566)-1)/4</f>
        <v/>
      </c>
      <c r="AA566">
        <f>(AVERAGE(S566:T566)-1)/4</f>
        <v/>
      </c>
      <c r="AB566">
        <f>AVERAGE(U566:Y566)</f>
        <v/>
      </c>
      <c r="AC566">
        <f>MIN(U566:Y566)</f>
        <v/>
      </c>
      <c r="AD566">
        <f>1-alpha*MAX(0,delta-AC566)</f>
        <v/>
      </c>
      <c r="AE566">
        <f>AB566*AD566</f>
        <v/>
      </c>
      <c r="AF566">
        <f>1+COUNTIF(bounds,"&lt;"&amp;ROUND(AB566,12))</f>
        <v/>
      </c>
      <c r="AG566">
        <f>1+COUNTIF(bounds,"&lt;"&amp;ROUND(AE566,12))</f>
        <v/>
      </c>
      <c r="AH566">
        <f>IF(AD566&lt;1,1,0)</f>
        <v/>
      </c>
      <c r="AI566">
        <f>IF(AF566&lt;&gt;AG566,1,0)</f>
        <v/>
      </c>
      <c r="AJ566">
        <f>IF(AND(AG566&gt;=3,Z566&lt;=0.2),1,0)</f>
        <v/>
      </c>
      <c r="AK566">
        <f>AVERAGE(U566:Z566)</f>
        <v/>
      </c>
      <c r="AL566">
        <f>1+COUNTIF(bounds,"&lt;"&amp;ROUND(AK566,12))</f>
        <v/>
      </c>
      <c r="AM566">
        <f>IF(AI566=1,AB566,NA())</f>
        <v/>
      </c>
      <c r="AN566">
        <f>IF(AI566=0,AB566,NA())</f>
        <v/>
      </c>
    </row>
    <row r="567">
      <c r="A567" t="n">
        <v>559</v>
      </c>
      <c r="B567" t="n">
        <v>4</v>
      </c>
      <c r="C567" t="n">
        <v>2</v>
      </c>
      <c r="D567" t="n">
        <v>2</v>
      </c>
      <c r="E567" t="n">
        <v>3</v>
      </c>
      <c r="F567" t="n">
        <v>1</v>
      </c>
      <c r="G567" t="n">
        <v>5</v>
      </c>
      <c r="H567" t="n">
        <v>4</v>
      </c>
      <c r="I567" t="n">
        <v>4</v>
      </c>
      <c r="J567" t="n">
        <v>4</v>
      </c>
      <c r="K567" t="n">
        <v>3</v>
      </c>
      <c r="L567" t="n">
        <v>5</v>
      </c>
      <c r="M567" t="n">
        <v>3</v>
      </c>
      <c r="N567" t="n">
        <v>5</v>
      </c>
      <c r="O567" t="n">
        <v>4</v>
      </c>
      <c r="P567" t="n">
        <v>4</v>
      </c>
      <c r="Q567" t="n">
        <v>3</v>
      </c>
      <c r="R567" t="n">
        <v>1</v>
      </c>
      <c r="S567" t="n">
        <v>1</v>
      </c>
      <c r="T567" t="n">
        <v>5</v>
      </c>
      <c r="U567">
        <f>(AVERAGE(B567:D567)-1)/4</f>
        <v/>
      </c>
      <c r="V567">
        <f>(AVERAGE(E567:F567)-1)/4</f>
        <v/>
      </c>
      <c r="W567">
        <f>(AVERAGE(G567:I567)-1)/4</f>
        <v/>
      </c>
      <c r="X567">
        <f>(AVERAGE(J567:L567)-1)/4</f>
        <v/>
      </c>
      <c r="Y567">
        <f>(AVERAGE(M567:O567)-1)/4</f>
        <v/>
      </c>
      <c r="Z567">
        <f>(AVERAGE(P567:R567)-1)/4</f>
        <v/>
      </c>
      <c r="AA567">
        <f>(AVERAGE(S567:T567)-1)/4</f>
        <v/>
      </c>
      <c r="AB567">
        <f>AVERAGE(U567:Y567)</f>
        <v/>
      </c>
      <c r="AC567">
        <f>MIN(U567:Y567)</f>
        <v/>
      </c>
      <c r="AD567">
        <f>1-alpha*MAX(0,delta-AC567)</f>
        <v/>
      </c>
      <c r="AE567">
        <f>AB567*AD567</f>
        <v/>
      </c>
      <c r="AF567">
        <f>1+COUNTIF(bounds,"&lt;"&amp;ROUND(AB567,12))</f>
        <v/>
      </c>
      <c r="AG567">
        <f>1+COUNTIF(bounds,"&lt;"&amp;ROUND(AE567,12))</f>
        <v/>
      </c>
      <c r="AH567">
        <f>IF(AD567&lt;1,1,0)</f>
        <v/>
      </c>
      <c r="AI567">
        <f>IF(AF567&lt;&gt;AG567,1,0)</f>
        <v/>
      </c>
      <c r="AJ567">
        <f>IF(AND(AG567&gt;=3,Z567&lt;=0.2),1,0)</f>
        <v/>
      </c>
      <c r="AK567">
        <f>AVERAGE(U567:Z567)</f>
        <v/>
      </c>
      <c r="AL567">
        <f>1+COUNTIF(bounds,"&lt;"&amp;ROUND(AK567,12))</f>
        <v/>
      </c>
      <c r="AM567">
        <f>IF(AI567=1,AB567,NA())</f>
        <v/>
      </c>
      <c r="AN567">
        <f>IF(AI567=0,AB567,NA())</f>
        <v/>
      </c>
    </row>
    <row r="568">
      <c r="A568" t="n">
        <v>560</v>
      </c>
      <c r="B568" t="n">
        <v>3</v>
      </c>
      <c r="C568" t="n">
        <v>1</v>
      </c>
      <c r="D568" t="n">
        <v>2</v>
      </c>
      <c r="E568" t="n">
        <v>2</v>
      </c>
      <c r="F568" t="n">
        <v>5</v>
      </c>
      <c r="G568" t="n">
        <v>3</v>
      </c>
      <c r="H568" t="n">
        <v>3</v>
      </c>
      <c r="I568" t="n">
        <v>4</v>
      </c>
      <c r="J568" t="n">
        <v>3</v>
      </c>
      <c r="K568" t="n">
        <v>2</v>
      </c>
      <c r="L568" t="n">
        <v>4</v>
      </c>
      <c r="M568" t="n">
        <v>3</v>
      </c>
      <c r="N568" t="n">
        <v>4</v>
      </c>
      <c r="O568" t="n">
        <v>3</v>
      </c>
      <c r="P568" t="n">
        <v>4</v>
      </c>
      <c r="Q568" t="n">
        <v>1</v>
      </c>
      <c r="R568" t="n">
        <v>1</v>
      </c>
      <c r="S568" t="n">
        <v>2</v>
      </c>
      <c r="T568" t="n">
        <v>3</v>
      </c>
      <c r="U568">
        <f>(AVERAGE(B568:D568)-1)/4</f>
        <v/>
      </c>
      <c r="V568">
        <f>(AVERAGE(E568:F568)-1)/4</f>
        <v/>
      </c>
      <c r="W568">
        <f>(AVERAGE(G568:I568)-1)/4</f>
        <v/>
      </c>
      <c r="X568">
        <f>(AVERAGE(J568:L568)-1)/4</f>
        <v/>
      </c>
      <c r="Y568">
        <f>(AVERAGE(M568:O568)-1)/4</f>
        <v/>
      </c>
      <c r="Z568">
        <f>(AVERAGE(P568:R568)-1)/4</f>
        <v/>
      </c>
      <c r="AA568">
        <f>(AVERAGE(S568:T568)-1)/4</f>
        <v/>
      </c>
      <c r="AB568">
        <f>AVERAGE(U568:Y568)</f>
        <v/>
      </c>
      <c r="AC568">
        <f>MIN(U568:Y568)</f>
        <v/>
      </c>
      <c r="AD568">
        <f>1-alpha*MAX(0,delta-AC568)</f>
        <v/>
      </c>
      <c r="AE568">
        <f>AB568*AD568</f>
        <v/>
      </c>
      <c r="AF568">
        <f>1+COUNTIF(bounds,"&lt;"&amp;ROUND(AB568,12))</f>
        <v/>
      </c>
      <c r="AG568">
        <f>1+COUNTIF(bounds,"&lt;"&amp;ROUND(AE568,12))</f>
        <v/>
      </c>
      <c r="AH568">
        <f>IF(AD568&lt;1,1,0)</f>
        <v/>
      </c>
      <c r="AI568">
        <f>IF(AF568&lt;&gt;AG568,1,0)</f>
        <v/>
      </c>
      <c r="AJ568">
        <f>IF(AND(AG568&gt;=3,Z568&lt;=0.2),1,0)</f>
        <v/>
      </c>
      <c r="AK568">
        <f>AVERAGE(U568:Z568)</f>
        <v/>
      </c>
      <c r="AL568">
        <f>1+COUNTIF(bounds,"&lt;"&amp;ROUND(AK568,12))</f>
        <v/>
      </c>
      <c r="AM568">
        <f>IF(AI568=1,AB568,NA())</f>
        <v/>
      </c>
      <c r="AN568">
        <f>IF(AI568=0,AB568,NA())</f>
        <v/>
      </c>
    </row>
    <row r="569">
      <c r="A569" t="n">
        <v>561</v>
      </c>
      <c r="B569" t="n">
        <v>5</v>
      </c>
      <c r="C569" t="n">
        <v>3</v>
      </c>
      <c r="D569" t="n">
        <v>5</v>
      </c>
      <c r="E569" t="n">
        <v>1</v>
      </c>
      <c r="F569" t="n">
        <v>2</v>
      </c>
      <c r="G569" t="n">
        <v>1</v>
      </c>
      <c r="H569" t="n">
        <v>5</v>
      </c>
      <c r="I569" t="n">
        <v>3</v>
      </c>
      <c r="J569" t="n">
        <v>1</v>
      </c>
      <c r="K569" t="n">
        <v>5</v>
      </c>
      <c r="L569" t="n">
        <v>5</v>
      </c>
      <c r="M569" t="n">
        <v>4</v>
      </c>
      <c r="N569" t="n">
        <v>2</v>
      </c>
      <c r="O569" t="n">
        <v>2</v>
      </c>
      <c r="P569" t="n">
        <v>2</v>
      </c>
      <c r="Q569" t="n">
        <v>1</v>
      </c>
      <c r="R569" t="n">
        <v>4</v>
      </c>
      <c r="S569" t="n">
        <v>2</v>
      </c>
      <c r="T569" t="n">
        <v>5</v>
      </c>
      <c r="U569">
        <f>(AVERAGE(B569:D569)-1)/4</f>
        <v/>
      </c>
      <c r="V569">
        <f>(AVERAGE(E569:F569)-1)/4</f>
        <v/>
      </c>
      <c r="W569">
        <f>(AVERAGE(G569:I569)-1)/4</f>
        <v/>
      </c>
      <c r="X569">
        <f>(AVERAGE(J569:L569)-1)/4</f>
        <v/>
      </c>
      <c r="Y569">
        <f>(AVERAGE(M569:O569)-1)/4</f>
        <v/>
      </c>
      <c r="Z569">
        <f>(AVERAGE(P569:R569)-1)/4</f>
        <v/>
      </c>
      <c r="AA569">
        <f>(AVERAGE(S569:T569)-1)/4</f>
        <v/>
      </c>
      <c r="AB569">
        <f>AVERAGE(U569:Y569)</f>
        <v/>
      </c>
      <c r="AC569">
        <f>MIN(U569:Y569)</f>
        <v/>
      </c>
      <c r="AD569">
        <f>1-alpha*MAX(0,delta-AC569)</f>
        <v/>
      </c>
      <c r="AE569">
        <f>AB569*AD569</f>
        <v/>
      </c>
      <c r="AF569">
        <f>1+COUNTIF(bounds,"&lt;"&amp;ROUND(AB569,12))</f>
        <v/>
      </c>
      <c r="AG569">
        <f>1+COUNTIF(bounds,"&lt;"&amp;ROUND(AE569,12))</f>
        <v/>
      </c>
      <c r="AH569">
        <f>IF(AD569&lt;1,1,0)</f>
        <v/>
      </c>
      <c r="AI569">
        <f>IF(AF569&lt;&gt;AG569,1,0)</f>
        <v/>
      </c>
      <c r="AJ569">
        <f>IF(AND(AG569&gt;=3,Z569&lt;=0.2),1,0)</f>
        <v/>
      </c>
      <c r="AK569">
        <f>AVERAGE(U569:Z569)</f>
        <v/>
      </c>
      <c r="AL569">
        <f>1+COUNTIF(bounds,"&lt;"&amp;ROUND(AK569,12))</f>
        <v/>
      </c>
      <c r="AM569">
        <f>IF(AI569=1,AB569,NA())</f>
        <v/>
      </c>
      <c r="AN569">
        <f>IF(AI569=0,AB569,NA())</f>
        <v/>
      </c>
    </row>
    <row r="570">
      <c r="A570" t="n">
        <v>562</v>
      </c>
      <c r="B570" t="n">
        <v>2</v>
      </c>
      <c r="C570" t="n">
        <v>2</v>
      </c>
      <c r="D570" t="n">
        <v>3</v>
      </c>
      <c r="E570" t="n">
        <v>4</v>
      </c>
      <c r="F570" t="n">
        <v>3</v>
      </c>
      <c r="G570" t="n">
        <v>5</v>
      </c>
      <c r="H570" t="n">
        <v>5</v>
      </c>
      <c r="I570" t="n">
        <v>2</v>
      </c>
      <c r="J570" t="n">
        <v>5</v>
      </c>
      <c r="K570" t="n">
        <v>4</v>
      </c>
      <c r="L570" t="n">
        <v>1</v>
      </c>
      <c r="M570" t="n">
        <v>5</v>
      </c>
      <c r="N570" t="n">
        <v>2</v>
      </c>
      <c r="O570" t="n">
        <v>5</v>
      </c>
      <c r="P570" t="n">
        <v>2</v>
      </c>
      <c r="Q570" t="n">
        <v>2</v>
      </c>
      <c r="R570" t="n">
        <v>3</v>
      </c>
      <c r="S570" t="n">
        <v>5</v>
      </c>
      <c r="T570" t="n">
        <v>4</v>
      </c>
      <c r="U570">
        <f>(AVERAGE(B570:D570)-1)/4</f>
        <v/>
      </c>
      <c r="V570">
        <f>(AVERAGE(E570:F570)-1)/4</f>
        <v/>
      </c>
      <c r="W570">
        <f>(AVERAGE(G570:I570)-1)/4</f>
        <v/>
      </c>
      <c r="X570">
        <f>(AVERAGE(J570:L570)-1)/4</f>
        <v/>
      </c>
      <c r="Y570">
        <f>(AVERAGE(M570:O570)-1)/4</f>
        <v/>
      </c>
      <c r="Z570">
        <f>(AVERAGE(P570:R570)-1)/4</f>
        <v/>
      </c>
      <c r="AA570">
        <f>(AVERAGE(S570:T570)-1)/4</f>
        <v/>
      </c>
      <c r="AB570">
        <f>AVERAGE(U570:Y570)</f>
        <v/>
      </c>
      <c r="AC570">
        <f>MIN(U570:Y570)</f>
        <v/>
      </c>
      <c r="AD570">
        <f>1-alpha*MAX(0,delta-AC570)</f>
        <v/>
      </c>
      <c r="AE570">
        <f>AB570*AD570</f>
        <v/>
      </c>
      <c r="AF570">
        <f>1+COUNTIF(bounds,"&lt;"&amp;ROUND(AB570,12))</f>
        <v/>
      </c>
      <c r="AG570">
        <f>1+COUNTIF(bounds,"&lt;"&amp;ROUND(AE570,12))</f>
        <v/>
      </c>
      <c r="AH570">
        <f>IF(AD570&lt;1,1,0)</f>
        <v/>
      </c>
      <c r="AI570">
        <f>IF(AF570&lt;&gt;AG570,1,0)</f>
        <v/>
      </c>
      <c r="AJ570">
        <f>IF(AND(AG570&gt;=3,Z570&lt;=0.2),1,0)</f>
        <v/>
      </c>
      <c r="AK570">
        <f>AVERAGE(U570:Z570)</f>
        <v/>
      </c>
      <c r="AL570">
        <f>1+COUNTIF(bounds,"&lt;"&amp;ROUND(AK570,12))</f>
        <v/>
      </c>
      <c r="AM570">
        <f>IF(AI570=1,AB570,NA())</f>
        <v/>
      </c>
      <c r="AN570">
        <f>IF(AI570=0,AB570,NA())</f>
        <v/>
      </c>
    </row>
    <row r="571">
      <c r="A571" t="n">
        <v>563</v>
      </c>
      <c r="B571" t="n">
        <v>5</v>
      </c>
      <c r="C571" t="n">
        <v>4</v>
      </c>
      <c r="D571" t="n">
        <v>2</v>
      </c>
      <c r="E571" t="n">
        <v>3</v>
      </c>
      <c r="F571" t="n">
        <v>3</v>
      </c>
      <c r="G571" t="n">
        <v>1</v>
      </c>
      <c r="H571" t="n">
        <v>5</v>
      </c>
      <c r="I571" t="n">
        <v>5</v>
      </c>
      <c r="J571" t="n">
        <v>5</v>
      </c>
      <c r="K571" t="n">
        <v>4</v>
      </c>
      <c r="L571" t="n">
        <v>1</v>
      </c>
      <c r="M571" t="n">
        <v>3</v>
      </c>
      <c r="N571" t="n">
        <v>5</v>
      </c>
      <c r="O571" t="n">
        <v>2</v>
      </c>
      <c r="P571" t="n">
        <v>1</v>
      </c>
      <c r="Q571" t="n">
        <v>2</v>
      </c>
      <c r="R571" t="n">
        <v>2</v>
      </c>
      <c r="S571" t="n">
        <v>1</v>
      </c>
      <c r="T571" t="n">
        <v>1</v>
      </c>
      <c r="U571">
        <f>(AVERAGE(B571:D571)-1)/4</f>
        <v/>
      </c>
      <c r="V571">
        <f>(AVERAGE(E571:F571)-1)/4</f>
        <v/>
      </c>
      <c r="W571">
        <f>(AVERAGE(G571:I571)-1)/4</f>
        <v/>
      </c>
      <c r="X571">
        <f>(AVERAGE(J571:L571)-1)/4</f>
        <v/>
      </c>
      <c r="Y571">
        <f>(AVERAGE(M571:O571)-1)/4</f>
        <v/>
      </c>
      <c r="Z571">
        <f>(AVERAGE(P571:R571)-1)/4</f>
        <v/>
      </c>
      <c r="AA571">
        <f>(AVERAGE(S571:T571)-1)/4</f>
        <v/>
      </c>
      <c r="AB571">
        <f>AVERAGE(U571:Y571)</f>
        <v/>
      </c>
      <c r="AC571">
        <f>MIN(U571:Y571)</f>
        <v/>
      </c>
      <c r="AD571">
        <f>1-alpha*MAX(0,delta-AC571)</f>
        <v/>
      </c>
      <c r="AE571">
        <f>AB571*AD571</f>
        <v/>
      </c>
      <c r="AF571">
        <f>1+COUNTIF(bounds,"&lt;"&amp;ROUND(AB571,12))</f>
        <v/>
      </c>
      <c r="AG571">
        <f>1+COUNTIF(bounds,"&lt;"&amp;ROUND(AE571,12))</f>
        <v/>
      </c>
      <c r="AH571">
        <f>IF(AD571&lt;1,1,0)</f>
        <v/>
      </c>
      <c r="AI571">
        <f>IF(AF571&lt;&gt;AG571,1,0)</f>
        <v/>
      </c>
      <c r="AJ571">
        <f>IF(AND(AG571&gt;=3,Z571&lt;=0.2),1,0)</f>
        <v/>
      </c>
      <c r="AK571">
        <f>AVERAGE(U571:Z571)</f>
        <v/>
      </c>
      <c r="AL571">
        <f>1+COUNTIF(bounds,"&lt;"&amp;ROUND(AK571,12))</f>
        <v/>
      </c>
      <c r="AM571">
        <f>IF(AI571=1,AB571,NA())</f>
        <v/>
      </c>
      <c r="AN571">
        <f>IF(AI571=0,AB571,NA())</f>
        <v/>
      </c>
    </row>
    <row r="572">
      <c r="A572" t="n">
        <v>564</v>
      </c>
      <c r="B572" t="n">
        <v>1</v>
      </c>
      <c r="C572" t="n">
        <v>2</v>
      </c>
      <c r="D572" t="n">
        <v>3</v>
      </c>
      <c r="E572" t="n">
        <v>1</v>
      </c>
      <c r="F572" t="n">
        <v>2</v>
      </c>
      <c r="G572" t="n">
        <v>5</v>
      </c>
      <c r="H572" t="n">
        <v>2</v>
      </c>
      <c r="I572" t="n">
        <v>5</v>
      </c>
      <c r="J572" t="n">
        <v>5</v>
      </c>
      <c r="K572" t="n">
        <v>2</v>
      </c>
      <c r="L572" t="n">
        <v>3</v>
      </c>
      <c r="M572" t="n">
        <v>5</v>
      </c>
      <c r="N572" t="n">
        <v>2</v>
      </c>
      <c r="O572" t="n">
        <v>3</v>
      </c>
      <c r="P572" t="n">
        <v>4</v>
      </c>
      <c r="Q572" t="n">
        <v>1</v>
      </c>
      <c r="R572" t="n">
        <v>5</v>
      </c>
      <c r="S572" t="n">
        <v>5</v>
      </c>
      <c r="T572" t="n">
        <v>5</v>
      </c>
      <c r="U572">
        <f>(AVERAGE(B572:D572)-1)/4</f>
        <v/>
      </c>
      <c r="V572">
        <f>(AVERAGE(E572:F572)-1)/4</f>
        <v/>
      </c>
      <c r="W572">
        <f>(AVERAGE(G572:I572)-1)/4</f>
        <v/>
      </c>
      <c r="X572">
        <f>(AVERAGE(J572:L572)-1)/4</f>
        <v/>
      </c>
      <c r="Y572">
        <f>(AVERAGE(M572:O572)-1)/4</f>
        <v/>
      </c>
      <c r="Z572">
        <f>(AVERAGE(P572:R572)-1)/4</f>
        <v/>
      </c>
      <c r="AA572">
        <f>(AVERAGE(S572:T572)-1)/4</f>
        <v/>
      </c>
      <c r="AB572">
        <f>AVERAGE(U572:Y572)</f>
        <v/>
      </c>
      <c r="AC572">
        <f>MIN(U572:Y572)</f>
        <v/>
      </c>
      <c r="AD572">
        <f>1-alpha*MAX(0,delta-AC572)</f>
        <v/>
      </c>
      <c r="AE572">
        <f>AB572*AD572</f>
        <v/>
      </c>
      <c r="AF572">
        <f>1+COUNTIF(bounds,"&lt;"&amp;ROUND(AB572,12))</f>
        <v/>
      </c>
      <c r="AG572">
        <f>1+COUNTIF(bounds,"&lt;"&amp;ROUND(AE572,12))</f>
        <v/>
      </c>
      <c r="AH572">
        <f>IF(AD572&lt;1,1,0)</f>
        <v/>
      </c>
      <c r="AI572">
        <f>IF(AF572&lt;&gt;AG572,1,0)</f>
        <v/>
      </c>
      <c r="AJ572">
        <f>IF(AND(AG572&gt;=3,Z572&lt;=0.2),1,0)</f>
        <v/>
      </c>
      <c r="AK572">
        <f>AVERAGE(U572:Z572)</f>
        <v/>
      </c>
      <c r="AL572">
        <f>1+COUNTIF(bounds,"&lt;"&amp;ROUND(AK572,12))</f>
        <v/>
      </c>
      <c r="AM572">
        <f>IF(AI572=1,AB572,NA())</f>
        <v/>
      </c>
      <c r="AN572">
        <f>IF(AI572=0,AB572,NA())</f>
        <v/>
      </c>
    </row>
    <row r="573">
      <c r="A573" t="n">
        <v>565</v>
      </c>
      <c r="B573" t="n">
        <v>1</v>
      </c>
      <c r="C573" t="n">
        <v>1</v>
      </c>
      <c r="D573" t="n">
        <v>4</v>
      </c>
      <c r="E573" t="n">
        <v>1</v>
      </c>
      <c r="F573" t="n">
        <v>5</v>
      </c>
      <c r="G573" t="n">
        <v>4</v>
      </c>
      <c r="H573" t="n">
        <v>3</v>
      </c>
      <c r="I573" t="n">
        <v>5</v>
      </c>
      <c r="J573" t="n">
        <v>1</v>
      </c>
      <c r="K573" t="n">
        <v>1</v>
      </c>
      <c r="L573" t="n">
        <v>3</v>
      </c>
      <c r="M573" t="n">
        <v>4</v>
      </c>
      <c r="N573" t="n">
        <v>5</v>
      </c>
      <c r="O573" t="n">
        <v>3</v>
      </c>
      <c r="P573" t="n">
        <v>5</v>
      </c>
      <c r="Q573" t="n">
        <v>5</v>
      </c>
      <c r="R573" t="n">
        <v>4</v>
      </c>
      <c r="S573" t="n">
        <v>5</v>
      </c>
      <c r="T573" t="n">
        <v>1</v>
      </c>
      <c r="U573">
        <f>(AVERAGE(B573:D573)-1)/4</f>
        <v/>
      </c>
      <c r="V573">
        <f>(AVERAGE(E573:F573)-1)/4</f>
        <v/>
      </c>
      <c r="W573">
        <f>(AVERAGE(G573:I573)-1)/4</f>
        <v/>
      </c>
      <c r="X573">
        <f>(AVERAGE(J573:L573)-1)/4</f>
        <v/>
      </c>
      <c r="Y573">
        <f>(AVERAGE(M573:O573)-1)/4</f>
        <v/>
      </c>
      <c r="Z573">
        <f>(AVERAGE(P573:R573)-1)/4</f>
        <v/>
      </c>
      <c r="AA573">
        <f>(AVERAGE(S573:T573)-1)/4</f>
        <v/>
      </c>
      <c r="AB573">
        <f>AVERAGE(U573:Y573)</f>
        <v/>
      </c>
      <c r="AC573">
        <f>MIN(U573:Y573)</f>
        <v/>
      </c>
      <c r="AD573">
        <f>1-alpha*MAX(0,delta-AC573)</f>
        <v/>
      </c>
      <c r="AE573">
        <f>AB573*AD573</f>
        <v/>
      </c>
      <c r="AF573">
        <f>1+COUNTIF(bounds,"&lt;"&amp;ROUND(AB573,12))</f>
        <v/>
      </c>
      <c r="AG573">
        <f>1+COUNTIF(bounds,"&lt;"&amp;ROUND(AE573,12))</f>
        <v/>
      </c>
      <c r="AH573">
        <f>IF(AD573&lt;1,1,0)</f>
        <v/>
      </c>
      <c r="AI573">
        <f>IF(AF573&lt;&gt;AG573,1,0)</f>
        <v/>
      </c>
      <c r="AJ573">
        <f>IF(AND(AG573&gt;=3,Z573&lt;=0.2),1,0)</f>
        <v/>
      </c>
      <c r="AK573">
        <f>AVERAGE(U573:Z573)</f>
        <v/>
      </c>
      <c r="AL573">
        <f>1+COUNTIF(bounds,"&lt;"&amp;ROUND(AK573,12))</f>
        <v/>
      </c>
      <c r="AM573">
        <f>IF(AI573=1,AB573,NA())</f>
        <v/>
      </c>
      <c r="AN573">
        <f>IF(AI573=0,AB573,NA())</f>
        <v/>
      </c>
    </row>
    <row r="574">
      <c r="A574" t="n">
        <v>566</v>
      </c>
      <c r="B574" t="n">
        <v>2</v>
      </c>
      <c r="C574" t="n">
        <v>5</v>
      </c>
      <c r="D574" t="n">
        <v>3</v>
      </c>
      <c r="E574" t="n">
        <v>4</v>
      </c>
      <c r="F574" t="n">
        <v>4</v>
      </c>
      <c r="G574" t="n">
        <v>2</v>
      </c>
      <c r="H574" t="n">
        <v>4</v>
      </c>
      <c r="I574" t="n">
        <v>4</v>
      </c>
      <c r="J574" t="n">
        <v>4</v>
      </c>
      <c r="K574" t="n">
        <v>1</v>
      </c>
      <c r="L574" t="n">
        <v>5</v>
      </c>
      <c r="M574" t="n">
        <v>2</v>
      </c>
      <c r="N574" t="n">
        <v>3</v>
      </c>
      <c r="O574" t="n">
        <v>5</v>
      </c>
      <c r="P574" t="n">
        <v>3</v>
      </c>
      <c r="Q574" t="n">
        <v>5</v>
      </c>
      <c r="R574" t="n">
        <v>2</v>
      </c>
      <c r="S574" t="n">
        <v>4</v>
      </c>
      <c r="T574" t="n">
        <v>5</v>
      </c>
      <c r="U574">
        <f>(AVERAGE(B574:D574)-1)/4</f>
        <v/>
      </c>
      <c r="V574">
        <f>(AVERAGE(E574:F574)-1)/4</f>
        <v/>
      </c>
      <c r="W574">
        <f>(AVERAGE(G574:I574)-1)/4</f>
        <v/>
      </c>
      <c r="X574">
        <f>(AVERAGE(J574:L574)-1)/4</f>
        <v/>
      </c>
      <c r="Y574">
        <f>(AVERAGE(M574:O574)-1)/4</f>
        <v/>
      </c>
      <c r="Z574">
        <f>(AVERAGE(P574:R574)-1)/4</f>
        <v/>
      </c>
      <c r="AA574">
        <f>(AVERAGE(S574:T574)-1)/4</f>
        <v/>
      </c>
      <c r="AB574">
        <f>AVERAGE(U574:Y574)</f>
        <v/>
      </c>
      <c r="AC574">
        <f>MIN(U574:Y574)</f>
        <v/>
      </c>
      <c r="AD574">
        <f>1-alpha*MAX(0,delta-AC574)</f>
        <v/>
      </c>
      <c r="AE574">
        <f>AB574*AD574</f>
        <v/>
      </c>
      <c r="AF574">
        <f>1+COUNTIF(bounds,"&lt;"&amp;ROUND(AB574,12))</f>
        <v/>
      </c>
      <c r="AG574">
        <f>1+COUNTIF(bounds,"&lt;"&amp;ROUND(AE574,12))</f>
        <v/>
      </c>
      <c r="AH574">
        <f>IF(AD574&lt;1,1,0)</f>
        <v/>
      </c>
      <c r="AI574">
        <f>IF(AF574&lt;&gt;AG574,1,0)</f>
        <v/>
      </c>
      <c r="AJ574">
        <f>IF(AND(AG574&gt;=3,Z574&lt;=0.2),1,0)</f>
        <v/>
      </c>
      <c r="AK574">
        <f>AVERAGE(U574:Z574)</f>
        <v/>
      </c>
      <c r="AL574">
        <f>1+COUNTIF(bounds,"&lt;"&amp;ROUND(AK574,12))</f>
        <v/>
      </c>
      <c r="AM574">
        <f>IF(AI574=1,AB574,NA())</f>
        <v/>
      </c>
      <c r="AN574">
        <f>IF(AI574=0,AB574,NA())</f>
        <v/>
      </c>
    </row>
    <row r="575">
      <c r="A575" t="n">
        <v>567</v>
      </c>
      <c r="B575" t="n">
        <v>1</v>
      </c>
      <c r="C575" t="n">
        <v>4</v>
      </c>
      <c r="D575" t="n">
        <v>1</v>
      </c>
      <c r="E575" t="n">
        <v>5</v>
      </c>
      <c r="F575" t="n">
        <v>2</v>
      </c>
      <c r="G575" t="n">
        <v>1</v>
      </c>
      <c r="H575" t="n">
        <v>4</v>
      </c>
      <c r="I575" t="n">
        <v>3</v>
      </c>
      <c r="J575" t="n">
        <v>5</v>
      </c>
      <c r="K575" t="n">
        <v>4</v>
      </c>
      <c r="L575" t="n">
        <v>1</v>
      </c>
      <c r="M575" t="n">
        <v>2</v>
      </c>
      <c r="N575" t="n">
        <v>1</v>
      </c>
      <c r="O575" t="n">
        <v>5</v>
      </c>
      <c r="P575" t="n">
        <v>4</v>
      </c>
      <c r="Q575" t="n">
        <v>1</v>
      </c>
      <c r="R575" t="n">
        <v>3</v>
      </c>
      <c r="S575" t="n">
        <v>3</v>
      </c>
      <c r="T575" t="n">
        <v>1</v>
      </c>
      <c r="U575">
        <f>(AVERAGE(B575:D575)-1)/4</f>
        <v/>
      </c>
      <c r="V575">
        <f>(AVERAGE(E575:F575)-1)/4</f>
        <v/>
      </c>
      <c r="W575">
        <f>(AVERAGE(G575:I575)-1)/4</f>
        <v/>
      </c>
      <c r="X575">
        <f>(AVERAGE(J575:L575)-1)/4</f>
        <v/>
      </c>
      <c r="Y575">
        <f>(AVERAGE(M575:O575)-1)/4</f>
        <v/>
      </c>
      <c r="Z575">
        <f>(AVERAGE(P575:R575)-1)/4</f>
        <v/>
      </c>
      <c r="AA575">
        <f>(AVERAGE(S575:T575)-1)/4</f>
        <v/>
      </c>
      <c r="AB575">
        <f>AVERAGE(U575:Y575)</f>
        <v/>
      </c>
      <c r="AC575">
        <f>MIN(U575:Y575)</f>
        <v/>
      </c>
      <c r="AD575">
        <f>1-alpha*MAX(0,delta-AC575)</f>
        <v/>
      </c>
      <c r="AE575">
        <f>AB575*AD575</f>
        <v/>
      </c>
      <c r="AF575">
        <f>1+COUNTIF(bounds,"&lt;"&amp;ROUND(AB575,12))</f>
        <v/>
      </c>
      <c r="AG575">
        <f>1+COUNTIF(bounds,"&lt;"&amp;ROUND(AE575,12))</f>
        <v/>
      </c>
      <c r="AH575">
        <f>IF(AD575&lt;1,1,0)</f>
        <v/>
      </c>
      <c r="AI575">
        <f>IF(AF575&lt;&gt;AG575,1,0)</f>
        <v/>
      </c>
      <c r="AJ575">
        <f>IF(AND(AG575&gt;=3,Z575&lt;=0.2),1,0)</f>
        <v/>
      </c>
      <c r="AK575">
        <f>AVERAGE(U575:Z575)</f>
        <v/>
      </c>
      <c r="AL575">
        <f>1+COUNTIF(bounds,"&lt;"&amp;ROUND(AK575,12))</f>
        <v/>
      </c>
      <c r="AM575">
        <f>IF(AI575=1,AB575,NA())</f>
        <v/>
      </c>
      <c r="AN575">
        <f>IF(AI575=0,AB575,NA())</f>
        <v/>
      </c>
    </row>
    <row r="576">
      <c r="A576" t="n">
        <v>568</v>
      </c>
      <c r="B576" t="n">
        <v>3</v>
      </c>
      <c r="C576" t="n">
        <v>3</v>
      </c>
      <c r="D576" t="n">
        <v>1</v>
      </c>
      <c r="E576" t="n">
        <v>1</v>
      </c>
      <c r="F576" t="n">
        <v>3</v>
      </c>
      <c r="G576" t="n">
        <v>3</v>
      </c>
      <c r="H576" t="n">
        <v>2</v>
      </c>
      <c r="I576" t="n">
        <v>4</v>
      </c>
      <c r="J576" t="n">
        <v>2</v>
      </c>
      <c r="K576" t="n">
        <v>1</v>
      </c>
      <c r="L576" t="n">
        <v>1</v>
      </c>
      <c r="M576" t="n">
        <v>2</v>
      </c>
      <c r="N576" t="n">
        <v>2</v>
      </c>
      <c r="O576" t="n">
        <v>5</v>
      </c>
      <c r="P576" t="n">
        <v>5</v>
      </c>
      <c r="Q576" t="n">
        <v>3</v>
      </c>
      <c r="R576" t="n">
        <v>5</v>
      </c>
      <c r="S576" t="n">
        <v>2</v>
      </c>
      <c r="T576" t="n">
        <v>3</v>
      </c>
      <c r="U576">
        <f>(AVERAGE(B576:D576)-1)/4</f>
        <v/>
      </c>
      <c r="V576">
        <f>(AVERAGE(E576:F576)-1)/4</f>
        <v/>
      </c>
      <c r="W576">
        <f>(AVERAGE(G576:I576)-1)/4</f>
        <v/>
      </c>
      <c r="X576">
        <f>(AVERAGE(J576:L576)-1)/4</f>
        <v/>
      </c>
      <c r="Y576">
        <f>(AVERAGE(M576:O576)-1)/4</f>
        <v/>
      </c>
      <c r="Z576">
        <f>(AVERAGE(P576:R576)-1)/4</f>
        <v/>
      </c>
      <c r="AA576">
        <f>(AVERAGE(S576:T576)-1)/4</f>
        <v/>
      </c>
      <c r="AB576">
        <f>AVERAGE(U576:Y576)</f>
        <v/>
      </c>
      <c r="AC576">
        <f>MIN(U576:Y576)</f>
        <v/>
      </c>
      <c r="AD576">
        <f>1-alpha*MAX(0,delta-AC576)</f>
        <v/>
      </c>
      <c r="AE576">
        <f>AB576*AD576</f>
        <v/>
      </c>
      <c r="AF576">
        <f>1+COUNTIF(bounds,"&lt;"&amp;ROUND(AB576,12))</f>
        <v/>
      </c>
      <c r="AG576">
        <f>1+COUNTIF(bounds,"&lt;"&amp;ROUND(AE576,12))</f>
        <v/>
      </c>
      <c r="AH576">
        <f>IF(AD576&lt;1,1,0)</f>
        <v/>
      </c>
      <c r="AI576">
        <f>IF(AF576&lt;&gt;AG576,1,0)</f>
        <v/>
      </c>
      <c r="AJ576">
        <f>IF(AND(AG576&gt;=3,Z576&lt;=0.2),1,0)</f>
        <v/>
      </c>
      <c r="AK576">
        <f>AVERAGE(U576:Z576)</f>
        <v/>
      </c>
      <c r="AL576">
        <f>1+COUNTIF(bounds,"&lt;"&amp;ROUND(AK576,12))</f>
        <v/>
      </c>
      <c r="AM576">
        <f>IF(AI576=1,AB576,NA())</f>
        <v/>
      </c>
      <c r="AN576">
        <f>IF(AI576=0,AB576,NA())</f>
        <v/>
      </c>
    </row>
    <row r="577">
      <c r="A577" t="n">
        <v>569</v>
      </c>
      <c r="B577" t="n">
        <v>5</v>
      </c>
      <c r="C577" t="n">
        <v>2</v>
      </c>
      <c r="D577" t="n">
        <v>4</v>
      </c>
      <c r="E577" t="n">
        <v>1</v>
      </c>
      <c r="F577" t="n">
        <v>4</v>
      </c>
      <c r="G577" t="n">
        <v>3</v>
      </c>
      <c r="H577" t="n">
        <v>5</v>
      </c>
      <c r="I577" t="n">
        <v>1</v>
      </c>
      <c r="J577" t="n">
        <v>1</v>
      </c>
      <c r="K577" t="n">
        <v>4</v>
      </c>
      <c r="L577" t="n">
        <v>3</v>
      </c>
      <c r="M577" t="n">
        <v>5</v>
      </c>
      <c r="N577" t="n">
        <v>4</v>
      </c>
      <c r="O577" t="n">
        <v>5</v>
      </c>
      <c r="P577" t="n">
        <v>4</v>
      </c>
      <c r="Q577" t="n">
        <v>4</v>
      </c>
      <c r="R577" t="n">
        <v>4</v>
      </c>
      <c r="S577" t="n">
        <v>5</v>
      </c>
      <c r="T577" t="n">
        <v>3</v>
      </c>
      <c r="U577">
        <f>(AVERAGE(B577:D577)-1)/4</f>
        <v/>
      </c>
      <c r="V577">
        <f>(AVERAGE(E577:F577)-1)/4</f>
        <v/>
      </c>
      <c r="W577">
        <f>(AVERAGE(G577:I577)-1)/4</f>
        <v/>
      </c>
      <c r="X577">
        <f>(AVERAGE(J577:L577)-1)/4</f>
        <v/>
      </c>
      <c r="Y577">
        <f>(AVERAGE(M577:O577)-1)/4</f>
        <v/>
      </c>
      <c r="Z577">
        <f>(AVERAGE(P577:R577)-1)/4</f>
        <v/>
      </c>
      <c r="AA577">
        <f>(AVERAGE(S577:T577)-1)/4</f>
        <v/>
      </c>
      <c r="AB577">
        <f>AVERAGE(U577:Y577)</f>
        <v/>
      </c>
      <c r="AC577">
        <f>MIN(U577:Y577)</f>
        <v/>
      </c>
      <c r="AD577">
        <f>1-alpha*MAX(0,delta-AC577)</f>
        <v/>
      </c>
      <c r="AE577">
        <f>AB577*AD577</f>
        <v/>
      </c>
      <c r="AF577">
        <f>1+COUNTIF(bounds,"&lt;"&amp;ROUND(AB577,12))</f>
        <v/>
      </c>
      <c r="AG577">
        <f>1+COUNTIF(bounds,"&lt;"&amp;ROUND(AE577,12))</f>
        <v/>
      </c>
      <c r="AH577">
        <f>IF(AD577&lt;1,1,0)</f>
        <v/>
      </c>
      <c r="AI577">
        <f>IF(AF577&lt;&gt;AG577,1,0)</f>
        <v/>
      </c>
      <c r="AJ577">
        <f>IF(AND(AG577&gt;=3,Z577&lt;=0.2),1,0)</f>
        <v/>
      </c>
      <c r="AK577">
        <f>AVERAGE(U577:Z577)</f>
        <v/>
      </c>
      <c r="AL577">
        <f>1+COUNTIF(bounds,"&lt;"&amp;ROUND(AK577,12))</f>
        <v/>
      </c>
      <c r="AM577">
        <f>IF(AI577=1,AB577,NA())</f>
        <v/>
      </c>
      <c r="AN577">
        <f>IF(AI577=0,AB577,NA())</f>
        <v/>
      </c>
    </row>
    <row r="578">
      <c r="A578" t="n">
        <v>570</v>
      </c>
      <c r="B578" t="n">
        <v>2</v>
      </c>
      <c r="C578" t="n">
        <v>3</v>
      </c>
      <c r="D578" t="n">
        <v>5</v>
      </c>
      <c r="E578" t="n">
        <v>2</v>
      </c>
      <c r="F578" t="n">
        <v>2</v>
      </c>
      <c r="G578" t="n">
        <v>4</v>
      </c>
      <c r="H578" t="n">
        <v>3</v>
      </c>
      <c r="I578" t="n">
        <v>2</v>
      </c>
      <c r="J578" t="n">
        <v>1</v>
      </c>
      <c r="K578" t="n">
        <v>2</v>
      </c>
      <c r="L578" t="n">
        <v>4</v>
      </c>
      <c r="M578" t="n">
        <v>4</v>
      </c>
      <c r="N578" t="n">
        <v>2</v>
      </c>
      <c r="O578" t="n">
        <v>3</v>
      </c>
      <c r="P578" t="n">
        <v>3</v>
      </c>
      <c r="Q578" t="n">
        <v>5</v>
      </c>
      <c r="R578" t="n">
        <v>2</v>
      </c>
      <c r="S578" t="n">
        <v>2</v>
      </c>
      <c r="T578" t="n">
        <v>1</v>
      </c>
      <c r="U578">
        <f>(AVERAGE(B578:D578)-1)/4</f>
        <v/>
      </c>
      <c r="V578">
        <f>(AVERAGE(E578:F578)-1)/4</f>
        <v/>
      </c>
      <c r="W578">
        <f>(AVERAGE(G578:I578)-1)/4</f>
        <v/>
      </c>
      <c r="X578">
        <f>(AVERAGE(J578:L578)-1)/4</f>
        <v/>
      </c>
      <c r="Y578">
        <f>(AVERAGE(M578:O578)-1)/4</f>
        <v/>
      </c>
      <c r="Z578">
        <f>(AVERAGE(P578:R578)-1)/4</f>
        <v/>
      </c>
      <c r="AA578">
        <f>(AVERAGE(S578:T578)-1)/4</f>
        <v/>
      </c>
      <c r="AB578">
        <f>AVERAGE(U578:Y578)</f>
        <v/>
      </c>
      <c r="AC578">
        <f>MIN(U578:Y578)</f>
        <v/>
      </c>
      <c r="AD578">
        <f>1-alpha*MAX(0,delta-AC578)</f>
        <v/>
      </c>
      <c r="AE578">
        <f>AB578*AD578</f>
        <v/>
      </c>
      <c r="AF578">
        <f>1+COUNTIF(bounds,"&lt;"&amp;ROUND(AB578,12))</f>
        <v/>
      </c>
      <c r="AG578">
        <f>1+COUNTIF(bounds,"&lt;"&amp;ROUND(AE578,12))</f>
        <v/>
      </c>
      <c r="AH578">
        <f>IF(AD578&lt;1,1,0)</f>
        <v/>
      </c>
      <c r="AI578">
        <f>IF(AF578&lt;&gt;AG578,1,0)</f>
        <v/>
      </c>
      <c r="AJ578">
        <f>IF(AND(AG578&gt;=3,Z578&lt;=0.2),1,0)</f>
        <v/>
      </c>
      <c r="AK578">
        <f>AVERAGE(U578:Z578)</f>
        <v/>
      </c>
      <c r="AL578">
        <f>1+COUNTIF(bounds,"&lt;"&amp;ROUND(AK578,12))</f>
        <v/>
      </c>
      <c r="AM578">
        <f>IF(AI578=1,AB578,NA())</f>
        <v/>
      </c>
      <c r="AN578">
        <f>IF(AI578=0,AB578,NA())</f>
        <v/>
      </c>
    </row>
    <row r="579">
      <c r="A579" t="n">
        <v>571</v>
      </c>
      <c r="B579" t="n">
        <v>1</v>
      </c>
      <c r="C579" t="n">
        <v>3</v>
      </c>
      <c r="D579" t="n">
        <v>3</v>
      </c>
      <c r="E579" t="n">
        <v>3</v>
      </c>
      <c r="F579" t="n">
        <v>3</v>
      </c>
      <c r="G579" t="n">
        <v>2</v>
      </c>
      <c r="H579" t="n">
        <v>4</v>
      </c>
      <c r="I579" t="n">
        <v>1</v>
      </c>
      <c r="J579" t="n">
        <v>4</v>
      </c>
      <c r="K579" t="n">
        <v>3</v>
      </c>
      <c r="L579" t="n">
        <v>5</v>
      </c>
      <c r="M579" t="n">
        <v>2</v>
      </c>
      <c r="N579" t="n">
        <v>2</v>
      </c>
      <c r="O579" t="n">
        <v>4</v>
      </c>
      <c r="P579" t="n">
        <v>4</v>
      </c>
      <c r="Q579" t="n">
        <v>1</v>
      </c>
      <c r="R579" t="n">
        <v>4</v>
      </c>
      <c r="S579" t="n">
        <v>5</v>
      </c>
      <c r="T579" t="n">
        <v>2</v>
      </c>
      <c r="U579">
        <f>(AVERAGE(B579:D579)-1)/4</f>
        <v/>
      </c>
      <c r="V579">
        <f>(AVERAGE(E579:F579)-1)/4</f>
        <v/>
      </c>
      <c r="W579">
        <f>(AVERAGE(G579:I579)-1)/4</f>
        <v/>
      </c>
      <c r="X579">
        <f>(AVERAGE(J579:L579)-1)/4</f>
        <v/>
      </c>
      <c r="Y579">
        <f>(AVERAGE(M579:O579)-1)/4</f>
        <v/>
      </c>
      <c r="Z579">
        <f>(AVERAGE(P579:R579)-1)/4</f>
        <v/>
      </c>
      <c r="AA579">
        <f>(AVERAGE(S579:T579)-1)/4</f>
        <v/>
      </c>
      <c r="AB579">
        <f>AVERAGE(U579:Y579)</f>
        <v/>
      </c>
      <c r="AC579">
        <f>MIN(U579:Y579)</f>
        <v/>
      </c>
      <c r="AD579">
        <f>1-alpha*MAX(0,delta-AC579)</f>
        <v/>
      </c>
      <c r="AE579">
        <f>AB579*AD579</f>
        <v/>
      </c>
      <c r="AF579">
        <f>1+COUNTIF(bounds,"&lt;"&amp;ROUND(AB579,12))</f>
        <v/>
      </c>
      <c r="AG579">
        <f>1+COUNTIF(bounds,"&lt;"&amp;ROUND(AE579,12))</f>
        <v/>
      </c>
      <c r="AH579">
        <f>IF(AD579&lt;1,1,0)</f>
        <v/>
      </c>
      <c r="AI579">
        <f>IF(AF579&lt;&gt;AG579,1,0)</f>
        <v/>
      </c>
      <c r="AJ579">
        <f>IF(AND(AG579&gt;=3,Z579&lt;=0.2),1,0)</f>
        <v/>
      </c>
      <c r="AK579">
        <f>AVERAGE(U579:Z579)</f>
        <v/>
      </c>
      <c r="AL579">
        <f>1+COUNTIF(bounds,"&lt;"&amp;ROUND(AK579,12))</f>
        <v/>
      </c>
      <c r="AM579">
        <f>IF(AI579=1,AB579,NA())</f>
        <v/>
      </c>
      <c r="AN579">
        <f>IF(AI579=0,AB579,NA())</f>
        <v/>
      </c>
    </row>
    <row r="580">
      <c r="A580" t="n">
        <v>572</v>
      </c>
      <c r="B580" t="n">
        <v>1</v>
      </c>
      <c r="C580" t="n">
        <v>3</v>
      </c>
      <c r="D580" t="n">
        <v>5</v>
      </c>
      <c r="E580" t="n">
        <v>1</v>
      </c>
      <c r="F580" t="n">
        <v>2</v>
      </c>
      <c r="G580" t="n">
        <v>5</v>
      </c>
      <c r="H580" t="n">
        <v>1</v>
      </c>
      <c r="I580" t="n">
        <v>4</v>
      </c>
      <c r="J580" t="n">
        <v>1</v>
      </c>
      <c r="K580" t="n">
        <v>3</v>
      </c>
      <c r="L580" t="n">
        <v>2</v>
      </c>
      <c r="M580" t="n">
        <v>1</v>
      </c>
      <c r="N580" t="n">
        <v>2</v>
      </c>
      <c r="O580" t="n">
        <v>2</v>
      </c>
      <c r="P580" t="n">
        <v>2</v>
      </c>
      <c r="Q580" t="n">
        <v>5</v>
      </c>
      <c r="R580" t="n">
        <v>3</v>
      </c>
      <c r="S580" t="n">
        <v>1</v>
      </c>
      <c r="T580" t="n">
        <v>4</v>
      </c>
      <c r="U580">
        <f>(AVERAGE(B580:D580)-1)/4</f>
        <v/>
      </c>
      <c r="V580">
        <f>(AVERAGE(E580:F580)-1)/4</f>
        <v/>
      </c>
      <c r="W580">
        <f>(AVERAGE(G580:I580)-1)/4</f>
        <v/>
      </c>
      <c r="X580">
        <f>(AVERAGE(J580:L580)-1)/4</f>
        <v/>
      </c>
      <c r="Y580">
        <f>(AVERAGE(M580:O580)-1)/4</f>
        <v/>
      </c>
      <c r="Z580">
        <f>(AVERAGE(P580:R580)-1)/4</f>
        <v/>
      </c>
      <c r="AA580">
        <f>(AVERAGE(S580:T580)-1)/4</f>
        <v/>
      </c>
      <c r="AB580">
        <f>AVERAGE(U580:Y580)</f>
        <v/>
      </c>
      <c r="AC580">
        <f>MIN(U580:Y580)</f>
        <v/>
      </c>
      <c r="AD580">
        <f>1-alpha*MAX(0,delta-AC580)</f>
        <v/>
      </c>
      <c r="AE580">
        <f>AB580*AD580</f>
        <v/>
      </c>
      <c r="AF580">
        <f>1+COUNTIF(bounds,"&lt;"&amp;ROUND(AB580,12))</f>
        <v/>
      </c>
      <c r="AG580">
        <f>1+COUNTIF(bounds,"&lt;"&amp;ROUND(AE580,12))</f>
        <v/>
      </c>
      <c r="AH580">
        <f>IF(AD580&lt;1,1,0)</f>
        <v/>
      </c>
      <c r="AI580">
        <f>IF(AF580&lt;&gt;AG580,1,0)</f>
        <v/>
      </c>
      <c r="AJ580">
        <f>IF(AND(AG580&gt;=3,Z580&lt;=0.2),1,0)</f>
        <v/>
      </c>
      <c r="AK580">
        <f>AVERAGE(U580:Z580)</f>
        <v/>
      </c>
      <c r="AL580">
        <f>1+COUNTIF(bounds,"&lt;"&amp;ROUND(AK580,12))</f>
        <v/>
      </c>
      <c r="AM580">
        <f>IF(AI580=1,AB580,NA())</f>
        <v/>
      </c>
      <c r="AN580">
        <f>IF(AI580=0,AB580,NA())</f>
        <v/>
      </c>
    </row>
    <row r="581">
      <c r="A581" t="n">
        <v>573</v>
      </c>
      <c r="B581" t="n">
        <v>5</v>
      </c>
      <c r="C581" t="n">
        <v>3</v>
      </c>
      <c r="D581" t="n">
        <v>2</v>
      </c>
      <c r="E581" t="n">
        <v>2</v>
      </c>
      <c r="F581" t="n">
        <v>1</v>
      </c>
      <c r="G581" t="n">
        <v>3</v>
      </c>
      <c r="H581" t="n">
        <v>2</v>
      </c>
      <c r="I581" t="n">
        <v>4</v>
      </c>
      <c r="J581" t="n">
        <v>2</v>
      </c>
      <c r="K581" t="n">
        <v>3</v>
      </c>
      <c r="L581" t="n">
        <v>5</v>
      </c>
      <c r="M581" t="n">
        <v>4</v>
      </c>
      <c r="N581" t="n">
        <v>5</v>
      </c>
      <c r="O581" t="n">
        <v>1</v>
      </c>
      <c r="P581" t="n">
        <v>5</v>
      </c>
      <c r="Q581" t="n">
        <v>3</v>
      </c>
      <c r="R581" t="n">
        <v>3</v>
      </c>
      <c r="S581" t="n">
        <v>2</v>
      </c>
      <c r="T581" t="n">
        <v>4</v>
      </c>
      <c r="U581">
        <f>(AVERAGE(B581:D581)-1)/4</f>
        <v/>
      </c>
      <c r="V581">
        <f>(AVERAGE(E581:F581)-1)/4</f>
        <v/>
      </c>
      <c r="W581">
        <f>(AVERAGE(G581:I581)-1)/4</f>
        <v/>
      </c>
      <c r="X581">
        <f>(AVERAGE(J581:L581)-1)/4</f>
        <v/>
      </c>
      <c r="Y581">
        <f>(AVERAGE(M581:O581)-1)/4</f>
        <v/>
      </c>
      <c r="Z581">
        <f>(AVERAGE(P581:R581)-1)/4</f>
        <v/>
      </c>
      <c r="AA581">
        <f>(AVERAGE(S581:T581)-1)/4</f>
        <v/>
      </c>
      <c r="AB581">
        <f>AVERAGE(U581:Y581)</f>
        <v/>
      </c>
      <c r="AC581">
        <f>MIN(U581:Y581)</f>
        <v/>
      </c>
      <c r="AD581">
        <f>1-alpha*MAX(0,delta-AC581)</f>
        <v/>
      </c>
      <c r="AE581">
        <f>AB581*AD581</f>
        <v/>
      </c>
      <c r="AF581">
        <f>1+COUNTIF(bounds,"&lt;"&amp;ROUND(AB581,12))</f>
        <v/>
      </c>
      <c r="AG581">
        <f>1+COUNTIF(bounds,"&lt;"&amp;ROUND(AE581,12))</f>
        <v/>
      </c>
      <c r="AH581">
        <f>IF(AD581&lt;1,1,0)</f>
        <v/>
      </c>
      <c r="AI581">
        <f>IF(AF581&lt;&gt;AG581,1,0)</f>
        <v/>
      </c>
      <c r="AJ581">
        <f>IF(AND(AG581&gt;=3,Z581&lt;=0.2),1,0)</f>
        <v/>
      </c>
      <c r="AK581">
        <f>AVERAGE(U581:Z581)</f>
        <v/>
      </c>
      <c r="AL581">
        <f>1+COUNTIF(bounds,"&lt;"&amp;ROUND(AK581,12))</f>
        <v/>
      </c>
      <c r="AM581">
        <f>IF(AI581=1,AB581,NA())</f>
        <v/>
      </c>
      <c r="AN581">
        <f>IF(AI581=0,AB581,NA())</f>
        <v/>
      </c>
    </row>
    <row r="582">
      <c r="A582" t="n">
        <v>574</v>
      </c>
      <c r="B582" t="n">
        <v>1</v>
      </c>
      <c r="C582" t="n">
        <v>5</v>
      </c>
      <c r="D582" t="n">
        <v>4</v>
      </c>
      <c r="E582" t="n">
        <v>2</v>
      </c>
      <c r="F582" t="n">
        <v>3</v>
      </c>
      <c r="G582" t="n">
        <v>1</v>
      </c>
      <c r="H582" t="n">
        <v>2</v>
      </c>
      <c r="I582" t="n">
        <v>2</v>
      </c>
      <c r="J582" t="n">
        <v>5</v>
      </c>
      <c r="K582" t="n">
        <v>1</v>
      </c>
      <c r="L582" t="n">
        <v>1</v>
      </c>
      <c r="M582" t="n">
        <v>3</v>
      </c>
      <c r="N582" t="n">
        <v>4</v>
      </c>
      <c r="O582" t="n">
        <v>1</v>
      </c>
      <c r="P582" t="n">
        <v>4</v>
      </c>
      <c r="Q582" t="n">
        <v>1</v>
      </c>
      <c r="R582" t="n">
        <v>1</v>
      </c>
      <c r="S582" t="n">
        <v>2</v>
      </c>
      <c r="T582" t="n">
        <v>3</v>
      </c>
      <c r="U582">
        <f>(AVERAGE(B582:D582)-1)/4</f>
        <v/>
      </c>
      <c r="V582">
        <f>(AVERAGE(E582:F582)-1)/4</f>
        <v/>
      </c>
      <c r="W582">
        <f>(AVERAGE(G582:I582)-1)/4</f>
        <v/>
      </c>
      <c r="X582">
        <f>(AVERAGE(J582:L582)-1)/4</f>
        <v/>
      </c>
      <c r="Y582">
        <f>(AVERAGE(M582:O582)-1)/4</f>
        <v/>
      </c>
      <c r="Z582">
        <f>(AVERAGE(P582:R582)-1)/4</f>
        <v/>
      </c>
      <c r="AA582">
        <f>(AVERAGE(S582:T582)-1)/4</f>
        <v/>
      </c>
      <c r="AB582">
        <f>AVERAGE(U582:Y582)</f>
        <v/>
      </c>
      <c r="AC582">
        <f>MIN(U582:Y582)</f>
        <v/>
      </c>
      <c r="AD582">
        <f>1-alpha*MAX(0,delta-AC582)</f>
        <v/>
      </c>
      <c r="AE582">
        <f>AB582*AD582</f>
        <v/>
      </c>
      <c r="AF582">
        <f>1+COUNTIF(bounds,"&lt;"&amp;ROUND(AB582,12))</f>
        <v/>
      </c>
      <c r="AG582">
        <f>1+COUNTIF(bounds,"&lt;"&amp;ROUND(AE582,12))</f>
        <v/>
      </c>
      <c r="AH582">
        <f>IF(AD582&lt;1,1,0)</f>
        <v/>
      </c>
      <c r="AI582">
        <f>IF(AF582&lt;&gt;AG582,1,0)</f>
        <v/>
      </c>
      <c r="AJ582">
        <f>IF(AND(AG582&gt;=3,Z582&lt;=0.2),1,0)</f>
        <v/>
      </c>
      <c r="AK582">
        <f>AVERAGE(U582:Z582)</f>
        <v/>
      </c>
      <c r="AL582">
        <f>1+COUNTIF(bounds,"&lt;"&amp;ROUND(AK582,12))</f>
        <v/>
      </c>
      <c r="AM582">
        <f>IF(AI582=1,AB582,NA())</f>
        <v/>
      </c>
      <c r="AN582">
        <f>IF(AI582=0,AB582,NA())</f>
        <v/>
      </c>
    </row>
    <row r="583">
      <c r="A583" t="n">
        <v>575</v>
      </c>
      <c r="B583" t="n">
        <v>4</v>
      </c>
      <c r="C583" t="n">
        <v>3</v>
      </c>
      <c r="D583" t="n">
        <v>1</v>
      </c>
      <c r="E583" t="n">
        <v>3</v>
      </c>
      <c r="F583" t="n">
        <v>3</v>
      </c>
      <c r="G583" t="n">
        <v>4</v>
      </c>
      <c r="H583" t="n">
        <v>1</v>
      </c>
      <c r="I583" t="n">
        <v>1</v>
      </c>
      <c r="J583" t="n">
        <v>2</v>
      </c>
      <c r="K583" t="n">
        <v>1</v>
      </c>
      <c r="L583" t="n">
        <v>4</v>
      </c>
      <c r="M583" t="n">
        <v>3</v>
      </c>
      <c r="N583" t="n">
        <v>2</v>
      </c>
      <c r="O583" t="n">
        <v>1</v>
      </c>
      <c r="P583" t="n">
        <v>2</v>
      </c>
      <c r="Q583" t="n">
        <v>1</v>
      </c>
      <c r="R583" t="n">
        <v>3</v>
      </c>
      <c r="S583" t="n">
        <v>3</v>
      </c>
      <c r="T583" t="n">
        <v>2</v>
      </c>
      <c r="U583">
        <f>(AVERAGE(B583:D583)-1)/4</f>
        <v/>
      </c>
      <c r="V583">
        <f>(AVERAGE(E583:F583)-1)/4</f>
        <v/>
      </c>
      <c r="W583">
        <f>(AVERAGE(G583:I583)-1)/4</f>
        <v/>
      </c>
      <c r="X583">
        <f>(AVERAGE(J583:L583)-1)/4</f>
        <v/>
      </c>
      <c r="Y583">
        <f>(AVERAGE(M583:O583)-1)/4</f>
        <v/>
      </c>
      <c r="Z583">
        <f>(AVERAGE(P583:R583)-1)/4</f>
        <v/>
      </c>
      <c r="AA583">
        <f>(AVERAGE(S583:T583)-1)/4</f>
        <v/>
      </c>
      <c r="AB583">
        <f>AVERAGE(U583:Y583)</f>
        <v/>
      </c>
      <c r="AC583">
        <f>MIN(U583:Y583)</f>
        <v/>
      </c>
      <c r="AD583">
        <f>1-alpha*MAX(0,delta-AC583)</f>
        <v/>
      </c>
      <c r="AE583">
        <f>AB583*AD583</f>
        <v/>
      </c>
      <c r="AF583">
        <f>1+COUNTIF(bounds,"&lt;"&amp;ROUND(AB583,12))</f>
        <v/>
      </c>
      <c r="AG583">
        <f>1+COUNTIF(bounds,"&lt;"&amp;ROUND(AE583,12))</f>
        <v/>
      </c>
      <c r="AH583">
        <f>IF(AD583&lt;1,1,0)</f>
        <v/>
      </c>
      <c r="AI583">
        <f>IF(AF583&lt;&gt;AG583,1,0)</f>
        <v/>
      </c>
      <c r="AJ583">
        <f>IF(AND(AG583&gt;=3,Z583&lt;=0.2),1,0)</f>
        <v/>
      </c>
      <c r="AK583">
        <f>AVERAGE(U583:Z583)</f>
        <v/>
      </c>
      <c r="AL583">
        <f>1+COUNTIF(bounds,"&lt;"&amp;ROUND(AK583,12))</f>
        <v/>
      </c>
      <c r="AM583">
        <f>IF(AI583=1,AB583,NA())</f>
        <v/>
      </c>
      <c r="AN583">
        <f>IF(AI583=0,AB583,NA())</f>
        <v/>
      </c>
    </row>
    <row r="584">
      <c r="A584" t="n">
        <v>576</v>
      </c>
      <c r="B584" t="n">
        <v>3</v>
      </c>
      <c r="C584" t="n">
        <v>3</v>
      </c>
      <c r="D584" t="n">
        <v>1</v>
      </c>
      <c r="E584" t="n">
        <v>3</v>
      </c>
      <c r="F584" t="n">
        <v>5</v>
      </c>
      <c r="G584" t="n">
        <v>2</v>
      </c>
      <c r="H584" t="n">
        <v>4</v>
      </c>
      <c r="I584" t="n">
        <v>1</v>
      </c>
      <c r="J584" t="n">
        <v>3</v>
      </c>
      <c r="K584" t="n">
        <v>1</v>
      </c>
      <c r="L584" t="n">
        <v>5</v>
      </c>
      <c r="M584" t="n">
        <v>4</v>
      </c>
      <c r="N584" t="n">
        <v>3</v>
      </c>
      <c r="O584" t="n">
        <v>1</v>
      </c>
      <c r="P584" t="n">
        <v>2</v>
      </c>
      <c r="Q584" t="n">
        <v>3</v>
      </c>
      <c r="R584" t="n">
        <v>4</v>
      </c>
      <c r="S584" t="n">
        <v>4</v>
      </c>
      <c r="T584" t="n">
        <v>1</v>
      </c>
      <c r="U584">
        <f>(AVERAGE(B584:D584)-1)/4</f>
        <v/>
      </c>
      <c r="V584">
        <f>(AVERAGE(E584:F584)-1)/4</f>
        <v/>
      </c>
      <c r="W584">
        <f>(AVERAGE(G584:I584)-1)/4</f>
        <v/>
      </c>
      <c r="X584">
        <f>(AVERAGE(J584:L584)-1)/4</f>
        <v/>
      </c>
      <c r="Y584">
        <f>(AVERAGE(M584:O584)-1)/4</f>
        <v/>
      </c>
      <c r="Z584">
        <f>(AVERAGE(P584:R584)-1)/4</f>
        <v/>
      </c>
      <c r="AA584">
        <f>(AVERAGE(S584:T584)-1)/4</f>
        <v/>
      </c>
      <c r="AB584">
        <f>AVERAGE(U584:Y584)</f>
        <v/>
      </c>
      <c r="AC584">
        <f>MIN(U584:Y584)</f>
        <v/>
      </c>
      <c r="AD584">
        <f>1-alpha*MAX(0,delta-AC584)</f>
        <v/>
      </c>
      <c r="AE584">
        <f>AB584*AD584</f>
        <v/>
      </c>
      <c r="AF584">
        <f>1+COUNTIF(bounds,"&lt;"&amp;ROUND(AB584,12))</f>
        <v/>
      </c>
      <c r="AG584">
        <f>1+COUNTIF(bounds,"&lt;"&amp;ROUND(AE584,12))</f>
        <v/>
      </c>
      <c r="AH584">
        <f>IF(AD584&lt;1,1,0)</f>
        <v/>
      </c>
      <c r="AI584">
        <f>IF(AF584&lt;&gt;AG584,1,0)</f>
        <v/>
      </c>
      <c r="AJ584">
        <f>IF(AND(AG584&gt;=3,Z584&lt;=0.2),1,0)</f>
        <v/>
      </c>
      <c r="AK584">
        <f>AVERAGE(U584:Z584)</f>
        <v/>
      </c>
      <c r="AL584">
        <f>1+COUNTIF(bounds,"&lt;"&amp;ROUND(AK584,12))</f>
        <v/>
      </c>
      <c r="AM584">
        <f>IF(AI584=1,AB584,NA())</f>
        <v/>
      </c>
      <c r="AN584">
        <f>IF(AI584=0,AB584,NA())</f>
        <v/>
      </c>
    </row>
    <row r="585">
      <c r="A585" t="n">
        <v>577</v>
      </c>
      <c r="B585" t="n">
        <v>2</v>
      </c>
      <c r="C585" t="n">
        <v>4</v>
      </c>
      <c r="D585" t="n">
        <v>1</v>
      </c>
      <c r="E585" t="n">
        <v>3</v>
      </c>
      <c r="F585" t="n">
        <v>1</v>
      </c>
      <c r="G585" t="n">
        <v>5</v>
      </c>
      <c r="H585" t="n">
        <v>2</v>
      </c>
      <c r="I585" t="n">
        <v>1</v>
      </c>
      <c r="J585" t="n">
        <v>4</v>
      </c>
      <c r="K585" t="n">
        <v>4</v>
      </c>
      <c r="L585" t="n">
        <v>4</v>
      </c>
      <c r="M585" t="n">
        <v>2</v>
      </c>
      <c r="N585" t="n">
        <v>4</v>
      </c>
      <c r="O585" t="n">
        <v>5</v>
      </c>
      <c r="P585" t="n">
        <v>3</v>
      </c>
      <c r="Q585" t="n">
        <v>4</v>
      </c>
      <c r="R585" t="n">
        <v>1</v>
      </c>
      <c r="S585" t="n">
        <v>5</v>
      </c>
      <c r="T585" t="n">
        <v>2</v>
      </c>
      <c r="U585">
        <f>(AVERAGE(B585:D585)-1)/4</f>
        <v/>
      </c>
      <c r="V585">
        <f>(AVERAGE(E585:F585)-1)/4</f>
        <v/>
      </c>
      <c r="W585">
        <f>(AVERAGE(G585:I585)-1)/4</f>
        <v/>
      </c>
      <c r="X585">
        <f>(AVERAGE(J585:L585)-1)/4</f>
        <v/>
      </c>
      <c r="Y585">
        <f>(AVERAGE(M585:O585)-1)/4</f>
        <v/>
      </c>
      <c r="Z585">
        <f>(AVERAGE(P585:R585)-1)/4</f>
        <v/>
      </c>
      <c r="AA585">
        <f>(AVERAGE(S585:T585)-1)/4</f>
        <v/>
      </c>
      <c r="AB585">
        <f>AVERAGE(U585:Y585)</f>
        <v/>
      </c>
      <c r="AC585">
        <f>MIN(U585:Y585)</f>
        <v/>
      </c>
      <c r="AD585">
        <f>1-alpha*MAX(0,delta-AC585)</f>
        <v/>
      </c>
      <c r="AE585">
        <f>AB585*AD585</f>
        <v/>
      </c>
      <c r="AF585">
        <f>1+COUNTIF(bounds,"&lt;"&amp;ROUND(AB585,12))</f>
        <v/>
      </c>
      <c r="AG585">
        <f>1+COUNTIF(bounds,"&lt;"&amp;ROUND(AE585,12))</f>
        <v/>
      </c>
      <c r="AH585">
        <f>IF(AD585&lt;1,1,0)</f>
        <v/>
      </c>
      <c r="AI585">
        <f>IF(AF585&lt;&gt;AG585,1,0)</f>
        <v/>
      </c>
      <c r="AJ585">
        <f>IF(AND(AG585&gt;=3,Z585&lt;=0.2),1,0)</f>
        <v/>
      </c>
      <c r="AK585">
        <f>AVERAGE(U585:Z585)</f>
        <v/>
      </c>
      <c r="AL585">
        <f>1+COUNTIF(bounds,"&lt;"&amp;ROUND(AK585,12))</f>
        <v/>
      </c>
      <c r="AM585">
        <f>IF(AI585=1,AB585,NA())</f>
        <v/>
      </c>
      <c r="AN585">
        <f>IF(AI585=0,AB585,NA())</f>
        <v/>
      </c>
    </row>
    <row r="586">
      <c r="A586" t="n">
        <v>578</v>
      </c>
      <c r="B586" t="n">
        <v>2</v>
      </c>
      <c r="C586" t="n">
        <v>2</v>
      </c>
      <c r="D586" t="n">
        <v>4</v>
      </c>
      <c r="E586" t="n">
        <v>3</v>
      </c>
      <c r="F586" t="n">
        <v>1</v>
      </c>
      <c r="G586" t="n">
        <v>2</v>
      </c>
      <c r="H586" t="n">
        <v>3</v>
      </c>
      <c r="I586" t="n">
        <v>2</v>
      </c>
      <c r="J586" t="n">
        <v>5</v>
      </c>
      <c r="K586" t="n">
        <v>1</v>
      </c>
      <c r="L586" t="n">
        <v>4</v>
      </c>
      <c r="M586" t="n">
        <v>3</v>
      </c>
      <c r="N586" t="n">
        <v>4</v>
      </c>
      <c r="O586" t="n">
        <v>2</v>
      </c>
      <c r="P586" t="n">
        <v>2</v>
      </c>
      <c r="Q586" t="n">
        <v>1</v>
      </c>
      <c r="R586" t="n">
        <v>2</v>
      </c>
      <c r="S586" t="n">
        <v>1</v>
      </c>
      <c r="T586" t="n">
        <v>1</v>
      </c>
      <c r="U586">
        <f>(AVERAGE(B586:D586)-1)/4</f>
        <v/>
      </c>
      <c r="V586">
        <f>(AVERAGE(E586:F586)-1)/4</f>
        <v/>
      </c>
      <c r="W586">
        <f>(AVERAGE(G586:I586)-1)/4</f>
        <v/>
      </c>
      <c r="X586">
        <f>(AVERAGE(J586:L586)-1)/4</f>
        <v/>
      </c>
      <c r="Y586">
        <f>(AVERAGE(M586:O586)-1)/4</f>
        <v/>
      </c>
      <c r="Z586">
        <f>(AVERAGE(P586:R586)-1)/4</f>
        <v/>
      </c>
      <c r="AA586">
        <f>(AVERAGE(S586:T586)-1)/4</f>
        <v/>
      </c>
      <c r="AB586">
        <f>AVERAGE(U586:Y586)</f>
        <v/>
      </c>
      <c r="AC586">
        <f>MIN(U586:Y586)</f>
        <v/>
      </c>
      <c r="AD586">
        <f>1-alpha*MAX(0,delta-AC586)</f>
        <v/>
      </c>
      <c r="AE586">
        <f>AB586*AD586</f>
        <v/>
      </c>
      <c r="AF586">
        <f>1+COUNTIF(bounds,"&lt;"&amp;ROUND(AB586,12))</f>
        <v/>
      </c>
      <c r="AG586">
        <f>1+COUNTIF(bounds,"&lt;"&amp;ROUND(AE586,12))</f>
        <v/>
      </c>
      <c r="AH586">
        <f>IF(AD586&lt;1,1,0)</f>
        <v/>
      </c>
      <c r="AI586">
        <f>IF(AF586&lt;&gt;AG586,1,0)</f>
        <v/>
      </c>
      <c r="AJ586">
        <f>IF(AND(AG586&gt;=3,Z586&lt;=0.2),1,0)</f>
        <v/>
      </c>
      <c r="AK586">
        <f>AVERAGE(U586:Z586)</f>
        <v/>
      </c>
      <c r="AL586">
        <f>1+COUNTIF(bounds,"&lt;"&amp;ROUND(AK586,12))</f>
        <v/>
      </c>
      <c r="AM586">
        <f>IF(AI586=1,AB586,NA())</f>
        <v/>
      </c>
      <c r="AN586">
        <f>IF(AI586=0,AB586,NA())</f>
        <v/>
      </c>
    </row>
    <row r="587">
      <c r="A587" t="n">
        <v>579</v>
      </c>
      <c r="B587" t="n">
        <v>2</v>
      </c>
      <c r="C587" t="n">
        <v>4</v>
      </c>
      <c r="D587" t="n">
        <v>2</v>
      </c>
      <c r="E587" t="n">
        <v>5</v>
      </c>
      <c r="F587" t="n">
        <v>1</v>
      </c>
      <c r="G587" t="n">
        <v>4</v>
      </c>
      <c r="H587" t="n">
        <v>1</v>
      </c>
      <c r="I587" t="n">
        <v>2</v>
      </c>
      <c r="J587" t="n">
        <v>3</v>
      </c>
      <c r="K587" t="n">
        <v>1</v>
      </c>
      <c r="L587" t="n">
        <v>3</v>
      </c>
      <c r="M587" t="n">
        <v>3</v>
      </c>
      <c r="N587" t="n">
        <v>5</v>
      </c>
      <c r="O587" t="n">
        <v>2</v>
      </c>
      <c r="P587" t="n">
        <v>2</v>
      </c>
      <c r="Q587" t="n">
        <v>2</v>
      </c>
      <c r="R587" t="n">
        <v>2</v>
      </c>
      <c r="S587" t="n">
        <v>5</v>
      </c>
      <c r="T587" t="n">
        <v>1</v>
      </c>
      <c r="U587">
        <f>(AVERAGE(B587:D587)-1)/4</f>
        <v/>
      </c>
      <c r="V587">
        <f>(AVERAGE(E587:F587)-1)/4</f>
        <v/>
      </c>
      <c r="W587">
        <f>(AVERAGE(G587:I587)-1)/4</f>
        <v/>
      </c>
      <c r="X587">
        <f>(AVERAGE(J587:L587)-1)/4</f>
        <v/>
      </c>
      <c r="Y587">
        <f>(AVERAGE(M587:O587)-1)/4</f>
        <v/>
      </c>
      <c r="Z587">
        <f>(AVERAGE(P587:R587)-1)/4</f>
        <v/>
      </c>
      <c r="AA587">
        <f>(AVERAGE(S587:T587)-1)/4</f>
        <v/>
      </c>
      <c r="AB587">
        <f>AVERAGE(U587:Y587)</f>
        <v/>
      </c>
      <c r="AC587">
        <f>MIN(U587:Y587)</f>
        <v/>
      </c>
      <c r="AD587">
        <f>1-alpha*MAX(0,delta-AC587)</f>
        <v/>
      </c>
      <c r="AE587">
        <f>AB587*AD587</f>
        <v/>
      </c>
      <c r="AF587">
        <f>1+COUNTIF(bounds,"&lt;"&amp;ROUND(AB587,12))</f>
        <v/>
      </c>
      <c r="AG587">
        <f>1+COUNTIF(bounds,"&lt;"&amp;ROUND(AE587,12))</f>
        <v/>
      </c>
      <c r="AH587">
        <f>IF(AD587&lt;1,1,0)</f>
        <v/>
      </c>
      <c r="AI587">
        <f>IF(AF587&lt;&gt;AG587,1,0)</f>
        <v/>
      </c>
      <c r="AJ587">
        <f>IF(AND(AG587&gt;=3,Z587&lt;=0.2),1,0)</f>
        <v/>
      </c>
      <c r="AK587">
        <f>AVERAGE(U587:Z587)</f>
        <v/>
      </c>
      <c r="AL587">
        <f>1+COUNTIF(bounds,"&lt;"&amp;ROUND(AK587,12))</f>
        <v/>
      </c>
      <c r="AM587">
        <f>IF(AI587=1,AB587,NA())</f>
        <v/>
      </c>
      <c r="AN587">
        <f>IF(AI587=0,AB587,NA())</f>
        <v/>
      </c>
    </row>
    <row r="588">
      <c r="A588" t="n">
        <v>580</v>
      </c>
      <c r="B588" t="n">
        <v>3</v>
      </c>
      <c r="C588" t="n">
        <v>1</v>
      </c>
      <c r="D588" t="n">
        <v>3</v>
      </c>
      <c r="E588" t="n">
        <v>3</v>
      </c>
      <c r="F588" t="n">
        <v>4</v>
      </c>
      <c r="G588" t="n">
        <v>5</v>
      </c>
      <c r="H588" t="n">
        <v>4</v>
      </c>
      <c r="I588" t="n">
        <v>2</v>
      </c>
      <c r="J588" t="n">
        <v>5</v>
      </c>
      <c r="K588" t="n">
        <v>3</v>
      </c>
      <c r="L588" t="n">
        <v>2</v>
      </c>
      <c r="M588" t="n">
        <v>2</v>
      </c>
      <c r="N588" t="n">
        <v>2</v>
      </c>
      <c r="O588" t="n">
        <v>5</v>
      </c>
      <c r="P588" t="n">
        <v>1</v>
      </c>
      <c r="Q588" t="n">
        <v>3</v>
      </c>
      <c r="R588" t="n">
        <v>2</v>
      </c>
      <c r="S588" t="n">
        <v>2</v>
      </c>
      <c r="T588" t="n">
        <v>5</v>
      </c>
      <c r="U588">
        <f>(AVERAGE(B588:D588)-1)/4</f>
        <v/>
      </c>
      <c r="V588">
        <f>(AVERAGE(E588:F588)-1)/4</f>
        <v/>
      </c>
      <c r="W588">
        <f>(AVERAGE(G588:I588)-1)/4</f>
        <v/>
      </c>
      <c r="X588">
        <f>(AVERAGE(J588:L588)-1)/4</f>
        <v/>
      </c>
      <c r="Y588">
        <f>(AVERAGE(M588:O588)-1)/4</f>
        <v/>
      </c>
      <c r="Z588">
        <f>(AVERAGE(P588:R588)-1)/4</f>
        <v/>
      </c>
      <c r="AA588">
        <f>(AVERAGE(S588:T588)-1)/4</f>
        <v/>
      </c>
      <c r="AB588">
        <f>AVERAGE(U588:Y588)</f>
        <v/>
      </c>
      <c r="AC588">
        <f>MIN(U588:Y588)</f>
        <v/>
      </c>
      <c r="AD588">
        <f>1-alpha*MAX(0,delta-AC588)</f>
        <v/>
      </c>
      <c r="AE588">
        <f>AB588*AD588</f>
        <v/>
      </c>
      <c r="AF588">
        <f>1+COUNTIF(bounds,"&lt;"&amp;ROUND(AB588,12))</f>
        <v/>
      </c>
      <c r="AG588">
        <f>1+COUNTIF(bounds,"&lt;"&amp;ROUND(AE588,12))</f>
        <v/>
      </c>
      <c r="AH588">
        <f>IF(AD588&lt;1,1,0)</f>
        <v/>
      </c>
      <c r="AI588">
        <f>IF(AF588&lt;&gt;AG588,1,0)</f>
        <v/>
      </c>
      <c r="AJ588">
        <f>IF(AND(AG588&gt;=3,Z588&lt;=0.2),1,0)</f>
        <v/>
      </c>
      <c r="AK588">
        <f>AVERAGE(U588:Z588)</f>
        <v/>
      </c>
      <c r="AL588">
        <f>1+COUNTIF(bounds,"&lt;"&amp;ROUND(AK588,12))</f>
        <v/>
      </c>
      <c r="AM588">
        <f>IF(AI588=1,AB588,NA())</f>
        <v/>
      </c>
      <c r="AN588">
        <f>IF(AI588=0,AB588,NA())</f>
        <v/>
      </c>
    </row>
    <row r="589">
      <c r="A589" t="n">
        <v>581</v>
      </c>
      <c r="B589" t="n">
        <v>5</v>
      </c>
      <c r="C589" t="n">
        <v>4</v>
      </c>
      <c r="D589" t="n">
        <v>4</v>
      </c>
      <c r="E589" t="n">
        <v>3</v>
      </c>
      <c r="F589" t="n">
        <v>5</v>
      </c>
      <c r="G589" t="n">
        <v>2</v>
      </c>
      <c r="H589" t="n">
        <v>2</v>
      </c>
      <c r="I589" t="n">
        <v>4</v>
      </c>
      <c r="J589" t="n">
        <v>2</v>
      </c>
      <c r="K589" t="n">
        <v>5</v>
      </c>
      <c r="L589" t="n">
        <v>5</v>
      </c>
      <c r="M589" t="n">
        <v>3</v>
      </c>
      <c r="N589" t="n">
        <v>2</v>
      </c>
      <c r="O589" t="n">
        <v>1</v>
      </c>
      <c r="P589" t="n">
        <v>5</v>
      </c>
      <c r="Q589" t="n">
        <v>3</v>
      </c>
      <c r="R589" t="n">
        <v>2</v>
      </c>
      <c r="S589" t="n">
        <v>2</v>
      </c>
      <c r="T589" t="n">
        <v>5</v>
      </c>
      <c r="U589">
        <f>(AVERAGE(B589:D589)-1)/4</f>
        <v/>
      </c>
      <c r="V589">
        <f>(AVERAGE(E589:F589)-1)/4</f>
        <v/>
      </c>
      <c r="W589">
        <f>(AVERAGE(G589:I589)-1)/4</f>
        <v/>
      </c>
      <c r="X589">
        <f>(AVERAGE(J589:L589)-1)/4</f>
        <v/>
      </c>
      <c r="Y589">
        <f>(AVERAGE(M589:O589)-1)/4</f>
        <v/>
      </c>
      <c r="Z589">
        <f>(AVERAGE(P589:R589)-1)/4</f>
        <v/>
      </c>
      <c r="AA589">
        <f>(AVERAGE(S589:T589)-1)/4</f>
        <v/>
      </c>
      <c r="AB589">
        <f>AVERAGE(U589:Y589)</f>
        <v/>
      </c>
      <c r="AC589">
        <f>MIN(U589:Y589)</f>
        <v/>
      </c>
      <c r="AD589">
        <f>1-alpha*MAX(0,delta-AC589)</f>
        <v/>
      </c>
      <c r="AE589">
        <f>AB589*AD589</f>
        <v/>
      </c>
      <c r="AF589">
        <f>1+COUNTIF(bounds,"&lt;"&amp;ROUND(AB589,12))</f>
        <v/>
      </c>
      <c r="AG589">
        <f>1+COUNTIF(bounds,"&lt;"&amp;ROUND(AE589,12))</f>
        <v/>
      </c>
      <c r="AH589">
        <f>IF(AD589&lt;1,1,0)</f>
        <v/>
      </c>
      <c r="AI589">
        <f>IF(AF589&lt;&gt;AG589,1,0)</f>
        <v/>
      </c>
      <c r="AJ589">
        <f>IF(AND(AG589&gt;=3,Z589&lt;=0.2),1,0)</f>
        <v/>
      </c>
      <c r="AK589">
        <f>AVERAGE(U589:Z589)</f>
        <v/>
      </c>
      <c r="AL589">
        <f>1+COUNTIF(bounds,"&lt;"&amp;ROUND(AK589,12))</f>
        <v/>
      </c>
      <c r="AM589">
        <f>IF(AI589=1,AB589,NA())</f>
        <v/>
      </c>
      <c r="AN589">
        <f>IF(AI589=0,AB589,NA())</f>
        <v/>
      </c>
    </row>
    <row r="590">
      <c r="A590" t="n">
        <v>582</v>
      </c>
      <c r="B590" t="n">
        <v>5</v>
      </c>
      <c r="C590" t="n">
        <v>1</v>
      </c>
      <c r="D590" t="n">
        <v>4</v>
      </c>
      <c r="E590" t="n">
        <v>2</v>
      </c>
      <c r="F590" t="n">
        <v>1</v>
      </c>
      <c r="G590" t="n">
        <v>3</v>
      </c>
      <c r="H590" t="n">
        <v>2</v>
      </c>
      <c r="I590" t="n">
        <v>2</v>
      </c>
      <c r="J590" t="n">
        <v>3</v>
      </c>
      <c r="K590" t="n">
        <v>3</v>
      </c>
      <c r="L590" t="n">
        <v>5</v>
      </c>
      <c r="M590" t="n">
        <v>2</v>
      </c>
      <c r="N590" t="n">
        <v>4</v>
      </c>
      <c r="O590" t="n">
        <v>5</v>
      </c>
      <c r="P590" t="n">
        <v>2</v>
      </c>
      <c r="Q590" t="n">
        <v>4</v>
      </c>
      <c r="R590" t="n">
        <v>1</v>
      </c>
      <c r="S590" t="n">
        <v>1</v>
      </c>
      <c r="T590" t="n">
        <v>1</v>
      </c>
      <c r="U590">
        <f>(AVERAGE(B590:D590)-1)/4</f>
        <v/>
      </c>
      <c r="V590">
        <f>(AVERAGE(E590:F590)-1)/4</f>
        <v/>
      </c>
      <c r="W590">
        <f>(AVERAGE(G590:I590)-1)/4</f>
        <v/>
      </c>
      <c r="X590">
        <f>(AVERAGE(J590:L590)-1)/4</f>
        <v/>
      </c>
      <c r="Y590">
        <f>(AVERAGE(M590:O590)-1)/4</f>
        <v/>
      </c>
      <c r="Z590">
        <f>(AVERAGE(P590:R590)-1)/4</f>
        <v/>
      </c>
      <c r="AA590">
        <f>(AVERAGE(S590:T590)-1)/4</f>
        <v/>
      </c>
      <c r="AB590">
        <f>AVERAGE(U590:Y590)</f>
        <v/>
      </c>
      <c r="AC590">
        <f>MIN(U590:Y590)</f>
        <v/>
      </c>
      <c r="AD590">
        <f>1-alpha*MAX(0,delta-AC590)</f>
        <v/>
      </c>
      <c r="AE590">
        <f>AB590*AD590</f>
        <v/>
      </c>
      <c r="AF590">
        <f>1+COUNTIF(bounds,"&lt;"&amp;ROUND(AB590,12))</f>
        <v/>
      </c>
      <c r="AG590">
        <f>1+COUNTIF(bounds,"&lt;"&amp;ROUND(AE590,12))</f>
        <v/>
      </c>
      <c r="AH590">
        <f>IF(AD590&lt;1,1,0)</f>
        <v/>
      </c>
      <c r="AI590">
        <f>IF(AF590&lt;&gt;AG590,1,0)</f>
        <v/>
      </c>
      <c r="AJ590">
        <f>IF(AND(AG590&gt;=3,Z590&lt;=0.2),1,0)</f>
        <v/>
      </c>
      <c r="AK590">
        <f>AVERAGE(U590:Z590)</f>
        <v/>
      </c>
      <c r="AL590">
        <f>1+COUNTIF(bounds,"&lt;"&amp;ROUND(AK590,12))</f>
        <v/>
      </c>
      <c r="AM590">
        <f>IF(AI590=1,AB590,NA())</f>
        <v/>
      </c>
      <c r="AN590">
        <f>IF(AI590=0,AB590,NA())</f>
        <v/>
      </c>
    </row>
    <row r="591">
      <c r="A591" t="n">
        <v>583</v>
      </c>
      <c r="B591" t="n">
        <v>4</v>
      </c>
      <c r="C591" t="n">
        <v>4</v>
      </c>
      <c r="D591" t="n">
        <v>5</v>
      </c>
      <c r="E591" t="n">
        <v>4</v>
      </c>
      <c r="F591" t="n">
        <v>2</v>
      </c>
      <c r="G591" t="n">
        <v>3</v>
      </c>
      <c r="H591" t="n">
        <v>2</v>
      </c>
      <c r="I591" t="n">
        <v>2</v>
      </c>
      <c r="J591" t="n">
        <v>5</v>
      </c>
      <c r="K591" t="n">
        <v>3</v>
      </c>
      <c r="L591" t="n">
        <v>3</v>
      </c>
      <c r="M591" t="n">
        <v>1</v>
      </c>
      <c r="N591" t="n">
        <v>4</v>
      </c>
      <c r="O591" t="n">
        <v>2</v>
      </c>
      <c r="P591" t="n">
        <v>3</v>
      </c>
      <c r="Q591" t="n">
        <v>3</v>
      </c>
      <c r="R591" t="n">
        <v>3</v>
      </c>
      <c r="S591" t="n">
        <v>5</v>
      </c>
      <c r="T591" t="n">
        <v>4</v>
      </c>
      <c r="U591">
        <f>(AVERAGE(B591:D591)-1)/4</f>
        <v/>
      </c>
      <c r="V591">
        <f>(AVERAGE(E591:F591)-1)/4</f>
        <v/>
      </c>
      <c r="W591">
        <f>(AVERAGE(G591:I591)-1)/4</f>
        <v/>
      </c>
      <c r="X591">
        <f>(AVERAGE(J591:L591)-1)/4</f>
        <v/>
      </c>
      <c r="Y591">
        <f>(AVERAGE(M591:O591)-1)/4</f>
        <v/>
      </c>
      <c r="Z591">
        <f>(AVERAGE(P591:R591)-1)/4</f>
        <v/>
      </c>
      <c r="AA591">
        <f>(AVERAGE(S591:T591)-1)/4</f>
        <v/>
      </c>
      <c r="AB591">
        <f>AVERAGE(U591:Y591)</f>
        <v/>
      </c>
      <c r="AC591">
        <f>MIN(U591:Y591)</f>
        <v/>
      </c>
      <c r="AD591">
        <f>1-alpha*MAX(0,delta-AC591)</f>
        <v/>
      </c>
      <c r="AE591">
        <f>AB591*AD591</f>
        <v/>
      </c>
      <c r="AF591">
        <f>1+COUNTIF(bounds,"&lt;"&amp;ROUND(AB591,12))</f>
        <v/>
      </c>
      <c r="AG591">
        <f>1+COUNTIF(bounds,"&lt;"&amp;ROUND(AE591,12))</f>
        <v/>
      </c>
      <c r="AH591">
        <f>IF(AD591&lt;1,1,0)</f>
        <v/>
      </c>
      <c r="AI591">
        <f>IF(AF591&lt;&gt;AG591,1,0)</f>
        <v/>
      </c>
      <c r="AJ591">
        <f>IF(AND(AG591&gt;=3,Z591&lt;=0.2),1,0)</f>
        <v/>
      </c>
      <c r="AK591">
        <f>AVERAGE(U591:Z591)</f>
        <v/>
      </c>
      <c r="AL591">
        <f>1+COUNTIF(bounds,"&lt;"&amp;ROUND(AK591,12))</f>
        <v/>
      </c>
      <c r="AM591">
        <f>IF(AI591=1,AB591,NA())</f>
        <v/>
      </c>
      <c r="AN591">
        <f>IF(AI591=0,AB591,NA())</f>
        <v/>
      </c>
    </row>
    <row r="592">
      <c r="A592" t="n">
        <v>584</v>
      </c>
      <c r="B592" t="n">
        <v>1</v>
      </c>
      <c r="C592" t="n">
        <v>1</v>
      </c>
      <c r="D592" t="n">
        <v>5</v>
      </c>
      <c r="E592" t="n">
        <v>4</v>
      </c>
      <c r="F592" t="n">
        <v>3</v>
      </c>
      <c r="G592" t="n">
        <v>4</v>
      </c>
      <c r="H592" t="n">
        <v>5</v>
      </c>
      <c r="I592" t="n">
        <v>1</v>
      </c>
      <c r="J592" t="n">
        <v>5</v>
      </c>
      <c r="K592" t="n">
        <v>1</v>
      </c>
      <c r="L592" t="n">
        <v>5</v>
      </c>
      <c r="M592" t="n">
        <v>2</v>
      </c>
      <c r="N592" t="n">
        <v>2</v>
      </c>
      <c r="O592" t="n">
        <v>4</v>
      </c>
      <c r="P592" t="n">
        <v>5</v>
      </c>
      <c r="Q592" t="n">
        <v>5</v>
      </c>
      <c r="R592" t="n">
        <v>4</v>
      </c>
      <c r="S592" t="n">
        <v>1</v>
      </c>
      <c r="T592" t="n">
        <v>2</v>
      </c>
      <c r="U592">
        <f>(AVERAGE(B592:D592)-1)/4</f>
        <v/>
      </c>
      <c r="V592">
        <f>(AVERAGE(E592:F592)-1)/4</f>
        <v/>
      </c>
      <c r="W592">
        <f>(AVERAGE(G592:I592)-1)/4</f>
        <v/>
      </c>
      <c r="X592">
        <f>(AVERAGE(J592:L592)-1)/4</f>
        <v/>
      </c>
      <c r="Y592">
        <f>(AVERAGE(M592:O592)-1)/4</f>
        <v/>
      </c>
      <c r="Z592">
        <f>(AVERAGE(P592:R592)-1)/4</f>
        <v/>
      </c>
      <c r="AA592">
        <f>(AVERAGE(S592:T592)-1)/4</f>
        <v/>
      </c>
      <c r="AB592">
        <f>AVERAGE(U592:Y592)</f>
        <v/>
      </c>
      <c r="AC592">
        <f>MIN(U592:Y592)</f>
        <v/>
      </c>
      <c r="AD592">
        <f>1-alpha*MAX(0,delta-AC592)</f>
        <v/>
      </c>
      <c r="AE592">
        <f>AB592*AD592</f>
        <v/>
      </c>
      <c r="AF592">
        <f>1+COUNTIF(bounds,"&lt;"&amp;ROUND(AB592,12))</f>
        <v/>
      </c>
      <c r="AG592">
        <f>1+COUNTIF(bounds,"&lt;"&amp;ROUND(AE592,12))</f>
        <v/>
      </c>
      <c r="AH592">
        <f>IF(AD592&lt;1,1,0)</f>
        <v/>
      </c>
      <c r="AI592">
        <f>IF(AF592&lt;&gt;AG592,1,0)</f>
        <v/>
      </c>
      <c r="AJ592">
        <f>IF(AND(AG592&gt;=3,Z592&lt;=0.2),1,0)</f>
        <v/>
      </c>
      <c r="AK592">
        <f>AVERAGE(U592:Z592)</f>
        <v/>
      </c>
      <c r="AL592">
        <f>1+COUNTIF(bounds,"&lt;"&amp;ROUND(AK592,12))</f>
        <v/>
      </c>
      <c r="AM592">
        <f>IF(AI592=1,AB592,NA())</f>
        <v/>
      </c>
      <c r="AN592">
        <f>IF(AI592=0,AB592,NA())</f>
        <v/>
      </c>
    </row>
    <row r="593">
      <c r="A593" t="n">
        <v>585</v>
      </c>
      <c r="B593" t="n">
        <v>3</v>
      </c>
      <c r="C593" t="n">
        <v>5</v>
      </c>
      <c r="D593" t="n">
        <v>3</v>
      </c>
      <c r="E593" t="n">
        <v>5</v>
      </c>
      <c r="F593" t="n">
        <v>1</v>
      </c>
      <c r="G593" t="n">
        <v>1</v>
      </c>
      <c r="H593" t="n">
        <v>2</v>
      </c>
      <c r="I593" t="n">
        <v>4</v>
      </c>
      <c r="J593" t="n">
        <v>1</v>
      </c>
      <c r="K593" t="n">
        <v>3</v>
      </c>
      <c r="L593" t="n">
        <v>1</v>
      </c>
      <c r="M593" t="n">
        <v>2</v>
      </c>
      <c r="N593" t="n">
        <v>4</v>
      </c>
      <c r="O593" t="n">
        <v>5</v>
      </c>
      <c r="P593" t="n">
        <v>3</v>
      </c>
      <c r="Q593" t="n">
        <v>4</v>
      </c>
      <c r="R593" t="n">
        <v>5</v>
      </c>
      <c r="S593" t="n">
        <v>4</v>
      </c>
      <c r="T593" t="n">
        <v>1</v>
      </c>
      <c r="U593">
        <f>(AVERAGE(B593:D593)-1)/4</f>
        <v/>
      </c>
      <c r="V593">
        <f>(AVERAGE(E593:F593)-1)/4</f>
        <v/>
      </c>
      <c r="W593">
        <f>(AVERAGE(G593:I593)-1)/4</f>
        <v/>
      </c>
      <c r="X593">
        <f>(AVERAGE(J593:L593)-1)/4</f>
        <v/>
      </c>
      <c r="Y593">
        <f>(AVERAGE(M593:O593)-1)/4</f>
        <v/>
      </c>
      <c r="Z593">
        <f>(AVERAGE(P593:R593)-1)/4</f>
        <v/>
      </c>
      <c r="AA593">
        <f>(AVERAGE(S593:T593)-1)/4</f>
        <v/>
      </c>
      <c r="AB593">
        <f>AVERAGE(U593:Y593)</f>
        <v/>
      </c>
      <c r="AC593">
        <f>MIN(U593:Y593)</f>
        <v/>
      </c>
      <c r="AD593">
        <f>1-alpha*MAX(0,delta-AC593)</f>
        <v/>
      </c>
      <c r="AE593">
        <f>AB593*AD593</f>
        <v/>
      </c>
      <c r="AF593">
        <f>1+COUNTIF(bounds,"&lt;"&amp;ROUND(AB593,12))</f>
        <v/>
      </c>
      <c r="AG593">
        <f>1+COUNTIF(bounds,"&lt;"&amp;ROUND(AE593,12))</f>
        <v/>
      </c>
      <c r="AH593">
        <f>IF(AD593&lt;1,1,0)</f>
        <v/>
      </c>
      <c r="AI593">
        <f>IF(AF593&lt;&gt;AG593,1,0)</f>
        <v/>
      </c>
      <c r="AJ593">
        <f>IF(AND(AG593&gt;=3,Z593&lt;=0.2),1,0)</f>
        <v/>
      </c>
      <c r="AK593">
        <f>AVERAGE(U593:Z593)</f>
        <v/>
      </c>
      <c r="AL593">
        <f>1+COUNTIF(bounds,"&lt;"&amp;ROUND(AK593,12))</f>
        <v/>
      </c>
      <c r="AM593">
        <f>IF(AI593=1,AB593,NA())</f>
        <v/>
      </c>
      <c r="AN593">
        <f>IF(AI593=0,AB593,NA())</f>
        <v/>
      </c>
    </row>
    <row r="594">
      <c r="A594" t="n">
        <v>586</v>
      </c>
      <c r="B594" t="n">
        <v>3</v>
      </c>
      <c r="C594" t="n">
        <v>5</v>
      </c>
      <c r="D594" t="n">
        <v>3</v>
      </c>
      <c r="E594" t="n">
        <v>5</v>
      </c>
      <c r="F594" t="n">
        <v>1</v>
      </c>
      <c r="G594" t="n">
        <v>4</v>
      </c>
      <c r="H594" t="n">
        <v>3</v>
      </c>
      <c r="I594" t="n">
        <v>3</v>
      </c>
      <c r="J594" t="n">
        <v>5</v>
      </c>
      <c r="K594" t="n">
        <v>4</v>
      </c>
      <c r="L594" t="n">
        <v>4</v>
      </c>
      <c r="M594" t="n">
        <v>3</v>
      </c>
      <c r="N594" t="n">
        <v>3</v>
      </c>
      <c r="O594" t="n">
        <v>5</v>
      </c>
      <c r="P594" t="n">
        <v>3</v>
      </c>
      <c r="Q594" t="n">
        <v>1</v>
      </c>
      <c r="R594" t="n">
        <v>1</v>
      </c>
      <c r="S594" t="n">
        <v>4</v>
      </c>
      <c r="T594" t="n">
        <v>3</v>
      </c>
      <c r="U594">
        <f>(AVERAGE(B594:D594)-1)/4</f>
        <v/>
      </c>
      <c r="V594">
        <f>(AVERAGE(E594:F594)-1)/4</f>
        <v/>
      </c>
      <c r="W594">
        <f>(AVERAGE(G594:I594)-1)/4</f>
        <v/>
      </c>
      <c r="X594">
        <f>(AVERAGE(J594:L594)-1)/4</f>
        <v/>
      </c>
      <c r="Y594">
        <f>(AVERAGE(M594:O594)-1)/4</f>
        <v/>
      </c>
      <c r="Z594">
        <f>(AVERAGE(P594:R594)-1)/4</f>
        <v/>
      </c>
      <c r="AA594">
        <f>(AVERAGE(S594:T594)-1)/4</f>
        <v/>
      </c>
      <c r="AB594">
        <f>AVERAGE(U594:Y594)</f>
        <v/>
      </c>
      <c r="AC594">
        <f>MIN(U594:Y594)</f>
        <v/>
      </c>
      <c r="AD594">
        <f>1-alpha*MAX(0,delta-AC594)</f>
        <v/>
      </c>
      <c r="AE594">
        <f>AB594*AD594</f>
        <v/>
      </c>
      <c r="AF594">
        <f>1+COUNTIF(bounds,"&lt;"&amp;ROUND(AB594,12))</f>
        <v/>
      </c>
      <c r="AG594">
        <f>1+COUNTIF(bounds,"&lt;"&amp;ROUND(AE594,12))</f>
        <v/>
      </c>
      <c r="AH594">
        <f>IF(AD594&lt;1,1,0)</f>
        <v/>
      </c>
      <c r="AI594">
        <f>IF(AF594&lt;&gt;AG594,1,0)</f>
        <v/>
      </c>
      <c r="AJ594">
        <f>IF(AND(AG594&gt;=3,Z594&lt;=0.2),1,0)</f>
        <v/>
      </c>
      <c r="AK594">
        <f>AVERAGE(U594:Z594)</f>
        <v/>
      </c>
      <c r="AL594">
        <f>1+COUNTIF(bounds,"&lt;"&amp;ROUND(AK594,12))</f>
        <v/>
      </c>
      <c r="AM594">
        <f>IF(AI594=1,AB594,NA())</f>
        <v/>
      </c>
      <c r="AN594">
        <f>IF(AI594=0,AB594,NA())</f>
        <v/>
      </c>
    </row>
    <row r="595">
      <c r="A595" t="n">
        <v>587</v>
      </c>
      <c r="B595" t="n">
        <v>1</v>
      </c>
      <c r="C595" t="n">
        <v>3</v>
      </c>
      <c r="D595" t="n">
        <v>2</v>
      </c>
      <c r="E595" t="n">
        <v>4</v>
      </c>
      <c r="F595" t="n">
        <v>3</v>
      </c>
      <c r="G595" t="n">
        <v>5</v>
      </c>
      <c r="H595" t="n">
        <v>3</v>
      </c>
      <c r="I595" t="n">
        <v>3</v>
      </c>
      <c r="J595" t="n">
        <v>1</v>
      </c>
      <c r="K595" t="n">
        <v>2</v>
      </c>
      <c r="L595" t="n">
        <v>3</v>
      </c>
      <c r="M595" t="n">
        <v>3</v>
      </c>
      <c r="N595" t="n">
        <v>5</v>
      </c>
      <c r="O595" t="n">
        <v>3</v>
      </c>
      <c r="P595" t="n">
        <v>5</v>
      </c>
      <c r="Q595" t="n">
        <v>4</v>
      </c>
      <c r="R595" t="n">
        <v>1</v>
      </c>
      <c r="S595" t="n">
        <v>3</v>
      </c>
      <c r="T595" t="n">
        <v>5</v>
      </c>
      <c r="U595">
        <f>(AVERAGE(B595:D595)-1)/4</f>
        <v/>
      </c>
      <c r="V595">
        <f>(AVERAGE(E595:F595)-1)/4</f>
        <v/>
      </c>
      <c r="W595">
        <f>(AVERAGE(G595:I595)-1)/4</f>
        <v/>
      </c>
      <c r="X595">
        <f>(AVERAGE(J595:L595)-1)/4</f>
        <v/>
      </c>
      <c r="Y595">
        <f>(AVERAGE(M595:O595)-1)/4</f>
        <v/>
      </c>
      <c r="Z595">
        <f>(AVERAGE(P595:R595)-1)/4</f>
        <v/>
      </c>
      <c r="AA595">
        <f>(AVERAGE(S595:T595)-1)/4</f>
        <v/>
      </c>
      <c r="AB595">
        <f>AVERAGE(U595:Y595)</f>
        <v/>
      </c>
      <c r="AC595">
        <f>MIN(U595:Y595)</f>
        <v/>
      </c>
      <c r="AD595">
        <f>1-alpha*MAX(0,delta-AC595)</f>
        <v/>
      </c>
      <c r="AE595">
        <f>AB595*AD595</f>
        <v/>
      </c>
      <c r="AF595">
        <f>1+COUNTIF(bounds,"&lt;"&amp;ROUND(AB595,12))</f>
        <v/>
      </c>
      <c r="AG595">
        <f>1+COUNTIF(bounds,"&lt;"&amp;ROUND(AE595,12))</f>
        <v/>
      </c>
      <c r="AH595">
        <f>IF(AD595&lt;1,1,0)</f>
        <v/>
      </c>
      <c r="AI595">
        <f>IF(AF595&lt;&gt;AG595,1,0)</f>
        <v/>
      </c>
      <c r="AJ595">
        <f>IF(AND(AG595&gt;=3,Z595&lt;=0.2),1,0)</f>
        <v/>
      </c>
      <c r="AK595">
        <f>AVERAGE(U595:Z595)</f>
        <v/>
      </c>
      <c r="AL595">
        <f>1+COUNTIF(bounds,"&lt;"&amp;ROUND(AK595,12))</f>
        <v/>
      </c>
      <c r="AM595">
        <f>IF(AI595=1,AB595,NA())</f>
        <v/>
      </c>
      <c r="AN595">
        <f>IF(AI595=0,AB595,NA())</f>
        <v/>
      </c>
    </row>
    <row r="596">
      <c r="A596" t="n">
        <v>588</v>
      </c>
      <c r="B596" t="n">
        <v>5</v>
      </c>
      <c r="C596" t="n">
        <v>5</v>
      </c>
      <c r="D596" t="n">
        <v>1</v>
      </c>
      <c r="E596" t="n">
        <v>4</v>
      </c>
      <c r="F596" t="n">
        <v>2</v>
      </c>
      <c r="G596" t="n">
        <v>1</v>
      </c>
      <c r="H596" t="n">
        <v>3</v>
      </c>
      <c r="I596" t="n">
        <v>5</v>
      </c>
      <c r="J596" t="n">
        <v>4</v>
      </c>
      <c r="K596" t="n">
        <v>4</v>
      </c>
      <c r="L596" t="n">
        <v>5</v>
      </c>
      <c r="M596" t="n">
        <v>5</v>
      </c>
      <c r="N596" t="n">
        <v>1</v>
      </c>
      <c r="O596" t="n">
        <v>2</v>
      </c>
      <c r="P596" t="n">
        <v>5</v>
      </c>
      <c r="Q596" t="n">
        <v>5</v>
      </c>
      <c r="R596" t="n">
        <v>4</v>
      </c>
      <c r="S596" t="n">
        <v>3</v>
      </c>
      <c r="T596" t="n">
        <v>3</v>
      </c>
      <c r="U596">
        <f>(AVERAGE(B596:D596)-1)/4</f>
        <v/>
      </c>
      <c r="V596">
        <f>(AVERAGE(E596:F596)-1)/4</f>
        <v/>
      </c>
      <c r="W596">
        <f>(AVERAGE(G596:I596)-1)/4</f>
        <v/>
      </c>
      <c r="X596">
        <f>(AVERAGE(J596:L596)-1)/4</f>
        <v/>
      </c>
      <c r="Y596">
        <f>(AVERAGE(M596:O596)-1)/4</f>
        <v/>
      </c>
      <c r="Z596">
        <f>(AVERAGE(P596:R596)-1)/4</f>
        <v/>
      </c>
      <c r="AA596">
        <f>(AVERAGE(S596:T596)-1)/4</f>
        <v/>
      </c>
      <c r="AB596">
        <f>AVERAGE(U596:Y596)</f>
        <v/>
      </c>
      <c r="AC596">
        <f>MIN(U596:Y596)</f>
        <v/>
      </c>
      <c r="AD596">
        <f>1-alpha*MAX(0,delta-AC596)</f>
        <v/>
      </c>
      <c r="AE596">
        <f>AB596*AD596</f>
        <v/>
      </c>
      <c r="AF596">
        <f>1+COUNTIF(bounds,"&lt;"&amp;ROUND(AB596,12))</f>
        <v/>
      </c>
      <c r="AG596">
        <f>1+COUNTIF(bounds,"&lt;"&amp;ROUND(AE596,12))</f>
        <v/>
      </c>
      <c r="AH596">
        <f>IF(AD596&lt;1,1,0)</f>
        <v/>
      </c>
      <c r="AI596">
        <f>IF(AF596&lt;&gt;AG596,1,0)</f>
        <v/>
      </c>
      <c r="AJ596">
        <f>IF(AND(AG596&gt;=3,Z596&lt;=0.2),1,0)</f>
        <v/>
      </c>
      <c r="AK596">
        <f>AVERAGE(U596:Z596)</f>
        <v/>
      </c>
      <c r="AL596">
        <f>1+COUNTIF(bounds,"&lt;"&amp;ROUND(AK596,12))</f>
        <v/>
      </c>
      <c r="AM596">
        <f>IF(AI596=1,AB596,NA())</f>
        <v/>
      </c>
      <c r="AN596">
        <f>IF(AI596=0,AB596,NA())</f>
        <v/>
      </c>
    </row>
    <row r="597">
      <c r="A597" t="n">
        <v>589</v>
      </c>
      <c r="B597" t="n">
        <v>2</v>
      </c>
      <c r="C597" t="n">
        <v>5</v>
      </c>
      <c r="D597" t="n">
        <v>1</v>
      </c>
      <c r="E597" t="n">
        <v>4</v>
      </c>
      <c r="F597" t="n">
        <v>1</v>
      </c>
      <c r="G597" t="n">
        <v>4</v>
      </c>
      <c r="H597" t="n">
        <v>1</v>
      </c>
      <c r="I597" t="n">
        <v>4</v>
      </c>
      <c r="J597" t="n">
        <v>4</v>
      </c>
      <c r="K597" t="n">
        <v>1</v>
      </c>
      <c r="L597" t="n">
        <v>3</v>
      </c>
      <c r="M597" t="n">
        <v>5</v>
      </c>
      <c r="N597" t="n">
        <v>1</v>
      </c>
      <c r="O597" t="n">
        <v>5</v>
      </c>
      <c r="P597" t="n">
        <v>2</v>
      </c>
      <c r="Q597" t="n">
        <v>5</v>
      </c>
      <c r="R597" t="n">
        <v>3</v>
      </c>
      <c r="S597" t="n">
        <v>2</v>
      </c>
      <c r="T597" t="n">
        <v>2</v>
      </c>
      <c r="U597">
        <f>(AVERAGE(B597:D597)-1)/4</f>
        <v/>
      </c>
      <c r="V597">
        <f>(AVERAGE(E597:F597)-1)/4</f>
        <v/>
      </c>
      <c r="W597">
        <f>(AVERAGE(G597:I597)-1)/4</f>
        <v/>
      </c>
      <c r="X597">
        <f>(AVERAGE(J597:L597)-1)/4</f>
        <v/>
      </c>
      <c r="Y597">
        <f>(AVERAGE(M597:O597)-1)/4</f>
        <v/>
      </c>
      <c r="Z597">
        <f>(AVERAGE(P597:R597)-1)/4</f>
        <v/>
      </c>
      <c r="AA597">
        <f>(AVERAGE(S597:T597)-1)/4</f>
        <v/>
      </c>
      <c r="AB597">
        <f>AVERAGE(U597:Y597)</f>
        <v/>
      </c>
      <c r="AC597">
        <f>MIN(U597:Y597)</f>
        <v/>
      </c>
      <c r="AD597">
        <f>1-alpha*MAX(0,delta-AC597)</f>
        <v/>
      </c>
      <c r="AE597">
        <f>AB597*AD597</f>
        <v/>
      </c>
      <c r="AF597">
        <f>1+COUNTIF(bounds,"&lt;"&amp;ROUND(AB597,12))</f>
        <v/>
      </c>
      <c r="AG597">
        <f>1+COUNTIF(bounds,"&lt;"&amp;ROUND(AE597,12))</f>
        <v/>
      </c>
      <c r="AH597">
        <f>IF(AD597&lt;1,1,0)</f>
        <v/>
      </c>
      <c r="AI597">
        <f>IF(AF597&lt;&gt;AG597,1,0)</f>
        <v/>
      </c>
      <c r="AJ597">
        <f>IF(AND(AG597&gt;=3,Z597&lt;=0.2),1,0)</f>
        <v/>
      </c>
      <c r="AK597">
        <f>AVERAGE(U597:Z597)</f>
        <v/>
      </c>
      <c r="AL597">
        <f>1+COUNTIF(bounds,"&lt;"&amp;ROUND(AK597,12))</f>
        <v/>
      </c>
      <c r="AM597">
        <f>IF(AI597=1,AB597,NA())</f>
        <v/>
      </c>
      <c r="AN597">
        <f>IF(AI597=0,AB597,NA())</f>
        <v/>
      </c>
    </row>
    <row r="598">
      <c r="A598" t="n">
        <v>590</v>
      </c>
      <c r="B598" t="n">
        <v>1</v>
      </c>
      <c r="C598" t="n">
        <v>1</v>
      </c>
      <c r="D598" t="n">
        <v>5</v>
      </c>
      <c r="E598" t="n">
        <v>2</v>
      </c>
      <c r="F598" t="n">
        <v>2</v>
      </c>
      <c r="G598" t="n">
        <v>3</v>
      </c>
      <c r="H598" t="n">
        <v>1</v>
      </c>
      <c r="I598" t="n">
        <v>2</v>
      </c>
      <c r="J598" t="n">
        <v>1</v>
      </c>
      <c r="K598" t="n">
        <v>1</v>
      </c>
      <c r="L598" t="n">
        <v>2</v>
      </c>
      <c r="M598" t="n">
        <v>3</v>
      </c>
      <c r="N598" t="n">
        <v>5</v>
      </c>
      <c r="O598" t="n">
        <v>5</v>
      </c>
      <c r="P598" t="n">
        <v>2</v>
      </c>
      <c r="Q598" t="n">
        <v>2</v>
      </c>
      <c r="R598" t="n">
        <v>2</v>
      </c>
      <c r="S598" t="n">
        <v>1</v>
      </c>
      <c r="T598" t="n">
        <v>3</v>
      </c>
      <c r="U598">
        <f>(AVERAGE(B598:D598)-1)/4</f>
        <v/>
      </c>
      <c r="V598">
        <f>(AVERAGE(E598:F598)-1)/4</f>
        <v/>
      </c>
      <c r="W598">
        <f>(AVERAGE(G598:I598)-1)/4</f>
        <v/>
      </c>
      <c r="X598">
        <f>(AVERAGE(J598:L598)-1)/4</f>
        <v/>
      </c>
      <c r="Y598">
        <f>(AVERAGE(M598:O598)-1)/4</f>
        <v/>
      </c>
      <c r="Z598">
        <f>(AVERAGE(P598:R598)-1)/4</f>
        <v/>
      </c>
      <c r="AA598">
        <f>(AVERAGE(S598:T598)-1)/4</f>
        <v/>
      </c>
      <c r="AB598">
        <f>AVERAGE(U598:Y598)</f>
        <v/>
      </c>
      <c r="AC598">
        <f>MIN(U598:Y598)</f>
        <v/>
      </c>
      <c r="AD598">
        <f>1-alpha*MAX(0,delta-AC598)</f>
        <v/>
      </c>
      <c r="AE598">
        <f>AB598*AD598</f>
        <v/>
      </c>
      <c r="AF598">
        <f>1+COUNTIF(bounds,"&lt;"&amp;ROUND(AB598,12))</f>
        <v/>
      </c>
      <c r="AG598">
        <f>1+COUNTIF(bounds,"&lt;"&amp;ROUND(AE598,12))</f>
        <v/>
      </c>
      <c r="AH598">
        <f>IF(AD598&lt;1,1,0)</f>
        <v/>
      </c>
      <c r="AI598">
        <f>IF(AF598&lt;&gt;AG598,1,0)</f>
        <v/>
      </c>
      <c r="AJ598">
        <f>IF(AND(AG598&gt;=3,Z598&lt;=0.2),1,0)</f>
        <v/>
      </c>
      <c r="AK598">
        <f>AVERAGE(U598:Z598)</f>
        <v/>
      </c>
      <c r="AL598">
        <f>1+COUNTIF(bounds,"&lt;"&amp;ROUND(AK598,12))</f>
        <v/>
      </c>
      <c r="AM598">
        <f>IF(AI598=1,AB598,NA())</f>
        <v/>
      </c>
      <c r="AN598">
        <f>IF(AI598=0,AB598,NA())</f>
        <v/>
      </c>
    </row>
    <row r="599">
      <c r="A599" t="n">
        <v>591</v>
      </c>
      <c r="B599" t="n">
        <v>3</v>
      </c>
      <c r="C599" t="n">
        <v>1</v>
      </c>
      <c r="D599" t="n">
        <v>2</v>
      </c>
      <c r="E599" t="n">
        <v>5</v>
      </c>
      <c r="F599" t="n">
        <v>1</v>
      </c>
      <c r="G599" t="n">
        <v>1</v>
      </c>
      <c r="H599" t="n">
        <v>2</v>
      </c>
      <c r="I599" t="n">
        <v>5</v>
      </c>
      <c r="J599" t="n">
        <v>3</v>
      </c>
      <c r="K599" t="n">
        <v>2</v>
      </c>
      <c r="L599" t="n">
        <v>5</v>
      </c>
      <c r="M599" t="n">
        <v>1</v>
      </c>
      <c r="N599" t="n">
        <v>2</v>
      </c>
      <c r="O599" t="n">
        <v>4</v>
      </c>
      <c r="P599" t="n">
        <v>5</v>
      </c>
      <c r="Q599" t="n">
        <v>2</v>
      </c>
      <c r="R599" t="n">
        <v>1</v>
      </c>
      <c r="S599" t="n">
        <v>1</v>
      </c>
      <c r="T599" t="n">
        <v>5</v>
      </c>
      <c r="U599">
        <f>(AVERAGE(B599:D599)-1)/4</f>
        <v/>
      </c>
      <c r="V599">
        <f>(AVERAGE(E599:F599)-1)/4</f>
        <v/>
      </c>
      <c r="W599">
        <f>(AVERAGE(G599:I599)-1)/4</f>
        <v/>
      </c>
      <c r="X599">
        <f>(AVERAGE(J599:L599)-1)/4</f>
        <v/>
      </c>
      <c r="Y599">
        <f>(AVERAGE(M599:O599)-1)/4</f>
        <v/>
      </c>
      <c r="Z599">
        <f>(AVERAGE(P599:R599)-1)/4</f>
        <v/>
      </c>
      <c r="AA599">
        <f>(AVERAGE(S599:T599)-1)/4</f>
        <v/>
      </c>
      <c r="AB599">
        <f>AVERAGE(U599:Y599)</f>
        <v/>
      </c>
      <c r="AC599">
        <f>MIN(U599:Y599)</f>
        <v/>
      </c>
      <c r="AD599">
        <f>1-alpha*MAX(0,delta-AC599)</f>
        <v/>
      </c>
      <c r="AE599">
        <f>AB599*AD599</f>
        <v/>
      </c>
      <c r="AF599">
        <f>1+COUNTIF(bounds,"&lt;"&amp;ROUND(AB599,12))</f>
        <v/>
      </c>
      <c r="AG599">
        <f>1+COUNTIF(bounds,"&lt;"&amp;ROUND(AE599,12))</f>
        <v/>
      </c>
      <c r="AH599">
        <f>IF(AD599&lt;1,1,0)</f>
        <v/>
      </c>
      <c r="AI599">
        <f>IF(AF599&lt;&gt;AG599,1,0)</f>
        <v/>
      </c>
      <c r="AJ599">
        <f>IF(AND(AG599&gt;=3,Z599&lt;=0.2),1,0)</f>
        <v/>
      </c>
      <c r="AK599">
        <f>AVERAGE(U599:Z599)</f>
        <v/>
      </c>
      <c r="AL599">
        <f>1+COUNTIF(bounds,"&lt;"&amp;ROUND(AK599,12))</f>
        <v/>
      </c>
      <c r="AM599">
        <f>IF(AI599=1,AB599,NA())</f>
        <v/>
      </c>
      <c r="AN599">
        <f>IF(AI599=0,AB599,NA())</f>
        <v/>
      </c>
    </row>
    <row r="600">
      <c r="A600" t="n">
        <v>592</v>
      </c>
      <c r="B600" t="n">
        <v>1</v>
      </c>
      <c r="C600" t="n">
        <v>3</v>
      </c>
      <c r="D600" t="n">
        <v>2</v>
      </c>
      <c r="E600" t="n">
        <v>3</v>
      </c>
      <c r="F600" t="n">
        <v>2</v>
      </c>
      <c r="G600" t="n">
        <v>4</v>
      </c>
      <c r="H600" t="n">
        <v>1</v>
      </c>
      <c r="I600" t="n">
        <v>1</v>
      </c>
      <c r="J600" t="n">
        <v>4</v>
      </c>
      <c r="K600" t="n">
        <v>5</v>
      </c>
      <c r="L600" t="n">
        <v>1</v>
      </c>
      <c r="M600" t="n">
        <v>1</v>
      </c>
      <c r="N600" t="n">
        <v>3</v>
      </c>
      <c r="O600" t="n">
        <v>3</v>
      </c>
      <c r="P600" t="n">
        <v>2</v>
      </c>
      <c r="Q600" t="n">
        <v>5</v>
      </c>
      <c r="R600" t="n">
        <v>1</v>
      </c>
      <c r="S600" t="n">
        <v>5</v>
      </c>
      <c r="T600" t="n">
        <v>1</v>
      </c>
      <c r="U600">
        <f>(AVERAGE(B600:D600)-1)/4</f>
        <v/>
      </c>
      <c r="V600">
        <f>(AVERAGE(E600:F600)-1)/4</f>
        <v/>
      </c>
      <c r="W600">
        <f>(AVERAGE(G600:I600)-1)/4</f>
        <v/>
      </c>
      <c r="X600">
        <f>(AVERAGE(J600:L600)-1)/4</f>
        <v/>
      </c>
      <c r="Y600">
        <f>(AVERAGE(M600:O600)-1)/4</f>
        <v/>
      </c>
      <c r="Z600">
        <f>(AVERAGE(P600:R600)-1)/4</f>
        <v/>
      </c>
      <c r="AA600">
        <f>(AVERAGE(S600:T600)-1)/4</f>
        <v/>
      </c>
      <c r="AB600">
        <f>AVERAGE(U600:Y600)</f>
        <v/>
      </c>
      <c r="AC600">
        <f>MIN(U600:Y600)</f>
        <v/>
      </c>
      <c r="AD600">
        <f>1-alpha*MAX(0,delta-AC600)</f>
        <v/>
      </c>
      <c r="AE600">
        <f>AB600*AD600</f>
        <v/>
      </c>
      <c r="AF600">
        <f>1+COUNTIF(bounds,"&lt;"&amp;ROUND(AB600,12))</f>
        <v/>
      </c>
      <c r="AG600">
        <f>1+COUNTIF(bounds,"&lt;"&amp;ROUND(AE600,12))</f>
        <v/>
      </c>
      <c r="AH600">
        <f>IF(AD600&lt;1,1,0)</f>
        <v/>
      </c>
      <c r="AI600">
        <f>IF(AF600&lt;&gt;AG600,1,0)</f>
        <v/>
      </c>
      <c r="AJ600">
        <f>IF(AND(AG600&gt;=3,Z600&lt;=0.2),1,0)</f>
        <v/>
      </c>
      <c r="AK600">
        <f>AVERAGE(U600:Z600)</f>
        <v/>
      </c>
      <c r="AL600">
        <f>1+COUNTIF(bounds,"&lt;"&amp;ROUND(AK600,12))</f>
        <v/>
      </c>
      <c r="AM600">
        <f>IF(AI600=1,AB600,NA())</f>
        <v/>
      </c>
      <c r="AN600">
        <f>IF(AI600=0,AB600,NA())</f>
        <v/>
      </c>
    </row>
    <row r="601">
      <c r="A601" t="n">
        <v>593</v>
      </c>
      <c r="B601" t="n">
        <v>4</v>
      </c>
      <c r="C601" t="n">
        <v>5</v>
      </c>
      <c r="D601" t="n">
        <v>4</v>
      </c>
      <c r="E601" t="n">
        <v>5</v>
      </c>
      <c r="F601" t="n">
        <v>1</v>
      </c>
      <c r="G601" t="n">
        <v>5</v>
      </c>
      <c r="H601" t="n">
        <v>5</v>
      </c>
      <c r="I601" t="n">
        <v>5</v>
      </c>
      <c r="J601" t="n">
        <v>4</v>
      </c>
      <c r="K601" t="n">
        <v>3</v>
      </c>
      <c r="L601" t="n">
        <v>1</v>
      </c>
      <c r="M601" t="n">
        <v>4</v>
      </c>
      <c r="N601" t="n">
        <v>1</v>
      </c>
      <c r="O601" t="n">
        <v>1</v>
      </c>
      <c r="P601" t="n">
        <v>1</v>
      </c>
      <c r="Q601" t="n">
        <v>2</v>
      </c>
      <c r="R601" t="n">
        <v>2</v>
      </c>
      <c r="S601" t="n">
        <v>1</v>
      </c>
      <c r="T601" t="n">
        <v>1</v>
      </c>
      <c r="U601">
        <f>(AVERAGE(B601:D601)-1)/4</f>
        <v/>
      </c>
      <c r="V601">
        <f>(AVERAGE(E601:F601)-1)/4</f>
        <v/>
      </c>
      <c r="W601">
        <f>(AVERAGE(G601:I601)-1)/4</f>
        <v/>
      </c>
      <c r="X601">
        <f>(AVERAGE(J601:L601)-1)/4</f>
        <v/>
      </c>
      <c r="Y601">
        <f>(AVERAGE(M601:O601)-1)/4</f>
        <v/>
      </c>
      <c r="Z601">
        <f>(AVERAGE(P601:R601)-1)/4</f>
        <v/>
      </c>
      <c r="AA601">
        <f>(AVERAGE(S601:T601)-1)/4</f>
        <v/>
      </c>
      <c r="AB601">
        <f>AVERAGE(U601:Y601)</f>
        <v/>
      </c>
      <c r="AC601">
        <f>MIN(U601:Y601)</f>
        <v/>
      </c>
      <c r="AD601">
        <f>1-alpha*MAX(0,delta-AC601)</f>
        <v/>
      </c>
      <c r="AE601">
        <f>AB601*AD601</f>
        <v/>
      </c>
      <c r="AF601">
        <f>1+COUNTIF(bounds,"&lt;"&amp;ROUND(AB601,12))</f>
        <v/>
      </c>
      <c r="AG601">
        <f>1+COUNTIF(bounds,"&lt;"&amp;ROUND(AE601,12))</f>
        <v/>
      </c>
      <c r="AH601">
        <f>IF(AD601&lt;1,1,0)</f>
        <v/>
      </c>
      <c r="AI601">
        <f>IF(AF601&lt;&gt;AG601,1,0)</f>
        <v/>
      </c>
      <c r="AJ601">
        <f>IF(AND(AG601&gt;=3,Z601&lt;=0.2),1,0)</f>
        <v/>
      </c>
      <c r="AK601">
        <f>AVERAGE(U601:Z601)</f>
        <v/>
      </c>
      <c r="AL601">
        <f>1+COUNTIF(bounds,"&lt;"&amp;ROUND(AK601,12))</f>
        <v/>
      </c>
      <c r="AM601">
        <f>IF(AI601=1,AB601,NA())</f>
        <v/>
      </c>
      <c r="AN601">
        <f>IF(AI601=0,AB601,NA())</f>
        <v/>
      </c>
    </row>
    <row r="602">
      <c r="A602" t="n">
        <v>594</v>
      </c>
      <c r="B602" t="n">
        <v>2</v>
      </c>
      <c r="C602" t="n">
        <v>1</v>
      </c>
      <c r="D602" t="n">
        <v>2</v>
      </c>
      <c r="E602" t="n">
        <v>4</v>
      </c>
      <c r="F602" t="n">
        <v>4</v>
      </c>
      <c r="G602" t="n">
        <v>4</v>
      </c>
      <c r="H602" t="n">
        <v>1</v>
      </c>
      <c r="I602" t="n">
        <v>1</v>
      </c>
      <c r="J602" t="n">
        <v>3</v>
      </c>
      <c r="K602" t="n">
        <v>2</v>
      </c>
      <c r="L602" t="n">
        <v>4</v>
      </c>
      <c r="M602" t="n">
        <v>1</v>
      </c>
      <c r="N602" t="n">
        <v>1</v>
      </c>
      <c r="O602" t="n">
        <v>4</v>
      </c>
      <c r="P602" t="n">
        <v>2</v>
      </c>
      <c r="Q602" t="n">
        <v>1</v>
      </c>
      <c r="R602" t="n">
        <v>1</v>
      </c>
      <c r="S602" t="n">
        <v>3</v>
      </c>
      <c r="T602" t="n">
        <v>4</v>
      </c>
      <c r="U602">
        <f>(AVERAGE(B602:D602)-1)/4</f>
        <v/>
      </c>
      <c r="V602">
        <f>(AVERAGE(E602:F602)-1)/4</f>
        <v/>
      </c>
      <c r="W602">
        <f>(AVERAGE(G602:I602)-1)/4</f>
        <v/>
      </c>
      <c r="X602">
        <f>(AVERAGE(J602:L602)-1)/4</f>
        <v/>
      </c>
      <c r="Y602">
        <f>(AVERAGE(M602:O602)-1)/4</f>
        <v/>
      </c>
      <c r="Z602">
        <f>(AVERAGE(P602:R602)-1)/4</f>
        <v/>
      </c>
      <c r="AA602">
        <f>(AVERAGE(S602:T602)-1)/4</f>
        <v/>
      </c>
      <c r="AB602">
        <f>AVERAGE(U602:Y602)</f>
        <v/>
      </c>
      <c r="AC602">
        <f>MIN(U602:Y602)</f>
        <v/>
      </c>
      <c r="AD602">
        <f>1-alpha*MAX(0,delta-AC602)</f>
        <v/>
      </c>
      <c r="AE602">
        <f>AB602*AD602</f>
        <v/>
      </c>
      <c r="AF602">
        <f>1+COUNTIF(bounds,"&lt;"&amp;ROUND(AB602,12))</f>
        <v/>
      </c>
      <c r="AG602">
        <f>1+COUNTIF(bounds,"&lt;"&amp;ROUND(AE602,12))</f>
        <v/>
      </c>
      <c r="AH602">
        <f>IF(AD602&lt;1,1,0)</f>
        <v/>
      </c>
      <c r="AI602">
        <f>IF(AF602&lt;&gt;AG602,1,0)</f>
        <v/>
      </c>
      <c r="AJ602">
        <f>IF(AND(AG602&gt;=3,Z602&lt;=0.2),1,0)</f>
        <v/>
      </c>
      <c r="AK602">
        <f>AVERAGE(U602:Z602)</f>
        <v/>
      </c>
      <c r="AL602">
        <f>1+COUNTIF(bounds,"&lt;"&amp;ROUND(AK602,12))</f>
        <v/>
      </c>
      <c r="AM602">
        <f>IF(AI602=1,AB602,NA())</f>
        <v/>
      </c>
      <c r="AN602">
        <f>IF(AI602=0,AB602,NA())</f>
        <v/>
      </c>
    </row>
    <row r="603">
      <c r="A603" t="n">
        <v>595</v>
      </c>
      <c r="B603" t="n">
        <v>3</v>
      </c>
      <c r="C603" t="n">
        <v>2</v>
      </c>
      <c r="D603" t="n">
        <v>1</v>
      </c>
      <c r="E603" t="n">
        <v>5</v>
      </c>
      <c r="F603" t="n">
        <v>3</v>
      </c>
      <c r="G603" t="n">
        <v>3</v>
      </c>
      <c r="H603" t="n">
        <v>3</v>
      </c>
      <c r="I603" t="n">
        <v>5</v>
      </c>
      <c r="J603" t="n">
        <v>5</v>
      </c>
      <c r="K603" t="n">
        <v>4</v>
      </c>
      <c r="L603" t="n">
        <v>4</v>
      </c>
      <c r="M603" t="n">
        <v>1</v>
      </c>
      <c r="N603" t="n">
        <v>5</v>
      </c>
      <c r="O603" t="n">
        <v>1</v>
      </c>
      <c r="P603" t="n">
        <v>1</v>
      </c>
      <c r="Q603" t="n">
        <v>4</v>
      </c>
      <c r="R603" t="n">
        <v>3</v>
      </c>
      <c r="S603" t="n">
        <v>2</v>
      </c>
      <c r="T603" t="n">
        <v>4</v>
      </c>
      <c r="U603">
        <f>(AVERAGE(B603:D603)-1)/4</f>
        <v/>
      </c>
      <c r="V603">
        <f>(AVERAGE(E603:F603)-1)/4</f>
        <v/>
      </c>
      <c r="W603">
        <f>(AVERAGE(G603:I603)-1)/4</f>
        <v/>
      </c>
      <c r="X603">
        <f>(AVERAGE(J603:L603)-1)/4</f>
        <v/>
      </c>
      <c r="Y603">
        <f>(AVERAGE(M603:O603)-1)/4</f>
        <v/>
      </c>
      <c r="Z603">
        <f>(AVERAGE(P603:R603)-1)/4</f>
        <v/>
      </c>
      <c r="AA603">
        <f>(AVERAGE(S603:T603)-1)/4</f>
        <v/>
      </c>
      <c r="AB603">
        <f>AVERAGE(U603:Y603)</f>
        <v/>
      </c>
      <c r="AC603">
        <f>MIN(U603:Y603)</f>
        <v/>
      </c>
      <c r="AD603">
        <f>1-alpha*MAX(0,delta-AC603)</f>
        <v/>
      </c>
      <c r="AE603">
        <f>AB603*AD603</f>
        <v/>
      </c>
      <c r="AF603">
        <f>1+COUNTIF(bounds,"&lt;"&amp;ROUND(AB603,12))</f>
        <v/>
      </c>
      <c r="AG603">
        <f>1+COUNTIF(bounds,"&lt;"&amp;ROUND(AE603,12))</f>
        <v/>
      </c>
      <c r="AH603">
        <f>IF(AD603&lt;1,1,0)</f>
        <v/>
      </c>
      <c r="AI603">
        <f>IF(AF603&lt;&gt;AG603,1,0)</f>
        <v/>
      </c>
      <c r="AJ603">
        <f>IF(AND(AG603&gt;=3,Z603&lt;=0.2),1,0)</f>
        <v/>
      </c>
      <c r="AK603">
        <f>AVERAGE(U603:Z603)</f>
        <v/>
      </c>
      <c r="AL603">
        <f>1+COUNTIF(bounds,"&lt;"&amp;ROUND(AK603,12))</f>
        <v/>
      </c>
      <c r="AM603">
        <f>IF(AI603=1,AB603,NA())</f>
        <v/>
      </c>
      <c r="AN603">
        <f>IF(AI603=0,AB603,NA())</f>
        <v/>
      </c>
    </row>
    <row r="604">
      <c r="A604" t="n">
        <v>596</v>
      </c>
      <c r="B604" t="n">
        <v>4</v>
      </c>
      <c r="C604" t="n">
        <v>3</v>
      </c>
      <c r="D604" t="n">
        <v>4</v>
      </c>
      <c r="E604" t="n">
        <v>1</v>
      </c>
      <c r="F604" t="n">
        <v>3</v>
      </c>
      <c r="G604" t="n">
        <v>4</v>
      </c>
      <c r="H604" t="n">
        <v>4</v>
      </c>
      <c r="I604" t="n">
        <v>2</v>
      </c>
      <c r="J604" t="n">
        <v>1</v>
      </c>
      <c r="K604" t="n">
        <v>3</v>
      </c>
      <c r="L604" t="n">
        <v>3</v>
      </c>
      <c r="M604" t="n">
        <v>1</v>
      </c>
      <c r="N604" t="n">
        <v>2</v>
      </c>
      <c r="O604" t="n">
        <v>1</v>
      </c>
      <c r="P604" t="n">
        <v>1</v>
      </c>
      <c r="Q604" t="n">
        <v>1</v>
      </c>
      <c r="R604" t="n">
        <v>3</v>
      </c>
      <c r="S604" t="n">
        <v>4</v>
      </c>
      <c r="T604" t="n">
        <v>1</v>
      </c>
      <c r="U604">
        <f>(AVERAGE(B604:D604)-1)/4</f>
        <v/>
      </c>
      <c r="V604">
        <f>(AVERAGE(E604:F604)-1)/4</f>
        <v/>
      </c>
      <c r="W604">
        <f>(AVERAGE(G604:I604)-1)/4</f>
        <v/>
      </c>
      <c r="X604">
        <f>(AVERAGE(J604:L604)-1)/4</f>
        <v/>
      </c>
      <c r="Y604">
        <f>(AVERAGE(M604:O604)-1)/4</f>
        <v/>
      </c>
      <c r="Z604">
        <f>(AVERAGE(P604:R604)-1)/4</f>
        <v/>
      </c>
      <c r="AA604">
        <f>(AVERAGE(S604:T604)-1)/4</f>
        <v/>
      </c>
      <c r="AB604">
        <f>AVERAGE(U604:Y604)</f>
        <v/>
      </c>
      <c r="AC604">
        <f>MIN(U604:Y604)</f>
        <v/>
      </c>
      <c r="AD604">
        <f>1-alpha*MAX(0,delta-AC604)</f>
        <v/>
      </c>
      <c r="AE604">
        <f>AB604*AD604</f>
        <v/>
      </c>
      <c r="AF604">
        <f>1+COUNTIF(bounds,"&lt;"&amp;ROUND(AB604,12))</f>
        <v/>
      </c>
      <c r="AG604">
        <f>1+COUNTIF(bounds,"&lt;"&amp;ROUND(AE604,12))</f>
        <v/>
      </c>
      <c r="AH604">
        <f>IF(AD604&lt;1,1,0)</f>
        <v/>
      </c>
      <c r="AI604">
        <f>IF(AF604&lt;&gt;AG604,1,0)</f>
        <v/>
      </c>
      <c r="AJ604">
        <f>IF(AND(AG604&gt;=3,Z604&lt;=0.2),1,0)</f>
        <v/>
      </c>
      <c r="AK604">
        <f>AVERAGE(U604:Z604)</f>
        <v/>
      </c>
      <c r="AL604">
        <f>1+COUNTIF(bounds,"&lt;"&amp;ROUND(AK604,12))</f>
        <v/>
      </c>
      <c r="AM604">
        <f>IF(AI604=1,AB604,NA())</f>
        <v/>
      </c>
      <c r="AN604">
        <f>IF(AI604=0,AB604,NA())</f>
        <v/>
      </c>
    </row>
    <row r="605">
      <c r="A605" t="n">
        <v>597</v>
      </c>
      <c r="B605" t="n">
        <v>2</v>
      </c>
      <c r="C605" t="n">
        <v>2</v>
      </c>
      <c r="D605" t="n">
        <v>4</v>
      </c>
      <c r="E605" t="n">
        <v>1</v>
      </c>
      <c r="F605" t="n">
        <v>4</v>
      </c>
      <c r="G605" t="n">
        <v>2</v>
      </c>
      <c r="H605" t="n">
        <v>5</v>
      </c>
      <c r="I605" t="n">
        <v>5</v>
      </c>
      <c r="J605" t="n">
        <v>1</v>
      </c>
      <c r="K605" t="n">
        <v>3</v>
      </c>
      <c r="L605" t="n">
        <v>1</v>
      </c>
      <c r="M605" t="n">
        <v>3</v>
      </c>
      <c r="N605" t="n">
        <v>5</v>
      </c>
      <c r="O605" t="n">
        <v>3</v>
      </c>
      <c r="P605" t="n">
        <v>4</v>
      </c>
      <c r="Q605" t="n">
        <v>4</v>
      </c>
      <c r="R605" t="n">
        <v>3</v>
      </c>
      <c r="S605" t="n">
        <v>4</v>
      </c>
      <c r="T605" t="n">
        <v>1</v>
      </c>
      <c r="U605">
        <f>(AVERAGE(B605:D605)-1)/4</f>
        <v/>
      </c>
      <c r="V605">
        <f>(AVERAGE(E605:F605)-1)/4</f>
        <v/>
      </c>
      <c r="W605">
        <f>(AVERAGE(G605:I605)-1)/4</f>
        <v/>
      </c>
      <c r="X605">
        <f>(AVERAGE(J605:L605)-1)/4</f>
        <v/>
      </c>
      <c r="Y605">
        <f>(AVERAGE(M605:O605)-1)/4</f>
        <v/>
      </c>
      <c r="Z605">
        <f>(AVERAGE(P605:R605)-1)/4</f>
        <v/>
      </c>
      <c r="AA605">
        <f>(AVERAGE(S605:T605)-1)/4</f>
        <v/>
      </c>
      <c r="AB605">
        <f>AVERAGE(U605:Y605)</f>
        <v/>
      </c>
      <c r="AC605">
        <f>MIN(U605:Y605)</f>
        <v/>
      </c>
      <c r="AD605">
        <f>1-alpha*MAX(0,delta-AC605)</f>
        <v/>
      </c>
      <c r="AE605">
        <f>AB605*AD605</f>
        <v/>
      </c>
      <c r="AF605">
        <f>1+COUNTIF(bounds,"&lt;"&amp;ROUND(AB605,12))</f>
        <v/>
      </c>
      <c r="AG605">
        <f>1+COUNTIF(bounds,"&lt;"&amp;ROUND(AE605,12))</f>
        <v/>
      </c>
      <c r="AH605">
        <f>IF(AD605&lt;1,1,0)</f>
        <v/>
      </c>
      <c r="AI605">
        <f>IF(AF605&lt;&gt;AG605,1,0)</f>
        <v/>
      </c>
      <c r="AJ605">
        <f>IF(AND(AG605&gt;=3,Z605&lt;=0.2),1,0)</f>
        <v/>
      </c>
      <c r="AK605">
        <f>AVERAGE(U605:Z605)</f>
        <v/>
      </c>
      <c r="AL605">
        <f>1+COUNTIF(bounds,"&lt;"&amp;ROUND(AK605,12))</f>
        <v/>
      </c>
      <c r="AM605">
        <f>IF(AI605=1,AB605,NA())</f>
        <v/>
      </c>
      <c r="AN605">
        <f>IF(AI605=0,AB605,NA())</f>
        <v/>
      </c>
    </row>
    <row r="606">
      <c r="A606" t="n">
        <v>598</v>
      </c>
      <c r="B606" t="n">
        <v>3</v>
      </c>
      <c r="C606" t="n">
        <v>2</v>
      </c>
      <c r="D606" t="n">
        <v>5</v>
      </c>
      <c r="E606" t="n">
        <v>1</v>
      </c>
      <c r="F606" t="n">
        <v>5</v>
      </c>
      <c r="G606" t="n">
        <v>5</v>
      </c>
      <c r="H606" t="n">
        <v>2</v>
      </c>
      <c r="I606" t="n">
        <v>3</v>
      </c>
      <c r="J606" t="n">
        <v>5</v>
      </c>
      <c r="K606" t="n">
        <v>4</v>
      </c>
      <c r="L606" t="n">
        <v>5</v>
      </c>
      <c r="M606" t="n">
        <v>1</v>
      </c>
      <c r="N606" t="n">
        <v>3</v>
      </c>
      <c r="O606" t="n">
        <v>5</v>
      </c>
      <c r="P606" t="n">
        <v>5</v>
      </c>
      <c r="Q606" t="n">
        <v>4</v>
      </c>
      <c r="R606" t="n">
        <v>3</v>
      </c>
      <c r="S606" t="n">
        <v>5</v>
      </c>
      <c r="T606" t="n">
        <v>3</v>
      </c>
      <c r="U606">
        <f>(AVERAGE(B606:D606)-1)/4</f>
        <v/>
      </c>
      <c r="V606">
        <f>(AVERAGE(E606:F606)-1)/4</f>
        <v/>
      </c>
      <c r="W606">
        <f>(AVERAGE(G606:I606)-1)/4</f>
        <v/>
      </c>
      <c r="X606">
        <f>(AVERAGE(J606:L606)-1)/4</f>
        <v/>
      </c>
      <c r="Y606">
        <f>(AVERAGE(M606:O606)-1)/4</f>
        <v/>
      </c>
      <c r="Z606">
        <f>(AVERAGE(P606:R606)-1)/4</f>
        <v/>
      </c>
      <c r="AA606">
        <f>(AVERAGE(S606:T606)-1)/4</f>
        <v/>
      </c>
      <c r="AB606">
        <f>AVERAGE(U606:Y606)</f>
        <v/>
      </c>
      <c r="AC606">
        <f>MIN(U606:Y606)</f>
        <v/>
      </c>
      <c r="AD606">
        <f>1-alpha*MAX(0,delta-AC606)</f>
        <v/>
      </c>
      <c r="AE606">
        <f>AB606*AD606</f>
        <v/>
      </c>
      <c r="AF606">
        <f>1+COUNTIF(bounds,"&lt;"&amp;ROUND(AB606,12))</f>
        <v/>
      </c>
      <c r="AG606">
        <f>1+COUNTIF(bounds,"&lt;"&amp;ROUND(AE606,12))</f>
        <v/>
      </c>
      <c r="AH606">
        <f>IF(AD606&lt;1,1,0)</f>
        <v/>
      </c>
      <c r="AI606">
        <f>IF(AF606&lt;&gt;AG606,1,0)</f>
        <v/>
      </c>
      <c r="AJ606">
        <f>IF(AND(AG606&gt;=3,Z606&lt;=0.2),1,0)</f>
        <v/>
      </c>
      <c r="AK606">
        <f>AVERAGE(U606:Z606)</f>
        <v/>
      </c>
      <c r="AL606">
        <f>1+COUNTIF(bounds,"&lt;"&amp;ROUND(AK606,12))</f>
        <v/>
      </c>
      <c r="AM606">
        <f>IF(AI606=1,AB606,NA())</f>
        <v/>
      </c>
      <c r="AN606">
        <f>IF(AI606=0,AB606,NA())</f>
        <v/>
      </c>
    </row>
    <row r="607">
      <c r="A607" t="n">
        <v>599</v>
      </c>
      <c r="B607" t="n">
        <v>5</v>
      </c>
      <c r="C607" t="n">
        <v>4</v>
      </c>
      <c r="D607" t="n">
        <v>5</v>
      </c>
      <c r="E607" t="n">
        <v>5</v>
      </c>
      <c r="F607" t="n">
        <v>3</v>
      </c>
      <c r="G607" t="n">
        <v>1</v>
      </c>
      <c r="H607" t="n">
        <v>3</v>
      </c>
      <c r="I607" t="n">
        <v>5</v>
      </c>
      <c r="J607" t="n">
        <v>1</v>
      </c>
      <c r="K607" t="n">
        <v>1</v>
      </c>
      <c r="L607" t="n">
        <v>3</v>
      </c>
      <c r="M607" t="n">
        <v>4</v>
      </c>
      <c r="N607" t="n">
        <v>5</v>
      </c>
      <c r="O607" t="n">
        <v>3</v>
      </c>
      <c r="P607" t="n">
        <v>1</v>
      </c>
      <c r="Q607" t="n">
        <v>1</v>
      </c>
      <c r="R607" t="n">
        <v>2</v>
      </c>
      <c r="S607" t="n">
        <v>3</v>
      </c>
      <c r="T607" t="n">
        <v>1</v>
      </c>
      <c r="U607">
        <f>(AVERAGE(B607:D607)-1)/4</f>
        <v/>
      </c>
      <c r="V607">
        <f>(AVERAGE(E607:F607)-1)/4</f>
        <v/>
      </c>
      <c r="W607">
        <f>(AVERAGE(G607:I607)-1)/4</f>
        <v/>
      </c>
      <c r="X607">
        <f>(AVERAGE(J607:L607)-1)/4</f>
        <v/>
      </c>
      <c r="Y607">
        <f>(AVERAGE(M607:O607)-1)/4</f>
        <v/>
      </c>
      <c r="Z607">
        <f>(AVERAGE(P607:R607)-1)/4</f>
        <v/>
      </c>
      <c r="AA607">
        <f>(AVERAGE(S607:T607)-1)/4</f>
        <v/>
      </c>
      <c r="AB607">
        <f>AVERAGE(U607:Y607)</f>
        <v/>
      </c>
      <c r="AC607">
        <f>MIN(U607:Y607)</f>
        <v/>
      </c>
      <c r="AD607">
        <f>1-alpha*MAX(0,delta-AC607)</f>
        <v/>
      </c>
      <c r="AE607">
        <f>AB607*AD607</f>
        <v/>
      </c>
      <c r="AF607">
        <f>1+COUNTIF(bounds,"&lt;"&amp;ROUND(AB607,12))</f>
        <v/>
      </c>
      <c r="AG607">
        <f>1+COUNTIF(bounds,"&lt;"&amp;ROUND(AE607,12))</f>
        <v/>
      </c>
      <c r="AH607">
        <f>IF(AD607&lt;1,1,0)</f>
        <v/>
      </c>
      <c r="AI607">
        <f>IF(AF607&lt;&gt;AG607,1,0)</f>
        <v/>
      </c>
      <c r="AJ607">
        <f>IF(AND(AG607&gt;=3,Z607&lt;=0.2),1,0)</f>
        <v/>
      </c>
      <c r="AK607">
        <f>AVERAGE(U607:Z607)</f>
        <v/>
      </c>
      <c r="AL607">
        <f>1+COUNTIF(bounds,"&lt;"&amp;ROUND(AK607,12))</f>
        <v/>
      </c>
      <c r="AM607">
        <f>IF(AI607=1,AB607,NA())</f>
        <v/>
      </c>
      <c r="AN607">
        <f>IF(AI607=0,AB607,NA())</f>
        <v/>
      </c>
    </row>
    <row r="608">
      <c r="A608" t="n">
        <v>600</v>
      </c>
      <c r="B608" t="n">
        <v>3</v>
      </c>
      <c r="C608" t="n">
        <v>2</v>
      </c>
      <c r="D608" t="n">
        <v>5</v>
      </c>
      <c r="E608" t="n">
        <v>1</v>
      </c>
      <c r="F608" t="n">
        <v>4</v>
      </c>
      <c r="G608" t="n">
        <v>2</v>
      </c>
      <c r="H608" t="n">
        <v>4</v>
      </c>
      <c r="I608" t="n">
        <v>4</v>
      </c>
      <c r="J608" t="n">
        <v>1</v>
      </c>
      <c r="K608" t="n">
        <v>5</v>
      </c>
      <c r="L608" t="n">
        <v>2</v>
      </c>
      <c r="M608" t="n">
        <v>2</v>
      </c>
      <c r="N608" t="n">
        <v>5</v>
      </c>
      <c r="O608" t="n">
        <v>1</v>
      </c>
      <c r="P608" t="n">
        <v>4</v>
      </c>
      <c r="Q608" t="n">
        <v>3</v>
      </c>
      <c r="R608" t="n">
        <v>5</v>
      </c>
      <c r="S608" t="n">
        <v>2</v>
      </c>
      <c r="T608" t="n">
        <v>1</v>
      </c>
      <c r="U608">
        <f>(AVERAGE(B608:D608)-1)/4</f>
        <v/>
      </c>
      <c r="V608">
        <f>(AVERAGE(E608:F608)-1)/4</f>
        <v/>
      </c>
      <c r="W608">
        <f>(AVERAGE(G608:I608)-1)/4</f>
        <v/>
      </c>
      <c r="X608">
        <f>(AVERAGE(J608:L608)-1)/4</f>
        <v/>
      </c>
      <c r="Y608">
        <f>(AVERAGE(M608:O608)-1)/4</f>
        <v/>
      </c>
      <c r="Z608">
        <f>(AVERAGE(P608:R608)-1)/4</f>
        <v/>
      </c>
      <c r="AA608">
        <f>(AVERAGE(S608:T608)-1)/4</f>
        <v/>
      </c>
      <c r="AB608">
        <f>AVERAGE(U608:Y608)</f>
        <v/>
      </c>
      <c r="AC608">
        <f>MIN(U608:Y608)</f>
        <v/>
      </c>
      <c r="AD608">
        <f>1-alpha*MAX(0,delta-AC608)</f>
        <v/>
      </c>
      <c r="AE608">
        <f>AB608*AD608</f>
        <v/>
      </c>
      <c r="AF608">
        <f>1+COUNTIF(bounds,"&lt;"&amp;ROUND(AB608,12))</f>
        <v/>
      </c>
      <c r="AG608">
        <f>1+COUNTIF(bounds,"&lt;"&amp;ROUND(AE608,12))</f>
        <v/>
      </c>
      <c r="AH608">
        <f>IF(AD608&lt;1,1,0)</f>
        <v/>
      </c>
      <c r="AI608">
        <f>IF(AF608&lt;&gt;AG608,1,0)</f>
        <v/>
      </c>
      <c r="AJ608">
        <f>IF(AND(AG608&gt;=3,Z608&lt;=0.2),1,0)</f>
        <v/>
      </c>
      <c r="AK608">
        <f>AVERAGE(U608:Z608)</f>
        <v/>
      </c>
      <c r="AL608">
        <f>1+COUNTIF(bounds,"&lt;"&amp;ROUND(AK608,12))</f>
        <v/>
      </c>
      <c r="AM608">
        <f>IF(AI608=1,AB608,NA())</f>
        <v/>
      </c>
      <c r="AN608">
        <f>IF(AI608=0,AB608,NA())</f>
        <v/>
      </c>
    </row>
    <row r="609">
      <c r="A609" t="n">
        <v>601</v>
      </c>
      <c r="B609" t="n">
        <v>4</v>
      </c>
      <c r="C609" t="n">
        <v>1</v>
      </c>
      <c r="D609" t="n">
        <v>5</v>
      </c>
      <c r="E609" t="n">
        <v>4</v>
      </c>
      <c r="F609" t="n">
        <v>2</v>
      </c>
      <c r="G609" t="n">
        <v>2</v>
      </c>
      <c r="H609" t="n">
        <v>3</v>
      </c>
      <c r="I609" t="n">
        <v>2</v>
      </c>
      <c r="J609" t="n">
        <v>1</v>
      </c>
      <c r="K609" t="n">
        <v>5</v>
      </c>
      <c r="L609" t="n">
        <v>2</v>
      </c>
      <c r="M609" t="n">
        <v>3</v>
      </c>
      <c r="N609" t="n">
        <v>3</v>
      </c>
      <c r="O609" t="n">
        <v>4</v>
      </c>
      <c r="P609" t="n">
        <v>4</v>
      </c>
      <c r="Q609" t="n">
        <v>2</v>
      </c>
      <c r="R609" t="n">
        <v>4</v>
      </c>
      <c r="S609" t="n">
        <v>3</v>
      </c>
      <c r="T609" t="n">
        <v>2</v>
      </c>
      <c r="U609">
        <f>(AVERAGE(B609:D609)-1)/4</f>
        <v/>
      </c>
      <c r="V609">
        <f>(AVERAGE(E609:F609)-1)/4</f>
        <v/>
      </c>
      <c r="W609">
        <f>(AVERAGE(G609:I609)-1)/4</f>
        <v/>
      </c>
      <c r="X609">
        <f>(AVERAGE(J609:L609)-1)/4</f>
        <v/>
      </c>
      <c r="Y609">
        <f>(AVERAGE(M609:O609)-1)/4</f>
        <v/>
      </c>
      <c r="Z609">
        <f>(AVERAGE(P609:R609)-1)/4</f>
        <v/>
      </c>
      <c r="AA609">
        <f>(AVERAGE(S609:T609)-1)/4</f>
        <v/>
      </c>
      <c r="AB609">
        <f>AVERAGE(U609:Y609)</f>
        <v/>
      </c>
      <c r="AC609">
        <f>MIN(U609:Y609)</f>
        <v/>
      </c>
      <c r="AD609">
        <f>1-alpha*MAX(0,delta-AC609)</f>
        <v/>
      </c>
      <c r="AE609">
        <f>AB609*AD609</f>
        <v/>
      </c>
      <c r="AF609">
        <f>1+COUNTIF(bounds,"&lt;"&amp;ROUND(AB609,12))</f>
        <v/>
      </c>
      <c r="AG609">
        <f>1+COUNTIF(bounds,"&lt;"&amp;ROUND(AE609,12))</f>
        <v/>
      </c>
      <c r="AH609">
        <f>IF(AD609&lt;1,1,0)</f>
        <v/>
      </c>
      <c r="AI609">
        <f>IF(AF609&lt;&gt;AG609,1,0)</f>
        <v/>
      </c>
      <c r="AJ609">
        <f>IF(AND(AG609&gt;=3,Z609&lt;=0.2),1,0)</f>
        <v/>
      </c>
      <c r="AK609">
        <f>AVERAGE(U609:Z609)</f>
        <v/>
      </c>
      <c r="AL609">
        <f>1+COUNTIF(bounds,"&lt;"&amp;ROUND(AK609,12))</f>
        <v/>
      </c>
      <c r="AM609">
        <f>IF(AI609=1,AB609,NA())</f>
        <v/>
      </c>
      <c r="AN609">
        <f>IF(AI609=0,AB609,NA())</f>
        <v/>
      </c>
    </row>
    <row r="610">
      <c r="A610" t="n">
        <v>602</v>
      </c>
      <c r="B610" t="n">
        <v>5</v>
      </c>
      <c r="C610" t="n">
        <v>2</v>
      </c>
      <c r="D610" t="n">
        <v>3</v>
      </c>
      <c r="E610" t="n">
        <v>5</v>
      </c>
      <c r="F610" t="n">
        <v>1</v>
      </c>
      <c r="G610" t="n">
        <v>2</v>
      </c>
      <c r="H610" t="n">
        <v>3</v>
      </c>
      <c r="I610" t="n">
        <v>5</v>
      </c>
      <c r="J610" t="n">
        <v>3</v>
      </c>
      <c r="K610" t="n">
        <v>3</v>
      </c>
      <c r="L610" t="n">
        <v>1</v>
      </c>
      <c r="M610" t="n">
        <v>4</v>
      </c>
      <c r="N610" t="n">
        <v>5</v>
      </c>
      <c r="O610" t="n">
        <v>3</v>
      </c>
      <c r="P610" t="n">
        <v>4</v>
      </c>
      <c r="Q610" t="n">
        <v>2</v>
      </c>
      <c r="R610" t="n">
        <v>2</v>
      </c>
      <c r="S610" t="n">
        <v>3</v>
      </c>
      <c r="T610" t="n">
        <v>5</v>
      </c>
      <c r="U610">
        <f>(AVERAGE(B610:D610)-1)/4</f>
        <v/>
      </c>
      <c r="V610">
        <f>(AVERAGE(E610:F610)-1)/4</f>
        <v/>
      </c>
      <c r="W610">
        <f>(AVERAGE(G610:I610)-1)/4</f>
        <v/>
      </c>
      <c r="X610">
        <f>(AVERAGE(J610:L610)-1)/4</f>
        <v/>
      </c>
      <c r="Y610">
        <f>(AVERAGE(M610:O610)-1)/4</f>
        <v/>
      </c>
      <c r="Z610">
        <f>(AVERAGE(P610:R610)-1)/4</f>
        <v/>
      </c>
      <c r="AA610">
        <f>(AVERAGE(S610:T610)-1)/4</f>
        <v/>
      </c>
      <c r="AB610">
        <f>AVERAGE(U610:Y610)</f>
        <v/>
      </c>
      <c r="AC610">
        <f>MIN(U610:Y610)</f>
        <v/>
      </c>
      <c r="AD610">
        <f>1-alpha*MAX(0,delta-AC610)</f>
        <v/>
      </c>
      <c r="AE610">
        <f>AB610*AD610</f>
        <v/>
      </c>
      <c r="AF610">
        <f>1+COUNTIF(bounds,"&lt;"&amp;ROUND(AB610,12))</f>
        <v/>
      </c>
      <c r="AG610">
        <f>1+COUNTIF(bounds,"&lt;"&amp;ROUND(AE610,12))</f>
        <v/>
      </c>
      <c r="AH610">
        <f>IF(AD610&lt;1,1,0)</f>
        <v/>
      </c>
      <c r="AI610">
        <f>IF(AF610&lt;&gt;AG610,1,0)</f>
        <v/>
      </c>
      <c r="AJ610">
        <f>IF(AND(AG610&gt;=3,Z610&lt;=0.2),1,0)</f>
        <v/>
      </c>
      <c r="AK610">
        <f>AVERAGE(U610:Z610)</f>
        <v/>
      </c>
      <c r="AL610">
        <f>1+COUNTIF(bounds,"&lt;"&amp;ROUND(AK610,12))</f>
        <v/>
      </c>
      <c r="AM610">
        <f>IF(AI610=1,AB610,NA())</f>
        <v/>
      </c>
      <c r="AN610">
        <f>IF(AI610=0,AB610,NA())</f>
        <v/>
      </c>
    </row>
    <row r="611">
      <c r="A611" t="n">
        <v>603</v>
      </c>
      <c r="B611" t="n">
        <v>3</v>
      </c>
      <c r="C611" t="n">
        <v>3</v>
      </c>
      <c r="D611" t="n">
        <v>2</v>
      </c>
      <c r="E611" t="n">
        <v>4</v>
      </c>
      <c r="F611" t="n">
        <v>1</v>
      </c>
      <c r="G611" t="n">
        <v>1</v>
      </c>
      <c r="H611" t="n">
        <v>2</v>
      </c>
      <c r="I611" t="n">
        <v>2</v>
      </c>
      <c r="J611" t="n">
        <v>1</v>
      </c>
      <c r="K611" t="n">
        <v>2</v>
      </c>
      <c r="L611" t="n">
        <v>5</v>
      </c>
      <c r="M611" t="n">
        <v>4</v>
      </c>
      <c r="N611" t="n">
        <v>3</v>
      </c>
      <c r="O611" t="n">
        <v>4</v>
      </c>
      <c r="P611" t="n">
        <v>5</v>
      </c>
      <c r="Q611" t="n">
        <v>5</v>
      </c>
      <c r="R611" t="n">
        <v>4</v>
      </c>
      <c r="S611" t="n">
        <v>5</v>
      </c>
      <c r="T611" t="n">
        <v>3</v>
      </c>
      <c r="U611">
        <f>(AVERAGE(B611:D611)-1)/4</f>
        <v/>
      </c>
      <c r="V611">
        <f>(AVERAGE(E611:F611)-1)/4</f>
        <v/>
      </c>
      <c r="W611">
        <f>(AVERAGE(G611:I611)-1)/4</f>
        <v/>
      </c>
      <c r="X611">
        <f>(AVERAGE(J611:L611)-1)/4</f>
        <v/>
      </c>
      <c r="Y611">
        <f>(AVERAGE(M611:O611)-1)/4</f>
        <v/>
      </c>
      <c r="Z611">
        <f>(AVERAGE(P611:R611)-1)/4</f>
        <v/>
      </c>
      <c r="AA611">
        <f>(AVERAGE(S611:T611)-1)/4</f>
        <v/>
      </c>
      <c r="AB611">
        <f>AVERAGE(U611:Y611)</f>
        <v/>
      </c>
      <c r="AC611">
        <f>MIN(U611:Y611)</f>
        <v/>
      </c>
      <c r="AD611">
        <f>1-alpha*MAX(0,delta-AC611)</f>
        <v/>
      </c>
      <c r="AE611">
        <f>AB611*AD611</f>
        <v/>
      </c>
      <c r="AF611">
        <f>1+COUNTIF(bounds,"&lt;"&amp;ROUND(AB611,12))</f>
        <v/>
      </c>
      <c r="AG611">
        <f>1+COUNTIF(bounds,"&lt;"&amp;ROUND(AE611,12))</f>
        <v/>
      </c>
      <c r="AH611">
        <f>IF(AD611&lt;1,1,0)</f>
        <v/>
      </c>
      <c r="AI611">
        <f>IF(AF611&lt;&gt;AG611,1,0)</f>
        <v/>
      </c>
      <c r="AJ611">
        <f>IF(AND(AG611&gt;=3,Z611&lt;=0.2),1,0)</f>
        <v/>
      </c>
      <c r="AK611">
        <f>AVERAGE(U611:Z611)</f>
        <v/>
      </c>
      <c r="AL611">
        <f>1+COUNTIF(bounds,"&lt;"&amp;ROUND(AK611,12))</f>
        <v/>
      </c>
      <c r="AM611">
        <f>IF(AI611=1,AB611,NA())</f>
        <v/>
      </c>
      <c r="AN611">
        <f>IF(AI611=0,AB611,NA())</f>
        <v/>
      </c>
    </row>
    <row r="612">
      <c r="A612" t="n">
        <v>604</v>
      </c>
      <c r="B612" t="n">
        <v>1</v>
      </c>
      <c r="C612" t="n">
        <v>5</v>
      </c>
      <c r="D612" t="n">
        <v>4</v>
      </c>
      <c r="E612" t="n">
        <v>2</v>
      </c>
      <c r="F612" t="n">
        <v>2</v>
      </c>
      <c r="G612" t="n">
        <v>4</v>
      </c>
      <c r="H612" t="n">
        <v>3</v>
      </c>
      <c r="I612" t="n">
        <v>4</v>
      </c>
      <c r="J612" t="n">
        <v>5</v>
      </c>
      <c r="K612" t="n">
        <v>1</v>
      </c>
      <c r="L612" t="n">
        <v>4</v>
      </c>
      <c r="M612" t="n">
        <v>1</v>
      </c>
      <c r="N612" t="n">
        <v>2</v>
      </c>
      <c r="O612" t="n">
        <v>4</v>
      </c>
      <c r="P612" t="n">
        <v>1</v>
      </c>
      <c r="Q612" t="n">
        <v>2</v>
      </c>
      <c r="R612" t="n">
        <v>4</v>
      </c>
      <c r="S612" t="n">
        <v>2</v>
      </c>
      <c r="T612" t="n">
        <v>5</v>
      </c>
      <c r="U612">
        <f>(AVERAGE(B612:D612)-1)/4</f>
        <v/>
      </c>
      <c r="V612">
        <f>(AVERAGE(E612:F612)-1)/4</f>
        <v/>
      </c>
      <c r="W612">
        <f>(AVERAGE(G612:I612)-1)/4</f>
        <v/>
      </c>
      <c r="X612">
        <f>(AVERAGE(J612:L612)-1)/4</f>
        <v/>
      </c>
      <c r="Y612">
        <f>(AVERAGE(M612:O612)-1)/4</f>
        <v/>
      </c>
      <c r="Z612">
        <f>(AVERAGE(P612:R612)-1)/4</f>
        <v/>
      </c>
      <c r="AA612">
        <f>(AVERAGE(S612:T612)-1)/4</f>
        <v/>
      </c>
      <c r="AB612">
        <f>AVERAGE(U612:Y612)</f>
        <v/>
      </c>
      <c r="AC612">
        <f>MIN(U612:Y612)</f>
        <v/>
      </c>
      <c r="AD612">
        <f>1-alpha*MAX(0,delta-AC612)</f>
        <v/>
      </c>
      <c r="AE612">
        <f>AB612*AD612</f>
        <v/>
      </c>
      <c r="AF612">
        <f>1+COUNTIF(bounds,"&lt;"&amp;ROUND(AB612,12))</f>
        <v/>
      </c>
      <c r="AG612">
        <f>1+COUNTIF(bounds,"&lt;"&amp;ROUND(AE612,12))</f>
        <v/>
      </c>
      <c r="AH612">
        <f>IF(AD612&lt;1,1,0)</f>
        <v/>
      </c>
      <c r="AI612">
        <f>IF(AF612&lt;&gt;AG612,1,0)</f>
        <v/>
      </c>
      <c r="AJ612">
        <f>IF(AND(AG612&gt;=3,Z612&lt;=0.2),1,0)</f>
        <v/>
      </c>
      <c r="AK612">
        <f>AVERAGE(U612:Z612)</f>
        <v/>
      </c>
      <c r="AL612">
        <f>1+COUNTIF(bounds,"&lt;"&amp;ROUND(AK612,12))</f>
        <v/>
      </c>
      <c r="AM612">
        <f>IF(AI612=1,AB612,NA())</f>
        <v/>
      </c>
      <c r="AN612">
        <f>IF(AI612=0,AB612,NA())</f>
        <v/>
      </c>
    </row>
    <row r="613">
      <c r="A613" t="n">
        <v>605</v>
      </c>
      <c r="B613" t="n">
        <v>5</v>
      </c>
      <c r="C613" t="n">
        <v>4</v>
      </c>
      <c r="D613" t="n">
        <v>2</v>
      </c>
      <c r="E613" t="n">
        <v>1</v>
      </c>
      <c r="F613" t="n">
        <v>4</v>
      </c>
      <c r="G613" t="n">
        <v>2</v>
      </c>
      <c r="H613" t="n">
        <v>4</v>
      </c>
      <c r="I613" t="n">
        <v>1</v>
      </c>
      <c r="J613" t="n">
        <v>2</v>
      </c>
      <c r="K613" t="n">
        <v>4</v>
      </c>
      <c r="L613" t="n">
        <v>2</v>
      </c>
      <c r="M613" t="n">
        <v>1</v>
      </c>
      <c r="N613" t="n">
        <v>2</v>
      </c>
      <c r="O613" t="n">
        <v>4</v>
      </c>
      <c r="P613" t="n">
        <v>2</v>
      </c>
      <c r="Q613" t="n">
        <v>3</v>
      </c>
      <c r="R613" t="n">
        <v>2</v>
      </c>
      <c r="S613" t="n">
        <v>4</v>
      </c>
      <c r="T613" t="n">
        <v>4</v>
      </c>
      <c r="U613">
        <f>(AVERAGE(B613:D613)-1)/4</f>
        <v/>
      </c>
      <c r="V613">
        <f>(AVERAGE(E613:F613)-1)/4</f>
        <v/>
      </c>
      <c r="W613">
        <f>(AVERAGE(G613:I613)-1)/4</f>
        <v/>
      </c>
      <c r="X613">
        <f>(AVERAGE(J613:L613)-1)/4</f>
        <v/>
      </c>
      <c r="Y613">
        <f>(AVERAGE(M613:O613)-1)/4</f>
        <v/>
      </c>
      <c r="Z613">
        <f>(AVERAGE(P613:R613)-1)/4</f>
        <v/>
      </c>
      <c r="AA613">
        <f>(AVERAGE(S613:T613)-1)/4</f>
        <v/>
      </c>
      <c r="AB613">
        <f>AVERAGE(U613:Y613)</f>
        <v/>
      </c>
      <c r="AC613">
        <f>MIN(U613:Y613)</f>
        <v/>
      </c>
      <c r="AD613">
        <f>1-alpha*MAX(0,delta-AC613)</f>
        <v/>
      </c>
      <c r="AE613">
        <f>AB613*AD613</f>
        <v/>
      </c>
      <c r="AF613">
        <f>1+COUNTIF(bounds,"&lt;"&amp;ROUND(AB613,12))</f>
        <v/>
      </c>
      <c r="AG613">
        <f>1+COUNTIF(bounds,"&lt;"&amp;ROUND(AE613,12))</f>
        <v/>
      </c>
      <c r="AH613">
        <f>IF(AD613&lt;1,1,0)</f>
        <v/>
      </c>
      <c r="AI613">
        <f>IF(AF613&lt;&gt;AG613,1,0)</f>
        <v/>
      </c>
      <c r="AJ613">
        <f>IF(AND(AG613&gt;=3,Z613&lt;=0.2),1,0)</f>
        <v/>
      </c>
      <c r="AK613">
        <f>AVERAGE(U613:Z613)</f>
        <v/>
      </c>
      <c r="AL613">
        <f>1+COUNTIF(bounds,"&lt;"&amp;ROUND(AK613,12))</f>
        <v/>
      </c>
      <c r="AM613">
        <f>IF(AI613=1,AB613,NA())</f>
        <v/>
      </c>
      <c r="AN613">
        <f>IF(AI613=0,AB613,NA())</f>
        <v/>
      </c>
    </row>
    <row r="614">
      <c r="A614" t="n">
        <v>606</v>
      </c>
      <c r="B614" t="n">
        <v>5</v>
      </c>
      <c r="C614" t="n">
        <v>2</v>
      </c>
      <c r="D614" t="n">
        <v>5</v>
      </c>
      <c r="E614" t="n">
        <v>3</v>
      </c>
      <c r="F614" t="n">
        <v>3</v>
      </c>
      <c r="G614" t="n">
        <v>5</v>
      </c>
      <c r="H614" t="n">
        <v>2</v>
      </c>
      <c r="I614" t="n">
        <v>1</v>
      </c>
      <c r="J614" t="n">
        <v>5</v>
      </c>
      <c r="K614" t="n">
        <v>5</v>
      </c>
      <c r="L614" t="n">
        <v>3</v>
      </c>
      <c r="M614" t="n">
        <v>4</v>
      </c>
      <c r="N614" t="n">
        <v>2</v>
      </c>
      <c r="O614" t="n">
        <v>2</v>
      </c>
      <c r="P614" t="n">
        <v>3</v>
      </c>
      <c r="Q614" t="n">
        <v>5</v>
      </c>
      <c r="R614" t="n">
        <v>5</v>
      </c>
      <c r="S614" t="n">
        <v>4</v>
      </c>
      <c r="T614" t="n">
        <v>5</v>
      </c>
      <c r="U614">
        <f>(AVERAGE(B614:D614)-1)/4</f>
        <v/>
      </c>
      <c r="V614">
        <f>(AVERAGE(E614:F614)-1)/4</f>
        <v/>
      </c>
      <c r="W614">
        <f>(AVERAGE(G614:I614)-1)/4</f>
        <v/>
      </c>
      <c r="X614">
        <f>(AVERAGE(J614:L614)-1)/4</f>
        <v/>
      </c>
      <c r="Y614">
        <f>(AVERAGE(M614:O614)-1)/4</f>
        <v/>
      </c>
      <c r="Z614">
        <f>(AVERAGE(P614:R614)-1)/4</f>
        <v/>
      </c>
      <c r="AA614">
        <f>(AVERAGE(S614:T614)-1)/4</f>
        <v/>
      </c>
      <c r="AB614">
        <f>AVERAGE(U614:Y614)</f>
        <v/>
      </c>
      <c r="AC614">
        <f>MIN(U614:Y614)</f>
        <v/>
      </c>
      <c r="AD614">
        <f>1-alpha*MAX(0,delta-AC614)</f>
        <v/>
      </c>
      <c r="AE614">
        <f>AB614*AD614</f>
        <v/>
      </c>
      <c r="AF614">
        <f>1+COUNTIF(bounds,"&lt;"&amp;ROUND(AB614,12))</f>
        <v/>
      </c>
      <c r="AG614">
        <f>1+COUNTIF(bounds,"&lt;"&amp;ROUND(AE614,12))</f>
        <v/>
      </c>
      <c r="AH614">
        <f>IF(AD614&lt;1,1,0)</f>
        <v/>
      </c>
      <c r="AI614">
        <f>IF(AF614&lt;&gt;AG614,1,0)</f>
        <v/>
      </c>
      <c r="AJ614">
        <f>IF(AND(AG614&gt;=3,Z614&lt;=0.2),1,0)</f>
        <v/>
      </c>
      <c r="AK614">
        <f>AVERAGE(U614:Z614)</f>
        <v/>
      </c>
      <c r="AL614">
        <f>1+COUNTIF(bounds,"&lt;"&amp;ROUND(AK614,12))</f>
        <v/>
      </c>
      <c r="AM614">
        <f>IF(AI614=1,AB614,NA())</f>
        <v/>
      </c>
      <c r="AN614">
        <f>IF(AI614=0,AB614,NA())</f>
        <v/>
      </c>
    </row>
    <row r="615">
      <c r="A615" t="n">
        <v>607</v>
      </c>
      <c r="B615" t="n">
        <v>2</v>
      </c>
      <c r="C615" t="n">
        <v>3</v>
      </c>
      <c r="D615" t="n">
        <v>4</v>
      </c>
      <c r="E615" t="n">
        <v>5</v>
      </c>
      <c r="F615" t="n">
        <v>3</v>
      </c>
      <c r="G615" t="n">
        <v>2</v>
      </c>
      <c r="H615" t="n">
        <v>1</v>
      </c>
      <c r="I615" t="n">
        <v>2</v>
      </c>
      <c r="J615" t="n">
        <v>1</v>
      </c>
      <c r="K615" t="n">
        <v>5</v>
      </c>
      <c r="L615" t="n">
        <v>2</v>
      </c>
      <c r="M615" t="n">
        <v>4</v>
      </c>
      <c r="N615" t="n">
        <v>3</v>
      </c>
      <c r="O615" t="n">
        <v>1</v>
      </c>
      <c r="P615" t="n">
        <v>4</v>
      </c>
      <c r="Q615" t="n">
        <v>4</v>
      </c>
      <c r="R615" t="n">
        <v>4</v>
      </c>
      <c r="S615" t="n">
        <v>5</v>
      </c>
      <c r="T615" t="n">
        <v>4</v>
      </c>
      <c r="U615">
        <f>(AVERAGE(B615:D615)-1)/4</f>
        <v/>
      </c>
      <c r="V615">
        <f>(AVERAGE(E615:F615)-1)/4</f>
        <v/>
      </c>
      <c r="W615">
        <f>(AVERAGE(G615:I615)-1)/4</f>
        <v/>
      </c>
      <c r="X615">
        <f>(AVERAGE(J615:L615)-1)/4</f>
        <v/>
      </c>
      <c r="Y615">
        <f>(AVERAGE(M615:O615)-1)/4</f>
        <v/>
      </c>
      <c r="Z615">
        <f>(AVERAGE(P615:R615)-1)/4</f>
        <v/>
      </c>
      <c r="AA615">
        <f>(AVERAGE(S615:T615)-1)/4</f>
        <v/>
      </c>
      <c r="AB615">
        <f>AVERAGE(U615:Y615)</f>
        <v/>
      </c>
      <c r="AC615">
        <f>MIN(U615:Y615)</f>
        <v/>
      </c>
      <c r="AD615">
        <f>1-alpha*MAX(0,delta-AC615)</f>
        <v/>
      </c>
      <c r="AE615">
        <f>AB615*AD615</f>
        <v/>
      </c>
      <c r="AF615">
        <f>1+COUNTIF(bounds,"&lt;"&amp;ROUND(AB615,12))</f>
        <v/>
      </c>
      <c r="AG615">
        <f>1+COUNTIF(bounds,"&lt;"&amp;ROUND(AE615,12))</f>
        <v/>
      </c>
      <c r="AH615">
        <f>IF(AD615&lt;1,1,0)</f>
        <v/>
      </c>
      <c r="AI615">
        <f>IF(AF615&lt;&gt;AG615,1,0)</f>
        <v/>
      </c>
      <c r="AJ615">
        <f>IF(AND(AG615&gt;=3,Z615&lt;=0.2),1,0)</f>
        <v/>
      </c>
      <c r="AK615">
        <f>AVERAGE(U615:Z615)</f>
        <v/>
      </c>
      <c r="AL615">
        <f>1+COUNTIF(bounds,"&lt;"&amp;ROUND(AK615,12))</f>
        <v/>
      </c>
      <c r="AM615">
        <f>IF(AI615=1,AB615,NA())</f>
        <v/>
      </c>
      <c r="AN615">
        <f>IF(AI615=0,AB615,NA())</f>
        <v/>
      </c>
    </row>
    <row r="616">
      <c r="A616" t="n">
        <v>608</v>
      </c>
      <c r="B616" t="n">
        <v>2</v>
      </c>
      <c r="C616" t="n">
        <v>3</v>
      </c>
      <c r="D616" t="n">
        <v>2</v>
      </c>
      <c r="E616" t="n">
        <v>1</v>
      </c>
      <c r="F616" t="n">
        <v>4</v>
      </c>
      <c r="G616" t="n">
        <v>5</v>
      </c>
      <c r="H616" t="n">
        <v>2</v>
      </c>
      <c r="I616" t="n">
        <v>5</v>
      </c>
      <c r="J616" t="n">
        <v>5</v>
      </c>
      <c r="K616" t="n">
        <v>2</v>
      </c>
      <c r="L616" t="n">
        <v>5</v>
      </c>
      <c r="M616" t="n">
        <v>5</v>
      </c>
      <c r="N616" t="n">
        <v>4</v>
      </c>
      <c r="O616" t="n">
        <v>5</v>
      </c>
      <c r="P616" t="n">
        <v>4</v>
      </c>
      <c r="Q616" t="n">
        <v>3</v>
      </c>
      <c r="R616" t="n">
        <v>2</v>
      </c>
      <c r="S616" t="n">
        <v>5</v>
      </c>
      <c r="T616" t="n">
        <v>3</v>
      </c>
      <c r="U616">
        <f>(AVERAGE(B616:D616)-1)/4</f>
        <v/>
      </c>
      <c r="V616">
        <f>(AVERAGE(E616:F616)-1)/4</f>
        <v/>
      </c>
      <c r="W616">
        <f>(AVERAGE(G616:I616)-1)/4</f>
        <v/>
      </c>
      <c r="X616">
        <f>(AVERAGE(J616:L616)-1)/4</f>
        <v/>
      </c>
      <c r="Y616">
        <f>(AVERAGE(M616:O616)-1)/4</f>
        <v/>
      </c>
      <c r="Z616">
        <f>(AVERAGE(P616:R616)-1)/4</f>
        <v/>
      </c>
      <c r="AA616">
        <f>(AVERAGE(S616:T616)-1)/4</f>
        <v/>
      </c>
      <c r="AB616">
        <f>AVERAGE(U616:Y616)</f>
        <v/>
      </c>
      <c r="AC616">
        <f>MIN(U616:Y616)</f>
        <v/>
      </c>
      <c r="AD616">
        <f>1-alpha*MAX(0,delta-AC616)</f>
        <v/>
      </c>
      <c r="AE616">
        <f>AB616*AD616</f>
        <v/>
      </c>
      <c r="AF616">
        <f>1+COUNTIF(bounds,"&lt;"&amp;ROUND(AB616,12))</f>
        <v/>
      </c>
      <c r="AG616">
        <f>1+COUNTIF(bounds,"&lt;"&amp;ROUND(AE616,12))</f>
        <v/>
      </c>
      <c r="AH616">
        <f>IF(AD616&lt;1,1,0)</f>
        <v/>
      </c>
      <c r="AI616">
        <f>IF(AF616&lt;&gt;AG616,1,0)</f>
        <v/>
      </c>
      <c r="AJ616">
        <f>IF(AND(AG616&gt;=3,Z616&lt;=0.2),1,0)</f>
        <v/>
      </c>
      <c r="AK616">
        <f>AVERAGE(U616:Z616)</f>
        <v/>
      </c>
      <c r="AL616">
        <f>1+COUNTIF(bounds,"&lt;"&amp;ROUND(AK616,12))</f>
        <v/>
      </c>
      <c r="AM616">
        <f>IF(AI616=1,AB616,NA())</f>
        <v/>
      </c>
      <c r="AN616">
        <f>IF(AI616=0,AB616,NA())</f>
        <v/>
      </c>
    </row>
    <row r="617">
      <c r="A617" t="n">
        <v>609</v>
      </c>
      <c r="B617" t="n">
        <v>1</v>
      </c>
      <c r="C617" t="n">
        <v>3</v>
      </c>
      <c r="D617" t="n">
        <v>3</v>
      </c>
      <c r="E617" t="n">
        <v>2</v>
      </c>
      <c r="F617" t="n">
        <v>4</v>
      </c>
      <c r="G617" t="n">
        <v>1</v>
      </c>
      <c r="H617" t="n">
        <v>1</v>
      </c>
      <c r="I617" t="n">
        <v>4</v>
      </c>
      <c r="J617" t="n">
        <v>2</v>
      </c>
      <c r="K617" t="n">
        <v>5</v>
      </c>
      <c r="L617" t="n">
        <v>1</v>
      </c>
      <c r="M617" t="n">
        <v>1</v>
      </c>
      <c r="N617" t="n">
        <v>4</v>
      </c>
      <c r="O617" t="n">
        <v>4</v>
      </c>
      <c r="P617" t="n">
        <v>2</v>
      </c>
      <c r="Q617" t="n">
        <v>1</v>
      </c>
      <c r="R617" t="n">
        <v>3</v>
      </c>
      <c r="S617" t="n">
        <v>5</v>
      </c>
      <c r="T617" t="n">
        <v>5</v>
      </c>
      <c r="U617">
        <f>(AVERAGE(B617:D617)-1)/4</f>
        <v/>
      </c>
      <c r="V617">
        <f>(AVERAGE(E617:F617)-1)/4</f>
        <v/>
      </c>
      <c r="W617">
        <f>(AVERAGE(G617:I617)-1)/4</f>
        <v/>
      </c>
      <c r="X617">
        <f>(AVERAGE(J617:L617)-1)/4</f>
        <v/>
      </c>
      <c r="Y617">
        <f>(AVERAGE(M617:O617)-1)/4</f>
        <v/>
      </c>
      <c r="Z617">
        <f>(AVERAGE(P617:R617)-1)/4</f>
        <v/>
      </c>
      <c r="AA617">
        <f>(AVERAGE(S617:T617)-1)/4</f>
        <v/>
      </c>
      <c r="AB617">
        <f>AVERAGE(U617:Y617)</f>
        <v/>
      </c>
      <c r="AC617">
        <f>MIN(U617:Y617)</f>
        <v/>
      </c>
      <c r="AD617">
        <f>1-alpha*MAX(0,delta-AC617)</f>
        <v/>
      </c>
      <c r="AE617">
        <f>AB617*AD617</f>
        <v/>
      </c>
      <c r="AF617">
        <f>1+COUNTIF(bounds,"&lt;"&amp;ROUND(AB617,12))</f>
        <v/>
      </c>
      <c r="AG617">
        <f>1+COUNTIF(bounds,"&lt;"&amp;ROUND(AE617,12))</f>
        <v/>
      </c>
      <c r="AH617">
        <f>IF(AD617&lt;1,1,0)</f>
        <v/>
      </c>
      <c r="AI617">
        <f>IF(AF617&lt;&gt;AG617,1,0)</f>
        <v/>
      </c>
      <c r="AJ617">
        <f>IF(AND(AG617&gt;=3,Z617&lt;=0.2),1,0)</f>
        <v/>
      </c>
      <c r="AK617">
        <f>AVERAGE(U617:Z617)</f>
        <v/>
      </c>
      <c r="AL617">
        <f>1+COUNTIF(bounds,"&lt;"&amp;ROUND(AK617,12))</f>
        <v/>
      </c>
      <c r="AM617">
        <f>IF(AI617=1,AB617,NA())</f>
        <v/>
      </c>
      <c r="AN617">
        <f>IF(AI617=0,AB617,NA())</f>
        <v/>
      </c>
    </row>
    <row r="618">
      <c r="A618" t="n">
        <v>610</v>
      </c>
      <c r="B618" t="n">
        <v>2</v>
      </c>
      <c r="C618" t="n">
        <v>2</v>
      </c>
      <c r="D618" t="n">
        <v>1</v>
      </c>
      <c r="E618" t="n">
        <v>1</v>
      </c>
      <c r="F618" t="n">
        <v>5</v>
      </c>
      <c r="G618" t="n">
        <v>2</v>
      </c>
      <c r="H618" t="n">
        <v>1</v>
      </c>
      <c r="I618" t="n">
        <v>2</v>
      </c>
      <c r="J618" t="n">
        <v>4</v>
      </c>
      <c r="K618" t="n">
        <v>4</v>
      </c>
      <c r="L618" t="n">
        <v>1</v>
      </c>
      <c r="M618" t="n">
        <v>3</v>
      </c>
      <c r="N618" t="n">
        <v>2</v>
      </c>
      <c r="O618" t="n">
        <v>3</v>
      </c>
      <c r="P618" t="n">
        <v>4</v>
      </c>
      <c r="Q618" t="n">
        <v>5</v>
      </c>
      <c r="R618" t="n">
        <v>4</v>
      </c>
      <c r="S618" t="n">
        <v>1</v>
      </c>
      <c r="T618" t="n">
        <v>2</v>
      </c>
      <c r="U618">
        <f>(AVERAGE(B618:D618)-1)/4</f>
        <v/>
      </c>
      <c r="V618">
        <f>(AVERAGE(E618:F618)-1)/4</f>
        <v/>
      </c>
      <c r="W618">
        <f>(AVERAGE(G618:I618)-1)/4</f>
        <v/>
      </c>
      <c r="X618">
        <f>(AVERAGE(J618:L618)-1)/4</f>
        <v/>
      </c>
      <c r="Y618">
        <f>(AVERAGE(M618:O618)-1)/4</f>
        <v/>
      </c>
      <c r="Z618">
        <f>(AVERAGE(P618:R618)-1)/4</f>
        <v/>
      </c>
      <c r="AA618">
        <f>(AVERAGE(S618:T618)-1)/4</f>
        <v/>
      </c>
      <c r="AB618">
        <f>AVERAGE(U618:Y618)</f>
        <v/>
      </c>
      <c r="AC618">
        <f>MIN(U618:Y618)</f>
        <v/>
      </c>
      <c r="AD618">
        <f>1-alpha*MAX(0,delta-AC618)</f>
        <v/>
      </c>
      <c r="AE618">
        <f>AB618*AD618</f>
        <v/>
      </c>
      <c r="AF618">
        <f>1+COUNTIF(bounds,"&lt;"&amp;ROUND(AB618,12))</f>
        <v/>
      </c>
      <c r="AG618">
        <f>1+COUNTIF(bounds,"&lt;"&amp;ROUND(AE618,12))</f>
        <v/>
      </c>
      <c r="AH618">
        <f>IF(AD618&lt;1,1,0)</f>
        <v/>
      </c>
      <c r="AI618">
        <f>IF(AF618&lt;&gt;AG618,1,0)</f>
        <v/>
      </c>
      <c r="AJ618">
        <f>IF(AND(AG618&gt;=3,Z618&lt;=0.2),1,0)</f>
        <v/>
      </c>
      <c r="AK618">
        <f>AVERAGE(U618:Z618)</f>
        <v/>
      </c>
      <c r="AL618">
        <f>1+COUNTIF(bounds,"&lt;"&amp;ROUND(AK618,12))</f>
        <v/>
      </c>
      <c r="AM618">
        <f>IF(AI618=1,AB618,NA())</f>
        <v/>
      </c>
      <c r="AN618">
        <f>IF(AI618=0,AB618,NA())</f>
        <v/>
      </c>
    </row>
    <row r="619">
      <c r="A619" t="n">
        <v>611</v>
      </c>
      <c r="B619" t="n">
        <v>2</v>
      </c>
      <c r="C619" t="n">
        <v>4</v>
      </c>
      <c r="D619" t="n">
        <v>3</v>
      </c>
      <c r="E619" t="n">
        <v>3</v>
      </c>
      <c r="F619" t="n">
        <v>3</v>
      </c>
      <c r="G619" t="n">
        <v>3</v>
      </c>
      <c r="H619" t="n">
        <v>1</v>
      </c>
      <c r="I619" t="n">
        <v>3</v>
      </c>
      <c r="J619" t="n">
        <v>4</v>
      </c>
      <c r="K619" t="n">
        <v>4</v>
      </c>
      <c r="L619" t="n">
        <v>3</v>
      </c>
      <c r="M619" t="n">
        <v>5</v>
      </c>
      <c r="N619" t="n">
        <v>1</v>
      </c>
      <c r="O619" t="n">
        <v>5</v>
      </c>
      <c r="P619" t="n">
        <v>3</v>
      </c>
      <c r="Q619" t="n">
        <v>2</v>
      </c>
      <c r="R619" t="n">
        <v>2</v>
      </c>
      <c r="S619" t="n">
        <v>2</v>
      </c>
      <c r="T619" t="n">
        <v>4</v>
      </c>
      <c r="U619">
        <f>(AVERAGE(B619:D619)-1)/4</f>
        <v/>
      </c>
      <c r="V619">
        <f>(AVERAGE(E619:F619)-1)/4</f>
        <v/>
      </c>
      <c r="W619">
        <f>(AVERAGE(G619:I619)-1)/4</f>
        <v/>
      </c>
      <c r="X619">
        <f>(AVERAGE(J619:L619)-1)/4</f>
        <v/>
      </c>
      <c r="Y619">
        <f>(AVERAGE(M619:O619)-1)/4</f>
        <v/>
      </c>
      <c r="Z619">
        <f>(AVERAGE(P619:R619)-1)/4</f>
        <v/>
      </c>
      <c r="AA619">
        <f>(AVERAGE(S619:T619)-1)/4</f>
        <v/>
      </c>
      <c r="AB619">
        <f>AVERAGE(U619:Y619)</f>
        <v/>
      </c>
      <c r="AC619">
        <f>MIN(U619:Y619)</f>
        <v/>
      </c>
      <c r="AD619">
        <f>1-alpha*MAX(0,delta-AC619)</f>
        <v/>
      </c>
      <c r="AE619">
        <f>AB619*AD619</f>
        <v/>
      </c>
      <c r="AF619">
        <f>1+COUNTIF(bounds,"&lt;"&amp;ROUND(AB619,12))</f>
        <v/>
      </c>
      <c r="AG619">
        <f>1+COUNTIF(bounds,"&lt;"&amp;ROUND(AE619,12))</f>
        <v/>
      </c>
      <c r="AH619">
        <f>IF(AD619&lt;1,1,0)</f>
        <v/>
      </c>
      <c r="AI619">
        <f>IF(AF619&lt;&gt;AG619,1,0)</f>
        <v/>
      </c>
      <c r="AJ619">
        <f>IF(AND(AG619&gt;=3,Z619&lt;=0.2),1,0)</f>
        <v/>
      </c>
      <c r="AK619">
        <f>AVERAGE(U619:Z619)</f>
        <v/>
      </c>
      <c r="AL619">
        <f>1+COUNTIF(bounds,"&lt;"&amp;ROUND(AK619,12))</f>
        <v/>
      </c>
      <c r="AM619">
        <f>IF(AI619=1,AB619,NA())</f>
        <v/>
      </c>
      <c r="AN619">
        <f>IF(AI619=0,AB619,NA())</f>
        <v/>
      </c>
    </row>
    <row r="620">
      <c r="A620" t="n">
        <v>612</v>
      </c>
      <c r="B620" t="n">
        <v>1</v>
      </c>
      <c r="C620" t="n">
        <v>1</v>
      </c>
      <c r="D620" t="n">
        <v>3</v>
      </c>
      <c r="E620" t="n">
        <v>3</v>
      </c>
      <c r="F620" t="n">
        <v>4</v>
      </c>
      <c r="G620" t="n">
        <v>4</v>
      </c>
      <c r="H620" t="n">
        <v>3</v>
      </c>
      <c r="I620" t="n">
        <v>5</v>
      </c>
      <c r="J620" t="n">
        <v>1</v>
      </c>
      <c r="K620" t="n">
        <v>2</v>
      </c>
      <c r="L620" t="n">
        <v>3</v>
      </c>
      <c r="M620" t="n">
        <v>2</v>
      </c>
      <c r="N620" t="n">
        <v>3</v>
      </c>
      <c r="O620" t="n">
        <v>1</v>
      </c>
      <c r="P620" t="n">
        <v>5</v>
      </c>
      <c r="Q620" t="n">
        <v>4</v>
      </c>
      <c r="R620" t="n">
        <v>4</v>
      </c>
      <c r="S620" t="n">
        <v>2</v>
      </c>
      <c r="T620" t="n">
        <v>2</v>
      </c>
      <c r="U620">
        <f>(AVERAGE(B620:D620)-1)/4</f>
        <v/>
      </c>
      <c r="V620">
        <f>(AVERAGE(E620:F620)-1)/4</f>
        <v/>
      </c>
      <c r="W620">
        <f>(AVERAGE(G620:I620)-1)/4</f>
        <v/>
      </c>
      <c r="X620">
        <f>(AVERAGE(J620:L620)-1)/4</f>
        <v/>
      </c>
      <c r="Y620">
        <f>(AVERAGE(M620:O620)-1)/4</f>
        <v/>
      </c>
      <c r="Z620">
        <f>(AVERAGE(P620:R620)-1)/4</f>
        <v/>
      </c>
      <c r="AA620">
        <f>(AVERAGE(S620:T620)-1)/4</f>
        <v/>
      </c>
      <c r="AB620">
        <f>AVERAGE(U620:Y620)</f>
        <v/>
      </c>
      <c r="AC620">
        <f>MIN(U620:Y620)</f>
        <v/>
      </c>
      <c r="AD620">
        <f>1-alpha*MAX(0,delta-AC620)</f>
        <v/>
      </c>
      <c r="AE620">
        <f>AB620*AD620</f>
        <v/>
      </c>
      <c r="AF620">
        <f>1+COUNTIF(bounds,"&lt;"&amp;ROUND(AB620,12))</f>
        <v/>
      </c>
      <c r="AG620">
        <f>1+COUNTIF(bounds,"&lt;"&amp;ROUND(AE620,12))</f>
        <v/>
      </c>
      <c r="AH620">
        <f>IF(AD620&lt;1,1,0)</f>
        <v/>
      </c>
      <c r="AI620">
        <f>IF(AF620&lt;&gt;AG620,1,0)</f>
        <v/>
      </c>
      <c r="AJ620">
        <f>IF(AND(AG620&gt;=3,Z620&lt;=0.2),1,0)</f>
        <v/>
      </c>
      <c r="AK620">
        <f>AVERAGE(U620:Z620)</f>
        <v/>
      </c>
      <c r="AL620">
        <f>1+COUNTIF(bounds,"&lt;"&amp;ROUND(AK620,12))</f>
        <v/>
      </c>
      <c r="AM620">
        <f>IF(AI620=1,AB620,NA())</f>
        <v/>
      </c>
      <c r="AN620">
        <f>IF(AI620=0,AB620,NA())</f>
        <v/>
      </c>
    </row>
    <row r="621">
      <c r="A621" t="n">
        <v>613</v>
      </c>
      <c r="B621" t="n">
        <v>3</v>
      </c>
      <c r="C621" t="n">
        <v>3</v>
      </c>
      <c r="D621" t="n">
        <v>3</v>
      </c>
      <c r="E621" t="n">
        <v>5</v>
      </c>
      <c r="F621" t="n">
        <v>4</v>
      </c>
      <c r="G621" t="n">
        <v>3</v>
      </c>
      <c r="H621" t="n">
        <v>2</v>
      </c>
      <c r="I621" t="n">
        <v>4</v>
      </c>
      <c r="J621" t="n">
        <v>4</v>
      </c>
      <c r="K621" t="n">
        <v>2</v>
      </c>
      <c r="L621" t="n">
        <v>1</v>
      </c>
      <c r="M621" t="n">
        <v>3</v>
      </c>
      <c r="N621" t="n">
        <v>1</v>
      </c>
      <c r="O621" t="n">
        <v>3</v>
      </c>
      <c r="P621" t="n">
        <v>1</v>
      </c>
      <c r="Q621" t="n">
        <v>5</v>
      </c>
      <c r="R621" t="n">
        <v>3</v>
      </c>
      <c r="S621" t="n">
        <v>1</v>
      </c>
      <c r="T621" t="n">
        <v>5</v>
      </c>
      <c r="U621">
        <f>(AVERAGE(B621:D621)-1)/4</f>
        <v/>
      </c>
      <c r="V621">
        <f>(AVERAGE(E621:F621)-1)/4</f>
        <v/>
      </c>
      <c r="W621">
        <f>(AVERAGE(G621:I621)-1)/4</f>
        <v/>
      </c>
      <c r="X621">
        <f>(AVERAGE(J621:L621)-1)/4</f>
        <v/>
      </c>
      <c r="Y621">
        <f>(AVERAGE(M621:O621)-1)/4</f>
        <v/>
      </c>
      <c r="Z621">
        <f>(AVERAGE(P621:R621)-1)/4</f>
        <v/>
      </c>
      <c r="AA621">
        <f>(AVERAGE(S621:T621)-1)/4</f>
        <v/>
      </c>
      <c r="AB621">
        <f>AVERAGE(U621:Y621)</f>
        <v/>
      </c>
      <c r="AC621">
        <f>MIN(U621:Y621)</f>
        <v/>
      </c>
      <c r="AD621">
        <f>1-alpha*MAX(0,delta-AC621)</f>
        <v/>
      </c>
      <c r="AE621">
        <f>AB621*AD621</f>
        <v/>
      </c>
      <c r="AF621">
        <f>1+COUNTIF(bounds,"&lt;"&amp;ROUND(AB621,12))</f>
        <v/>
      </c>
      <c r="AG621">
        <f>1+COUNTIF(bounds,"&lt;"&amp;ROUND(AE621,12))</f>
        <v/>
      </c>
      <c r="AH621">
        <f>IF(AD621&lt;1,1,0)</f>
        <v/>
      </c>
      <c r="AI621">
        <f>IF(AF621&lt;&gt;AG621,1,0)</f>
        <v/>
      </c>
      <c r="AJ621">
        <f>IF(AND(AG621&gt;=3,Z621&lt;=0.2),1,0)</f>
        <v/>
      </c>
      <c r="AK621">
        <f>AVERAGE(U621:Z621)</f>
        <v/>
      </c>
      <c r="AL621">
        <f>1+COUNTIF(bounds,"&lt;"&amp;ROUND(AK621,12))</f>
        <v/>
      </c>
      <c r="AM621">
        <f>IF(AI621=1,AB621,NA())</f>
        <v/>
      </c>
      <c r="AN621">
        <f>IF(AI621=0,AB621,NA())</f>
        <v/>
      </c>
    </row>
    <row r="622">
      <c r="A622" t="n">
        <v>614</v>
      </c>
      <c r="B622" t="n">
        <v>2</v>
      </c>
      <c r="C622" t="n">
        <v>2</v>
      </c>
      <c r="D622" t="n">
        <v>2</v>
      </c>
      <c r="E622" t="n">
        <v>4</v>
      </c>
      <c r="F622" t="n">
        <v>1</v>
      </c>
      <c r="G622" t="n">
        <v>1</v>
      </c>
      <c r="H622" t="n">
        <v>2</v>
      </c>
      <c r="I622" t="n">
        <v>2</v>
      </c>
      <c r="J622" t="n">
        <v>3</v>
      </c>
      <c r="K622" t="n">
        <v>2</v>
      </c>
      <c r="L622" t="n">
        <v>4</v>
      </c>
      <c r="M622" t="n">
        <v>2</v>
      </c>
      <c r="N622" t="n">
        <v>3</v>
      </c>
      <c r="O622" t="n">
        <v>5</v>
      </c>
      <c r="P622" t="n">
        <v>5</v>
      </c>
      <c r="Q622" t="n">
        <v>1</v>
      </c>
      <c r="R622" t="n">
        <v>1</v>
      </c>
      <c r="S622" t="n">
        <v>4</v>
      </c>
      <c r="T622" t="n">
        <v>3</v>
      </c>
      <c r="U622">
        <f>(AVERAGE(B622:D622)-1)/4</f>
        <v/>
      </c>
      <c r="V622">
        <f>(AVERAGE(E622:F622)-1)/4</f>
        <v/>
      </c>
      <c r="W622">
        <f>(AVERAGE(G622:I622)-1)/4</f>
        <v/>
      </c>
      <c r="X622">
        <f>(AVERAGE(J622:L622)-1)/4</f>
        <v/>
      </c>
      <c r="Y622">
        <f>(AVERAGE(M622:O622)-1)/4</f>
        <v/>
      </c>
      <c r="Z622">
        <f>(AVERAGE(P622:R622)-1)/4</f>
        <v/>
      </c>
      <c r="AA622">
        <f>(AVERAGE(S622:T622)-1)/4</f>
        <v/>
      </c>
      <c r="AB622">
        <f>AVERAGE(U622:Y622)</f>
        <v/>
      </c>
      <c r="AC622">
        <f>MIN(U622:Y622)</f>
        <v/>
      </c>
      <c r="AD622">
        <f>1-alpha*MAX(0,delta-AC622)</f>
        <v/>
      </c>
      <c r="AE622">
        <f>AB622*AD622</f>
        <v/>
      </c>
      <c r="AF622">
        <f>1+COUNTIF(bounds,"&lt;"&amp;ROUND(AB622,12))</f>
        <v/>
      </c>
      <c r="AG622">
        <f>1+COUNTIF(bounds,"&lt;"&amp;ROUND(AE622,12))</f>
        <v/>
      </c>
      <c r="AH622">
        <f>IF(AD622&lt;1,1,0)</f>
        <v/>
      </c>
      <c r="AI622">
        <f>IF(AF622&lt;&gt;AG622,1,0)</f>
        <v/>
      </c>
      <c r="AJ622">
        <f>IF(AND(AG622&gt;=3,Z622&lt;=0.2),1,0)</f>
        <v/>
      </c>
      <c r="AK622">
        <f>AVERAGE(U622:Z622)</f>
        <v/>
      </c>
      <c r="AL622">
        <f>1+COUNTIF(bounds,"&lt;"&amp;ROUND(AK622,12))</f>
        <v/>
      </c>
      <c r="AM622">
        <f>IF(AI622=1,AB622,NA())</f>
        <v/>
      </c>
      <c r="AN622">
        <f>IF(AI622=0,AB622,NA())</f>
        <v/>
      </c>
    </row>
    <row r="623">
      <c r="A623" t="n">
        <v>615</v>
      </c>
      <c r="B623" t="n">
        <v>4</v>
      </c>
      <c r="C623" t="n">
        <v>1</v>
      </c>
      <c r="D623" t="n">
        <v>4</v>
      </c>
      <c r="E623" t="n">
        <v>2</v>
      </c>
      <c r="F623" t="n">
        <v>5</v>
      </c>
      <c r="G623" t="n">
        <v>1</v>
      </c>
      <c r="H623" t="n">
        <v>1</v>
      </c>
      <c r="I623" t="n">
        <v>4</v>
      </c>
      <c r="J623" t="n">
        <v>5</v>
      </c>
      <c r="K623" t="n">
        <v>1</v>
      </c>
      <c r="L623" t="n">
        <v>1</v>
      </c>
      <c r="M623" t="n">
        <v>5</v>
      </c>
      <c r="N623" t="n">
        <v>5</v>
      </c>
      <c r="O623" t="n">
        <v>5</v>
      </c>
      <c r="P623" t="n">
        <v>2</v>
      </c>
      <c r="Q623" t="n">
        <v>4</v>
      </c>
      <c r="R623" t="n">
        <v>4</v>
      </c>
      <c r="S623" t="n">
        <v>3</v>
      </c>
      <c r="T623" t="n">
        <v>4</v>
      </c>
      <c r="U623">
        <f>(AVERAGE(B623:D623)-1)/4</f>
        <v/>
      </c>
      <c r="V623">
        <f>(AVERAGE(E623:F623)-1)/4</f>
        <v/>
      </c>
      <c r="W623">
        <f>(AVERAGE(G623:I623)-1)/4</f>
        <v/>
      </c>
      <c r="X623">
        <f>(AVERAGE(J623:L623)-1)/4</f>
        <v/>
      </c>
      <c r="Y623">
        <f>(AVERAGE(M623:O623)-1)/4</f>
        <v/>
      </c>
      <c r="Z623">
        <f>(AVERAGE(P623:R623)-1)/4</f>
        <v/>
      </c>
      <c r="AA623">
        <f>(AVERAGE(S623:T623)-1)/4</f>
        <v/>
      </c>
      <c r="AB623">
        <f>AVERAGE(U623:Y623)</f>
        <v/>
      </c>
      <c r="AC623">
        <f>MIN(U623:Y623)</f>
        <v/>
      </c>
      <c r="AD623">
        <f>1-alpha*MAX(0,delta-AC623)</f>
        <v/>
      </c>
      <c r="AE623">
        <f>AB623*AD623</f>
        <v/>
      </c>
      <c r="AF623">
        <f>1+COUNTIF(bounds,"&lt;"&amp;ROUND(AB623,12))</f>
        <v/>
      </c>
      <c r="AG623">
        <f>1+COUNTIF(bounds,"&lt;"&amp;ROUND(AE623,12))</f>
        <v/>
      </c>
      <c r="AH623">
        <f>IF(AD623&lt;1,1,0)</f>
        <v/>
      </c>
      <c r="AI623">
        <f>IF(AF623&lt;&gt;AG623,1,0)</f>
        <v/>
      </c>
      <c r="AJ623">
        <f>IF(AND(AG623&gt;=3,Z623&lt;=0.2),1,0)</f>
        <v/>
      </c>
      <c r="AK623">
        <f>AVERAGE(U623:Z623)</f>
        <v/>
      </c>
      <c r="AL623">
        <f>1+COUNTIF(bounds,"&lt;"&amp;ROUND(AK623,12))</f>
        <v/>
      </c>
      <c r="AM623">
        <f>IF(AI623=1,AB623,NA())</f>
        <v/>
      </c>
      <c r="AN623">
        <f>IF(AI623=0,AB623,NA())</f>
        <v/>
      </c>
    </row>
    <row r="624">
      <c r="A624" t="n">
        <v>616</v>
      </c>
      <c r="B624" t="n">
        <v>5</v>
      </c>
      <c r="C624" t="n">
        <v>2</v>
      </c>
      <c r="D624" t="n">
        <v>1</v>
      </c>
      <c r="E624" t="n">
        <v>2</v>
      </c>
      <c r="F624" t="n">
        <v>5</v>
      </c>
      <c r="G624" t="n">
        <v>4</v>
      </c>
      <c r="H624" t="n">
        <v>3</v>
      </c>
      <c r="I624" t="n">
        <v>5</v>
      </c>
      <c r="J624" t="n">
        <v>1</v>
      </c>
      <c r="K624" t="n">
        <v>1</v>
      </c>
      <c r="L624" t="n">
        <v>2</v>
      </c>
      <c r="M624" t="n">
        <v>5</v>
      </c>
      <c r="N624" t="n">
        <v>1</v>
      </c>
      <c r="O624" t="n">
        <v>1</v>
      </c>
      <c r="P624" t="n">
        <v>2</v>
      </c>
      <c r="Q624" t="n">
        <v>1</v>
      </c>
      <c r="R624" t="n">
        <v>1</v>
      </c>
      <c r="S624" t="n">
        <v>5</v>
      </c>
      <c r="T624" t="n">
        <v>1</v>
      </c>
      <c r="U624">
        <f>(AVERAGE(B624:D624)-1)/4</f>
        <v/>
      </c>
      <c r="V624">
        <f>(AVERAGE(E624:F624)-1)/4</f>
        <v/>
      </c>
      <c r="W624">
        <f>(AVERAGE(G624:I624)-1)/4</f>
        <v/>
      </c>
      <c r="X624">
        <f>(AVERAGE(J624:L624)-1)/4</f>
        <v/>
      </c>
      <c r="Y624">
        <f>(AVERAGE(M624:O624)-1)/4</f>
        <v/>
      </c>
      <c r="Z624">
        <f>(AVERAGE(P624:R624)-1)/4</f>
        <v/>
      </c>
      <c r="AA624">
        <f>(AVERAGE(S624:T624)-1)/4</f>
        <v/>
      </c>
      <c r="AB624">
        <f>AVERAGE(U624:Y624)</f>
        <v/>
      </c>
      <c r="AC624">
        <f>MIN(U624:Y624)</f>
        <v/>
      </c>
      <c r="AD624">
        <f>1-alpha*MAX(0,delta-AC624)</f>
        <v/>
      </c>
      <c r="AE624">
        <f>AB624*AD624</f>
        <v/>
      </c>
      <c r="AF624">
        <f>1+COUNTIF(bounds,"&lt;"&amp;ROUND(AB624,12))</f>
        <v/>
      </c>
      <c r="AG624">
        <f>1+COUNTIF(bounds,"&lt;"&amp;ROUND(AE624,12))</f>
        <v/>
      </c>
      <c r="AH624">
        <f>IF(AD624&lt;1,1,0)</f>
        <v/>
      </c>
      <c r="AI624">
        <f>IF(AF624&lt;&gt;AG624,1,0)</f>
        <v/>
      </c>
      <c r="AJ624">
        <f>IF(AND(AG624&gt;=3,Z624&lt;=0.2),1,0)</f>
        <v/>
      </c>
      <c r="AK624">
        <f>AVERAGE(U624:Z624)</f>
        <v/>
      </c>
      <c r="AL624">
        <f>1+COUNTIF(bounds,"&lt;"&amp;ROUND(AK624,12))</f>
        <v/>
      </c>
      <c r="AM624">
        <f>IF(AI624=1,AB624,NA())</f>
        <v/>
      </c>
      <c r="AN624">
        <f>IF(AI624=0,AB624,NA())</f>
        <v/>
      </c>
    </row>
    <row r="625">
      <c r="A625" t="n">
        <v>617</v>
      </c>
      <c r="B625" t="n">
        <v>4</v>
      </c>
      <c r="C625" t="n">
        <v>4</v>
      </c>
      <c r="D625" t="n">
        <v>4</v>
      </c>
      <c r="E625" t="n">
        <v>3</v>
      </c>
      <c r="F625" t="n">
        <v>3</v>
      </c>
      <c r="G625" t="n">
        <v>3</v>
      </c>
      <c r="H625" t="n">
        <v>2</v>
      </c>
      <c r="I625" t="n">
        <v>1</v>
      </c>
      <c r="J625" t="n">
        <v>4</v>
      </c>
      <c r="K625" t="n">
        <v>5</v>
      </c>
      <c r="L625" t="n">
        <v>4</v>
      </c>
      <c r="M625" t="n">
        <v>1</v>
      </c>
      <c r="N625" t="n">
        <v>1</v>
      </c>
      <c r="O625" t="n">
        <v>2</v>
      </c>
      <c r="P625" t="n">
        <v>4</v>
      </c>
      <c r="Q625" t="n">
        <v>4</v>
      </c>
      <c r="R625" t="n">
        <v>5</v>
      </c>
      <c r="S625" t="n">
        <v>5</v>
      </c>
      <c r="T625" t="n">
        <v>1</v>
      </c>
      <c r="U625">
        <f>(AVERAGE(B625:D625)-1)/4</f>
        <v/>
      </c>
      <c r="V625">
        <f>(AVERAGE(E625:F625)-1)/4</f>
        <v/>
      </c>
      <c r="W625">
        <f>(AVERAGE(G625:I625)-1)/4</f>
        <v/>
      </c>
      <c r="X625">
        <f>(AVERAGE(J625:L625)-1)/4</f>
        <v/>
      </c>
      <c r="Y625">
        <f>(AVERAGE(M625:O625)-1)/4</f>
        <v/>
      </c>
      <c r="Z625">
        <f>(AVERAGE(P625:R625)-1)/4</f>
        <v/>
      </c>
      <c r="AA625">
        <f>(AVERAGE(S625:T625)-1)/4</f>
        <v/>
      </c>
      <c r="AB625">
        <f>AVERAGE(U625:Y625)</f>
        <v/>
      </c>
      <c r="AC625">
        <f>MIN(U625:Y625)</f>
        <v/>
      </c>
      <c r="AD625">
        <f>1-alpha*MAX(0,delta-AC625)</f>
        <v/>
      </c>
      <c r="AE625">
        <f>AB625*AD625</f>
        <v/>
      </c>
      <c r="AF625">
        <f>1+COUNTIF(bounds,"&lt;"&amp;ROUND(AB625,12))</f>
        <v/>
      </c>
      <c r="AG625">
        <f>1+COUNTIF(bounds,"&lt;"&amp;ROUND(AE625,12))</f>
        <v/>
      </c>
      <c r="AH625">
        <f>IF(AD625&lt;1,1,0)</f>
        <v/>
      </c>
      <c r="AI625">
        <f>IF(AF625&lt;&gt;AG625,1,0)</f>
        <v/>
      </c>
      <c r="AJ625">
        <f>IF(AND(AG625&gt;=3,Z625&lt;=0.2),1,0)</f>
        <v/>
      </c>
      <c r="AK625">
        <f>AVERAGE(U625:Z625)</f>
        <v/>
      </c>
      <c r="AL625">
        <f>1+COUNTIF(bounds,"&lt;"&amp;ROUND(AK625,12))</f>
        <v/>
      </c>
      <c r="AM625">
        <f>IF(AI625=1,AB625,NA())</f>
        <v/>
      </c>
      <c r="AN625">
        <f>IF(AI625=0,AB625,NA())</f>
        <v/>
      </c>
    </row>
    <row r="626">
      <c r="A626" t="n">
        <v>618</v>
      </c>
      <c r="B626" t="n">
        <v>1</v>
      </c>
      <c r="C626" t="n">
        <v>3</v>
      </c>
      <c r="D626" t="n">
        <v>2</v>
      </c>
      <c r="E626" t="n">
        <v>2</v>
      </c>
      <c r="F626" t="n">
        <v>2</v>
      </c>
      <c r="G626" t="n">
        <v>1</v>
      </c>
      <c r="H626" t="n">
        <v>4</v>
      </c>
      <c r="I626" t="n">
        <v>2</v>
      </c>
      <c r="J626" t="n">
        <v>2</v>
      </c>
      <c r="K626" t="n">
        <v>2</v>
      </c>
      <c r="L626" t="n">
        <v>1</v>
      </c>
      <c r="M626" t="n">
        <v>5</v>
      </c>
      <c r="N626" t="n">
        <v>5</v>
      </c>
      <c r="O626" t="n">
        <v>2</v>
      </c>
      <c r="P626" t="n">
        <v>5</v>
      </c>
      <c r="Q626" t="n">
        <v>3</v>
      </c>
      <c r="R626" t="n">
        <v>1</v>
      </c>
      <c r="S626" t="n">
        <v>1</v>
      </c>
      <c r="T626" t="n">
        <v>3</v>
      </c>
      <c r="U626">
        <f>(AVERAGE(B626:D626)-1)/4</f>
        <v/>
      </c>
      <c r="V626">
        <f>(AVERAGE(E626:F626)-1)/4</f>
        <v/>
      </c>
      <c r="W626">
        <f>(AVERAGE(G626:I626)-1)/4</f>
        <v/>
      </c>
      <c r="X626">
        <f>(AVERAGE(J626:L626)-1)/4</f>
        <v/>
      </c>
      <c r="Y626">
        <f>(AVERAGE(M626:O626)-1)/4</f>
        <v/>
      </c>
      <c r="Z626">
        <f>(AVERAGE(P626:R626)-1)/4</f>
        <v/>
      </c>
      <c r="AA626">
        <f>(AVERAGE(S626:T626)-1)/4</f>
        <v/>
      </c>
      <c r="AB626">
        <f>AVERAGE(U626:Y626)</f>
        <v/>
      </c>
      <c r="AC626">
        <f>MIN(U626:Y626)</f>
        <v/>
      </c>
      <c r="AD626">
        <f>1-alpha*MAX(0,delta-AC626)</f>
        <v/>
      </c>
      <c r="AE626">
        <f>AB626*AD626</f>
        <v/>
      </c>
      <c r="AF626">
        <f>1+COUNTIF(bounds,"&lt;"&amp;ROUND(AB626,12))</f>
        <v/>
      </c>
      <c r="AG626">
        <f>1+COUNTIF(bounds,"&lt;"&amp;ROUND(AE626,12))</f>
        <v/>
      </c>
      <c r="AH626">
        <f>IF(AD626&lt;1,1,0)</f>
        <v/>
      </c>
      <c r="AI626">
        <f>IF(AF626&lt;&gt;AG626,1,0)</f>
        <v/>
      </c>
      <c r="AJ626">
        <f>IF(AND(AG626&gt;=3,Z626&lt;=0.2),1,0)</f>
        <v/>
      </c>
      <c r="AK626">
        <f>AVERAGE(U626:Z626)</f>
        <v/>
      </c>
      <c r="AL626">
        <f>1+COUNTIF(bounds,"&lt;"&amp;ROUND(AK626,12))</f>
        <v/>
      </c>
      <c r="AM626">
        <f>IF(AI626=1,AB626,NA())</f>
        <v/>
      </c>
      <c r="AN626">
        <f>IF(AI626=0,AB626,NA())</f>
        <v/>
      </c>
    </row>
    <row r="627">
      <c r="A627" t="n">
        <v>619</v>
      </c>
      <c r="B627" t="n">
        <v>1</v>
      </c>
      <c r="C627" t="n">
        <v>4</v>
      </c>
      <c r="D627" t="n">
        <v>3</v>
      </c>
      <c r="E627" t="n">
        <v>4</v>
      </c>
      <c r="F627" t="n">
        <v>4</v>
      </c>
      <c r="G627" t="n">
        <v>2</v>
      </c>
      <c r="H627" t="n">
        <v>2</v>
      </c>
      <c r="I627" t="n">
        <v>4</v>
      </c>
      <c r="J627" t="n">
        <v>2</v>
      </c>
      <c r="K627" t="n">
        <v>3</v>
      </c>
      <c r="L627" t="n">
        <v>4</v>
      </c>
      <c r="M627" t="n">
        <v>3</v>
      </c>
      <c r="N627" t="n">
        <v>5</v>
      </c>
      <c r="O627" t="n">
        <v>4</v>
      </c>
      <c r="P627" t="n">
        <v>5</v>
      </c>
      <c r="Q627" t="n">
        <v>4</v>
      </c>
      <c r="R627" t="n">
        <v>4</v>
      </c>
      <c r="S627" t="n">
        <v>4</v>
      </c>
      <c r="T627" t="n">
        <v>1</v>
      </c>
      <c r="U627">
        <f>(AVERAGE(B627:D627)-1)/4</f>
        <v/>
      </c>
      <c r="V627">
        <f>(AVERAGE(E627:F627)-1)/4</f>
        <v/>
      </c>
      <c r="W627">
        <f>(AVERAGE(G627:I627)-1)/4</f>
        <v/>
      </c>
      <c r="X627">
        <f>(AVERAGE(J627:L627)-1)/4</f>
        <v/>
      </c>
      <c r="Y627">
        <f>(AVERAGE(M627:O627)-1)/4</f>
        <v/>
      </c>
      <c r="Z627">
        <f>(AVERAGE(P627:R627)-1)/4</f>
        <v/>
      </c>
      <c r="AA627">
        <f>(AVERAGE(S627:T627)-1)/4</f>
        <v/>
      </c>
      <c r="AB627">
        <f>AVERAGE(U627:Y627)</f>
        <v/>
      </c>
      <c r="AC627">
        <f>MIN(U627:Y627)</f>
        <v/>
      </c>
      <c r="AD627">
        <f>1-alpha*MAX(0,delta-AC627)</f>
        <v/>
      </c>
      <c r="AE627">
        <f>AB627*AD627</f>
        <v/>
      </c>
      <c r="AF627">
        <f>1+COUNTIF(bounds,"&lt;"&amp;ROUND(AB627,12))</f>
        <v/>
      </c>
      <c r="AG627">
        <f>1+COUNTIF(bounds,"&lt;"&amp;ROUND(AE627,12))</f>
        <v/>
      </c>
      <c r="AH627">
        <f>IF(AD627&lt;1,1,0)</f>
        <v/>
      </c>
      <c r="AI627">
        <f>IF(AF627&lt;&gt;AG627,1,0)</f>
        <v/>
      </c>
      <c r="AJ627">
        <f>IF(AND(AG627&gt;=3,Z627&lt;=0.2),1,0)</f>
        <v/>
      </c>
      <c r="AK627">
        <f>AVERAGE(U627:Z627)</f>
        <v/>
      </c>
      <c r="AL627">
        <f>1+COUNTIF(bounds,"&lt;"&amp;ROUND(AK627,12))</f>
        <v/>
      </c>
      <c r="AM627">
        <f>IF(AI627=1,AB627,NA())</f>
        <v/>
      </c>
      <c r="AN627">
        <f>IF(AI627=0,AB627,NA())</f>
        <v/>
      </c>
    </row>
    <row r="628">
      <c r="A628" t="n">
        <v>620</v>
      </c>
      <c r="B628" t="n">
        <v>5</v>
      </c>
      <c r="C628" t="n">
        <v>2</v>
      </c>
      <c r="D628" t="n">
        <v>3</v>
      </c>
      <c r="E628" t="n">
        <v>5</v>
      </c>
      <c r="F628" t="n">
        <v>2</v>
      </c>
      <c r="G628" t="n">
        <v>5</v>
      </c>
      <c r="H628" t="n">
        <v>2</v>
      </c>
      <c r="I628" t="n">
        <v>2</v>
      </c>
      <c r="J628" t="n">
        <v>2</v>
      </c>
      <c r="K628" t="n">
        <v>2</v>
      </c>
      <c r="L628" t="n">
        <v>1</v>
      </c>
      <c r="M628" t="n">
        <v>5</v>
      </c>
      <c r="N628" t="n">
        <v>2</v>
      </c>
      <c r="O628" t="n">
        <v>3</v>
      </c>
      <c r="P628" t="n">
        <v>3</v>
      </c>
      <c r="Q628" t="n">
        <v>4</v>
      </c>
      <c r="R628" t="n">
        <v>1</v>
      </c>
      <c r="S628" t="n">
        <v>2</v>
      </c>
      <c r="T628" t="n">
        <v>2</v>
      </c>
      <c r="U628">
        <f>(AVERAGE(B628:D628)-1)/4</f>
        <v/>
      </c>
      <c r="V628">
        <f>(AVERAGE(E628:F628)-1)/4</f>
        <v/>
      </c>
      <c r="W628">
        <f>(AVERAGE(G628:I628)-1)/4</f>
        <v/>
      </c>
      <c r="X628">
        <f>(AVERAGE(J628:L628)-1)/4</f>
        <v/>
      </c>
      <c r="Y628">
        <f>(AVERAGE(M628:O628)-1)/4</f>
        <v/>
      </c>
      <c r="Z628">
        <f>(AVERAGE(P628:R628)-1)/4</f>
        <v/>
      </c>
      <c r="AA628">
        <f>(AVERAGE(S628:T628)-1)/4</f>
        <v/>
      </c>
      <c r="AB628">
        <f>AVERAGE(U628:Y628)</f>
        <v/>
      </c>
      <c r="AC628">
        <f>MIN(U628:Y628)</f>
        <v/>
      </c>
      <c r="AD628">
        <f>1-alpha*MAX(0,delta-AC628)</f>
        <v/>
      </c>
      <c r="AE628">
        <f>AB628*AD628</f>
        <v/>
      </c>
      <c r="AF628">
        <f>1+COUNTIF(bounds,"&lt;"&amp;ROUND(AB628,12))</f>
        <v/>
      </c>
      <c r="AG628">
        <f>1+COUNTIF(bounds,"&lt;"&amp;ROUND(AE628,12))</f>
        <v/>
      </c>
      <c r="AH628">
        <f>IF(AD628&lt;1,1,0)</f>
        <v/>
      </c>
      <c r="AI628">
        <f>IF(AF628&lt;&gt;AG628,1,0)</f>
        <v/>
      </c>
      <c r="AJ628">
        <f>IF(AND(AG628&gt;=3,Z628&lt;=0.2),1,0)</f>
        <v/>
      </c>
      <c r="AK628">
        <f>AVERAGE(U628:Z628)</f>
        <v/>
      </c>
      <c r="AL628">
        <f>1+COUNTIF(bounds,"&lt;"&amp;ROUND(AK628,12))</f>
        <v/>
      </c>
      <c r="AM628">
        <f>IF(AI628=1,AB628,NA())</f>
        <v/>
      </c>
      <c r="AN628">
        <f>IF(AI628=0,AB628,NA())</f>
        <v/>
      </c>
    </row>
    <row r="629">
      <c r="A629" t="n">
        <v>621</v>
      </c>
      <c r="B629" t="n">
        <v>2</v>
      </c>
      <c r="C629" t="n">
        <v>3</v>
      </c>
      <c r="D629" t="n">
        <v>3</v>
      </c>
      <c r="E629" t="n">
        <v>1</v>
      </c>
      <c r="F629" t="n">
        <v>3</v>
      </c>
      <c r="G629" t="n">
        <v>3</v>
      </c>
      <c r="H629" t="n">
        <v>2</v>
      </c>
      <c r="I629" t="n">
        <v>1</v>
      </c>
      <c r="J629" t="n">
        <v>3</v>
      </c>
      <c r="K629" t="n">
        <v>1</v>
      </c>
      <c r="L629" t="n">
        <v>1</v>
      </c>
      <c r="M629" t="n">
        <v>5</v>
      </c>
      <c r="N629" t="n">
        <v>1</v>
      </c>
      <c r="O629" t="n">
        <v>1</v>
      </c>
      <c r="P629" t="n">
        <v>1</v>
      </c>
      <c r="Q629" t="n">
        <v>5</v>
      </c>
      <c r="R629" t="n">
        <v>1</v>
      </c>
      <c r="S629" t="n">
        <v>5</v>
      </c>
      <c r="T629" t="n">
        <v>1</v>
      </c>
      <c r="U629">
        <f>(AVERAGE(B629:D629)-1)/4</f>
        <v/>
      </c>
      <c r="V629">
        <f>(AVERAGE(E629:F629)-1)/4</f>
        <v/>
      </c>
      <c r="W629">
        <f>(AVERAGE(G629:I629)-1)/4</f>
        <v/>
      </c>
      <c r="X629">
        <f>(AVERAGE(J629:L629)-1)/4</f>
        <v/>
      </c>
      <c r="Y629">
        <f>(AVERAGE(M629:O629)-1)/4</f>
        <v/>
      </c>
      <c r="Z629">
        <f>(AVERAGE(P629:R629)-1)/4</f>
        <v/>
      </c>
      <c r="AA629">
        <f>(AVERAGE(S629:T629)-1)/4</f>
        <v/>
      </c>
      <c r="AB629">
        <f>AVERAGE(U629:Y629)</f>
        <v/>
      </c>
      <c r="AC629">
        <f>MIN(U629:Y629)</f>
        <v/>
      </c>
      <c r="AD629">
        <f>1-alpha*MAX(0,delta-AC629)</f>
        <v/>
      </c>
      <c r="AE629">
        <f>AB629*AD629</f>
        <v/>
      </c>
      <c r="AF629">
        <f>1+COUNTIF(bounds,"&lt;"&amp;ROUND(AB629,12))</f>
        <v/>
      </c>
      <c r="AG629">
        <f>1+COUNTIF(bounds,"&lt;"&amp;ROUND(AE629,12))</f>
        <v/>
      </c>
      <c r="AH629">
        <f>IF(AD629&lt;1,1,0)</f>
        <v/>
      </c>
      <c r="AI629">
        <f>IF(AF629&lt;&gt;AG629,1,0)</f>
        <v/>
      </c>
      <c r="AJ629">
        <f>IF(AND(AG629&gt;=3,Z629&lt;=0.2),1,0)</f>
        <v/>
      </c>
      <c r="AK629">
        <f>AVERAGE(U629:Z629)</f>
        <v/>
      </c>
      <c r="AL629">
        <f>1+COUNTIF(bounds,"&lt;"&amp;ROUND(AK629,12))</f>
        <v/>
      </c>
      <c r="AM629">
        <f>IF(AI629=1,AB629,NA())</f>
        <v/>
      </c>
      <c r="AN629">
        <f>IF(AI629=0,AB629,NA())</f>
        <v/>
      </c>
    </row>
    <row r="630">
      <c r="A630" t="n">
        <v>622</v>
      </c>
      <c r="B630" t="n">
        <v>1</v>
      </c>
      <c r="C630" t="n">
        <v>5</v>
      </c>
      <c r="D630" t="n">
        <v>5</v>
      </c>
      <c r="E630" t="n">
        <v>4</v>
      </c>
      <c r="F630" t="n">
        <v>2</v>
      </c>
      <c r="G630" t="n">
        <v>2</v>
      </c>
      <c r="H630" t="n">
        <v>1</v>
      </c>
      <c r="I630" t="n">
        <v>1</v>
      </c>
      <c r="J630" t="n">
        <v>5</v>
      </c>
      <c r="K630" t="n">
        <v>3</v>
      </c>
      <c r="L630" t="n">
        <v>1</v>
      </c>
      <c r="M630" t="n">
        <v>5</v>
      </c>
      <c r="N630" t="n">
        <v>1</v>
      </c>
      <c r="O630" t="n">
        <v>3</v>
      </c>
      <c r="P630" t="n">
        <v>1</v>
      </c>
      <c r="Q630" t="n">
        <v>2</v>
      </c>
      <c r="R630" t="n">
        <v>4</v>
      </c>
      <c r="S630" t="n">
        <v>5</v>
      </c>
      <c r="T630" t="n">
        <v>4</v>
      </c>
      <c r="U630">
        <f>(AVERAGE(B630:D630)-1)/4</f>
        <v/>
      </c>
      <c r="V630">
        <f>(AVERAGE(E630:F630)-1)/4</f>
        <v/>
      </c>
      <c r="W630">
        <f>(AVERAGE(G630:I630)-1)/4</f>
        <v/>
      </c>
      <c r="X630">
        <f>(AVERAGE(J630:L630)-1)/4</f>
        <v/>
      </c>
      <c r="Y630">
        <f>(AVERAGE(M630:O630)-1)/4</f>
        <v/>
      </c>
      <c r="Z630">
        <f>(AVERAGE(P630:R630)-1)/4</f>
        <v/>
      </c>
      <c r="AA630">
        <f>(AVERAGE(S630:T630)-1)/4</f>
        <v/>
      </c>
      <c r="AB630">
        <f>AVERAGE(U630:Y630)</f>
        <v/>
      </c>
      <c r="AC630">
        <f>MIN(U630:Y630)</f>
        <v/>
      </c>
      <c r="AD630">
        <f>1-alpha*MAX(0,delta-AC630)</f>
        <v/>
      </c>
      <c r="AE630">
        <f>AB630*AD630</f>
        <v/>
      </c>
      <c r="AF630">
        <f>1+COUNTIF(bounds,"&lt;"&amp;ROUND(AB630,12))</f>
        <v/>
      </c>
      <c r="AG630">
        <f>1+COUNTIF(bounds,"&lt;"&amp;ROUND(AE630,12))</f>
        <v/>
      </c>
      <c r="AH630">
        <f>IF(AD630&lt;1,1,0)</f>
        <v/>
      </c>
      <c r="AI630">
        <f>IF(AF630&lt;&gt;AG630,1,0)</f>
        <v/>
      </c>
      <c r="AJ630">
        <f>IF(AND(AG630&gt;=3,Z630&lt;=0.2),1,0)</f>
        <v/>
      </c>
      <c r="AK630">
        <f>AVERAGE(U630:Z630)</f>
        <v/>
      </c>
      <c r="AL630">
        <f>1+COUNTIF(bounds,"&lt;"&amp;ROUND(AK630,12))</f>
        <v/>
      </c>
      <c r="AM630">
        <f>IF(AI630=1,AB630,NA())</f>
        <v/>
      </c>
      <c r="AN630">
        <f>IF(AI630=0,AB630,NA())</f>
        <v/>
      </c>
    </row>
    <row r="631">
      <c r="A631" t="n">
        <v>623</v>
      </c>
      <c r="B631" t="n">
        <v>5</v>
      </c>
      <c r="C631" t="n">
        <v>3</v>
      </c>
      <c r="D631" t="n">
        <v>2</v>
      </c>
      <c r="E631" t="n">
        <v>3</v>
      </c>
      <c r="F631" t="n">
        <v>5</v>
      </c>
      <c r="G631" t="n">
        <v>3</v>
      </c>
      <c r="H631" t="n">
        <v>2</v>
      </c>
      <c r="I631" t="n">
        <v>4</v>
      </c>
      <c r="J631" t="n">
        <v>5</v>
      </c>
      <c r="K631" t="n">
        <v>4</v>
      </c>
      <c r="L631" t="n">
        <v>5</v>
      </c>
      <c r="M631" t="n">
        <v>2</v>
      </c>
      <c r="N631" t="n">
        <v>2</v>
      </c>
      <c r="O631" t="n">
        <v>5</v>
      </c>
      <c r="P631" t="n">
        <v>4</v>
      </c>
      <c r="Q631" t="n">
        <v>1</v>
      </c>
      <c r="R631" t="n">
        <v>5</v>
      </c>
      <c r="S631" t="n">
        <v>1</v>
      </c>
      <c r="T631" t="n">
        <v>1</v>
      </c>
      <c r="U631">
        <f>(AVERAGE(B631:D631)-1)/4</f>
        <v/>
      </c>
      <c r="V631">
        <f>(AVERAGE(E631:F631)-1)/4</f>
        <v/>
      </c>
      <c r="W631">
        <f>(AVERAGE(G631:I631)-1)/4</f>
        <v/>
      </c>
      <c r="X631">
        <f>(AVERAGE(J631:L631)-1)/4</f>
        <v/>
      </c>
      <c r="Y631">
        <f>(AVERAGE(M631:O631)-1)/4</f>
        <v/>
      </c>
      <c r="Z631">
        <f>(AVERAGE(P631:R631)-1)/4</f>
        <v/>
      </c>
      <c r="AA631">
        <f>(AVERAGE(S631:T631)-1)/4</f>
        <v/>
      </c>
      <c r="AB631">
        <f>AVERAGE(U631:Y631)</f>
        <v/>
      </c>
      <c r="AC631">
        <f>MIN(U631:Y631)</f>
        <v/>
      </c>
      <c r="AD631">
        <f>1-alpha*MAX(0,delta-AC631)</f>
        <v/>
      </c>
      <c r="AE631">
        <f>AB631*AD631</f>
        <v/>
      </c>
      <c r="AF631">
        <f>1+COUNTIF(bounds,"&lt;"&amp;ROUND(AB631,12))</f>
        <v/>
      </c>
      <c r="AG631">
        <f>1+COUNTIF(bounds,"&lt;"&amp;ROUND(AE631,12))</f>
        <v/>
      </c>
      <c r="AH631">
        <f>IF(AD631&lt;1,1,0)</f>
        <v/>
      </c>
      <c r="AI631">
        <f>IF(AF631&lt;&gt;AG631,1,0)</f>
        <v/>
      </c>
      <c r="AJ631">
        <f>IF(AND(AG631&gt;=3,Z631&lt;=0.2),1,0)</f>
        <v/>
      </c>
      <c r="AK631">
        <f>AVERAGE(U631:Z631)</f>
        <v/>
      </c>
      <c r="AL631">
        <f>1+COUNTIF(bounds,"&lt;"&amp;ROUND(AK631,12))</f>
        <v/>
      </c>
      <c r="AM631">
        <f>IF(AI631=1,AB631,NA())</f>
        <v/>
      </c>
      <c r="AN631">
        <f>IF(AI631=0,AB631,NA())</f>
        <v/>
      </c>
    </row>
    <row r="632">
      <c r="A632" t="n">
        <v>624</v>
      </c>
      <c r="B632" t="n">
        <v>4</v>
      </c>
      <c r="C632" t="n">
        <v>5</v>
      </c>
      <c r="D632" t="n">
        <v>4</v>
      </c>
      <c r="E632" t="n">
        <v>2</v>
      </c>
      <c r="F632" t="n">
        <v>4</v>
      </c>
      <c r="G632" t="n">
        <v>3</v>
      </c>
      <c r="H632" t="n">
        <v>2</v>
      </c>
      <c r="I632" t="n">
        <v>3</v>
      </c>
      <c r="J632" t="n">
        <v>2</v>
      </c>
      <c r="K632" t="n">
        <v>1</v>
      </c>
      <c r="L632" t="n">
        <v>4</v>
      </c>
      <c r="M632" t="n">
        <v>3</v>
      </c>
      <c r="N632" t="n">
        <v>5</v>
      </c>
      <c r="O632" t="n">
        <v>1</v>
      </c>
      <c r="P632" t="n">
        <v>2</v>
      </c>
      <c r="Q632" t="n">
        <v>4</v>
      </c>
      <c r="R632" t="n">
        <v>2</v>
      </c>
      <c r="S632" t="n">
        <v>2</v>
      </c>
      <c r="T632" t="n">
        <v>1</v>
      </c>
      <c r="U632">
        <f>(AVERAGE(B632:D632)-1)/4</f>
        <v/>
      </c>
      <c r="V632">
        <f>(AVERAGE(E632:F632)-1)/4</f>
        <v/>
      </c>
      <c r="W632">
        <f>(AVERAGE(G632:I632)-1)/4</f>
        <v/>
      </c>
      <c r="X632">
        <f>(AVERAGE(J632:L632)-1)/4</f>
        <v/>
      </c>
      <c r="Y632">
        <f>(AVERAGE(M632:O632)-1)/4</f>
        <v/>
      </c>
      <c r="Z632">
        <f>(AVERAGE(P632:R632)-1)/4</f>
        <v/>
      </c>
      <c r="AA632">
        <f>(AVERAGE(S632:T632)-1)/4</f>
        <v/>
      </c>
      <c r="AB632">
        <f>AVERAGE(U632:Y632)</f>
        <v/>
      </c>
      <c r="AC632">
        <f>MIN(U632:Y632)</f>
        <v/>
      </c>
      <c r="AD632">
        <f>1-alpha*MAX(0,delta-AC632)</f>
        <v/>
      </c>
      <c r="AE632">
        <f>AB632*AD632</f>
        <v/>
      </c>
      <c r="AF632">
        <f>1+COUNTIF(bounds,"&lt;"&amp;ROUND(AB632,12))</f>
        <v/>
      </c>
      <c r="AG632">
        <f>1+COUNTIF(bounds,"&lt;"&amp;ROUND(AE632,12))</f>
        <v/>
      </c>
      <c r="AH632">
        <f>IF(AD632&lt;1,1,0)</f>
        <v/>
      </c>
      <c r="AI632">
        <f>IF(AF632&lt;&gt;AG632,1,0)</f>
        <v/>
      </c>
      <c r="AJ632">
        <f>IF(AND(AG632&gt;=3,Z632&lt;=0.2),1,0)</f>
        <v/>
      </c>
      <c r="AK632">
        <f>AVERAGE(U632:Z632)</f>
        <v/>
      </c>
      <c r="AL632">
        <f>1+COUNTIF(bounds,"&lt;"&amp;ROUND(AK632,12))</f>
        <v/>
      </c>
      <c r="AM632">
        <f>IF(AI632=1,AB632,NA())</f>
        <v/>
      </c>
      <c r="AN632">
        <f>IF(AI632=0,AB632,NA())</f>
        <v/>
      </c>
    </row>
    <row r="633">
      <c r="A633" t="n">
        <v>625</v>
      </c>
      <c r="B633" t="n">
        <v>1</v>
      </c>
      <c r="C633" t="n">
        <v>5</v>
      </c>
      <c r="D633" t="n">
        <v>3</v>
      </c>
      <c r="E633" t="n">
        <v>5</v>
      </c>
      <c r="F633" t="n">
        <v>4</v>
      </c>
      <c r="G633" t="n">
        <v>2</v>
      </c>
      <c r="H633" t="n">
        <v>3</v>
      </c>
      <c r="I633" t="n">
        <v>5</v>
      </c>
      <c r="J633" t="n">
        <v>3</v>
      </c>
      <c r="K633" t="n">
        <v>3</v>
      </c>
      <c r="L633" t="n">
        <v>1</v>
      </c>
      <c r="M633" t="n">
        <v>4</v>
      </c>
      <c r="N633" t="n">
        <v>3</v>
      </c>
      <c r="O633" t="n">
        <v>2</v>
      </c>
      <c r="P633" t="n">
        <v>2</v>
      </c>
      <c r="Q633" t="n">
        <v>4</v>
      </c>
      <c r="R633" t="n">
        <v>1</v>
      </c>
      <c r="S633" t="n">
        <v>5</v>
      </c>
      <c r="T633" t="n">
        <v>5</v>
      </c>
      <c r="U633">
        <f>(AVERAGE(B633:D633)-1)/4</f>
        <v/>
      </c>
      <c r="V633">
        <f>(AVERAGE(E633:F633)-1)/4</f>
        <v/>
      </c>
      <c r="W633">
        <f>(AVERAGE(G633:I633)-1)/4</f>
        <v/>
      </c>
      <c r="X633">
        <f>(AVERAGE(J633:L633)-1)/4</f>
        <v/>
      </c>
      <c r="Y633">
        <f>(AVERAGE(M633:O633)-1)/4</f>
        <v/>
      </c>
      <c r="Z633">
        <f>(AVERAGE(P633:R633)-1)/4</f>
        <v/>
      </c>
      <c r="AA633">
        <f>(AVERAGE(S633:T633)-1)/4</f>
        <v/>
      </c>
      <c r="AB633">
        <f>AVERAGE(U633:Y633)</f>
        <v/>
      </c>
      <c r="AC633">
        <f>MIN(U633:Y633)</f>
        <v/>
      </c>
      <c r="AD633">
        <f>1-alpha*MAX(0,delta-AC633)</f>
        <v/>
      </c>
      <c r="AE633">
        <f>AB633*AD633</f>
        <v/>
      </c>
      <c r="AF633">
        <f>1+COUNTIF(bounds,"&lt;"&amp;ROUND(AB633,12))</f>
        <v/>
      </c>
      <c r="AG633">
        <f>1+COUNTIF(bounds,"&lt;"&amp;ROUND(AE633,12))</f>
        <v/>
      </c>
      <c r="AH633">
        <f>IF(AD633&lt;1,1,0)</f>
        <v/>
      </c>
      <c r="AI633">
        <f>IF(AF633&lt;&gt;AG633,1,0)</f>
        <v/>
      </c>
      <c r="AJ633">
        <f>IF(AND(AG633&gt;=3,Z633&lt;=0.2),1,0)</f>
        <v/>
      </c>
      <c r="AK633">
        <f>AVERAGE(U633:Z633)</f>
        <v/>
      </c>
      <c r="AL633">
        <f>1+COUNTIF(bounds,"&lt;"&amp;ROUND(AK633,12))</f>
        <v/>
      </c>
      <c r="AM633">
        <f>IF(AI633=1,AB633,NA())</f>
        <v/>
      </c>
      <c r="AN633">
        <f>IF(AI633=0,AB633,NA())</f>
        <v/>
      </c>
    </row>
    <row r="634">
      <c r="A634" t="n">
        <v>626</v>
      </c>
      <c r="B634" t="n">
        <v>1</v>
      </c>
      <c r="C634" t="n">
        <v>2</v>
      </c>
      <c r="D634" t="n">
        <v>5</v>
      </c>
      <c r="E634" t="n">
        <v>5</v>
      </c>
      <c r="F634" t="n">
        <v>2</v>
      </c>
      <c r="G634" t="n">
        <v>3</v>
      </c>
      <c r="H634" t="n">
        <v>1</v>
      </c>
      <c r="I634" t="n">
        <v>5</v>
      </c>
      <c r="J634" t="n">
        <v>5</v>
      </c>
      <c r="K634" t="n">
        <v>2</v>
      </c>
      <c r="L634" t="n">
        <v>5</v>
      </c>
      <c r="M634" t="n">
        <v>4</v>
      </c>
      <c r="N634" t="n">
        <v>5</v>
      </c>
      <c r="O634" t="n">
        <v>3</v>
      </c>
      <c r="P634" t="n">
        <v>1</v>
      </c>
      <c r="Q634" t="n">
        <v>2</v>
      </c>
      <c r="R634" t="n">
        <v>3</v>
      </c>
      <c r="S634" t="n">
        <v>3</v>
      </c>
      <c r="T634" t="n">
        <v>1</v>
      </c>
      <c r="U634">
        <f>(AVERAGE(B634:D634)-1)/4</f>
        <v/>
      </c>
      <c r="V634">
        <f>(AVERAGE(E634:F634)-1)/4</f>
        <v/>
      </c>
      <c r="W634">
        <f>(AVERAGE(G634:I634)-1)/4</f>
        <v/>
      </c>
      <c r="X634">
        <f>(AVERAGE(J634:L634)-1)/4</f>
        <v/>
      </c>
      <c r="Y634">
        <f>(AVERAGE(M634:O634)-1)/4</f>
        <v/>
      </c>
      <c r="Z634">
        <f>(AVERAGE(P634:R634)-1)/4</f>
        <v/>
      </c>
      <c r="AA634">
        <f>(AVERAGE(S634:T634)-1)/4</f>
        <v/>
      </c>
      <c r="AB634">
        <f>AVERAGE(U634:Y634)</f>
        <v/>
      </c>
      <c r="AC634">
        <f>MIN(U634:Y634)</f>
        <v/>
      </c>
      <c r="AD634">
        <f>1-alpha*MAX(0,delta-AC634)</f>
        <v/>
      </c>
      <c r="AE634">
        <f>AB634*AD634</f>
        <v/>
      </c>
      <c r="AF634">
        <f>1+COUNTIF(bounds,"&lt;"&amp;ROUND(AB634,12))</f>
        <v/>
      </c>
      <c r="AG634">
        <f>1+COUNTIF(bounds,"&lt;"&amp;ROUND(AE634,12))</f>
        <v/>
      </c>
      <c r="AH634">
        <f>IF(AD634&lt;1,1,0)</f>
        <v/>
      </c>
      <c r="AI634">
        <f>IF(AF634&lt;&gt;AG634,1,0)</f>
        <v/>
      </c>
      <c r="AJ634">
        <f>IF(AND(AG634&gt;=3,Z634&lt;=0.2),1,0)</f>
        <v/>
      </c>
      <c r="AK634">
        <f>AVERAGE(U634:Z634)</f>
        <v/>
      </c>
      <c r="AL634">
        <f>1+COUNTIF(bounds,"&lt;"&amp;ROUND(AK634,12))</f>
        <v/>
      </c>
      <c r="AM634">
        <f>IF(AI634=1,AB634,NA())</f>
        <v/>
      </c>
      <c r="AN634">
        <f>IF(AI634=0,AB634,NA())</f>
        <v/>
      </c>
    </row>
    <row r="635">
      <c r="A635" t="n">
        <v>627</v>
      </c>
      <c r="B635" t="n">
        <v>3</v>
      </c>
      <c r="C635" t="n">
        <v>4</v>
      </c>
      <c r="D635" t="n">
        <v>3</v>
      </c>
      <c r="E635" t="n">
        <v>2</v>
      </c>
      <c r="F635" t="n">
        <v>4</v>
      </c>
      <c r="G635" t="n">
        <v>1</v>
      </c>
      <c r="H635" t="n">
        <v>3</v>
      </c>
      <c r="I635" t="n">
        <v>5</v>
      </c>
      <c r="J635" t="n">
        <v>4</v>
      </c>
      <c r="K635" t="n">
        <v>4</v>
      </c>
      <c r="L635" t="n">
        <v>4</v>
      </c>
      <c r="M635" t="n">
        <v>5</v>
      </c>
      <c r="N635" t="n">
        <v>2</v>
      </c>
      <c r="O635" t="n">
        <v>4</v>
      </c>
      <c r="P635" t="n">
        <v>1</v>
      </c>
      <c r="Q635" t="n">
        <v>1</v>
      </c>
      <c r="R635" t="n">
        <v>4</v>
      </c>
      <c r="S635" t="n">
        <v>3</v>
      </c>
      <c r="T635" t="n">
        <v>3</v>
      </c>
      <c r="U635">
        <f>(AVERAGE(B635:D635)-1)/4</f>
        <v/>
      </c>
      <c r="V635">
        <f>(AVERAGE(E635:F635)-1)/4</f>
        <v/>
      </c>
      <c r="W635">
        <f>(AVERAGE(G635:I635)-1)/4</f>
        <v/>
      </c>
      <c r="X635">
        <f>(AVERAGE(J635:L635)-1)/4</f>
        <v/>
      </c>
      <c r="Y635">
        <f>(AVERAGE(M635:O635)-1)/4</f>
        <v/>
      </c>
      <c r="Z635">
        <f>(AVERAGE(P635:R635)-1)/4</f>
        <v/>
      </c>
      <c r="AA635">
        <f>(AVERAGE(S635:T635)-1)/4</f>
        <v/>
      </c>
      <c r="AB635">
        <f>AVERAGE(U635:Y635)</f>
        <v/>
      </c>
      <c r="AC635">
        <f>MIN(U635:Y635)</f>
        <v/>
      </c>
      <c r="AD635">
        <f>1-alpha*MAX(0,delta-AC635)</f>
        <v/>
      </c>
      <c r="AE635">
        <f>AB635*AD635</f>
        <v/>
      </c>
      <c r="AF635">
        <f>1+COUNTIF(bounds,"&lt;"&amp;ROUND(AB635,12))</f>
        <v/>
      </c>
      <c r="AG635">
        <f>1+COUNTIF(bounds,"&lt;"&amp;ROUND(AE635,12))</f>
        <v/>
      </c>
      <c r="AH635">
        <f>IF(AD635&lt;1,1,0)</f>
        <v/>
      </c>
      <c r="AI635">
        <f>IF(AF635&lt;&gt;AG635,1,0)</f>
        <v/>
      </c>
      <c r="AJ635">
        <f>IF(AND(AG635&gt;=3,Z635&lt;=0.2),1,0)</f>
        <v/>
      </c>
      <c r="AK635">
        <f>AVERAGE(U635:Z635)</f>
        <v/>
      </c>
      <c r="AL635">
        <f>1+COUNTIF(bounds,"&lt;"&amp;ROUND(AK635,12))</f>
        <v/>
      </c>
      <c r="AM635">
        <f>IF(AI635=1,AB635,NA())</f>
        <v/>
      </c>
      <c r="AN635">
        <f>IF(AI635=0,AB635,NA())</f>
        <v/>
      </c>
    </row>
    <row r="636">
      <c r="A636" t="n">
        <v>628</v>
      </c>
      <c r="B636" t="n">
        <v>1</v>
      </c>
      <c r="C636" t="n">
        <v>4</v>
      </c>
      <c r="D636" t="n">
        <v>2</v>
      </c>
      <c r="E636" t="n">
        <v>2</v>
      </c>
      <c r="F636" t="n">
        <v>3</v>
      </c>
      <c r="G636" t="n">
        <v>3</v>
      </c>
      <c r="H636" t="n">
        <v>4</v>
      </c>
      <c r="I636" t="n">
        <v>2</v>
      </c>
      <c r="J636" t="n">
        <v>1</v>
      </c>
      <c r="K636" t="n">
        <v>5</v>
      </c>
      <c r="L636" t="n">
        <v>4</v>
      </c>
      <c r="M636" t="n">
        <v>4</v>
      </c>
      <c r="N636" t="n">
        <v>4</v>
      </c>
      <c r="O636" t="n">
        <v>5</v>
      </c>
      <c r="P636" t="n">
        <v>3</v>
      </c>
      <c r="Q636" t="n">
        <v>4</v>
      </c>
      <c r="R636" t="n">
        <v>3</v>
      </c>
      <c r="S636" t="n">
        <v>2</v>
      </c>
      <c r="T636" t="n">
        <v>2</v>
      </c>
      <c r="U636">
        <f>(AVERAGE(B636:D636)-1)/4</f>
        <v/>
      </c>
      <c r="V636">
        <f>(AVERAGE(E636:F636)-1)/4</f>
        <v/>
      </c>
      <c r="W636">
        <f>(AVERAGE(G636:I636)-1)/4</f>
        <v/>
      </c>
      <c r="X636">
        <f>(AVERAGE(J636:L636)-1)/4</f>
        <v/>
      </c>
      <c r="Y636">
        <f>(AVERAGE(M636:O636)-1)/4</f>
        <v/>
      </c>
      <c r="Z636">
        <f>(AVERAGE(P636:R636)-1)/4</f>
        <v/>
      </c>
      <c r="AA636">
        <f>(AVERAGE(S636:T636)-1)/4</f>
        <v/>
      </c>
      <c r="AB636">
        <f>AVERAGE(U636:Y636)</f>
        <v/>
      </c>
      <c r="AC636">
        <f>MIN(U636:Y636)</f>
        <v/>
      </c>
      <c r="AD636">
        <f>1-alpha*MAX(0,delta-AC636)</f>
        <v/>
      </c>
      <c r="AE636">
        <f>AB636*AD636</f>
        <v/>
      </c>
      <c r="AF636">
        <f>1+COUNTIF(bounds,"&lt;"&amp;ROUND(AB636,12))</f>
        <v/>
      </c>
      <c r="AG636">
        <f>1+COUNTIF(bounds,"&lt;"&amp;ROUND(AE636,12))</f>
        <v/>
      </c>
      <c r="AH636">
        <f>IF(AD636&lt;1,1,0)</f>
        <v/>
      </c>
      <c r="AI636">
        <f>IF(AF636&lt;&gt;AG636,1,0)</f>
        <v/>
      </c>
      <c r="AJ636">
        <f>IF(AND(AG636&gt;=3,Z636&lt;=0.2),1,0)</f>
        <v/>
      </c>
      <c r="AK636">
        <f>AVERAGE(U636:Z636)</f>
        <v/>
      </c>
      <c r="AL636">
        <f>1+COUNTIF(bounds,"&lt;"&amp;ROUND(AK636,12))</f>
        <v/>
      </c>
      <c r="AM636">
        <f>IF(AI636=1,AB636,NA())</f>
        <v/>
      </c>
      <c r="AN636">
        <f>IF(AI636=0,AB636,NA())</f>
        <v/>
      </c>
    </row>
    <row r="637">
      <c r="A637" t="n">
        <v>629</v>
      </c>
      <c r="B637" t="n">
        <v>1</v>
      </c>
      <c r="C637" t="n">
        <v>4</v>
      </c>
      <c r="D637" t="n">
        <v>4</v>
      </c>
      <c r="E637" t="n">
        <v>3</v>
      </c>
      <c r="F637" t="n">
        <v>5</v>
      </c>
      <c r="G637" t="n">
        <v>4</v>
      </c>
      <c r="H637" t="n">
        <v>4</v>
      </c>
      <c r="I637" t="n">
        <v>3</v>
      </c>
      <c r="J637" t="n">
        <v>3</v>
      </c>
      <c r="K637" t="n">
        <v>5</v>
      </c>
      <c r="L637" t="n">
        <v>1</v>
      </c>
      <c r="M637" t="n">
        <v>4</v>
      </c>
      <c r="N637" t="n">
        <v>2</v>
      </c>
      <c r="O637" t="n">
        <v>5</v>
      </c>
      <c r="P637" t="n">
        <v>5</v>
      </c>
      <c r="Q637" t="n">
        <v>3</v>
      </c>
      <c r="R637" t="n">
        <v>2</v>
      </c>
      <c r="S637" t="n">
        <v>2</v>
      </c>
      <c r="T637" t="n">
        <v>1</v>
      </c>
      <c r="U637">
        <f>(AVERAGE(B637:D637)-1)/4</f>
        <v/>
      </c>
      <c r="V637">
        <f>(AVERAGE(E637:F637)-1)/4</f>
        <v/>
      </c>
      <c r="W637">
        <f>(AVERAGE(G637:I637)-1)/4</f>
        <v/>
      </c>
      <c r="X637">
        <f>(AVERAGE(J637:L637)-1)/4</f>
        <v/>
      </c>
      <c r="Y637">
        <f>(AVERAGE(M637:O637)-1)/4</f>
        <v/>
      </c>
      <c r="Z637">
        <f>(AVERAGE(P637:R637)-1)/4</f>
        <v/>
      </c>
      <c r="AA637">
        <f>(AVERAGE(S637:T637)-1)/4</f>
        <v/>
      </c>
      <c r="AB637">
        <f>AVERAGE(U637:Y637)</f>
        <v/>
      </c>
      <c r="AC637">
        <f>MIN(U637:Y637)</f>
        <v/>
      </c>
      <c r="AD637">
        <f>1-alpha*MAX(0,delta-AC637)</f>
        <v/>
      </c>
      <c r="AE637">
        <f>AB637*AD637</f>
        <v/>
      </c>
      <c r="AF637">
        <f>1+COUNTIF(bounds,"&lt;"&amp;ROUND(AB637,12))</f>
        <v/>
      </c>
      <c r="AG637">
        <f>1+COUNTIF(bounds,"&lt;"&amp;ROUND(AE637,12))</f>
        <v/>
      </c>
      <c r="AH637">
        <f>IF(AD637&lt;1,1,0)</f>
        <v/>
      </c>
      <c r="AI637">
        <f>IF(AF637&lt;&gt;AG637,1,0)</f>
        <v/>
      </c>
      <c r="AJ637">
        <f>IF(AND(AG637&gt;=3,Z637&lt;=0.2),1,0)</f>
        <v/>
      </c>
      <c r="AK637">
        <f>AVERAGE(U637:Z637)</f>
        <v/>
      </c>
      <c r="AL637">
        <f>1+COUNTIF(bounds,"&lt;"&amp;ROUND(AK637,12))</f>
        <v/>
      </c>
      <c r="AM637">
        <f>IF(AI637=1,AB637,NA())</f>
        <v/>
      </c>
      <c r="AN637">
        <f>IF(AI637=0,AB637,NA())</f>
        <v/>
      </c>
    </row>
    <row r="638">
      <c r="A638" t="n">
        <v>630</v>
      </c>
      <c r="B638" t="n">
        <v>2</v>
      </c>
      <c r="C638" t="n">
        <v>1</v>
      </c>
      <c r="D638" t="n">
        <v>5</v>
      </c>
      <c r="E638" t="n">
        <v>3</v>
      </c>
      <c r="F638" t="n">
        <v>5</v>
      </c>
      <c r="G638" t="n">
        <v>3</v>
      </c>
      <c r="H638" t="n">
        <v>1</v>
      </c>
      <c r="I638" t="n">
        <v>3</v>
      </c>
      <c r="J638" t="n">
        <v>4</v>
      </c>
      <c r="K638" t="n">
        <v>1</v>
      </c>
      <c r="L638" t="n">
        <v>5</v>
      </c>
      <c r="M638" t="n">
        <v>3</v>
      </c>
      <c r="N638" t="n">
        <v>4</v>
      </c>
      <c r="O638" t="n">
        <v>2</v>
      </c>
      <c r="P638" t="n">
        <v>3</v>
      </c>
      <c r="Q638" t="n">
        <v>2</v>
      </c>
      <c r="R638" t="n">
        <v>1</v>
      </c>
      <c r="S638" t="n">
        <v>2</v>
      </c>
      <c r="T638" t="n">
        <v>5</v>
      </c>
      <c r="U638">
        <f>(AVERAGE(B638:D638)-1)/4</f>
        <v/>
      </c>
      <c r="V638">
        <f>(AVERAGE(E638:F638)-1)/4</f>
        <v/>
      </c>
      <c r="W638">
        <f>(AVERAGE(G638:I638)-1)/4</f>
        <v/>
      </c>
      <c r="X638">
        <f>(AVERAGE(J638:L638)-1)/4</f>
        <v/>
      </c>
      <c r="Y638">
        <f>(AVERAGE(M638:O638)-1)/4</f>
        <v/>
      </c>
      <c r="Z638">
        <f>(AVERAGE(P638:R638)-1)/4</f>
        <v/>
      </c>
      <c r="AA638">
        <f>(AVERAGE(S638:T638)-1)/4</f>
        <v/>
      </c>
      <c r="AB638">
        <f>AVERAGE(U638:Y638)</f>
        <v/>
      </c>
      <c r="AC638">
        <f>MIN(U638:Y638)</f>
        <v/>
      </c>
      <c r="AD638">
        <f>1-alpha*MAX(0,delta-AC638)</f>
        <v/>
      </c>
      <c r="AE638">
        <f>AB638*AD638</f>
        <v/>
      </c>
      <c r="AF638">
        <f>1+COUNTIF(bounds,"&lt;"&amp;ROUND(AB638,12))</f>
        <v/>
      </c>
      <c r="AG638">
        <f>1+COUNTIF(bounds,"&lt;"&amp;ROUND(AE638,12))</f>
        <v/>
      </c>
      <c r="AH638">
        <f>IF(AD638&lt;1,1,0)</f>
        <v/>
      </c>
      <c r="AI638">
        <f>IF(AF638&lt;&gt;AG638,1,0)</f>
        <v/>
      </c>
      <c r="AJ638">
        <f>IF(AND(AG638&gt;=3,Z638&lt;=0.2),1,0)</f>
        <v/>
      </c>
      <c r="AK638">
        <f>AVERAGE(U638:Z638)</f>
        <v/>
      </c>
      <c r="AL638">
        <f>1+COUNTIF(bounds,"&lt;"&amp;ROUND(AK638,12))</f>
        <v/>
      </c>
      <c r="AM638">
        <f>IF(AI638=1,AB638,NA())</f>
        <v/>
      </c>
      <c r="AN638">
        <f>IF(AI638=0,AB638,NA())</f>
        <v/>
      </c>
    </row>
    <row r="639">
      <c r="A639" t="n">
        <v>631</v>
      </c>
      <c r="B639" t="n">
        <v>4</v>
      </c>
      <c r="C639" t="n">
        <v>1</v>
      </c>
      <c r="D639" t="n">
        <v>4</v>
      </c>
      <c r="E639" t="n">
        <v>1</v>
      </c>
      <c r="F639" t="n">
        <v>4</v>
      </c>
      <c r="G639" t="n">
        <v>3</v>
      </c>
      <c r="H639" t="n">
        <v>4</v>
      </c>
      <c r="I639" t="n">
        <v>5</v>
      </c>
      <c r="J639" t="n">
        <v>4</v>
      </c>
      <c r="K639" t="n">
        <v>2</v>
      </c>
      <c r="L639" t="n">
        <v>2</v>
      </c>
      <c r="M639" t="n">
        <v>5</v>
      </c>
      <c r="N639" t="n">
        <v>4</v>
      </c>
      <c r="O639" t="n">
        <v>3</v>
      </c>
      <c r="P639" t="n">
        <v>2</v>
      </c>
      <c r="Q639" t="n">
        <v>5</v>
      </c>
      <c r="R639" t="n">
        <v>4</v>
      </c>
      <c r="S639" t="n">
        <v>5</v>
      </c>
      <c r="T639" t="n">
        <v>5</v>
      </c>
      <c r="U639">
        <f>(AVERAGE(B639:D639)-1)/4</f>
        <v/>
      </c>
      <c r="V639">
        <f>(AVERAGE(E639:F639)-1)/4</f>
        <v/>
      </c>
      <c r="W639">
        <f>(AVERAGE(G639:I639)-1)/4</f>
        <v/>
      </c>
      <c r="X639">
        <f>(AVERAGE(J639:L639)-1)/4</f>
        <v/>
      </c>
      <c r="Y639">
        <f>(AVERAGE(M639:O639)-1)/4</f>
        <v/>
      </c>
      <c r="Z639">
        <f>(AVERAGE(P639:R639)-1)/4</f>
        <v/>
      </c>
      <c r="AA639">
        <f>(AVERAGE(S639:T639)-1)/4</f>
        <v/>
      </c>
      <c r="AB639">
        <f>AVERAGE(U639:Y639)</f>
        <v/>
      </c>
      <c r="AC639">
        <f>MIN(U639:Y639)</f>
        <v/>
      </c>
      <c r="AD639">
        <f>1-alpha*MAX(0,delta-AC639)</f>
        <v/>
      </c>
      <c r="AE639">
        <f>AB639*AD639</f>
        <v/>
      </c>
      <c r="AF639">
        <f>1+COUNTIF(bounds,"&lt;"&amp;ROUND(AB639,12))</f>
        <v/>
      </c>
      <c r="AG639">
        <f>1+COUNTIF(bounds,"&lt;"&amp;ROUND(AE639,12))</f>
        <v/>
      </c>
      <c r="AH639">
        <f>IF(AD639&lt;1,1,0)</f>
        <v/>
      </c>
      <c r="AI639">
        <f>IF(AF639&lt;&gt;AG639,1,0)</f>
        <v/>
      </c>
      <c r="AJ639">
        <f>IF(AND(AG639&gt;=3,Z639&lt;=0.2),1,0)</f>
        <v/>
      </c>
      <c r="AK639">
        <f>AVERAGE(U639:Z639)</f>
        <v/>
      </c>
      <c r="AL639">
        <f>1+COUNTIF(bounds,"&lt;"&amp;ROUND(AK639,12))</f>
        <v/>
      </c>
      <c r="AM639">
        <f>IF(AI639=1,AB639,NA())</f>
        <v/>
      </c>
      <c r="AN639">
        <f>IF(AI639=0,AB639,NA())</f>
        <v/>
      </c>
    </row>
    <row r="640">
      <c r="A640" t="n">
        <v>632</v>
      </c>
      <c r="B640" t="n">
        <v>2</v>
      </c>
      <c r="C640" t="n">
        <v>4</v>
      </c>
      <c r="D640" t="n">
        <v>5</v>
      </c>
      <c r="E640" t="n">
        <v>4</v>
      </c>
      <c r="F640" t="n">
        <v>2</v>
      </c>
      <c r="G640" t="n">
        <v>2</v>
      </c>
      <c r="H640" t="n">
        <v>4</v>
      </c>
      <c r="I640" t="n">
        <v>5</v>
      </c>
      <c r="J640" t="n">
        <v>3</v>
      </c>
      <c r="K640" t="n">
        <v>5</v>
      </c>
      <c r="L640" t="n">
        <v>3</v>
      </c>
      <c r="M640" t="n">
        <v>5</v>
      </c>
      <c r="N640" t="n">
        <v>3</v>
      </c>
      <c r="O640" t="n">
        <v>5</v>
      </c>
      <c r="P640" t="n">
        <v>3</v>
      </c>
      <c r="Q640" t="n">
        <v>2</v>
      </c>
      <c r="R640" t="n">
        <v>2</v>
      </c>
      <c r="S640" t="n">
        <v>5</v>
      </c>
      <c r="T640" t="n">
        <v>3</v>
      </c>
      <c r="U640">
        <f>(AVERAGE(B640:D640)-1)/4</f>
        <v/>
      </c>
      <c r="V640">
        <f>(AVERAGE(E640:F640)-1)/4</f>
        <v/>
      </c>
      <c r="W640">
        <f>(AVERAGE(G640:I640)-1)/4</f>
        <v/>
      </c>
      <c r="X640">
        <f>(AVERAGE(J640:L640)-1)/4</f>
        <v/>
      </c>
      <c r="Y640">
        <f>(AVERAGE(M640:O640)-1)/4</f>
        <v/>
      </c>
      <c r="Z640">
        <f>(AVERAGE(P640:R640)-1)/4</f>
        <v/>
      </c>
      <c r="AA640">
        <f>(AVERAGE(S640:T640)-1)/4</f>
        <v/>
      </c>
      <c r="AB640">
        <f>AVERAGE(U640:Y640)</f>
        <v/>
      </c>
      <c r="AC640">
        <f>MIN(U640:Y640)</f>
        <v/>
      </c>
      <c r="AD640">
        <f>1-alpha*MAX(0,delta-AC640)</f>
        <v/>
      </c>
      <c r="AE640">
        <f>AB640*AD640</f>
        <v/>
      </c>
      <c r="AF640">
        <f>1+COUNTIF(bounds,"&lt;"&amp;ROUND(AB640,12))</f>
        <v/>
      </c>
      <c r="AG640">
        <f>1+COUNTIF(bounds,"&lt;"&amp;ROUND(AE640,12))</f>
        <v/>
      </c>
      <c r="AH640">
        <f>IF(AD640&lt;1,1,0)</f>
        <v/>
      </c>
      <c r="AI640">
        <f>IF(AF640&lt;&gt;AG640,1,0)</f>
        <v/>
      </c>
      <c r="AJ640">
        <f>IF(AND(AG640&gt;=3,Z640&lt;=0.2),1,0)</f>
        <v/>
      </c>
      <c r="AK640">
        <f>AVERAGE(U640:Z640)</f>
        <v/>
      </c>
      <c r="AL640">
        <f>1+COUNTIF(bounds,"&lt;"&amp;ROUND(AK640,12))</f>
        <v/>
      </c>
      <c r="AM640">
        <f>IF(AI640=1,AB640,NA())</f>
        <v/>
      </c>
      <c r="AN640">
        <f>IF(AI640=0,AB640,NA())</f>
        <v/>
      </c>
    </row>
    <row r="641">
      <c r="A641" t="n">
        <v>633</v>
      </c>
      <c r="B641" t="n">
        <v>1</v>
      </c>
      <c r="C641" t="n">
        <v>3</v>
      </c>
      <c r="D641" t="n">
        <v>4</v>
      </c>
      <c r="E641" t="n">
        <v>1</v>
      </c>
      <c r="F641" t="n">
        <v>3</v>
      </c>
      <c r="G641" t="n">
        <v>2</v>
      </c>
      <c r="H641" t="n">
        <v>1</v>
      </c>
      <c r="I641" t="n">
        <v>5</v>
      </c>
      <c r="J641" t="n">
        <v>3</v>
      </c>
      <c r="K641" t="n">
        <v>5</v>
      </c>
      <c r="L641" t="n">
        <v>1</v>
      </c>
      <c r="M641" t="n">
        <v>1</v>
      </c>
      <c r="N641" t="n">
        <v>1</v>
      </c>
      <c r="O641" t="n">
        <v>3</v>
      </c>
      <c r="P641" t="n">
        <v>4</v>
      </c>
      <c r="Q641" t="n">
        <v>2</v>
      </c>
      <c r="R641" t="n">
        <v>1</v>
      </c>
      <c r="S641" t="n">
        <v>1</v>
      </c>
      <c r="T641" t="n">
        <v>3</v>
      </c>
      <c r="U641">
        <f>(AVERAGE(B641:D641)-1)/4</f>
        <v/>
      </c>
      <c r="V641">
        <f>(AVERAGE(E641:F641)-1)/4</f>
        <v/>
      </c>
      <c r="W641">
        <f>(AVERAGE(G641:I641)-1)/4</f>
        <v/>
      </c>
      <c r="X641">
        <f>(AVERAGE(J641:L641)-1)/4</f>
        <v/>
      </c>
      <c r="Y641">
        <f>(AVERAGE(M641:O641)-1)/4</f>
        <v/>
      </c>
      <c r="Z641">
        <f>(AVERAGE(P641:R641)-1)/4</f>
        <v/>
      </c>
      <c r="AA641">
        <f>(AVERAGE(S641:T641)-1)/4</f>
        <v/>
      </c>
      <c r="AB641">
        <f>AVERAGE(U641:Y641)</f>
        <v/>
      </c>
      <c r="AC641">
        <f>MIN(U641:Y641)</f>
        <v/>
      </c>
      <c r="AD641">
        <f>1-alpha*MAX(0,delta-AC641)</f>
        <v/>
      </c>
      <c r="AE641">
        <f>AB641*AD641</f>
        <v/>
      </c>
      <c r="AF641">
        <f>1+COUNTIF(bounds,"&lt;"&amp;ROUND(AB641,12))</f>
        <v/>
      </c>
      <c r="AG641">
        <f>1+COUNTIF(bounds,"&lt;"&amp;ROUND(AE641,12))</f>
        <v/>
      </c>
      <c r="AH641">
        <f>IF(AD641&lt;1,1,0)</f>
        <v/>
      </c>
      <c r="AI641">
        <f>IF(AF641&lt;&gt;AG641,1,0)</f>
        <v/>
      </c>
      <c r="AJ641">
        <f>IF(AND(AG641&gt;=3,Z641&lt;=0.2),1,0)</f>
        <v/>
      </c>
      <c r="AK641">
        <f>AVERAGE(U641:Z641)</f>
        <v/>
      </c>
      <c r="AL641">
        <f>1+COUNTIF(bounds,"&lt;"&amp;ROUND(AK641,12))</f>
        <v/>
      </c>
      <c r="AM641">
        <f>IF(AI641=1,AB641,NA())</f>
        <v/>
      </c>
      <c r="AN641">
        <f>IF(AI641=0,AB641,NA())</f>
        <v/>
      </c>
    </row>
    <row r="642">
      <c r="A642" t="n">
        <v>634</v>
      </c>
      <c r="B642" t="n">
        <v>5</v>
      </c>
      <c r="C642" t="n">
        <v>4</v>
      </c>
      <c r="D642" t="n">
        <v>4</v>
      </c>
      <c r="E642" t="n">
        <v>3</v>
      </c>
      <c r="F642" t="n">
        <v>3</v>
      </c>
      <c r="G642" t="n">
        <v>1</v>
      </c>
      <c r="H642" t="n">
        <v>4</v>
      </c>
      <c r="I642" t="n">
        <v>3</v>
      </c>
      <c r="J642" t="n">
        <v>3</v>
      </c>
      <c r="K642" t="n">
        <v>1</v>
      </c>
      <c r="L642" t="n">
        <v>5</v>
      </c>
      <c r="M642" t="n">
        <v>5</v>
      </c>
      <c r="N642" t="n">
        <v>2</v>
      </c>
      <c r="O642" t="n">
        <v>1</v>
      </c>
      <c r="P642" t="n">
        <v>3</v>
      </c>
      <c r="Q642" t="n">
        <v>3</v>
      </c>
      <c r="R642" t="n">
        <v>4</v>
      </c>
      <c r="S642" t="n">
        <v>4</v>
      </c>
      <c r="T642" t="n">
        <v>2</v>
      </c>
      <c r="U642">
        <f>(AVERAGE(B642:D642)-1)/4</f>
        <v/>
      </c>
      <c r="V642">
        <f>(AVERAGE(E642:F642)-1)/4</f>
        <v/>
      </c>
      <c r="W642">
        <f>(AVERAGE(G642:I642)-1)/4</f>
        <v/>
      </c>
      <c r="X642">
        <f>(AVERAGE(J642:L642)-1)/4</f>
        <v/>
      </c>
      <c r="Y642">
        <f>(AVERAGE(M642:O642)-1)/4</f>
        <v/>
      </c>
      <c r="Z642">
        <f>(AVERAGE(P642:R642)-1)/4</f>
        <v/>
      </c>
      <c r="AA642">
        <f>(AVERAGE(S642:T642)-1)/4</f>
        <v/>
      </c>
      <c r="AB642">
        <f>AVERAGE(U642:Y642)</f>
        <v/>
      </c>
      <c r="AC642">
        <f>MIN(U642:Y642)</f>
        <v/>
      </c>
      <c r="AD642">
        <f>1-alpha*MAX(0,delta-AC642)</f>
        <v/>
      </c>
      <c r="AE642">
        <f>AB642*AD642</f>
        <v/>
      </c>
      <c r="AF642">
        <f>1+COUNTIF(bounds,"&lt;"&amp;ROUND(AB642,12))</f>
        <v/>
      </c>
      <c r="AG642">
        <f>1+COUNTIF(bounds,"&lt;"&amp;ROUND(AE642,12))</f>
        <v/>
      </c>
      <c r="AH642">
        <f>IF(AD642&lt;1,1,0)</f>
        <v/>
      </c>
      <c r="AI642">
        <f>IF(AF642&lt;&gt;AG642,1,0)</f>
        <v/>
      </c>
      <c r="AJ642">
        <f>IF(AND(AG642&gt;=3,Z642&lt;=0.2),1,0)</f>
        <v/>
      </c>
      <c r="AK642">
        <f>AVERAGE(U642:Z642)</f>
        <v/>
      </c>
      <c r="AL642">
        <f>1+COUNTIF(bounds,"&lt;"&amp;ROUND(AK642,12))</f>
        <v/>
      </c>
      <c r="AM642">
        <f>IF(AI642=1,AB642,NA())</f>
        <v/>
      </c>
      <c r="AN642">
        <f>IF(AI642=0,AB642,NA())</f>
        <v/>
      </c>
    </row>
    <row r="643">
      <c r="A643" t="n">
        <v>635</v>
      </c>
      <c r="B643" t="n">
        <v>5</v>
      </c>
      <c r="C643" t="n">
        <v>1</v>
      </c>
      <c r="D643" t="n">
        <v>4</v>
      </c>
      <c r="E643" t="n">
        <v>2</v>
      </c>
      <c r="F643" t="n">
        <v>3</v>
      </c>
      <c r="G643" t="n">
        <v>3</v>
      </c>
      <c r="H643" t="n">
        <v>2</v>
      </c>
      <c r="I643" t="n">
        <v>1</v>
      </c>
      <c r="J643" t="n">
        <v>1</v>
      </c>
      <c r="K643" t="n">
        <v>3</v>
      </c>
      <c r="L643" t="n">
        <v>3</v>
      </c>
      <c r="M643" t="n">
        <v>4</v>
      </c>
      <c r="N643" t="n">
        <v>4</v>
      </c>
      <c r="O643" t="n">
        <v>5</v>
      </c>
      <c r="P643" t="n">
        <v>1</v>
      </c>
      <c r="Q643" t="n">
        <v>2</v>
      </c>
      <c r="R643" t="n">
        <v>5</v>
      </c>
      <c r="S643" t="n">
        <v>2</v>
      </c>
      <c r="T643" t="n">
        <v>3</v>
      </c>
      <c r="U643">
        <f>(AVERAGE(B643:D643)-1)/4</f>
        <v/>
      </c>
      <c r="V643">
        <f>(AVERAGE(E643:F643)-1)/4</f>
        <v/>
      </c>
      <c r="W643">
        <f>(AVERAGE(G643:I643)-1)/4</f>
        <v/>
      </c>
      <c r="X643">
        <f>(AVERAGE(J643:L643)-1)/4</f>
        <v/>
      </c>
      <c r="Y643">
        <f>(AVERAGE(M643:O643)-1)/4</f>
        <v/>
      </c>
      <c r="Z643">
        <f>(AVERAGE(P643:R643)-1)/4</f>
        <v/>
      </c>
      <c r="AA643">
        <f>(AVERAGE(S643:T643)-1)/4</f>
        <v/>
      </c>
      <c r="AB643">
        <f>AVERAGE(U643:Y643)</f>
        <v/>
      </c>
      <c r="AC643">
        <f>MIN(U643:Y643)</f>
        <v/>
      </c>
      <c r="AD643">
        <f>1-alpha*MAX(0,delta-AC643)</f>
        <v/>
      </c>
      <c r="AE643">
        <f>AB643*AD643</f>
        <v/>
      </c>
      <c r="AF643">
        <f>1+COUNTIF(bounds,"&lt;"&amp;ROUND(AB643,12))</f>
        <v/>
      </c>
      <c r="AG643">
        <f>1+COUNTIF(bounds,"&lt;"&amp;ROUND(AE643,12))</f>
        <v/>
      </c>
      <c r="AH643">
        <f>IF(AD643&lt;1,1,0)</f>
        <v/>
      </c>
      <c r="AI643">
        <f>IF(AF643&lt;&gt;AG643,1,0)</f>
        <v/>
      </c>
      <c r="AJ643">
        <f>IF(AND(AG643&gt;=3,Z643&lt;=0.2),1,0)</f>
        <v/>
      </c>
      <c r="AK643">
        <f>AVERAGE(U643:Z643)</f>
        <v/>
      </c>
      <c r="AL643">
        <f>1+COUNTIF(bounds,"&lt;"&amp;ROUND(AK643,12))</f>
        <v/>
      </c>
      <c r="AM643">
        <f>IF(AI643=1,AB643,NA())</f>
        <v/>
      </c>
      <c r="AN643">
        <f>IF(AI643=0,AB643,NA())</f>
        <v/>
      </c>
    </row>
    <row r="644">
      <c r="A644" t="n">
        <v>636</v>
      </c>
      <c r="B644" t="n">
        <v>4</v>
      </c>
      <c r="C644" t="n">
        <v>2</v>
      </c>
      <c r="D644" t="n">
        <v>3</v>
      </c>
      <c r="E644" t="n">
        <v>4</v>
      </c>
      <c r="F644" t="n">
        <v>1</v>
      </c>
      <c r="G644" t="n">
        <v>3</v>
      </c>
      <c r="H644" t="n">
        <v>1</v>
      </c>
      <c r="I644" t="n">
        <v>2</v>
      </c>
      <c r="J644" t="n">
        <v>5</v>
      </c>
      <c r="K644" t="n">
        <v>5</v>
      </c>
      <c r="L644" t="n">
        <v>3</v>
      </c>
      <c r="M644" t="n">
        <v>1</v>
      </c>
      <c r="N644" t="n">
        <v>4</v>
      </c>
      <c r="O644" t="n">
        <v>4</v>
      </c>
      <c r="P644" t="n">
        <v>4</v>
      </c>
      <c r="Q644" t="n">
        <v>1</v>
      </c>
      <c r="R644" t="n">
        <v>2</v>
      </c>
      <c r="S644" t="n">
        <v>1</v>
      </c>
      <c r="T644" t="n">
        <v>2</v>
      </c>
      <c r="U644">
        <f>(AVERAGE(B644:D644)-1)/4</f>
        <v/>
      </c>
      <c r="V644">
        <f>(AVERAGE(E644:F644)-1)/4</f>
        <v/>
      </c>
      <c r="W644">
        <f>(AVERAGE(G644:I644)-1)/4</f>
        <v/>
      </c>
      <c r="X644">
        <f>(AVERAGE(J644:L644)-1)/4</f>
        <v/>
      </c>
      <c r="Y644">
        <f>(AVERAGE(M644:O644)-1)/4</f>
        <v/>
      </c>
      <c r="Z644">
        <f>(AVERAGE(P644:R644)-1)/4</f>
        <v/>
      </c>
      <c r="AA644">
        <f>(AVERAGE(S644:T644)-1)/4</f>
        <v/>
      </c>
      <c r="AB644">
        <f>AVERAGE(U644:Y644)</f>
        <v/>
      </c>
      <c r="AC644">
        <f>MIN(U644:Y644)</f>
        <v/>
      </c>
      <c r="AD644">
        <f>1-alpha*MAX(0,delta-AC644)</f>
        <v/>
      </c>
      <c r="AE644">
        <f>AB644*AD644</f>
        <v/>
      </c>
      <c r="AF644">
        <f>1+COUNTIF(bounds,"&lt;"&amp;ROUND(AB644,12))</f>
        <v/>
      </c>
      <c r="AG644">
        <f>1+COUNTIF(bounds,"&lt;"&amp;ROUND(AE644,12))</f>
        <v/>
      </c>
      <c r="AH644">
        <f>IF(AD644&lt;1,1,0)</f>
        <v/>
      </c>
      <c r="AI644">
        <f>IF(AF644&lt;&gt;AG644,1,0)</f>
        <v/>
      </c>
      <c r="AJ644">
        <f>IF(AND(AG644&gt;=3,Z644&lt;=0.2),1,0)</f>
        <v/>
      </c>
      <c r="AK644">
        <f>AVERAGE(U644:Z644)</f>
        <v/>
      </c>
      <c r="AL644">
        <f>1+COUNTIF(bounds,"&lt;"&amp;ROUND(AK644,12))</f>
        <v/>
      </c>
      <c r="AM644">
        <f>IF(AI644=1,AB644,NA())</f>
        <v/>
      </c>
      <c r="AN644">
        <f>IF(AI644=0,AB644,NA())</f>
        <v/>
      </c>
    </row>
    <row r="645">
      <c r="A645" t="n">
        <v>637</v>
      </c>
      <c r="B645" t="n">
        <v>3</v>
      </c>
      <c r="C645" t="n">
        <v>1</v>
      </c>
      <c r="D645" t="n">
        <v>2</v>
      </c>
      <c r="E645" t="n">
        <v>1</v>
      </c>
      <c r="F645" t="n">
        <v>1</v>
      </c>
      <c r="G645" t="n">
        <v>2</v>
      </c>
      <c r="H645" t="n">
        <v>4</v>
      </c>
      <c r="I645" t="n">
        <v>5</v>
      </c>
      <c r="J645" t="n">
        <v>5</v>
      </c>
      <c r="K645" t="n">
        <v>4</v>
      </c>
      <c r="L645" t="n">
        <v>1</v>
      </c>
      <c r="M645" t="n">
        <v>4</v>
      </c>
      <c r="N645" t="n">
        <v>5</v>
      </c>
      <c r="O645" t="n">
        <v>3</v>
      </c>
      <c r="P645" t="n">
        <v>4</v>
      </c>
      <c r="Q645" t="n">
        <v>3</v>
      </c>
      <c r="R645" t="n">
        <v>2</v>
      </c>
      <c r="S645" t="n">
        <v>2</v>
      </c>
      <c r="T645" t="n">
        <v>1</v>
      </c>
      <c r="U645">
        <f>(AVERAGE(B645:D645)-1)/4</f>
        <v/>
      </c>
      <c r="V645">
        <f>(AVERAGE(E645:F645)-1)/4</f>
        <v/>
      </c>
      <c r="W645">
        <f>(AVERAGE(G645:I645)-1)/4</f>
        <v/>
      </c>
      <c r="X645">
        <f>(AVERAGE(J645:L645)-1)/4</f>
        <v/>
      </c>
      <c r="Y645">
        <f>(AVERAGE(M645:O645)-1)/4</f>
        <v/>
      </c>
      <c r="Z645">
        <f>(AVERAGE(P645:R645)-1)/4</f>
        <v/>
      </c>
      <c r="AA645">
        <f>(AVERAGE(S645:T645)-1)/4</f>
        <v/>
      </c>
      <c r="AB645">
        <f>AVERAGE(U645:Y645)</f>
        <v/>
      </c>
      <c r="AC645">
        <f>MIN(U645:Y645)</f>
        <v/>
      </c>
      <c r="AD645">
        <f>1-alpha*MAX(0,delta-AC645)</f>
        <v/>
      </c>
      <c r="AE645">
        <f>AB645*AD645</f>
        <v/>
      </c>
      <c r="AF645">
        <f>1+COUNTIF(bounds,"&lt;"&amp;ROUND(AB645,12))</f>
        <v/>
      </c>
      <c r="AG645">
        <f>1+COUNTIF(bounds,"&lt;"&amp;ROUND(AE645,12))</f>
        <v/>
      </c>
      <c r="AH645">
        <f>IF(AD645&lt;1,1,0)</f>
        <v/>
      </c>
      <c r="AI645">
        <f>IF(AF645&lt;&gt;AG645,1,0)</f>
        <v/>
      </c>
      <c r="AJ645">
        <f>IF(AND(AG645&gt;=3,Z645&lt;=0.2),1,0)</f>
        <v/>
      </c>
      <c r="AK645">
        <f>AVERAGE(U645:Z645)</f>
        <v/>
      </c>
      <c r="AL645">
        <f>1+COUNTIF(bounds,"&lt;"&amp;ROUND(AK645,12))</f>
        <v/>
      </c>
      <c r="AM645">
        <f>IF(AI645=1,AB645,NA())</f>
        <v/>
      </c>
      <c r="AN645">
        <f>IF(AI645=0,AB645,NA())</f>
        <v/>
      </c>
    </row>
    <row r="646">
      <c r="A646" t="n">
        <v>638</v>
      </c>
      <c r="B646" t="n">
        <v>1</v>
      </c>
      <c r="C646" t="n">
        <v>4</v>
      </c>
      <c r="D646" t="n">
        <v>5</v>
      </c>
      <c r="E646" t="n">
        <v>5</v>
      </c>
      <c r="F646" t="n">
        <v>4</v>
      </c>
      <c r="G646" t="n">
        <v>5</v>
      </c>
      <c r="H646" t="n">
        <v>5</v>
      </c>
      <c r="I646" t="n">
        <v>3</v>
      </c>
      <c r="J646" t="n">
        <v>2</v>
      </c>
      <c r="K646" t="n">
        <v>3</v>
      </c>
      <c r="L646" t="n">
        <v>4</v>
      </c>
      <c r="M646" t="n">
        <v>3</v>
      </c>
      <c r="N646" t="n">
        <v>1</v>
      </c>
      <c r="O646" t="n">
        <v>3</v>
      </c>
      <c r="P646" t="n">
        <v>4</v>
      </c>
      <c r="Q646" t="n">
        <v>1</v>
      </c>
      <c r="R646" t="n">
        <v>5</v>
      </c>
      <c r="S646" t="n">
        <v>3</v>
      </c>
      <c r="T646" t="n">
        <v>2</v>
      </c>
      <c r="U646">
        <f>(AVERAGE(B646:D646)-1)/4</f>
        <v/>
      </c>
      <c r="V646">
        <f>(AVERAGE(E646:F646)-1)/4</f>
        <v/>
      </c>
      <c r="W646">
        <f>(AVERAGE(G646:I646)-1)/4</f>
        <v/>
      </c>
      <c r="X646">
        <f>(AVERAGE(J646:L646)-1)/4</f>
        <v/>
      </c>
      <c r="Y646">
        <f>(AVERAGE(M646:O646)-1)/4</f>
        <v/>
      </c>
      <c r="Z646">
        <f>(AVERAGE(P646:R646)-1)/4</f>
        <v/>
      </c>
      <c r="AA646">
        <f>(AVERAGE(S646:T646)-1)/4</f>
        <v/>
      </c>
      <c r="AB646">
        <f>AVERAGE(U646:Y646)</f>
        <v/>
      </c>
      <c r="AC646">
        <f>MIN(U646:Y646)</f>
        <v/>
      </c>
      <c r="AD646">
        <f>1-alpha*MAX(0,delta-AC646)</f>
        <v/>
      </c>
      <c r="AE646">
        <f>AB646*AD646</f>
        <v/>
      </c>
      <c r="AF646">
        <f>1+COUNTIF(bounds,"&lt;"&amp;ROUND(AB646,12))</f>
        <v/>
      </c>
      <c r="AG646">
        <f>1+COUNTIF(bounds,"&lt;"&amp;ROUND(AE646,12))</f>
        <v/>
      </c>
      <c r="AH646">
        <f>IF(AD646&lt;1,1,0)</f>
        <v/>
      </c>
      <c r="AI646">
        <f>IF(AF646&lt;&gt;AG646,1,0)</f>
        <v/>
      </c>
      <c r="AJ646">
        <f>IF(AND(AG646&gt;=3,Z646&lt;=0.2),1,0)</f>
        <v/>
      </c>
      <c r="AK646">
        <f>AVERAGE(U646:Z646)</f>
        <v/>
      </c>
      <c r="AL646">
        <f>1+COUNTIF(bounds,"&lt;"&amp;ROUND(AK646,12))</f>
        <v/>
      </c>
      <c r="AM646">
        <f>IF(AI646=1,AB646,NA())</f>
        <v/>
      </c>
      <c r="AN646">
        <f>IF(AI646=0,AB646,NA())</f>
        <v/>
      </c>
    </row>
    <row r="647">
      <c r="A647" t="n">
        <v>639</v>
      </c>
      <c r="B647" t="n">
        <v>1</v>
      </c>
      <c r="C647" t="n">
        <v>5</v>
      </c>
      <c r="D647" t="n">
        <v>2</v>
      </c>
      <c r="E647" t="n">
        <v>5</v>
      </c>
      <c r="F647" t="n">
        <v>4</v>
      </c>
      <c r="G647" t="n">
        <v>1</v>
      </c>
      <c r="H647" t="n">
        <v>2</v>
      </c>
      <c r="I647" t="n">
        <v>1</v>
      </c>
      <c r="J647" t="n">
        <v>1</v>
      </c>
      <c r="K647" t="n">
        <v>2</v>
      </c>
      <c r="L647" t="n">
        <v>3</v>
      </c>
      <c r="M647" t="n">
        <v>2</v>
      </c>
      <c r="N647" t="n">
        <v>2</v>
      </c>
      <c r="O647" t="n">
        <v>3</v>
      </c>
      <c r="P647" t="n">
        <v>2</v>
      </c>
      <c r="Q647" t="n">
        <v>4</v>
      </c>
      <c r="R647" t="n">
        <v>3</v>
      </c>
      <c r="S647" t="n">
        <v>1</v>
      </c>
      <c r="T647" t="n">
        <v>3</v>
      </c>
      <c r="U647">
        <f>(AVERAGE(B647:D647)-1)/4</f>
        <v/>
      </c>
      <c r="V647">
        <f>(AVERAGE(E647:F647)-1)/4</f>
        <v/>
      </c>
      <c r="W647">
        <f>(AVERAGE(G647:I647)-1)/4</f>
        <v/>
      </c>
      <c r="X647">
        <f>(AVERAGE(J647:L647)-1)/4</f>
        <v/>
      </c>
      <c r="Y647">
        <f>(AVERAGE(M647:O647)-1)/4</f>
        <v/>
      </c>
      <c r="Z647">
        <f>(AVERAGE(P647:R647)-1)/4</f>
        <v/>
      </c>
      <c r="AA647">
        <f>(AVERAGE(S647:T647)-1)/4</f>
        <v/>
      </c>
      <c r="AB647">
        <f>AVERAGE(U647:Y647)</f>
        <v/>
      </c>
      <c r="AC647">
        <f>MIN(U647:Y647)</f>
        <v/>
      </c>
      <c r="AD647">
        <f>1-alpha*MAX(0,delta-AC647)</f>
        <v/>
      </c>
      <c r="AE647">
        <f>AB647*AD647</f>
        <v/>
      </c>
      <c r="AF647">
        <f>1+COUNTIF(bounds,"&lt;"&amp;ROUND(AB647,12))</f>
        <v/>
      </c>
      <c r="AG647">
        <f>1+COUNTIF(bounds,"&lt;"&amp;ROUND(AE647,12))</f>
        <v/>
      </c>
      <c r="AH647">
        <f>IF(AD647&lt;1,1,0)</f>
        <v/>
      </c>
      <c r="AI647">
        <f>IF(AF647&lt;&gt;AG647,1,0)</f>
        <v/>
      </c>
      <c r="AJ647">
        <f>IF(AND(AG647&gt;=3,Z647&lt;=0.2),1,0)</f>
        <v/>
      </c>
      <c r="AK647">
        <f>AVERAGE(U647:Z647)</f>
        <v/>
      </c>
      <c r="AL647">
        <f>1+COUNTIF(bounds,"&lt;"&amp;ROUND(AK647,12))</f>
        <v/>
      </c>
      <c r="AM647">
        <f>IF(AI647=1,AB647,NA())</f>
        <v/>
      </c>
      <c r="AN647">
        <f>IF(AI647=0,AB647,NA())</f>
        <v/>
      </c>
    </row>
    <row r="648">
      <c r="A648" t="n">
        <v>640</v>
      </c>
      <c r="B648" t="n">
        <v>1</v>
      </c>
      <c r="C648" t="n">
        <v>2</v>
      </c>
      <c r="D648" t="n">
        <v>3</v>
      </c>
      <c r="E648" t="n">
        <v>5</v>
      </c>
      <c r="F648" t="n">
        <v>2</v>
      </c>
      <c r="G648" t="n">
        <v>4</v>
      </c>
      <c r="H648" t="n">
        <v>4</v>
      </c>
      <c r="I648" t="n">
        <v>1</v>
      </c>
      <c r="J648" t="n">
        <v>5</v>
      </c>
      <c r="K648" t="n">
        <v>2</v>
      </c>
      <c r="L648" t="n">
        <v>1</v>
      </c>
      <c r="M648" t="n">
        <v>5</v>
      </c>
      <c r="N648" t="n">
        <v>1</v>
      </c>
      <c r="O648" t="n">
        <v>4</v>
      </c>
      <c r="P648" t="n">
        <v>2</v>
      </c>
      <c r="Q648" t="n">
        <v>3</v>
      </c>
      <c r="R648" t="n">
        <v>5</v>
      </c>
      <c r="S648" t="n">
        <v>3</v>
      </c>
      <c r="T648" t="n">
        <v>5</v>
      </c>
      <c r="U648">
        <f>(AVERAGE(B648:D648)-1)/4</f>
        <v/>
      </c>
      <c r="V648">
        <f>(AVERAGE(E648:F648)-1)/4</f>
        <v/>
      </c>
      <c r="W648">
        <f>(AVERAGE(G648:I648)-1)/4</f>
        <v/>
      </c>
      <c r="X648">
        <f>(AVERAGE(J648:L648)-1)/4</f>
        <v/>
      </c>
      <c r="Y648">
        <f>(AVERAGE(M648:O648)-1)/4</f>
        <v/>
      </c>
      <c r="Z648">
        <f>(AVERAGE(P648:R648)-1)/4</f>
        <v/>
      </c>
      <c r="AA648">
        <f>(AVERAGE(S648:T648)-1)/4</f>
        <v/>
      </c>
      <c r="AB648">
        <f>AVERAGE(U648:Y648)</f>
        <v/>
      </c>
      <c r="AC648">
        <f>MIN(U648:Y648)</f>
        <v/>
      </c>
      <c r="AD648">
        <f>1-alpha*MAX(0,delta-AC648)</f>
        <v/>
      </c>
      <c r="AE648">
        <f>AB648*AD648</f>
        <v/>
      </c>
      <c r="AF648">
        <f>1+COUNTIF(bounds,"&lt;"&amp;ROUND(AB648,12))</f>
        <v/>
      </c>
      <c r="AG648">
        <f>1+COUNTIF(bounds,"&lt;"&amp;ROUND(AE648,12))</f>
        <v/>
      </c>
      <c r="AH648">
        <f>IF(AD648&lt;1,1,0)</f>
        <v/>
      </c>
      <c r="AI648">
        <f>IF(AF648&lt;&gt;AG648,1,0)</f>
        <v/>
      </c>
      <c r="AJ648">
        <f>IF(AND(AG648&gt;=3,Z648&lt;=0.2),1,0)</f>
        <v/>
      </c>
      <c r="AK648">
        <f>AVERAGE(U648:Z648)</f>
        <v/>
      </c>
      <c r="AL648">
        <f>1+COUNTIF(bounds,"&lt;"&amp;ROUND(AK648,12))</f>
        <v/>
      </c>
      <c r="AM648">
        <f>IF(AI648=1,AB648,NA())</f>
        <v/>
      </c>
      <c r="AN648">
        <f>IF(AI648=0,AB648,NA())</f>
        <v/>
      </c>
    </row>
    <row r="649">
      <c r="A649" t="n">
        <v>641</v>
      </c>
      <c r="B649" t="n">
        <v>5</v>
      </c>
      <c r="C649" t="n">
        <v>3</v>
      </c>
      <c r="D649" t="n">
        <v>1</v>
      </c>
      <c r="E649" t="n">
        <v>3</v>
      </c>
      <c r="F649" t="n">
        <v>5</v>
      </c>
      <c r="G649" t="n">
        <v>4</v>
      </c>
      <c r="H649" t="n">
        <v>1</v>
      </c>
      <c r="I649" t="n">
        <v>5</v>
      </c>
      <c r="J649" t="n">
        <v>4</v>
      </c>
      <c r="K649" t="n">
        <v>5</v>
      </c>
      <c r="L649" t="n">
        <v>2</v>
      </c>
      <c r="M649" t="n">
        <v>3</v>
      </c>
      <c r="N649" t="n">
        <v>3</v>
      </c>
      <c r="O649" t="n">
        <v>3</v>
      </c>
      <c r="P649" t="n">
        <v>4</v>
      </c>
      <c r="Q649" t="n">
        <v>2</v>
      </c>
      <c r="R649" t="n">
        <v>3</v>
      </c>
      <c r="S649" t="n">
        <v>1</v>
      </c>
      <c r="T649" t="n">
        <v>3</v>
      </c>
      <c r="U649">
        <f>(AVERAGE(B649:D649)-1)/4</f>
        <v/>
      </c>
      <c r="V649">
        <f>(AVERAGE(E649:F649)-1)/4</f>
        <v/>
      </c>
      <c r="W649">
        <f>(AVERAGE(G649:I649)-1)/4</f>
        <v/>
      </c>
      <c r="X649">
        <f>(AVERAGE(J649:L649)-1)/4</f>
        <v/>
      </c>
      <c r="Y649">
        <f>(AVERAGE(M649:O649)-1)/4</f>
        <v/>
      </c>
      <c r="Z649">
        <f>(AVERAGE(P649:R649)-1)/4</f>
        <v/>
      </c>
      <c r="AA649">
        <f>(AVERAGE(S649:T649)-1)/4</f>
        <v/>
      </c>
      <c r="AB649">
        <f>AVERAGE(U649:Y649)</f>
        <v/>
      </c>
      <c r="AC649">
        <f>MIN(U649:Y649)</f>
        <v/>
      </c>
      <c r="AD649">
        <f>1-alpha*MAX(0,delta-AC649)</f>
        <v/>
      </c>
      <c r="AE649">
        <f>AB649*AD649</f>
        <v/>
      </c>
      <c r="AF649">
        <f>1+COUNTIF(bounds,"&lt;"&amp;ROUND(AB649,12))</f>
        <v/>
      </c>
      <c r="AG649">
        <f>1+COUNTIF(bounds,"&lt;"&amp;ROUND(AE649,12))</f>
        <v/>
      </c>
      <c r="AH649">
        <f>IF(AD649&lt;1,1,0)</f>
        <v/>
      </c>
      <c r="AI649">
        <f>IF(AF649&lt;&gt;AG649,1,0)</f>
        <v/>
      </c>
      <c r="AJ649">
        <f>IF(AND(AG649&gt;=3,Z649&lt;=0.2),1,0)</f>
        <v/>
      </c>
      <c r="AK649">
        <f>AVERAGE(U649:Z649)</f>
        <v/>
      </c>
      <c r="AL649">
        <f>1+COUNTIF(bounds,"&lt;"&amp;ROUND(AK649,12))</f>
        <v/>
      </c>
      <c r="AM649">
        <f>IF(AI649=1,AB649,NA())</f>
        <v/>
      </c>
      <c r="AN649">
        <f>IF(AI649=0,AB649,NA())</f>
        <v/>
      </c>
    </row>
    <row r="650">
      <c r="A650" t="n">
        <v>642</v>
      </c>
      <c r="B650" t="n">
        <v>2</v>
      </c>
      <c r="C650" t="n">
        <v>4</v>
      </c>
      <c r="D650" t="n">
        <v>3</v>
      </c>
      <c r="E650" t="n">
        <v>3</v>
      </c>
      <c r="F650" t="n">
        <v>1</v>
      </c>
      <c r="G650" t="n">
        <v>4</v>
      </c>
      <c r="H650" t="n">
        <v>3</v>
      </c>
      <c r="I650" t="n">
        <v>2</v>
      </c>
      <c r="J650" t="n">
        <v>2</v>
      </c>
      <c r="K650" t="n">
        <v>3</v>
      </c>
      <c r="L650" t="n">
        <v>2</v>
      </c>
      <c r="M650" t="n">
        <v>4</v>
      </c>
      <c r="N650" t="n">
        <v>5</v>
      </c>
      <c r="O650" t="n">
        <v>5</v>
      </c>
      <c r="P650" t="n">
        <v>3</v>
      </c>
      <c r="Q650" t="n">
        <v>1</v>
      </c>
      <c r="R650" t="n">
        <v>3</v>
      </c>
      <c r="S650" t="n">
        <v>5</v>
      </c>
      <c r="T650" t="n">
        <v>1</v>
      </c>
      <c r="U650">
        <f>(AVERAGE(B650:D650)-1)/4</f>
        <v/>
      </c>
      <c r="V650">
        <f>(AVERAGE(E650:F650)-1)/4</f>
        <v/>
      </c>
      <c r="W650">
        <f>(AVERAGE(G650:I650)-1)/4</f>
        <v/>
      </c>
      <c r="X650">
        <f>(AVERAGE(J650:L650)-1)/4</f>
        <v/>
      </c>
      <c r="Y650">
        <f>(AVERAGE(M650:O650)-1)/4</f>
        <v/>
      </c>
      <c r="Z650">
        <f>(AVERAGE(P650:R650)-1)/4</f>
        <v/>
      </c>
      <c r="AA650">
        <f>(AVERAGE(S650:T650)-1)/4</f>
        <v/>
      </c>
      <c r="AB650">
        <f>AVERAGE(U650:Y650)</f>
        <v/>
      </c>
      <c r="AC650">
        <f>MIN(U650:Y650)</f>
        <v/>
      </c>
      <c r="AD650">
        <f>1-alpha*MAX(0,delta-AC650)</f>
        <v/>
      </c>
      <c r="AE650">
        <f>AB650*AD650</f>
        <v/>
      </c>
      <c r="AF650">
        <f>1+COUNTIF(bounds,"&lt;"&amp;ROUND(AB650,12))</f>
        <v/>
      </c>
      <c r="AG650">
        <f>1+COUNTIF(bounds,"&lt;"&amp;ROUND(AE650,12))</f>
        <v/>
      </c>
      <c r="AH650">
        <f>IF(AD650&lt;1,1,0)</f>
        <v/>
      </c>
      <c r="AI650">
        <f>IF(AF650&lt;&gt;AG650,1,0)</f>
        <v/>
      </c>
      <c r="AJ650">
        <f>IF(AND(AG650&gt;=3,Z650&lt;=0.2),1,0)</f>
        <v/>
      </c>
      <c r="AK650">
        <f>AVERAGE(U650:Z650)</f>
        <v/>
      </c>
      <c r="AL650">
        <f>1+COUNTIF(bounds,"&lt;"&amp;ROUND(AK650,12))</f>
        <v/>
      </c>
      <c r="AM650">
        <f>IF(AI650=1,AB650,NA())</f>
        <v/>
      </c>
      <c r="AN650">
        <f>IF(AI650=0,AB650,NA())</f>
        <v/>
      </c>
    </row>
    <row r="651">
      <c r="A651" t="n">
        <v>643</v>
      </c>
      <c r="B651" t="n">
        <v>4</v>
      </c>
      <c r="C651" t="n">
        <v>1</v>
      </c>
      <c r="D651" t="n">
        <v>3</v>
      </c>
      <c r="E651" t="n">
        <v>3</v>
      </c>
      <c r="F651" t="n">
        <v>1</v>
      </c>
      <c r="G651" t="n">
        <v>1</v>
      </c>
      <c r="H651" t="n">
        <v>4</v>
      </c>
      <c r="I651" t="n">
        <v>1</v>
      </c>
      <c r="J651" t="n">
        <v>4</v>
      </c>
      <c r="K651" t="n">
        <v>3</v>
      </c>
      <c r="L651" t="n">
        <v>1</v>
      </c>
      <c r="M651" t="n">
        <v>5</v>
      </c>
      <c r="N651" t="n">
        <v>3</v>
      </c>
      <c r="O651" t="n">
        <v>3</v>
      </c>
      <c r="P651" t="n">
        <v>5</v>
      </c>
      <c r="Q651" t="n">
        <v>3</v>
      </c>
      <c r="R651" t="n">
        <v>1</v>
      </c>
      <c r="S651" t="n">
        <v>3</v>
      </c>
      <c r="T651" t="n">
        <v>1</v>
      </c>
      <c r="U651">
        <f>(AVERAGE(B651:D651)-1)/4</f>
        <v/>
      </c>
      <c r="V651">
        <f>(AVERAGE(E651:F651)-1)/4</f>
        <v/>
      </c>
      <c r="W651">
        <f>(AVERAGE(G651:I651)-1)/4</f>
        <v/>
      </c>
      <c r="X651">
        <f>(AVERAGE(J651:L651)-1)/4</f>
        <v/>
      </c>
      <c r="Y651">
        <f>(AVERAGE(M651:O651)-1)/4</f>
        <v/>
      </c>
      <c r="Z651">
        <f>(AVERAGE(P651:R651)-1)/4</f>
        <v/>
      </c>
      <c r="AA651">
        <f>(AVERAGE(S651:T651)-1)/4</f>
        <v/>
      </c>
      <c r="AB651">
        <f>AVERAGE(U651:Y651)</f>
        <v/>
      </c>
      <c r="AC651">
        <f>MIN(U651:Y651)</f>
        <v/>
      </c>
      <c r="AD651">
        <f>1-alpha*MAX(0,delta-AC651)</f>
        <v/>
      </c>
      <c r="AE651">
        <f>AB651*AD651</f>
        <v/>
      </c>
      <c r="AF651">
        <f>1+COUNTIF(bounds,"&lt;"&amp;ROUND(AB651,12))</f>
        <v/>
      </c>
      <c r="AG651">
        <f>1+COUNTIF(bounds,"&lt;"&amp;ROUND(AE651,12))</f>
        <v/>
      </c>
      <c r="AH651">
        <f>IF(AD651&lt;1,1,0)</f>
        <v/>
      </c>
      <c r="AI651">
        <f>IF(AF651&lt;&gt;AG651,1,0)</f>
        <v/>
      </c>
      <c r="AJ651">
        <f>IF(AND(AG651&gt;=3,Z651&lt;=0.2),1,0)</f>
        <v/>
      </c>
      <c r="AK651">
        <f>AVERAGE(U651:Z651)</f>
        <v/>
      </c>
      <c r="AL651">
        <f>1+COUNTIF(bounds,"&lt;"&amp;ROUND(AK651,12))</f>
        <v/>
      </c>
      <c r="AM651">
        <f>IF(AI651=1,AB651,NA())</f>
        <v/>
      </c>
      <c r="AN651">
        <f>IF(AI651=0,AB651,NA())</f>
        <v/>
      </c>
    </row>
    <row r="652">
      <c r="A652" t="n">
        <v>644</v>
      </c>
      <c r="B652" t="n">
        <v>2</v>
      </c>
      <c r="C652" t="n">
        <v>1</v>
      </c>
      <c r="D652" t="n">
        <v>2</v>
      </c>
      <c r="E652" t="n">
        <v>5</v>
      </c>
      <c r="F652" t="n">
        <v>2</v>
      </c>
      <c r="G652" t="n">
        <v>1</v>
      </c>
      <c r="H652" t="n">
        <v>4</v>
      </c>
      <c r="I652" t="n">
        <v>4</v>
      </c>
      <c r="J652" t="n">
        <v>4</v>
      </c>
      <c r="K652" t="n">
        <v>3</v>
      </c>
      <c r="L652" t="n">
        <v>1</v>
      </c>
      <c r="M652" t="n">
        <v>4</v>
      </c>
      <c r="N652" t="n">
        <v>5</v>
      </c>
      <c r="O652" t="n">
        <v>4</v>
      </c>
      <c r="P652" t="n">
        <v>4</v>
      </c>
      <c r="Q652" t="n">
        <v>4</v>
      </c>
      <c r="R652" t="n">
        <v>4</v>
      </c>
      <c r="S652" t="n">
        <v>2</v>
      </c>
      <c r="T652" t="n">
        <v>1</v>
      </c>
      <c r="U652">
        <f>(AVERAGE(B652:D652)-1)/4</f>
        <v/>
      </c>
      <c r="V652">
        <f>(AVERAGE(E652:F652)-1)/4</f>
        <v/>
      </c>
      <c r="W652">
        <f>(AVERAGE(G652:I652)-1)/4</f>
        <v/>
      </c>
      <c r="X652">
        <f>(AVERAGE(J652:L652)-1)/4</f>
        <v/>
      </c>
      <c r="Y652">
        <f>(AVERAGE(M652:O652)-1)/4</f>
        <v/>
      </c>
      <c r="Z652">
        <f>(AVERAGE(P652:R652)-1)/4</f>
        <v/>
      </c>
      <c r="AA652">
        <f>(AVERAGE(S652:T652)-1)/4</f>
        <v/>
      </c>
      <c r="AB652">
        <f>AVERAGE(U652:Y652)</f>
        <v/>
      </c>
      <c r="AC652">
        <f>MIN(U652:Y652)</f>
        <v/>
      </c>
      <c r="AD652">
        <f>1-alpha*MAX(0,delta-AC652)</f>
        <v/>
      </c>
      <c r="AE652">
        <f>AB652*AD652</f>
        <v/>
      </c>
      <c r="AF652">
        <f>1+COUNTIF(bounds,"&lt;"&amp;ROUND(AB652,12))</f>
        <v/>
      </c>
      <c r="AG652">
        <f>1+COUNTIF(bounds,"&lt;"&amp;ROUND(AE652,12))</f>
        <v/>
      </c>
      <c r="AH652">
        <f>IF(AD652&lt;1,1,0)</f>
        <v/>
      </c>
      <c r="AI652">
        <f>IF(AF652&lt;&gt;AG652,1,0)</f>
        <v/>
      </c>
      <c r="AJ652">
        <f>IF(AND(AG652&gt;=3,Z652&lt;=0.2),1,0)</f>
        <v/>
      </c>
      <c r="AK652">
        <f>AVERAGE(U652:Z652)</f>
        <v/>
      </c>
      <c r="AL652">
        <f>1+COUNTIF(bounds,"&lt;"&amp;ROUND(AK652,12))</f>
        <v/>
      </c>
      <c r="AM652">
        <f>IF(AI652=1,AB652,NA())</f>
        <v/>
      </c>
      <c r="AN652">
        <f>IF(AI652=0,AB652,NA())</f>
        <v/>
      </c>
    </row>
    <row r="653">
      <c r="A653" t="n">
        <v>645</v>
      </c>
      <c r="B653" t="n">
        <v>3</v>
      </c>
      <c r="C653" t="n">
        <v>3</v>
      </c>
      <c r="D653" t="n">
        <v>2</v>
      </c>
      <c r="E653" t="n">
        <v>3</v>
      </c>
      <c r="F653" t="n">
        <v>5</v>
      </c>
      <c r="G653" t="n">
        <v>5</v>
      </c>
      <c r="H653" t="n">
        <v>1</v>
      </c>
      <c r="I653" t="n">
        <v>5</v>
      </c>
      <c r="J653" t="n">
        <v>5</v>
      </c>
      <c r="K653" t="n">
        <v>2</v>
      </c>
      <c r="L653" t="n">
        <v>3</v>
      </c>
      <c r="M653" t="n">
        <v>4</v>
      </c>
      <c r="N653" t="n">
        <v>2</v>
      </c>
      <c r="O653" t="n">
        <v>1</v>
      </c>
      <c r="P653" t="n">
        <v>4</v>
      </c>
      <c r="Q653" t="n">
        <v>2</v>
      </c>
      <c r="R653" t="n">
        <v>5</v>
      </c>
      <c r="S653" t="n">
        <v>5</v>
      </c>
      <c r="T653" t="n">
        <v>4</v>
      </c>
      <c r="U653">
        <f>(AVERAGE(B653:D653)-1)/4</f>
        <v/>
      </c>
      <c r="V653">
        <f>(AVERAGE(E653:F653)-1)/4</f>
        <v/>
      </c>
      <c r="W653">
        <f>(AVERAGE(G653:I653)-1)/4</f>
        <v/>
      </c>
      <c r="X653">
        <f>(AVERAGE(J653:L653)-1)/4</f>
        <v/>
      </c>
      <c r="Y653">
        <f>(AVERAGE(M653:O653)-1)/4</f>
        <v/>
      </c>
      <c r="Z653">
        <f>(AVERAGE(P653:R653)-1)/4</f>
        <v/>
      </c>
      <c r="AA653">
        <f>(AVERAGE(S653:T653)-1)/4</f>
        <v/>
      </c>
      <c r="AB653">
        <f>AVERAGE(U653:Y653)</f>
        <v/>
      </c>
      <c r="AC653">
        <f>MIN(U653:Y653)</f>
        <v/>
      </c>
      <c r="AD653">
        <f>1-alpha*MAX(0,delta-AC653)</f>
        <v/>
      </c>
      <c r="AE653">
        <f>AB653*AD653</f>
        <v/>
      </c>
      <c r="AF653">
        <f>1+COUNTIF(bounds,"&lt;"&amp;ROUND(AB653,12))</f>
        <v/>
      </c>
      <c r="AG653">
        <f>1+COUNTIF(bounds,"&lt;"&amp;ROUND(AE653,12))</f>
        <v/>
      </c>
      <c r="AH653">
        <f>IF(AD653&lt;1,1,0)</f>
        <v/>
      </c>
      <c r="AI653">
        <f>IF(AF653&lt;&gt;AG653,1,0)</f>
        <v/>
      </c>
      <c r="AJ653">
        <f>IF(AND(AG653&gt;=3,Z653&lt;=0.2),1,0)</f>
        <v/>
      </c>
      <c r="AK653">
        <f>AVERAGE(U653:Z653)</f>
        <v/>
      </c>
      <c r="AL653">
        <f>1+COUNTIF(bounds,"&lt;"&amp;ROUND(AK653,12))</f>
        <v/>
      </c>
      <c r="AM653">
        <f>IF(AI653=1,AB653,NA())</f>
        <v/>
      </c>
      <c r="AN653">
        <f>IF(AI653=0,AB653,NA())</f>
        <v/>
      </c>
    </row>
    <row r="654">
      <c r="A654" t="n">
        <v>646</v>
      </c>
      <c r="B654" t="n">
        <v>3</v>
      </c>
      <c r="C654" t="n">
        <v>2</v>
      </c>
      <c r="D654" t="n">
        <v>3</v>
      </c>
      <c r="E654" t="n">
        <v>5</v>
      </c>
      <c r="F654" t="n">
        <v>1</v>
      </c>
      <c r="G654" t="n">
        <v>2</v>
      </c>
      <c r="H654" t="n">
        <v>2</v>
      </c>
      <c r="I654" t="n">
        <v>4</v>
      </c>
      <c r="J654" t="n">
        <v>1</v>
      </c>
      <c r="K654" t="n">
        <v>2</v>
      </c>
      <c r="L654" t="n">
        <v>4</v>
      </c>
      <c r="M654" t="n">
        <v>2</v>
      </c>
      <c r="N654" t="n">
        <v>5</v>
      </c>
      <c r="O654" t="n">
        <v>4</v>
      </c>
      <c r="P654" t="n">
        <v>5</v>
      </c>
      <c r="Q654" t="n">
        <v>4</v>
      </c>
      <c r="R654" t="n">
        <v>2</v>
      </c>
      <c r="S654" t="n">
        <v>4</v>
      </c>
      <c r="T654" t="n">
        <v>3</v>
      </c>
      <c r="U654">
        <f>(AVERAGE(B654:D654)-1)/4</f>
        <v/>
      </c>
      <c r="V654">
        <f>(AVERAGE(E654:F654)-1)/4</f>
        <v/>
      </c>
      <c r="W654">
        <f>(AVERAGE(G654:I654)-1)/4</f>
        <v/>
      </c>
      <c r="X654">
        <f>(AVERAGE(J654:L654)-1)/4</f>
        <v/>
      </c>
      <c r="Y654">
        <f>(AVERAGE(M654:O654)-1)/4</f>
        <v/>
      </c>
      <c r="Z654">
        <f>(AVERAGE(P654:R654)-1)/4</f>
        <v/>
      </c>
      <c r="AA654">
        <f>(AVERAGE(S654:T654)-1)/4</f>
        <v/>
      </c>
      <c r="AB654">
        <f>AVERAGE(U654:Y654)</f>
        <v/>
      </c>
      <c r="AC654">
        <f>MIN(U654:Y654)</f>
        <v/>
      </c>
      <c r="AD654">
        <f>1-alpha*MAX(0,delta-AC654)</f>
        <v/>
      </c>
      <c r="AE654">
        <f>AB654*AD654</f>
        <v/>
      </c>
      <c r="AF654">
        <f>1+COUNTIF(bounds,"&lt;"&amp;ROUND(AB654,12))</f>
        <v/>
      </c>
      <c r="AG654">
        <f>1+COUNTIF(bounds,"&lt;"&amp;ROUND(AE654,12))</f>
        <v/>
      </c>
      <c r="AH654">
        <f>IF(AD654&lt;1,1,0)</f>
        <v/>
      </c>
      <c r="AI654">
        <f>IF(AF654&lt;&gt;AG654,1,0)</f>
        <v/>
      </c>
      <c r="AJ654">
        <f>IF(AND(AG654&gt;=3,Z654&lt;=0.2),1,0)</f>
        <v/>
      </c>
      <c r="AK654">
        <f>AVERAGE(U654:Z654)</f>
        <v/>
      </c>
      <c r="AL654">
        <f>1+COUNTIF(bounds,"&lt;"&amp;ROUND(AK654,12))</f>
        <v/>
      </c>
      <c r="AM654">
        <f>IF(AI654=1,AB654,NA())</f>
        <v/>
      </c>
      <c r="AN654">
        <f>IF(AI654=0,AB654,NA())</f>
        <v/>
      </c>
    </row>
    <row r="655">
      <c r="A655" t="n">
        <v>647</v>
      </c>
      <c r="B655" t="n">
        <v>4</v>
      </c>
      <c r="C655" t="n">
        <v>4</v>
      </c>
      <c r="D655" t="n">
        <v>3</v>
      </c>
      <c r="E655" t="n">
        <v>2</v>
      </c>
      <c r="F655" t="n">
        <v>3</v>
      </c>
      <c r="G655" t="n">
        <v>1</v>
      </c>
      <c r="H655" t="n">
        <v>4</v>
      </c>
      <c r="I655" t="n">
        <v>1</v>
      </c>
      <c r="J655" t="n">
        <v>4</v>
      </c>
      <c r="K655" t="n">
        <v>3</v>
      </c>
      <c r="L655" t="n">
        <v>5</v>
      </c>
      <c r="M655" t="n">
        <v>1</v>
      </c>
      <c r="N655" t="n">
        <v>5</v>
      </c>
      <c r="O655" t="n">
        <v>5</v>
      </c>
      <c r="P655" t="n">
        <v>2</v>
      </c>
      <c r="Q655" t="n">
        <v>3</v>
      </c>
      <c r="R655" t="n">
        <v>4</v>
      </c>
      <c r="S655" t="n">
        <v>4</v>
      </c>
      <c r="T655" t="n">
        <v>4</v>
      </c>
      <c r="U655">
        <f>(AVERAGE(B655:D655)-1)/4</f>
        <v/>
      </c>
      <c r="V655">
        <f>(AVERAGE(E655:F655)-1)/4</f>
        <v/>
      </c>
      <c r="W655">
        <f>(AVERAGE(G655:I655)-1)/4</f>
        <v/>
      </c>
      <c r="X655">
        <f>(AVERAGE(J655:L655)-1)/4</f>
        <v/>
      </c>
      <c r="Y655">
        <f>(AVERAGE(M655:O655)-1)/4</f>
        <v/>
      </c>
      <c r="Z655">
        <f>(AVERAGE(P655:R655)-1)/4</f>
        <v/>
      </c>
      <c r="AA655">
        <f>(AVERAGE(S655:T655)-1)/4</f>
        <v/>
      </c>
      <c r="AB655">
        <f>AVERAGE(U655:Y655)</f>
        <v/>
      </c>
      <c r="AC655">
        <f>MIN(U655:Y655)</f>
        <v/>
      </c>
      <c r="AD655">
        <f>1-alpha*MAX(0,delta-AC655)</f>
        <v/>
      </c>
      <c r="AE655">
        <f>AB655*AD655</f>
        <v/>
      </c>
      <c r="AF655">
        <f>1+COUNTIF(bounds,"&lt;"&amp;ROUND(AB655,12))</f>
        <v/>
      </c>
      <c r="AG655">
        <f>1+COUNTIF(bounds,"&lt;"&amp;ROUND(AE655,12))</f>
        <v/>
      </c>
      <c r="AH655">
        <f>IF(AD655&lt;1,1,0)</f>
        <v/>
      </c>
      <c r="AI655">
        <f>IF(AF655&lt;&gt;AG655,1,0)</f>
        <v/>
      </c>
      <c r="AJ655">
        <f>IF(AND(AG655&gt;=3,Z655&lt;=0.2),1,0)</f>
        <v/>
      </c>
      <c r="AK655">
        <f>AVERAGE(U655:Z655)</f>
        <v/>
      </c>
      <c r="AL655">
        <f>1+COUNTIF(bounds,"&lt;"&amp;ROUND(AK655,12))</f>
        <v/>
      </c>
      <c r="AM655">
        <f>IF(AI655=1,AB655,NA())</f>
        <v/>
      </c>
      <c r="AN655">
        <f>IF(AI655=0,AB655,NA())</f>
        <v/>
      </c>
    </row>
    <row r="656">
      <c r="A656" t="n">
        <v>648</v>
      </c>
      <c r="B656" t="n">
        <v>1</v>
      </c>
      <c r="C656" t="n">
        <v>2</v>
      </c>
      <c r="D656" t="n">
        <v>4</v>
      </c>
      <c r="E656" t="n">
        <v>3</v>
      </c>
      <c r="F656" t="n">
        <v>3</v>
      </c>
      <c r="G656" t="n">
        <v>2</v>
      </c>
      <c r="H656" t="n">
        <v>1</v>
      </c>
      <c r="I656" t="n">
        <v>1</v>
      </c>
      <c r="J656" t="n">
        <v>1</v>
      </c>
      <c r="K656" t="n">
        <v>1</v>
      </c>
      <c r="L656" t="n">
        <v>1</v>
      </c>
      <c r="M656" t="n">
        <v>5</v>
      </c>
      <c r="N656" t="n">
        <v>2</v>
      </c>
      <c r="O656" t="n">
        <v>2</v>
      </c>
      <c r="P656" t="n">
        <v>5</v>
      </c>
      <c r="Q656" t="n">
        <v>5</v>
      </c>
      <c r="R656" t="n">
        <v>4</v>
      </c>
      <c r="S656" t="n">
        <v>5</v>
      </c>
      <c r="T656" t="n">
        <v>4</v>
      </c>
      <c r="U656">
        <f>(AVERAGE(B656:D656)-1)/4</f>
        <v/>
      </c>
      <c r="V656">
        <f>(AVERAGE(E656:F656)-1)/4</f>
        <v/>
      </c>
      <c r="W656">
        <f>(AVERAGE(G656:I656)-1)/4</f>
        <v/>
      </c>
      <c r="X656">
        <f>(AVERAGE(J656:L656)-1)/4</f>
        <v/>
      </c>
      <c r="Y656">
        <f>(AVERAGE(M656:O656)-1)/4</f>
        <v/>
      </c>
      <c r="Z656">
        <f>(AVERAGE(P656:R656)-1)/4</f>
        <v/>
      </c>
      <c r="AA656">
        <f>(AVERAGE(S656:T656)-1)/4</f>
        <v/>
      </c>
      <c r="AB656">
        <f>AVERAGE(U656:Y656)</f>
        <v/>
      </c>
      <c r="AC656">
        <f>MIN(U656:Y656)</f>
        <v/>
      </c>
      <c r="AD656">
        <f>1-alpha*MAX(0,delta-AC656)</f>
        <v/>
      </c>
      <c r="AE656">
        <f>AB656*AD656</f>
        <v/>
      </c>
      <c r="AF656">
        <f>1+COUNTIF(bounds,"&lt;"&amp;ROUND(AB656,12))</f>
        <v/>
      </c>
      <c r="AG656">
        <f>1+COUNTIF(bounds,"&lt;"&amp;ROUND(AE656,12))</f>
        <v/>
      </c>
      <c r="AH656">
        <f>IF(AD656&lt;1,1,0)</f>
        <v/>
      </c>
      <c r="AI656">
        <f>IF(AF656&lt;&gt;AG656,1,0)</f>
        <v/>
      </c>
      <c r="AJ656">
        <f>IF(AND(AG656&gt;=3,Z656&lt;=0.2),1,0)</f>
        <v/>
      </c>
      <c r="AK656">
        <f>AVERAGE(U656:Z656)</f>
        <v/>
      </c>
      <c r="AL656">
        <f>1+COUNTIF(bounds,"&lt;"&amp;ROUND(AK656,12))</f>
        <v/>
      </c>
      <c r="AM656">
        <f>IF(AI656=1,AB656,NA())</f>
        <v/>
      </c>
      <c r="AN656">
        <f>IF(AI656=0,AB656,NA())</f>
        <v/>
      </c>
    </row>
    <row r="657">
      <c r="A657" t="n">
        <v>649</v>
      </c>
      <c r="B657" t="n">
        <v>2</v>
      </c>
      <c r="C657" t="n">
        <v>4</v>
      </c>
      <c r="D657" t="n">
        <v>1</v>
      </c>
      <c r="E657" t="n">
        <v>1</v>
      </c>
      <c r="F657" t="n">
        <v>5</v>
      </c>
      <c r="G657" t="n">
        <v>2</v>
      </c>
      <c r="H657" t="n">
        <v>2</v>
      </c>
      <c r="I657" t="n">
        <v>3</v>
      </c>
      <c r="J657" t="n">
        <v>3</v>
      </c>
      <c r="K657" t="n">
        <v>4</v>
      </c>
      <c r="L657" t="n">
        <v>5</v>
      </c>
      <c r="M657" t="n">
        <v>5</v>
      </c>
      <c r="N657" t="n">
        <v>5</v>
      </c>
      <c r="O657" t="n">
        <v>3</v>
      </c>
      <c r="P657" t="n">
        <v>5</v>
      </c>
      <c r="Q657" t="n">
        <v>4</v>
      </c>
      <c r="R657" t="n">
        <v>4</v>
      </c>
      <c r="S657" t="n">
        <v>4</v>
      </c>
      <c r="T657" t="n">
        <v>5</v>
      </c>
      <c r="U657">
        <f>(AVERAGE(B657:D657)-1)/4</f>
        <v/>
      </c>
      <c r="V657">
        <f>(AVERAGE(E657:F657)-1)/4</f>
        <v/>
      </c>
      <c r="W657">
        <f>(AVERAGE(G657:I657)-1)/4</f>
        <v/>
      </c>
      <c r="X657">
        <f>(AVERAGE(J657:L657)-1)/4</f>
        <v/>
      </c>
      <c r="Y657">
        <f>(AVERAGE(M657:O657)-1)/4</f>
        <v/>
      </c>
      <c r="Z657">
        <f>(AVERAGE(P657:R657)-1)/4</f>
        <v/>
      </c>
      <c r="AA657">
        <f>(AVERAGE(S657:T657)-1)/4</f>
        <v/>
      </c>
      <c r="AB657">
        <f>AVERAGE(U657:Y657)</f>
        <v/>
      </c>
      <c r="AC657">
        <f>MIN(U657:Y657)</f>
        <v/>
      </c>
      <c r="AD657">
        <f>1-alpha*MAX(0,delta-AC657)</f>
        <v/>
      </c>
      <c r="AE657">
        <f>AB657*AD657</f>
        <v/>
      </c>
      <c r="AF657">
        <f>1+COUNTIF(bounds,"&lt;"&amp;ROUND(AB657,12))</f>
        <v/>
      </c>
      <c r="AG657">
        <f>1+COUNTIF(bounds,"&lt;"&amp;ROUND(AE657,12))</f>
        <v/>
      </c>
      <c r="AH657">
        <f>IF(AD657&lt;1,1,0)</f>
        <v/>
      </c>
      <c r="AI657">
        <f>IF(AF657&lt;&gt;AG657,1,0)</f>
        <v/>
      </c>
      <c r="AJ657">
        <f>IF(AND(AG657&gt;=3,Z657&lt;=0.2),1,0)</f>
        <v/>
      </c>
      <c r="AK657">
        <f>AVERAGE(U657:Z657)</f>
        <v/>
      </c>
      <c r="AL657">
        <f>1+COUNTIF(bounds,"&lt;"&amp;ROUND(AK657,12))</f>
        <v/>
      </c>
      <c r="AM657">
        <f>IF(AI657=1,AB657,NA())</f>
        <v/>
      </c>
      <c r="AN657">
        <f>IF(AI657=0,AB657,NA())</f>
        <v/>
      </c>
    </row>
    <row r="658">
      <c r="A658" t="n">
        <v>650</v>
      </c>
      <c r="B658" t="n">
        <v>1</v>
      </c>
      <c r="C658" t="n">
        <v>5</v>
      </c>
      <c r="D658" t="n">
        <v>4</v>
      </c>
      <c r="E658" t="n">
        <v>2</v>
      </c>
      <c r="F658" t="n">
        <v>1</v>
      </c>
      <c r="G658" t="n">
        <v>3</v>
      </c>
      <c r="H658" t="n">
        <v>4</v>
      </c>
      <c r="I658" t="n">
        <v>4</v>
      </c>
      <c r="J658" t="n">
        <v>5</v>
      </c>
      <c r="K658" t="n">
        <v>4</v>
      </c>
      <c r="L658" t="n">
        <v>4</v>
      </c>
      <c r="M658" t="n">
        <v>1</v>
      </c>
      <c r="N658" t="n">
        <v>3</v>
      </c>
      <c r="O658" t="n">
        <v>5</v>
      </c>
      <c r="P658" t="n">
        <v>2</v>
      </c>
      <c r="Q658" t="n">
        <v>3</v>
      </c>
      <c r="R658" t="n">
        <v>1</v>
      </c>
      <c r="S658" t="n">
        <v>1</v>
      </c>
      <c r="T658" t="n">
        <v>3</v>
      </c>
      <c r="U658">
        <f>(AVERAGE(B658:D658)-1)/4</f>
        <v/>
      </c>
      <c r="V658">
        <f>(AVERAGE(E658:F658)-1)/4</f>
        <v/>
      </c>
      <c r="W658">
        <f>(AVERAGE(G658:I658)-1)/4</f>
        <v/>
      </c>
      <c r="X658">
        <f>(AVERAGE(J658:L658)-1)/4</f>
        <v/>
      </c>
      <c r="Y658">
        <f>(AVERAGE(M658:O658)-1)/4</f>
        <v/>
      </c>
      <c r="Z658">
        <f>(AVERAGE(P658:R658)-1)/4</f>
        <v/>
      </c>
      <c r="AA658">
        <f>(AVERAGE(S658:T658)-1)/4</f>
        <v/>
      </c>
      <c r="AB658">
        <f>AVERAGE(U658:Y658)</f>
        <v/>
      </c>
      <c r="AC658">
        <f>MIN(U658:Y658)</f>
        <v/>
      </c>
      <c r="AD658">
        <f>1-alpha*MAX(0,delta-AC658)</f>
        <v/>
      </c>
      <c r="AE658">
        <f>AB658*AD658</f>
        <v/>
      </c>
      <c r="AF658">
        <f>1+COUNTIF(bounds,"&lt;"&amp;ROUND(AB658,12))</f>
        <v/>
      </c>
      <c r="AG658">
        <f>1+COUNTIF(bounds,"&lt;"&amp;ROUND(AE658,12))</f>
        <v/>
      </c>
      <c r="AH658">
        <f>IF(AD658&lt;1,1,0)</f>
        <v/>
      </c>
      <c r="AI658">
        <f>IF(AF658&lt;&gt;AG658,1,0)</f>
        <v/>
      </c>
      <c r="AJ658">
        <f>IF(AND(AG658&gt;=3,Z658&lt;=0.2),1,0)</f>
        <v/>
      </c>
      <c r="AK658">
        <f>AVERAGE(U658:Z658)</f>
        <v/>
      </c>
      <c r="AL658">
        <f>1+COUNTIF(bounds,"&lt;"&amp;ROUND(AK658,12))</f>
        <v/>
      </c>
      <c r="AM658">
        <f>IF(AI658=1,AB658,NA())</f>
        <v/>
      </c>
      <c r="AN658">
        <f>IF(AI658=0,AB658,NA())</f>
        <v/>
      </c>
    </row>
    <row r="659">
      <c r="A659" t="n">
        <v>651</v>
      </c>
      <c r="B659" t="n">
        <v>1</v>
      </c>
      <c r="C659" t="n">
        <v>5</v>
      </c>
      <c r="D659" t="n">
        <v>5</v>
      </c>
      <c r="E659" t="n">
        <v>2</v>
      </c>
      <c r="F659" t="n">
        <v>3</v>
      </c>
      <c r="G659" t="n">
        <v>3</v>
      </c>
      <c r="H659" t="n">
        <v>5</v>
      </c>
      <c r="I659" t="n">
        <v>2</v>
      </c>
      <c r="J659" t="n">
        <v>1</v>
      </c>
      <c r="K659" t="n">
        <v>3</v>
      </c>
      <c r="L659" t="n">
        <v>2</v>
      </c>
      <c r="M659" t="n">
        <v>3</v>
      </c>
      <c r="N659" t="n">
        <v>2</v>
      </c>
      <c r="O659" t="n">
        <v>2</v>
      </c>
      <c r="P659" t="n">
        <v>4</v>
      </c>
      <c r="Q659" t="n">
        <v>2</v>
      </c>
      <c r="R659" t="n">
        <v>1</v>
      </c>
      <c r="S659" t="n">
        <v>3</v>
      </c>
      <c r="T659" t="n">
        <v>2</v>
      </c>
      <c r="U659">
        <f>(AVERAGE(B659:D659)-1)/4</f>
        <v/>
      </c>
      <c r="V659">
        <f>(AVERAGE(E659:F659)-1)/4</f>
        <v/>
      </c>
      <c r="W659">
        <f>(AVERAGE(G659:I659)-1)/4</f>
        <v/>
      </c>
      <c r="X659">
        <f>(AVERAGE(J659:L659)-1)/4</f>
        <v/>
      </c>
      <c r="Y659">
        <f>(AVERAGE(M659:O659)-1)/4</f>
        <v/>
      </c>
      <c r="Z659">
        <f>(AVERAGE(P659:R659)-1)/4</f>
        <v/>
      </c>
      <c r="AA659">
        <f>(AVERAGE(S659:T659)-1)/4</f>
        <v/>
      </c>
      <c r="AB659">
        <f>AVERAGE(U659:Y659)</f>
        <v/>
      </c>
      <c r="AC659">
        <f>MIN(U659:Y659)</f>
        <v/>
      </c>
      <c r="AD659">
        <f>1-alpha*MAX(0,delta-AC659)</f>
        <v/>
      </c>
      <c r="AE659">
        <f>AB659*AD659</f>
        <v/>
      </c>
      <c r="AF659">
        <f>1+COUNTIF(bounds,"&lt;"&amp;ROUND(AB659,12))</f>
        <v/>
      </c>
      <c r="AG659">
        <f>1+COUNTIF(bounds,"&lt;"&amp;ROUND(AE659,12))</f>
        <v/>
      </c>
      <c r="AH659">
        <f>IF(AD659&lt;1,1,0)</f>
        <v/>
      </c>
      <c r="AI659">
        <f>IF(AF659&lt;&gt;AG659,1,0)</f>
        <v/>
      </c>
      <c r="AJ659">
        <f>IF(AND(AG659&gt;=3,Z659&lt;=0.2),1,0)</f>
        <v/>
      </c>
      <c r="AK659">
        <f>AVERAGE(U659:Z659)</f>
        <v/>
      </c>
      <c r="AL659">
        <f>1+COUNTIF(bounds,"&lt;"&amp;ROUND(AK659,12))</f>
        <v/>
      </c>
      <c r="AM659">
        <f>IF(AI659=1,AB659,NA())</f>
        <v/>
      </c>
      <c r="AN659">
        <f>IF(AI659=0,AB659,NA())</f>
        <v/>
      </c>
    </row>
    <row r="660">
      <c r="A660" t="n">
        <v>652</v>
      </c>
      <c r="B660" t="n">
        <v>3</v>
      </c>
      <c r="C660" t="n">
        <v>2</v>
      </c>
      <c r="D660" t="n">
        <v>2</v>
      </c>
      <c r="E660" t="n">
        <v>1</v>
      </c>
      <c r="F660" t="n">
        <v>4</v>
      </c>
      <c r="G660" t="n">
        <v>5</v>
      </c>
      <c r="H660" t="n">
        <v>5</v>
      </c>
      <c r="I660" t="n">
        <v>4</v>
      </c>
      <c r="J660" t="n">
        <v>1</v>
      </c>
      <c r="K660" t="n">
        <v>1</v>
      </c>
      <c r="L660" t="n">
        <v>5</v>
      </c>
      <c r="M660" t="n">
        <v>2</v>
      </c>
      <c r="N660" t="n">
        <v>5</v>
      </c>
      <c r="O660" t="n">
        <v>3</v>
      </c>
      <c r="P660" t="n">
        <v>3</v>
      </c>
      <c r="Q660" t="n">
        <v>1</v>
      </c>
      <c r="R660" t="n">
        <v>3</v>
      </c>
      <c r="S660" t="n">
        <v>5</v>
      </c>
      <c r="T660" t="n">
        <v>4</v>
      </c>
      <c r="U660">
        <f>(AVERAGE(B660:D660)-1)/4</f>
        <v/>
      </c>
      <c r="V660">
        <f>(AVERAGE(E660:F660)-1)/4</f>
        <v/>
      </c>
      <c r="W660">
        <f>(AVERAGE(G660:I660)-1)/4</f>
        <v/>
      </c>
      <c r="X660">
        <f>(AVERAGE(J660:L660)-1)/4</f>
        <v/>
      </c>
      <c r="Y660">
        <f>(AVERAGE(M660:O660)-1)/4</f>
        <v/>
      </c>
      <c r="Z660">
        <f>(AVERAGE(P660:R660)-1)/4</f>
        <v/>
      </c>
      <c r="AA660">
        <f>(AVERAGE(S660:T660)-1)/4</f>
        <v/>
      </c>
      <c r="AB660">
        <f>AVERAGE(U660:Y660)</f>
        <v/>
      </c>
      <c r="AC660">
        <f>MIN(U660:Y660)</f>
        <v/>
      </c>
      <c r="AD660">
        <f>1-alpha*MAX(0,delta-AC660)</f>
        <v/>
      </c>
      <c r="AE660">
        <f>AB660*AD660</f>
        <v/>
      </c>
      <c r="AF660">
        <f>1+COUNTIF(bounds,"&lt;"&amp;ROUND(AB660,12))</f>
        <v/>
      </c>
      <c r="AG660">
        <f>1+COUNTIF(bounds,"&lt;"&amp;ROUND(AE660,12))</f>
        <v/>
      </c>
      <c r="AH660">
        <f>IF(AD660&lt;1,1,0)</f>
        <v/>
      </c>
      <c r="AI660">
        <f>IF(AF660&lt;&gt;AG660,1,0)</f>
        <v/>
      </c>
      <c r="AJ660">
        <f>IF(AND(AG660&gt;=3,Z660&lt;=0.2),1,0)</f>
        <v/>
      </c>
      <c r="AK660">
        <f>AVERAGE(U660:Z660)</f>
        <v/>
      </c>
      <c r="AL660">
        <f>1+COUNTIF(bounds,"&lt;"&amp;ROUND(AK660,12))</f>
        <v/>
      </c>
      <c r="AM660">
        <f>IF(AI660=1,AB660,NA())</f>
        <v/>
      </c>
      <c r="AN660">
        <f>IF(AI660=0,AB660,NA())</f>
        <v/>
      </c>
    </row>
    <row r="661">
      <c r="A661" t="n">
        <v>653</v>
      </c>
      <c r="B661" t="n">
        <v>2</v>
      </c>
      <c r="C661" t="n">
        <v>4</v>
      </c>
      <c r="D661" t="n">
        <v>2</v>
      </c>
      <c r="E661" t="n">
        <v>3</v>
      </c>
      <c r="F661" t="n">
        <v>5</v>
      </c>
      <c r="G661" t="n">
        <v>1</v>
      </c>
      <c r="H661" t="n">
        <v>5</v>
      </c>
      <c r="I661" t="n">
        <v>5</v>
      </c>
      <c r="J661" t="n">
        <v>5</v>
      </c>
      <c r="K661" t="n">
        <v>1</v>
      </c>
      <c r="L661" t="n">
        <v>5</v>
      </c>
      <c r="M661" t="n">
        <v>4</v>
      </c>
      <c r="N661" t="n">
        <v>1</v>
      </c>
      <c r="O661" t="n">
        <v>4</v>
      </c>
      <c r="P661" t="n">
        <v>2</v>
      </c>
      <c r="Q661" t="n">
        <v>2</v>
      </c>
      <c r="R661" t="n">
        <v>3</v>
      </c>
      <c r="S661" t="n">
        <v>3</v>
      </c>
      <c r="T661" t="n">
        <v>1</v>
      </c>
      <c r="U661">
        <f>(AVERAGE(B661:D661)-1)/4</f>
        <v/>
      </c>
      <c r="V661">
        <f>(AVERAGE(E661:F661)-1)/4</f>
        <v/>
      </c>
      <c r="W661">
        <f>(AVERAGE(G661:I661)-1)/4</f>
        <v/>
      </c>
      <c r="X661">
        <f>(AVERAGE(J661:L661)-1)/4</f>
        <v/>
      </c>
      <c r="Y661">
        <f>(AVERAGE(M661:O661)-1)/4</f>
        <v/>
      </c>
      <c r="Z661">
        <f>(AVERAGE(P661:R661)-1)/4</f>
        <v/>
      </c>
      <c r="AA661">
        <f>(AVERAGE(S661:T661)-1)/4</f>
        <v/>
      </c>
      <c r="AB661">
        <f>AVERAGE(U661:Y661)</f>
        <v/>
      </c>
      <c r="AC661">
        <f>MIN(U661:Y661)</f>
        <v/>
      </c>
      <c r="AD661">
        <f>1-alpha*MAX(0,delta-AC661)</f>
        <v/>
      </c>
      <c r="AE661">
        <f>AB661*AD661</f>
        <v/>
      </c>
      <c r="AF661">
        <f>1+COUNTIF(bounds,"&lt;"&amp;ROUND(AB661,12))</f>
        <v/>
      </c>
      <c r="AG661">
        <f>1+COUNTIF(bounds,"&lt;"&amp;ROUND(AE661,12))</f>
        <v/>
      </c>
      <c r="AH661">
        <f>IF(AD661&lt;1,1,0)</f>
        <v/>
      </c>
      <c r="AI661">
        <f>IF(AF661&lt;&gt;AG661,1,0)</f>
        <v/>
      </c>
      <c r="AJ661">
        <f>IF(AND(AG661&gt;=3,Z661&lt;=0.2),1,0)</f>
        <v/>
      </c>
      <c r="AK661">
        <f>AVERAGE(U661:Z661)</f>
        <v/>
      </c>
      <c r="AL661">
        <f>1+COUNTIF(bounds,"&lt;"&amp;ROUND(AK661,12))</f>
        <v/>
      </c>
      <c r="AM661">
        <f>IF(AI661=1,AB661,NA())</f>
        <v/>
      </c>
      <c r="AN661">
        <f>IF(AI661=0,AB661,NA())</f>
        <v/>
      </c>
    </row>
    <row r="662">
      <c r="A662" t="n">
        <v>654</v>
      </c>
      <c r="B662" t="n">
        <v>4</v>
      </c>
      <c r="C662" t="n">
        <v>5</v>
      </c>
      <c r="D662" t="n">
        <v>4</v>
      </c>
      <c r="E662" t="n">
        <v>5</v>
      </c>
      <c r="F662" t="n">
        <v>4</v>
      </c>
      <c r="G662" t="n">
        <v>1</v>
      </c>
      <c r="H662" t="n">
        <v>5</v>
      </c>
      <c r="I662" t="n">
        <v>5</v>
      </c>
      <c r="J662" t="n">
        <v>2</v>
      </c>
      <c r="K662" t="n">
        <v>5</v>
      </c>
      <c r="L662" t="n">
        <v>3</v>
      </c>
      <c r="M662" t="n">
        <v>1</v>
      </c>
      <c r="N662" t="n">
        <v>1</v>
      </c>
      <c r="O662" t="n">
        <v>4</v>
      </c>
      <c r="P662" t="n">
        <v>4</v>
      </c>
      <c r="Q662" t="n">
        <v>1</v>
      </c>
      <c r="R662" t="n">
        <v>1</v>
      </c>
      <c r="S662" t="n">
        <v>3</v>
      </c>
      <c r="T662" t="n">
        <v>5</v>
      </c>
      <c r="U662">
        <f>(AVERAGE(B662:D662)-1)/4</f>
        <v/>
      </c>
      <c r="V662">
        <f>(AVERAGE(E662:F662)-1)/4</f>
        <v/>
      </c>
      <c r="W662">
        <f>(AVERAGE(G662:I662)-1)/4</f>
        <v/>
      </c>
      <c r="X662">
        <f>(AVERAGE(J662:L662)-1)/4</f>
        <v/>
      </c>
      <c r="Y662">
        <f>(AVERAGE(M662:O662)-1)/4</f>
        <v/>
      </c>
      <c r="Z662">
        <f>(AVERAGE(P662:R662)-1)/4</f>
        <v/>
      </c>
      <c r="AA662">
        <f>(AVERAGE(S662:T662)-1)/4</f>
        <v/>
      </c>
      <c r="AB662">
        <f>AVERAGE(U662:Y662)</f>
        <v/>
      </c>
      <c r="AC662">
        <f>MIN(U662:Y662)</f>
        <v/>
      </c>
      <c r="AD662">
        <f>1-alpha*MAX(0,delta-AC662)</f>
        <v/>
      </c>
      <c r="AE662">
        <f>AB662*AD662</f>
        <v/>
      </c>
      <c r="AF662">
        <f>1+COUNTIF(bounds,"&lt;"&amp;ROUND(AB662,12))</f>
        <v/>
      </c>
      <c r="AG662">
        <f>1+COUNTIF(bounds,"&lt;"&amp;ROUND(AE662,12))</f>
        <v/>
      </c>
      <c r="AH662">
        <f>IF(AD662&lt;1,1,0)</f>
        <v/>
      </c>
      <c r="AI662">
        <f>IF(AF662&lt;&gt;AG662,1,0)</f>
        <v/>
      </c>
      <c r="AJ662">
        <f>IF(AND(AG662&gt;=3,Z662&lt;=0.2),1,0)</f>
        <v/>
      </c>
      <c r="AK662">
        <f>AVERAGE(U662:Z662)</f>
        <v/>
      </c>
      <c r="AL662">
        <f>1+COUNTIF(bounds,"&lt;"&amp;ROUND(AK662,12))</f>
        <v/>
      </c>
      <c r="AM662">
        <f>IF(AI662=1,AB662,NA())</f>
        <v/>
      </c>
      <c r="AN662">
        <f>IF(AI662=0,AB662,NA())</f>
        <v/>
      </c>
    </row>
    <row r="663">
      <c r="A663" t="n">
        <v>655</v>
      </c>
      <c r="B663" t="n">
        <v>1</v>
      </c>
      <c r="C663" t="n">
        <v>2</v>
      </c>
      <c r="D663" t="n">
        <v>1</v>
      </c>
      <c r="E663" t="n">
        <v>1</v>
      </c>
      <c r="F663" t="n">
        <v>5</v>
      </c>
      <c r="G663" t="n">
        <v>1</v>
      </c>
      <c r="H663" t="n">
        <v>2</v>
      </c>
      <c r="I663" t="n">
        <v>3</v>
      </c>
      <c r="J663" t="n">
        <v>2</v>
      </c>
      <c r="K663" t="n">
        <v>1</v>
      </c>
      <c r="L663" t="n">
        <v>2</v>
      </c>
      <c r="M663" t="n">
        <v>4</v>
      </c>
      <c r="N663" t="n">
        <v>3</v>
      </c>
      <c r="O663" t="n">
        <v>2</v>
      </c>
      <c r="P663" t="n">
        <v>4</v>
      </c>
      <c r="Q663" t="n">
        <v>2</v>
      </c>
      <c r="R663" t="n">
        <v>1</v>
      </c>
      <c r="S663" t="n">
        <v>3</v>
      </c>
      <c r="T663" t="n">
        <v>4</v>
      </c>
      <c r="U663">
        <f>(AVERAGE(B663:D663)-1)/4</f>
        <v/>
      </c>
      <c r="V663">
        <f>(AVERAGE(E663:F663)-1)/4</f>
        <v/>
      </c>
      <c r="W663">
        <f>(AVERAGE(G663:I663)-1)/4</f>
        <v/>
      </c>
      <c r="X663">
        <f>(AVERAGE(J663:L663)-1)/4</f>
        <v/>
      </c>
      <c r="Y663">
        <f>(AVERAGE(M663:O663)-1)/4</f>
        <v/>
      </c>
      <c r="Z663">
        <f>(AVERAGE(P663:R663)-1)/4</f>
        <v/>
      </c>
      <c r="AA663">
        <f>(AVERAGE(S663:T663)-1)/4</f>
        <v/>
      </c>
      <c r="AB663">
        <f>AVERAGE(U663:Y663)</f>
        <v/>
      </c>
      <c r="AC663">
        <f>MIN(U663:Y663)</f>
        <v/>
      </c>
      <c r="AD663">
        <f>1-alpha*MAX(0,delta-AC663)</f>
        <v/>
      </c>
      <c r="AE663">
        <f>AB663*AD663</f>
        <v/>
      </c>
      <c r="AF663">
        <f>1+COUNTIF(bounds,"&lt;"&amp;ROUND(AB663,12))</f>
        <v/>
      </c>
      <c r="AG663">
        <f>1+COUNTIF(bounds,"&lt;"&amp;ROUND(AE663,12))</f>
        <v/>
      </c>
      <c r="AH663">
        <f>IF(AD663&lt;1,1,0)</f>
        <v/>
      </c>
      <c r="AI663">
        <f>IF(AF663&lt;&gt;AG663,1,0)</f>
        <v/>
      </c>
      <c r="AJ663">
        <f>IF(AND(AG663&gt;=3,Z663&lt;=0.2),1,0)</f>
        <v/>
      </c>
      <c r="AK663">
        <f>AVERAGE(U663:Z663)</f>
        <v/>
      </c>
      <c r="AL663">
        <f>1+COUNTIF(bounds,"&lt;"&amp;ROUND(AK663,12))</f>
        <v/>
      </c>
      <c r="AM663">
        <f>IF(AI663=1,AB663,NA())</f>
        <v/>
      </c>
      <c r="AN663">
        <f>IF(AI663=0,AB663,NA())</f>
        <v/>
      </c>
    </row>
    <row r="664">
      <c r="A664" t="n">
        <v>656</v>
      </c>
      <c r="B664" t="n">
        <v>3</v>
      </c>
      <c r="C664" t="n">
        <v>2</v>
      </c>
      <c r="D664" t="n">
        <v>2</v>
      </c>
      <c r="E664" t="n">
        <v>3</v>
      </c>
      <c r="F664" t="n">
        <v>4</v>
      </c>
      <c r="G664" t="n">
        <v>5</v>
      </c>
      <c r="H664" t="n">
        <v>3</v>
      </c>
      <c r="I664" t="n">
        <v>5</v>
      </c>
      <c r="J664" t="n">
        <v>1</v>
      </c>
      <c r="K664" t="n">
        <v>1</v>
      </c>
      <c r="L664" t="n">
        <v>3</v>
      </c>
      <c r="M664" t="n">
        <v>3</v>
      </c>
      <c r="N664" t="n">
        <v>5</v>
      </c>
      <c r="O664" t="n">
        <v>5</v>
      </c>
      <c r="P664" t="n">
        <v>1</v>
      </c>
      <c r="Q664" t="n">
        <v>1</v>
      </c>
      <c r="R664" t="n">
        <v>4</v>
      </c>
      <c r="S664" t="n">
        <v>2</v>
      </c>
      <c r="T664" t="n">
        <v>1</v>
      </c>
      <c r="U664">
        <f>(AVERAGE(B664:D664)-1)/4</f>
        <v/>
      </c>
      <c r="V664">
        <f>(AVERAGE(E664:F664)-1)/4</f>
        <v/>
      </c>
      <c r="W664">
        <f>(AVERAGE(G664:I664)-1)/4</f>
        <v/>
      </c>
      <c r="X664">
        <f>(AVERAGE(J664:L664)-1)/4</f>
        <v/>
      </c>
      <c r="Y664">
        <f>(AVERAGE(M664:O664)-1)/4</f>
        <v/>
      </c>
      <c r="Z664">
        <f>(AVERAGE(P664:R664)-1)/4</f>
        <v/>
      </c>
      <c r="AA664">
        <f>(AVERAGE(S664:T664)-1)/4</f>
        <v/>
      </c>
      <c r="AB664">
        <f>AVERAGE(U664:Y664)</f>
        <v/>
      </c>
      <c r="AC664">
        <f>MIN(U664:Y664)</f>
        <v/>
      </c>
      <c r="AD664">
        <f>1-alpha*MAX(0,delta-AC664)</f>
        <v/>
      </c>
      <c r="AE664">
        <f>AB664*AD664</f>
        <v/>
      </c>
      <c r="AF664">
        <f>1+COUNTIF(bounds,"&lt;"&amp;ROUND(AB664,12))</f>
        <v/>
      </c>
      <c r="AG664">
        <f>1+COUNTIF(bounds,"&lt;"&amp;ROUND(AE664,12))</f>
        <v/>
      </c>
      <c r="AH664">
        <f>IF(AD664&lt;1,1,0)</f>
        <v/>
      </c>
      <c r="AI664">
        <f>IF(AF664&lt;&gt;AG664,1,0)</f>
        <v/>
      </c>
      <c r="AJ664">
        <f>IF(AND(AG664&gt;=3,Z664&lt;=0.2),1,0)</f>
        <v/>
      </c>
      <c r="AK664">
        <f>AVERAGE(U664:Z664)</f>
        <v/>
      </c>
      <c r="AL664">
        <f>1+COUNTIF(bounds,"&lt;"&amp;ROUND(AK664,12))</f>
        <v/>
      </c>
      <c r="AM664">
        <f>IF(AI664=1,AB664,NA())</f>
        <v/>
      </c>
      <c r="AN664">
        <f>IF(AI664=0,AB664,NA())</f>
        <v/>
      </c>
    </row>
    <row r="665">
      <c r="A665" t="n">
        <v>657</v>
      </c>
      <c r="B665" t="n">
        <v>1</v>
      </c>
      <c r="C665" t="n">
        <v>4</v>
      </c>
      <c r="D665" t="n">
        <v>4</v>
      </c>
      <c r="E665" t="n">
        <v>5</v>
      </c>
      <c r="F665" t="n">
        <v>1</v>
      </c>
      <c r="G665" t="n">
        <v>1</v>
      </c>
      <c r="H665" t="n">
        <v>2</v>
      </c>
      <c r="I665" t="n">
        <v>5</v>
      </c>
      <c r="J665" t="n">
        <v>1</v>
      </c>
      <c r="K665" t="n">
        <v>1</v>
      </c>
      <c r="L665" t="n">
        <v>2</v>
      </c>
      <c r="M665" t="n">
        <v>4</v>
      </c>
      <c r="N665" t="n">
        <v>3</v>
      </c>
      <c r="O665" t="n">
        <v>5</v>
      </c>
      <c r="P665" t="n">
        <v>3</v>
      </c>
      <c r="Q665" t="n">
        <v>3</v>
      </c>
      <c r="R665" t="n">
        <v>4</v>
      </c>
      <c r="S665" t="n">
        <v>1</v>
      </c>
      <c r="T665" t="n">
        <v>5</v>
      </c>
      <c r="U665">
        <f>(AVERAGE(B665:D665)-1)/4</f>
        <v/>
      </c>
      <c r="V665">
        <f>(AVERAGE(E665:F665)-1)/4</f>
        <v/>
      </c>
      <c r="W665">
        <f>(AVERAGE(G665:I665)-1)/4</f>
        <v/>
      </c>
      <c r="X665">
        <f>(AVERAGE(J665:L665)-1)/4</f>
        <v/>
      </c>
      <c r="Y665">
        <f>(AVERAGE(M665:O665)-1)/4</f>
        <v/>
      </c>
      <c r="Z665">
        <f>(AVERAGE(P665:R665)-1)/4</f>
        <v/>
      </c>
      <c r="AA665">
        <f>(AVERAGE(S665:T665)-1)/4</f>
        <v/>
      </c>
      <c r="AB665">
        <f>AVERAGE(U665:Y665)</f>
        <v/>
      </c>
      <c r="AC665">
        <f>MIN(U665:Y665)</f>
        <v/>
      </c>
      <c r="AD665">
        <f>1-alpha*MAX(0,delta-AC665)</f>
        <v/>
      </c>
      <c r="AE665">
        <f>AB665*AD665</f>
        <v/>
      </c>
      <c r="AF665">
        <f>1+COUNTIF(bounds,"&lt;"&amp;ROUND(AB665,12))</f>
        <v/>
      </c>
      <c r="AG665">
        <f>1+COUNTIF(bounds,"&lt;"&amp;ROUND(AE665,12))</f>
        <v/>
      </c>
      <c r="AH665">
        <f>IF(AD665&lt;1,1,0)</f>
        <v/>
      </c>
      <c r="AI665">
        <f>IF(AF665&lt;&gt;AG665,1,0)</f>
        <v/>
      </c>
      <c r="AJ665">
        <f>IF(AND(AG665&gt;=3,Z665&lt;=0.2),1,0)</f>
        <v/>
      </c>
      <c r="AK665">
        <f>AVERAGE(U665:Z665)</f>
        <v/>
      </c>
      <c r="AL665">
        <f>1+COUNTIF(bounds,"&lt;"&amp;ROUND(AK665,12))</f>
        <v/>
      </c>
      <c r="AM665">
        <f>IF(AI665=1,AB665,NA())</f>
        <v/>
      </c>
      <c r="AN665">
        <f>IF(AI665=0,AB665,NA())</f>
        <v/>
      </c>
    </row>
    <row r="666">
      <c r="A666" t="n">
        <v>658</v>
      </c>
      <c r="B666" t="n">
        <v>3</v>
      </c>
      <c r="C666" t="n">
        <v>1</v>
      </c>
      <c r="D666" t="n">
        <v>4</v>
      </c>
      <c r="E666" t="n">
        <v>1</v>
      </c>
      <c r="F666" t="n">
        <v>2</v>
      </c>
      <c r="G666" t="n">
        <v>1</v>
      </c>
      <c r="H666" t="n">
        <v>4</v>
      </c>
      <c r="I666" t="n">
        <v>1</v>
      </c>
      <c r="J666" t="n">
        <v>2</v>
      </c>
      <c r="K666" t="n">
        <v>2</v>
      </c>
      <c r="L666" t="n">
        <v>4</v>
      </c>
      <c r="M666" t="n">
        <v>2</v>
      </c>
      <c r="N666" t="n">
        <v>1</v>
      </c>
      <c r="O666" t="n">
        <v>2</v>
      </c>
      <c r="P666" t="n">
        <v>2</v>
      </c>
      <c r="Q666" t="n">
        <v>4</v>
      </c>
      <c r="R666" t="n">
        <v>2</v>
      </c>
      <c r="S666" t="n">
        <v>2</v>
      </c>
      <c r="T666" t="n">
        <v>4</v>
      </c>
      <c r="U666">
        <f>(AVERAGE(B666:D666)-1)/4</f>
        <v/>
      </c>
      <c r="V666">
        <f>(AVERAGE(E666:F666)-1)/4</f>
        <v/>
      </c>
      <c r="W666">
        <f>(AVERAGE(G666:I666)-1)/4</f>
        <v/>
      </c>
      <c r="X666">
        <f>(AVERAGE(J666:L666)-1)/4</f>
        <v/>
      </c>
      <c r="Y666">
        <f>(AVERAGE(M666:O666)-1)/4</f>
        <v/>
      </c>
      <c r="Z666">
        <f>(AVERAGE(P666:R666)-1)/4</f>
        <v/>
      </c>
      <c r="AA666">
        <f>(AVERAGE(S666:T666)-1)/4</f>
        <v/>
      </c>
      <c r="AB666">
        <f>AVERAGE(U666:Y666)</f>
        <v/>
      </c>
      <c r="AC666">
        <f>MIN(U666:Y666)</f>
        <v/>
      </c>
      <c r="AD666">
        <f>1-alpha*MAX(0,delta-AC666)</f>
        <v/>
      </c>
      <c r="AE666">
        <f>AB666*AD666</f>
        <v/>
      </c>
      <c r="AF666">
        <f>1+COUNTIF(bounds,"&lt;"&amp;ROUND(AB666,12))</f>
        <v/>
      </c>
      <c r="AG666">
        <f>1+COUNTIF(bounds,"&lt;"&amp;ROUND(AE666,12))</f>
        <v/>
      </c>
      <c r="AH666">
        <f>IF(AD666&lt;1,1,0)</f>
        <v/>
      </c>
      <c r="AI666">
        <f>IF(AF666&lt;&gt;AG666,1,0)</f>
        <v/>
      </c>
      <c r="AJ666">
        <f>IF(AND(AG666&gt;=3,Z666&lt;=0.2),1,0)</f>
        <v/>
      </c>
      <c r="AK666">
        <f>AVERAGE(U666:Z666)</f>
        <v/>
      </c>
      <c r="AL666">
        <f>1+COUNTIF(bounds,"&lt;"&amp;ROUND(AK666,12))</f>
        <v/>
      </c>
      <c r="AM666">
        <f>IF(AI666=1,AB666,NA())</f>
        <v/>
      </c>
      <c r="AN666">
        <f>IF(AI666=0,AB666,NA())</f>
        <v/>
      </c>
    </row>
    <row r="667">
      <c r="A667" t="n">
        <v>659</v>
      </c>
      <c r="B667" t="n">
        <v>5</v>
      </c>
      <c r="C667" t="n">
        <v>5</v>
      </c>
      <c r="D667" t="n">
        <v>5</v>
      </c>
      <c r="E667" t="n">
        <v>5</v>
      </c>
      <c r="F667" t="n">
        <v>2</v>
      </c>
      <c r="G667" t="n">
        <v>4</v>
      </c>
      <c r="H667" t="n">
        <v>1</v>
      </c>
      <c r="I667" t="n">
        <v>1</v>
      </c>
      <c r="J667" t="n">
        <v>4</v>
      </c>
      <c r="K667" t="n">
        <v>3</v>
      </c>
      <c r="L667" t="n">
        <v>2</v>
      </c>
      <c r="M667" t="n">
        <v>2</v>
      </c>
      <c r="N667" t="n">
        <v>1</v>
      </c>
      <c r="O667" t="n">
        <v>1</v>
      </c>
      <c r="P667" t="n">
        <v>3</v>
      </c>
      <c r="Q667" t="n">
        <v>3</v>
      </c>
      <c r="R667" t="n">
        <v>4</v>
      </c>
      <c r="S667" t="n">
        <v>1</v>
      </c>
      <c r="T667" t="n">
        <v>5</v>
      </c>
      <c r="U667">
        <f>(AVERAGE(B667:D667)-1)/4</f>
        <v/>
      </c>
      <c r="V667">
        <f>(AVERAGE(E667:F667)-1)/4</f>
        <v/>
      </c>
      <c r="W667">
        <f>(AVERAGE(G667:I667)-1)/4</f>
        <v/>
      </c>
      <c r="X667">
        <f>(AVERAGE(J667:L667)-1)/4</f>
        <v/>
      </c>
      <c r="Y667">
        <f>(AVERAGE(M667:O667)-1)/4</f>
        <v/>
      </c>
      <c r="Z667">
        <f>(AVERAGE(P667:R667)-1)/4</f>
        <v/>
      </c>
      <c r="AA667">
        <f>(AVERAGE(S667:T667)-1)/4</f>
        <v/>
      </c>
      <c r="AB667">
        <f>AVERAGE(U667:Y667)</f>
        <v/>
      </c>
      <c r="AC667">
        <f>MIN(U667:Y667)</f>
        <v/>
      </c>
      <c r="AD667">
        <f>1-alpha*MAX(0,delta-AC667)</f>
        <v/>
      </c>
      <c r="AE667">
        <f>AB667*AD667</f>
        <v/>
      </c>
      <c r="AF667">
        <f>1+COUNTIF(bounds,"&lt;"&amp;ROUND(AB667,12))</f>
        <v/>
      </c>
      <c r="AG667">
        <f>1+COUNTIF(bounds,"&lt;"&amp;ROUND(AE667,12))</f>
        <v/>
      </c>
      <c r="AH667">
        <f>IF(AD667&lt;1,1,0)</f>
        <v/>
      </c>
      <c r="AI667">
        <f>IF(AF667&lt;&gt;AG667,1,0)</f>
        <v/>
      </c>
      <c r="AJ667">
        <f>IF(AND(AG667&gt;=3,Z667&lt;=0.2),1,0)</f>
        <v/>
      </c>
      <c r="AK667">
        <f>AVERAGE(U667:Z667)</f>
        <v/>
      </c>
      <c r="AL667">
        <f>1+COUNTIF(bounds,"&lt;"&amp;ROUND(AK667,12))</f>
        <v/>
      </c>
      <c r="AM667">
        <f>IF(AI667=1,AB667,NA())</f>
        <v/>
      </c>
      <c r="AN667">
        <f>IF(AI667=0,AB667,NA())</f>
        <v/>
      </c>
    </row>
    <row r="668">
      <c r="A668" t="n">
        <v>660</v>
      </c>
      <c r="B668" t="n">
        <v>5</v>
      </c>
      <c r="C668" t="n">
        <v>4</v>
      </c>
      <c r="D668" t="n">
        <v>1</v>
      </c>
      <c r="E668" t="n">
        <v>3</v>
      </c>
      <c r="F668" t="n">
        <v>3</v>
      </c>
      <c r="G668" t="n">
        <v>5</v>
      </c>
      <c r="H668" t="n">
        <v>2</v>
      </c>
      <c r="I668" t="n">
        <v>1</v>
      </c>
      <c r="J668" t="n">
        <v>2</v>
      </c>
      <c r="K668" t="n">
        <v>2</v>
      </c>
      <c r="L668" t="n">
        <v>4</v>
      </c>
      <c r="M668" t="n">
        <v>2</v>
      </c>
      <c r="N668" t="n">
        <v>1</v>
      </c>
      <c r="O668" t="n">
        <v>5</v>
      </c>
      <c r="P668" t="n">
        <v>1</v>
      </c>
      <c r="Q668" t="n">
        <v>5</v>
      </c>
      <c r="R668" t="n">
        <v>2</v>
      </c>
      <c r="S668" t="n">
        <v>5</v>
      </c>
      <c r="T668" t="n">
        <v>4</v>
      </c>
      <c r="U668">
        <f>(AVERAGE(B668:D668)-1)/4</f>
        <v/>
      </c>
      <c r="V668">
        <f>(AVERAGE(E668:F668)-1)/4</f>
        <v/>
      </c>
      <c r="W668">
        <f>(AVERAGE(G668:I668)-1)/4</f>
        <v/>
      </c>
      <c r="X668">
        <f>(AVERAGE(J668:L668)-1)/4</f>
        <v/>
      </c>
      <c r="Y668">
        <f>(AVERAGE(M668:O668)-1)/4</f>
        <v/>
      </c>
      <c r="Z668">
        <f>(AVERAGE(P668:R668)-1)/4</f>
        <v/>
      </c>
      <c r="AA668">
        <f>(AVERAGE(S668:T668)-1)/4</f>
        <v/>
      </c>
      <c r="AB668">
        <f>AVERAGE(U668:Y668)</f>
        <v/>
      </c>
      <c r="AC668">
        <f>MIN(U668:Y668)</f>
        <v/>
      </c>
      <c r="AD668">
        <f>1-alpha*MAX(0,delta-AC668)</f>
        <v/>
      </c>
      <c r="AE668">
        <f>AB668*AD668</f>
        <v/>
      </c>
      <c r="AF668">
        <f>1+COUNTIF(bounds,"&lt;"&amp;ROUND(AB668,12))</f>
        <v/>
      </c>
      <c r="AG668">
        <f>1+COUNTIF(bounds,"&lt;"&amp;ROUND(AE668,12))</f>
        <v/>
      </c>
      <c r="AH668">
        <f>IF(AD668&lt;1,1,0)</f>
        <v/>
      </c>
      <c r="AI668">
        <f>IF(AF668&lt;&gt;AG668,1,0)</f>
        <v/>
      </c>
      <c r="AJ668">
        <f>IF(AND(AG668&gt;=3,Z668&lt;=0.2),1,0)</f>
        <v/>
      </c>
      <c r="AK668">
        <f>AVERAGE(U668:Z668)</f>
        <v/>
      </c>
      <c r="AL668">
        <f>1+COUNTIF(bounds,"&lt;"&amp;ROUND(AK668,12))</f>
        <v/>
      </c>
      <c r="AM668">
        <f>IF(AI668=1,AB668,NA())</f>
        <v/>
      </c>
      <c r="AN668">
        <f>IF(AI668=0,AB668,NA())</f>
        <v/>
      </c>
    </row>
    <row r="669">
      <c r="A669" t="n">
        <v>661</v>
      </c>
      <c r="B669" t="n">
        <v>5</v>
      </c>
      <c r="C669" t="n">
        <v>2</v>
      </c>
      <c r="D669" t="n">
        <v>2</v>
      </c>
      <c r="E669" t="n">
        <v>1</v>
      </c>
      <c r="F669" t="n">
        <v>5</v>
      </c>
      <c r="G669" t="n">
        <v>1</v>
      </c>
      <c r="H669" t="n">
        <v>4</v>
      </c>
      <c r="I669" t="n">
        <v>1</v>
      </c>
      <c r="J669" t="n">
        <v>2</v>
      </c>
      <c r="K669" t="n">
        <v>2</v>
      </c>
      <c r="L669" t="n">
        <v>2</v>
      </c>
      <c r="M669" t="n">
        <v>3</v>
      </c>
      <c r="N669" t="n">
        <v>2</v>
      </c>
      <c r="O669" t="n">
        <v>5</v>
      </c>
      <c r="P669" t="n">
        <v>2</v>
      </c>
      <c r="Q669" t="n">
        <v>1</v>
      </c>
      <c r="R669" t="n">
        <v>5</v>
      </c>
      <c r="S669" t="n">
        <v>4</v>
      </c>
      <c r="T669" t="n">
        <v>1</v>
      </c>
      <c r="U669">
        <f>(AVERAGE(B669:D669)-1)/4</f>
        <v/>
      </c>
      <c r="V669">
        <f>(AVERAGE(E669:F669)-1)/4</f>
        <v/>
      </c>
      <c r="W669">
        <f>(AVERAGE(G669:I669)-1)/4</f>
        <v/>
      </c>
      <c r="X669">
        <f>(AVERAGE(J669:L669)-1)/4</f>
        <v/>
      </c>
      <c r="Y669">
        <f>(AVERAGE(M669:O669)-1)/4</f>
        <v/>
      </c>
      <c r="Z669">
        <f>(AVERAGE(P669:R669)-1)/4</f>
        <v/>
      </c>
      <c r="AA669">
        <f>(AVERAGE(S669:T669)-1)/4</f>
        <v/>
      </c>
      <c r="AB669">
        <f>AVERAGE(U669:Y669)</f>
        <v/>
      </c>
      <c r="AC669">
        <f>MIN(U669:Y669)</f>
        <v/>
      </c>
      <c r="AD669">
        <f>1-alpha*MAX(0,delta-AC669)</f>
        <v/>
      </c>
      <c r="AE669">
        <f>AB669*AD669</f>
        <v/>
      </c>
      <c r="AF669">
        <f>1+COUNTIF(bounds,"&lt;"&amp;ROUND(AB669,12))</f>
        <v/>
      </c>
      <c r="AG669">
        <f>1+COUNTIF(bounds,"&lt;"&amp;ROUND(AE669,12))</f>
        <v/>
      </c>
      <c r="AH669">
        <f>IF(AD669&lt;1,1,0)</f>
        <v/>
      </c>
      <c r="AI669">
        <f>IF(AF669&lt;&gt;AG669,1,0)</f>
        <v/>
      </c>
      <c r="AJ669">
        <f>IF(AND(AG669&gt;=3,Z669&lt;=0.2),1,0)</f>
        <v/>
      </c>
      <c r="AK669">
        <f>AVERAGE(U669:Z669)</f>
        <v/>
      </c>
      <c r="AL669">
        <f>1+COUNTIF(bounds,"&lt;"&amp;ROUND(AK669,12))</f>
        <v/>
      </c>
      <c r="AM669">
        <f>IF(AI669=1,AB669,NA())</f>
        <v/>
      </c>
      <c r="AN669">
        <f>IF(AI669=0,AB669,NA())</f>
        <v/>
      </c>
    </row>
    <row r="670">
      <c r="A670" t="n">
        <v>662</v>
      </c>
      <c r="B670" t="n">
        <v>5</v>
      </c>
      <c r="C670" t="n">
        <v>5</v>
      </c>
      <c r="D670" t="n">
        <v>2</v>
      </c>
      <c r="E670" t="n">
        <v>1</v>
      </c>
      <c r="F670" t="n">
        <v>1</v>
      </c>
      <c r="G670" t="n">
        <v>1</v>
      </c>
      <c r="H670" t="n">
        <v>2</v>
      </c>
      <c r="I670" t="n">
        <v>2</v>
      </c>
      <c r="J670" t="n">
        <v>1</v>
      </c>
      <c r="K670" t="n">
        <v>2</v>
      </c>
      <c r="L670" t="n">
        <v>5</v>
      </c>
      <c r="M670" t="n">
        <v>2</v>
      </c>
      <c r="N670" t="n">
        <v>5</v>
      </c>
      <c r="O670" t="n">
        <v>3</v>
      </c>
      <c r="P670" t="n">
        <v>4</v>
      </c>
      <c r="Q670" t="n">
        <v>1</v>
      </c>
      <c r="R670" t="n">
        <v>3</v>
      </c>
      <c r="S670" t="n">
        <v>3</v>
      </c>
      <c r="T670" t="n">
        <v>1</v>
      </c>
      <c r="U670">
        <f>(AVERAGE(B670:D670)-1)/4</f>
        <v/>
      </c>
      <c r="V670">
        <f>(AVERAGE(E670:F670)-1)/4</f>
        <v/>
      </c>
      <c r="W670">
        <f>(AVERAGE(G670:I670)-1)/4</f>
        <v/>
      </c>
      <c r="X670">
        <f>(AVERAGE(J670:L670)-1)/4</f>
        <v/>
      </c>
      <c r="Y670">
        <f>(AVERAGE(M670:O670)-1)/4</f>
        <v/>
      </c>
      <c r="Z670">
        <f>(AVERAGE(P670:R670)-1)/4</f>
        <v/>
      </c>
      <c r="AA670">
        <f>(AVERAGE(S670:T670)-1)/4</f>
        <v/>
      </c>
      <c r="AB670">
        <f>AVERAGE(U670:Y670)</f>
        <v/>
      </c>
      <c r="AC670">
        <f>MIN(U670:Y670)</f>
        <v/>
      </c>
      <c r="AD670">
        <f>1-alpha*MAX(0,delta-AC670)</f>
        <v/>
      </c>
      <c r="AE670">
        <f>AB670*AD670</f>
        <v/>
      </c>
      <c r="AF670">
        <f>1+COUNTIF(bounds,"&lt;"&amp;ROUND(AB670,12))</f>
        <v/>
      </c>
      <c r="AG670">
        <f>1+COUNTIF(bounds,"&lt;"&amp;ROUND(AE670,12))</f>
        <v/>
      </c>
      <c r="AH670">
        <f>IF(AD670&lt;1,1,0)</f>
        <v/>
      </c>
      <c r="AI670">
        <f>IF(AF670&lt;&gt;AG670,1,0)</f>
        <v/>
      </c>
      <c r="AJ670">
        <f>IF(AND(AG670&gt;=3,Z670&lt;=0.2),1,0)</f>
        <v/>
      </c>
      <c r="AK670">
        <f>AVERAGE(U670:Z670)</f>
        <v/>
      </c>
      <c r="AL670">
        <f>1+COUNTIF(bounds,"&lt;"&amp;ROUND(AK670,12))</f>
        <v/>
      </c>
      <c r="AM670">
        <f>IF(AI670=1,AB670,NA())</f>
        <v/>
      </c>
      <c r="AN670">
        <f>IF(AI670=0,AB670,NA())</f>
        <v/>
      </c>
    </row>
    <row r="671">
      <c r="A671" t="n">
        <v>663</v>
      </c>
      <c r="B671" t="n">
        <v>5</v>
      </c>
      <c r="C671" t="n">
        <v>1</v>
      </c>
      <c r="D671" t="n">
        <v>2</v>
      </c>
      <c r="E671" t="n">
        <v>4</v>
      </c>
      <c r="F671" t="n">
        <v>2</v>
      </c>
      <c r="G671" t="n">
        <v>2</v>
      </c>
      <c r="H671" t="n">
        <v>5</v>
      </c>
      <c r="I671" t="n">
        <v>2</v>
      </c>
      <c r="J671" t="n">
        <v>4</v>
      </c>
      <c r="K671" t="n">
        <v>1</v>
      </c>
      <c r="L671" t="n">
        <v>5</v>
      </c>
      <c r="M671" t="n">
        <v>5</v>
      </c>
      <c r="N671" t="n">
        <v>5</v>
      </c>
      <c r="O671" t="n">
        <v>4</v>
      </c>
      <c r="P671" t="n">
        <v>3</v>
      </c>
      <c r="Q671" t="n">
        <v>5</v>
      </c>
      <c r="R671" t="n">
        <v>5</v>
      </c>
      <c r="S671" t="n">
        <v>4</v>
      </c>
      <c r="T671" t="n">
        <v>4</v>
      </c>
      <c r="U671">
        <f>(AVERAGE(B671:D671)-1)/4</f>
        <v/>
      </c>
      <c r="V671">
        <f>(AVERAGE(E671:F671)-1)/4</f>
        <v/>
      </c>
      <c r="W671">
        <f>(AVERAGE(G671:I671)-1)/4</f>
        <v/>
      </c>
      <c r="X671">
        <f>(AVERAGE(J671:L671)-1)/4</f>
        <v/>
      </c>
      <c r="Y671">
        <f>(AVERAGE(M671:O671)-1)/4</f>
        <v/>
      </c>
      <c r="Z671">
        <f>(AVERAGE(P671:R671)-1)/4</f>
        <v/>
      </c>
      <c r="AA671">
        <f>(AVERAGE(S671:T671)-1)/4</f>
        <v/>
      </c>
      <c r="AB671">
        <f>AVERAGE(U671:Y671)</f>
        <v/>
      </c>
      <c r="AC671">
        <f>MIN(U671:Y671)</f>
        <v/>
      </c>
      <c r="AD671">
        <f>1-alpha*MAX(0,delta-AC671)</f>
        <v/>
      </c>
      <c r="AE671">
        <f>AB671*AD671</f>
        <v/>
      </c>
      <c r="AF671">
        <f>1+COUNTIF(bounds,"&lt;"&amp;ROUND(AB671,12))</f>
        <v/>
      </c>
      <c r="AG671">
        <f>1+COUNTIF(bounds,"&lt;"&amp;ROUND(AE671,12))</f>
        <v/>
      </c>
      <c r="AH671">
        <f>IF(AD671&lt;1,1,0)</f>
        <v/>
      </c>
      <c r="AI671">
        <f>IF(AF671&lt;&gt;AG671,1,0)</f>
        <v/>
      </c>
      <c r="AJ671">
        <f>IF(AND(AG671&gt;=3,Z671&lt;=0.2),1,0)</f>
        <v/>
      </c>
      <c r="AK671">
        <f>AVERAGE(U671:Z671)</f>
        <v/>
      </c>
      <c r="AL671">
        <f>1+COUNTIF(bounds,"&lt;"&amp;ROUND(AK671,12))</f>
        <v/>
      </c>
      <c r="AM671">
        <f>IF(AI671=1,AB671,NA())</f>
        <v/>
      </c>
      <c r="AN671">
        <f>IF(AI671=0,AB671,NA())</f>
        <v/>
      </c>
    </row>
    <row r="672">
      <c r="A672" t="n">
        <v>664</v>
      </c>
      <c r="B672" t="n">
        <v>1</v>
      </c>
      <c r="C672" t="n">
        <v>4</v>
      </c>
      <c r="D672" t="n">
        <v>1</v>
      </c>
      <c r="E672" t="n">
        <v>3</v>
      </c>
      <c r="F672" t="n">
        <v>5</v>
      </c>
      <c r="G672" t="n">
        <v>2</v>
      </c>
      <c r="H672" t="n">
        <v>3</v>
      </c>
      <c r="I672" t="n">
        <v>5</v>
      </c>
      <c r="J672" t="n">
        <v>1</v>
      </c>
      <c r="K672" t="n">
        <v>3</v>
      </c>
      <c r="L672" t="n">
        <v>3</v>
      </c>
      <c r="M672" t="n">
        <v>5</v>
      </c>
      <c r="N672" t="n">
        <v>3</v>
      </c>
      <c r="O672" t="n">
        <v>3</v>
      </c>
      <c r="P672" t="n">
        <v>2</v>
      </c>
      <c r="Q672" t="n">
        <v>4</v>
      </c>
      <c r="R672" t="n">
        <v>2</v>
      </c>
      <c r="S672" t="n">
        <v>3</v>
      </c>
      <c r="T672" t="n">
        <v>1</v>
      </c>
      <c r="U672">
        <f>(AVERAGE(B672:D672)-1)/4</f>
        <v/>
      </c>
      <c r="V672">
        <f>(AVERAGE(E672:F672)-1)/4</f>
        <v/>
      </c>
      <c r="W672">
        <f>(AVERAGE(G672:I672)-1)/4</f>
        <v/>
      </c>
      <c r="X672">
        <f>(AVERAGE(J672:L672)-1)/4</f>
        <v/>
      </c>
      <c r="Y672">
        <f>(AVERAGE(M672:O672)-1)/4</f>
        <v/>
      </c>
      <c r="Z672">
        <f>(AVERAGE(P672:R672)-1)/4</f>
        <v/>
      </c>
      <c r="AA672">
        <f>(AVERAGE(S672:T672)-1)/4</f>
        <v/>
      </c>
      <c r="AB672">
        <f>AVERAGE(U672:Y672)</f>
        <v/>
      </c>
      <c r="AC672">
        <f>MIN(U672:Y672)</f>
        <v/>
      </c>
      <c r="AD672">
        <f>1-alpha*MAX(0,delta-AC672)</f>
        <v/>
      </c>
      <c r="AE672">
        <f>AB672*AD672</f>
        <v/>
      </c>
      <c r="AF672">
        <f>1+COUNTIF(bounds,"&lt;"&amp;ROUND(AB672,12))</f>
        <v/>
      </c>
      <c r="AG672">
        <f>1+COUNTIF(bounds,"&lt;"&amp;ROUND(AE672,12))</f>
        <v/>
      </c>
      <c r="AH672">
        <f>IF(AD672&lt;1,1,0)</f>
        <v/>
      </c>
      <c r="AI672">
        <f>IF(AF672&lt;&gt;AG672,1,0)</f>
        <v/>
      </c>
      <c r="AJ672">
        <f>IF(AND(AG672&gt;=3,Z672&lt;=0.2),1,0)</f>
        <v/>
      </c>
      <c r="AK672">
        <f>AVERAGE(U672:Z672)</f>
        <v/>
      </c>
      <c r="AL672">
        <f>1+COUNTIF(bounds,"&lt;"&amp;ROUND(AK672,12))</f>
        <v/>
      </c>
      <c r="AM672">
        <f>IF(AI672=1,AB672,NA())</f>
        <v/>
      </c>
      <c r="AN672">
        <f>IF(AI672=0,AB672,NA())</f>
        <v/>
      </c>
    </row>
    <row r="673">
      <c r="A673" t="n">
        <v>665</v>
      </c>
      <c r="B673" t="n">
        <v>3</v>
      </c>
      <c r="C673" t="n">
        <v>3</v>
      </c>
      <c r="D673" t="n">
        <v>2</v>
      </c>
      <c r="E673" t="n">
        <v>1</v>
      </c>
      <c r="F673" t="n">
        <v>2</v>
      </c>
      <c r="G673" t="n">
        <v>1</v>
      </c>
      <c r="H673" t="n">
        <v>3</v>
      </c>
      <c r="I673" t="n">
        <v>5</v>
      </c>
      <c r="J673" t="n">
        <v>4</v>
      </c>
      <c r="K673" t="n">
        <v>4</v>
      </c>
      <c r="L673" t="n">
        <v>3</v>
      </c>
      <c r="M673" t="n">
        <v>2</v>
      </c>
      <c r="N673" t="n">
        <v>2</v>
      </c>
      <c r="O673" t="n">
        <v>5</v>
      </c>
      <c r="P673" t="n">
        <v>4</v>
      </c>
      <c r="Q673" t="n">
        <v>1</v>
      </c>
      <c r="R673" t="n">
        <v>4</v>
      </c>
      <c r="S673" t="n">
        <v>5</v>
      </c>
      <c r="T673" t="n">
        <v>2</v>
      </c>
      <c r="U673">
        <f>(AVERAGE(B673:D673)-1)/4</f>
        <v/>
      </c>
      <c r="V673">
        <f>(AVERAGE(E673:F673)-1)/4</f>
        <v/>
      </c>
      <c r="W673">
        <f>(AVERAGE(G673:I673)-1)/4</f>
        <v/>
      </c>
      <c r="X673">
        <f>(AVERAGE(J673:L673)-1)/4</f>
        <v/>
      </c>
      <c r="Y673">
        <f>(AVERAGE(M673:O673)-1)/4</f>
        <v/>
      </c>
      <c r="Z673">
        <f>(AVERAGE(P673:R673)-1)/4</f>
        <v/>
      </c>
      <c r="AA673">
        <f>(AVERAGE(S673:T673)-1)/4</f>
        <v/>
      </c>
      <c r="AB673">
        <f>AVERAGE(U673:Y673)</f>
        <v/>
      </c>
      <c r="AC673">
        <f>MIN(U673:Y673)</f>
        <v/>
      </c>
      <c r="AD673">
        <f>1-alpha*MAX(0,delta-AC673)</f>
        <v/>
      </c>
      <c r="AE673">
        <f>AB673*AD673</f>
        <v/>
      </c>
      <c r="AF673">
        <f>1+COUNTIF(bounds,"&lt;"&amp;ROUND(AB673,12))</f>
        <v/>
      </c>
      <c r="AG673">
        <f>1+COUNTIF(bounds,"&lt;"&amp;ROUND(AE673,12))</f>
        <v/>
      </c>
      <c r="AH673">
        <f>IF(AD673&lt;1,1,0)</f>
        <v/>
      </c>
      <c r="AI673">
        <f>IF(AF673&lt;&gt;AG673,1,0)</f>
        <v/>
      </c>
      <c r="AJ673">
        <f>IF(AND(AG673&gt;=3,Z673&lt;=0.2),1,0)</f>
        <v/>
      </c>
      <c r="AK673">
        <f>AVERAGE(U673:Z673)</f>
        <v/>
      </c>
      <c r="AL673">
        <f>1+COUNTIF(bounds,"&lt;"&amp;ROUND(AK673,12))</f>
        <v/>
      </c>
      <c r="AM673">
        <f>IF(AI673=1,AB673,NA())</f>
        <v/>
      </c>
      <c r="AN673">
        <f>IF(AI673=0,AB673,NA())</f>
        <v/>
      </c>
    </row>
    <row r="674">
      <c r="A674" t="n">
        <v>666</v>
      </c>
      <c r="B674" t="n">
        <v>4</v>
      </c>
      <c r="C674" t="n">
        <v>4</v>
      </c>
      <c r="D674" t="n">
        <v>2</v>
      </c>
      <c r="E674" t="n">
        <v>1</v>
      </c>
      <c r="F674" t="n">
        <v>3</v>
      </c>
      <c r="G674" t="n">
        <v>4</v>
      </c>
      <c r="H674" t="n">
        <v>4</v>
      </c>
      <c r="I674" t="n">
        <v>4</v>
      </c>
      <c r="J674" t="n">
        <v>3</v>
      </c>
      <c r="K674" t="n">
        <v>5</v>
      </c>
      <c r="L674" t="n">
        <v>2</v>
      </c>
      <c r="M674" t="n">
        <v>2</v>
      </c>
      <c r="N674" t="n">
        <v>3</v>
      </c>
      <c r="O674" t="n">
        <v>5</v>
      </c>
      <c r="P674" t="n">
        <v>5</v>
      </c>
      <c r="Q674" t="n">
        <v>2</v>
      </c>
      <c r="R674" t="n">
        <v>1</v>
      </c>
      <c r="S674" t="n">
        <v>4</v>
      </c>
      <c r="T674" t="n">
        <v>2</v>
      </c>
      <c r="U674">
        <f>(AVERAGE(B674:D674)-1)/4</f>
        <v/>
      </c>
      <c r="V674">
        <f>(AVERAGE(E674:F674)-1)/4</f>
        <v/>
      </c>
      <c r="W674">
        <f>(AVERAGE(G674:I674)-1)/4</f>
        <v/>
      </c>
      <c r="X674">
        <f>(AVERAGE(J674:L674)-1)/4</f>
        <v/>
      </c>
      <c r="Y674">
        <f>(AVERAGE(M674:O674)-1)/4</f>
        <v/>
      </c>
      <c r="Z674">
        <f>(AVERAGE(P674:R674)-1)/4</f>
        <v/>
      </c>
      <c r="AA674">
        <f>(AVERAGE(S674:T674)-1)/4</f>
        <v/>
      </c>
      <c r="AB674">
        <f>AVERAGE(U674:Y674)</f>
        <v/>
      </c>
      <c r="AC674">
        <f>MIN(U674:Y674)</f>
        <v/>
      </c>
      <c r="AD674">
        <f>1-alpha*MAX(0,delta-AC674)</f>
        <v/>
      </c>
      <c r="AE674">
        <f>AB674*AD674</f>
        <v/>
      </c>
      <c r="AF674">
        <f>1+COUNTIF(bounds,"&lt;"&amp;ROUND(AB674,12))</f>
        <v/>
      </c>
      <c r="AG674">
        <f>1+COUNTIF(bounds,"&lt;"&amp;ROUND(AE674,12))</f>
        <v/>
      </c>
      <c r="AH674">
        <f>IF(AD674&lt;1,1,0)</f>
        <v/>
      </c>
      <c r="AI674">
        <f>IF(AF674&lt;&gt;AG674,1,0)</f>
        <v/>
      </c>
      <c r="AJ674">
        <f>IF(AND(AG674&gt;=3,Z674&lt;=0.2),1,0)</f>
        <v/>
      </c>
      <c r="AK674">
        <f>AVERAGE(U674:Z674)</f>
        <v/>
      </c>
      <c r="AL674">
        <f>1+COUNTIF(bounds,"&lt;"&amp;ROUND(AK674,12))</f>
        <v/>
      </c>
      <c r="AM674">
        <f>IF(AI674=1,AB674,NA())</f>
        <v/>
      </c>
      <c r="AN674">
        <f>IF(AI674=0,AB674,NA())</f>
        <v/>
      </c>
    </row>
    <row r="675">
      <c r="A675" t="n">
        <v>667</v>
      </c>
      <c r="B675" t="n">
        <v>2</v>
      </c>
      <c r="C675" t="n">
        <v>5</v>
      </c>
      <c r="D675" t="n">
        <v>4</v>
      </c>
      <c r="E675" t="n">
        <v>4</v>
      </c>
      <c r="F675" t="n">
        <v>4</v>
      </c>
      <c r="G675" t="n">
        <v>2</v>
      </c>
      <c r="H675" t="n">
        <v>2</v>
      </c>
      <c r="I675" t="n">
        <v>5</v>
      </c>
      <c r="J675" t="n">
        <v>3</v>
      </c>
      <c r="K675" t="n">
        <v>1</v>
      </c>
      <c r="L675" t="n">
        <v>3</v>
      </c>
      <c r="M675" t="n">
        <v>1</v>
      </c>
      <c r="N675" t="n">
        <v>4</v>
      </c>
      <c r="O675" t="n">
        <v>2</v>
      </c>
      <c r="P675" t="n">
        <v>1</v>
      </c>
      <c r="Q675" t="n">
        <v>2</v>
      </c>
      <c r="R675" t="n">
        <v>2</v>
      </c>
      <c r="S675" t="n">
        <v>2</v>
      </c>
      <c r="T675" t="n">
        <v>3</v>
      </c>
      <c r="U675">
        <f>(AVERAGE(B675:D675)-1)/4</f>
        <v/>
      </c>
      <c r="V675">
        <f>(AVERAGE(E675:F675)-1)/4</f>
        <v/>
      </c>
      <c r="W675">
        <f>(AVERAGE(G675:I675)-1)/4</f>
        <v/>
      </c>
      <c r="X675">
        <f>(AVERAGE(J675:L675)-1)/4</f>
        <v/>
      </c>
      <c r="Y675">
        <f>(AVERAGE(M675:O675)-1)/4</f>
        <v/>
      </c>
      <c r="Z675">
        <f>(AVERAGE(P675:R675)-1)/4</f>
        <v/>
      </c>
      <c r="AA675">
        <f>(AVERAGE(S675:T675)-1)/4</f>
        <v/>
      </c>
      <c r="AB675">
        <f>AVERAGE(U675:Y675)</f>
        <v/>
      </c>
      <c r="AC675">
        <f>MIN(U675:Y675)</f>
        <v/>
      </c>
      <c r="AD675">
        <f>1-alpha*MAX(0,delta-AC675)</f>
        <v/>
      </c>
      <c r="AE675">
        <f>AB675*AD675</f>
        <v/>
      </c>
      <c r="AF675">
        <f>1+COUNTIF(bounds,"&lt;"&amp;ROUND(AB675,12))</f>
        <v/>
      </c>
      <c r="AG675">
        <f>1+COUNTIF(bounds,"&lt;"&amp;ROUND(AE675,12))</f>
        <v/>
      </c>
      <c r="AH675">
        <f>IF(AD675&lt;1,1,0)</f>
        <v/>
      </c>
      <c r="AI675">
        <f>IF(AF675&lt;&gt;AG675,1,0)</f>
        <v/>
      </c>
      <c r="AJ675">
        <f>IF(AND(AG675&gt;=3,Z675&lt;=0.2),1,0)</f>
        <v/>
      </c>
      <c r="AK675">
        <f>AVERAGE(U675:Z675)</f>
        <v/>
      </c>
      <c r="AL675">
        <f>1+COUNTIF(bounds,"&lt;"&amp;ROUND(AK675,12))</f>
        <v/>
      </c>
      <c r="AM675">
        <f>IF(AI675=1,AB675,NA())</f>
        <v/>
      </c>
      <c r="AN675">
        <f>IF(AI675=0,AB675,NA())</f>
        <v/>
      </c>
    </row>
    <row r="676">
      <c r="A676" t="n">
        <v>668</v>
      </c>
      <c r="B676" t="n">
        <v>5</v>
      </c>
      <c r="C676" t="n">
        <v>1</v>
      </c>
      <c r="D676" t="n">
        <v>5</v>
      </c>
      <c r="E676" t="n">
        <v>3</v>
      </c>
      <c r="F676" t="n">
        <v>5</v>
      </c>
      <c r="G676" t="n">
        <v>2</v>
      </c>
      <c r="H676" t="n">
        <v>4</v>
      </c>
      <c r="I676" t="n">
        <v>1</v>
      </c>
      <c r="J676" t="n">
        <v>3</v>
      </c>
      <c r="K676" t="n">
        <v>3</v>
      </c>
      <c r="L676" t="n">
        <v>3</v>
      </c>
      <c r="M676" t="n">
        <v>1</v>
      </c>
      <c r="N676" t="n">
        <v>3</v>
      </c>
      <c r="O676" t="n">
        <v>1</v>
      </c>
      <c r="P676" t="n">
        <v>2</v>
      </c>
      <c r="Q676" t="n">
        <v>5</v>
      </c>
      <c r="R676" t="n">
        <v>3</v>
      </c>
      <c r="S676" t="n">
        <v>3</v>
      </c>
      <c r="T676" t="n">
        <v>3</v>
      </c>
      <c r="U676">
        <f>(AVERAGE(B676:D676)-1)/4</f>
        <v/>
      </c>
      <c r="V676">
        <f>(AVERAGE(E676:F676)-1)/4</f>
        <v/>
      </c>
      <c r="W676">
        <f>(AVERAGE(G676:I676)-1)/4</f>
        <v/>
      </c>
      <c r="X676">
        <f>(AVERAGE(J676:L676)-1)/4</f>
        <v/>
      </c>
      <c r="Y676">
        <f>(AVERAGE(M676:O676)-1)/4</f>
        <v/>
      </c>
      <c r="Z676">
        <f>(AVERAGE(P676:R676)-1)/4</f>
        <v/>
      </c>
      <c r="AA676">
        <f>(AVERAGE(S676:T676)-1)/4</f>
        <v/>
      </c>
      <c r="AB676">
        <f>AVERAGE(U676:Y676)</f>
        <v/>
      </c>
      <c r="AC676">
        <f>MIN(U676:Y676)</f>
        <v/>
      </c>
      <c r="AD676">
        <f>1-alpha*MAX(0,delta-AC676)</f>
        <v/>
      </c>
      <c r="AE676">
        <f>AB676*AD676</f>
        <v/>
      </c>
      <c r="AF676">
        <f>1+COUNTIF(bounds,"&lt;"&amp;ROUND(AB676,12))</f>
        <v/>
      </c>
      <c r="AG676">
        <f>1+COUNTIF(bounds,"&lt;"&amp;ROUND(AE676,12))</f>
        <v/>
      </c>
      <c r="AH676">
        <f>IF(AD676&lt;1,1,0)</f>
        <v/>
      </c>
      <c r="AI676">
        <f>IF(AF676&lt;&gt;AG676,1,0)</f>
        <v/>
      </c>
      <c r="AJ676">
        <f>IF(AND(AG676&gt;=3,Z676&lt;=0.2),1,0)</f>
        <v/>
      </c>
      <c r="AK676">
        <f>AVERAGE(U676:Z676)</f>
        <v/>
      </c>
      <c r="AL676">
        <f>1+COUNTIF(bounds,"&lt;"&amp;ROUND(AK676,12))</f>
        <v/>
      </c>
      <c r="AM676">
        <f>IF(AI676=1,AB676,NA())</f>
        <v/>
      </c>
      <c r="AN676">
        <f>IF(AI676=0,AB676,NA())</f>
        <v/>
      </c>
    </row>
    <row r="677">
      <c r="A677" t="n">
        <v>669</v>
      </c>
      <c r="B677" t="n">
        <v>5</v>
      </c>
      <c r="C677" t="n">
        <v>5</v>
      </c>
      <c r="D677" t="n">
        <v>3</v>
      </c>
      <c r="E677" t="n">
        <v>1</v>
      </c>
      <c r="F677" t="n">
        <v>5</v>
      </c>
      <c r="G677" t="n">
        <v>2</v>
      </c>
      <c r="H677" t="n">
        <v>4</v>
      </c>
      <c r="I677" t="n">
        <v>1</v>
      </c>
      <c r="J677" t="n">
        <v>3</v>
      </c>
      <c r="K677" t="n">
        <v>2</v>
      </c>
      <c r="L677" t="n">
        <v>4</v>
      </c>
      <c r="M677" t="n">
        <v>2</v>
      </c>
      <c r="N677" t="n">
        <v>5</v>
      </c>
      <c r="O677" t="n">
        <v>2</v>
      </c>
      <c r="P677" t="n">
        <v>2</v>
      </c>
      <c r="Q677" t="n">
        <v>1</v>
      </c>
      <c r="R677" t="n">
        <v>3</v>
      </c>
      <c r="S677" t="n">
        <v>2</v>
      </c>
      <c r="T677" t="n">
        <v>2</v>
      </c>
      <c r="U677">
        <f>(AVERAGE(B677:D677)-1)/4</f>
        <v/>
      </c>
      <c r="V677">
        <f>(AVERAGE(E677:F677)-1)/4</f>
        <v/>
      </c>
      <c r="W677">
        <f>(AVERAGE(G677:I677)-1)/4</f>
        <v/>
      </c>
      <c r="X677">
        <f>(AVERAGE(J677:L677)-1)/4</f>
        <v/>
      </c>
      <c r="Y677">
        <f>(AVERAGE(M677:O677)-1)/4</f>
        <v/>
      </c>
      <c r="Z677">
        <f>(AVERAGE(P677:R677)-1)/4</f>
        <v/>
      </c>
      <c r="AA677">
        <f>(AVERAGE(S677:T677)-1)/4</f>
        <v/>
      </c>
      <c r="AB677">
        <f>AVERAGE(U677:Y677)</f>
        <v/>
      </c>
      <c r="AC677">
        <f>MIN(U677:Y677)</f>
        <v/>
      </c>
      <c r="AD677">
        <f>1-alpha*MAX(0,delta-AC677)</f>
        <v/>
      </c>
      <c r="AE677">
        <f>AB677*AD677</f>
        <v/>
      </c>
      <c r="AF677">
        <f>1+COUNTIF(bounds,"&lt;"&amp;ROUND(AB677,12))</f>
        <v/>
      </c>
      <c r="AG677">
        <f>1+COUNTIF(bounds,"&lt;"&amp;ROUND(AE677,12))</f>
        <v/>
      </c>
      <c r="AH677">
        <f>IF(AD677&lt;1,1,0)</f>
        <v/>
      </c>
      <c r="AI677">
        <f>IF(AF677&lt;&gt;AG677,1,0)</f>
        <v/>
      </c>
      <c r="AJ677">
        <f>IF(AND(AG677&gt;=3,Z677&lt;=0.2),1,0)</f>
        <v/>
      </c>
      <c r="AK677">
        <f>AVERAGE(U677:Z677)</f>
        <v/>
      </c>
      <c r="AL677">
        <f>1+COUNTIF(bounds,"&lt;"&amp;ROUND(AK677,12))</f>
        <v/>
      </c>
      <c r="AM677">
        <f>IF(AI677=1,AB677,NA())</f>
        <v/>
      </c>
      <c r="AN677">
        <f>IF(AI677=0,AB677,NA())</f>
        <v/>
      </c>
    </row>
    <row r="678">
      <c r="A678" t="n">
        <v>670</v>
      </c>
      <c r="B678" t="n">
        <v>4</v>
      </c>
      <c r="C678" t="n">
        <v>3</v>
      </c>
      <c r="D678" t="n">
        <v>5</v>
      </c>
      <c r="E678" t="n">
        <v>1</v>
      </c>
      <c r="F678" t="n">
        <v>2</v>
      </c>
      <c r="G678" t="n">
        <v>1</v>
      </c>
      <c r="H678" t="n">
        <v>3</v>
      </c>
      <c r="I678" t="n">
        <v>1</v>
      </c>
      <c r="J678" t="n">
        <v>3</v>
      </c>
      <c r="K678" t="n">
        <v>2</v>
      </c>
      <c r="L678" t="n">
        <v>1</v>
      </c>
      <c r="M678" t="n">
        <v>5</v>
      </c>
      <c r="N678" t="n">
        <v>5</v>
      </c>
      <c r="O678" t="n">
        <v>2</v>
      </c>
      <c r="P678" t="n">
        <v>4</v>
      </c>
      <c r="Q678" t="n">
        <v>1</v>
      </c>
      <c r="R678" t="n">
        <v>5</v>
      </c>
      <c r="S678" t="n">
        <v>2</v>
      </c>
      <c r="T678" t="n">
        <v>4</v>
      </c>
      <c r="U678">
        <f>(AVERAGE(B678:D678)-1)/4</f>
        <v/>
      </c>
      <c r="V678">
        <f>(AVERAGE(E678:F678)-1)/4</f>
        <v/>
      </c>
      <c r="W678">
        <f>(AVERAGE(G678:I678)-1)/4</f>
        <v/>
      </c>
      <c r="X678">
        <f>(AVERAGE(J678:L678)-1)/4</f>
        <v/>
      </c>
      <c r="Y678">
        <f>(AVERAGE(M678:O678)-1)/4</f>
        <v/>
      </c>
      <c r="Z678">
        <f>(AVERAGE(P678:R678)-1)/4</f>
        <v/>
      </c>
      <c r="AA678">
        <f>(AVERAGE(S678:T678)-1)/4</f>
        <v/>
      </c>
      <c r="AB678">
        <f>AVERAGE(U678:Y678)</f>
        <v/>
      </c>
      <c r="AC678">
        <f>MIN(U678:Y678)</f>
        <v/>
      </c>
      <c r="AD678">
        <f>1-alpha*MAX(0,delta-AC678)</f>
        <v/>
      </c>
      <c r="AE678">
        <f>AB678*AD678</f>
        <v/>
      </c>
      <c r="AF678">
        <f>1+COUNTIF(bounds,"&lt;"&amp;ROUND(AB678,12))</f>
        <v/>
      </c>
      <c r="AG678">
        <f>1+COUNTIF(bounds,"&lt;"&amp;ROUND(AE678,12))</f>
        <v/>
      </c>
      <c r="AH678">
        <f>IF(AD678&lt;1,1,0)</f>
        <v/>
      </c>
      <c r="AI678">
        <f>IF(AF678&lt;&gt;AG678,1,0)</f>
        <v/>
      </c>
      <c r="AJ678">
        <f>IF(AND(AG678&gt;=3,Z678&lt;=0.2),1,0)</f>
        <v/>
      </c>
      <c r="AK678">
        <f>AVERAGE(U678:Z678)</f>
        <v/>
      </c>
      <c r="AL678">
        <f>1+COUNTIF(bounds,"&lt;"&amp;ROUND(AK678,12))</f>
        <v/>
      </c>
      <c r="AM678">
        <f>IF(AI678=1,AB678,NA())</f>
        <v/>
      </c>
      <c r="AN678">
        <f>IF(AI678=0,AB678,NA())</f>
        <v/>
      </c>
    </row>
    <row r="679">
      <c r="A679" t="n">
        <v>671</v>
      </c>
      <c r="B679" t="n">
        <v>2</v>
      </c>
      <c r="C679" t="n">
        <v>4</v>
      </c>
      <c r="D679" t="n">
        <v>1</v>
      </c>
      <c r="E679" t="n">
        <v>5</v>
      </c>
      <c r="F679" t="n">
        <v>4</v>
      </c>
      <c r="G679" t="n">
        <v>2</v>
      </c>
      <c r="H679" t="n">
        <v>2</v>
      </c>
      <c r="I679" t="n">
        <v>2</v>
      </c>
      <c r="J679" t="n">
        <v>5</v>
      </c>
      <c r="K679" t="n">
        <v>2</v>
      </c>
      <c r="L679" t="n">
        <v>4</v>
      </c>
      <c r="M679" t="n">
        <v>2</v>
      </c>
      <c r="N679" t="n">
        <v>4</v>
      </c>
      <c r="O679" t="n">
        <v>2</v>
      </c>
      <c r="P679" t="n">
        <v>4</v>
      </c>
      <c r="Q679" t="n">
        <v>1</v>
      </c>
      <c r="R679" t="n">
        <v>5</v>
      </c>
      <c r="S679" t="n">
        <v>3</v>
      </c>
      <c r="T679" t="n">
        <v>3</v>
      </c>
      <c r="U679">
        <f>(AVERAGE(B679:D679)-1)/4</f>
        <v/>
      </c>
      <c r="V679">
        <f>(AVERAGE(E679:F679)-1)/4</f>
        <v/>
      </c>
      <c r="W679">
        <f>(AVERAGE(G679:I679)-1)/4</f>
        <v/>
      </c>
      <c r="X679">
        <f>(AVERAGE(J679:L679)-1)/4</f>
        <v/>
      </c>
      <c r="Y679">
        <f>(AVERAGE(M679:O679)-1)/4</f>
        <v/>
      </c>
      <c r="Z679">
        <f>(AVERAGE(P679:R679)-1)/4</f>
        <v/>
      </c>
      <c r="AA679">
        <f>(AVERAGE(S679:T679)-1)/4</f>
        <v/>
      </c>
      <c r="AB679">
        <f>AVERAGE(U679:Y679)</f>
        <v/>
      </c>
      <c r="AC679">
        <f>MIN(U679:Y679)</f>
        <v/>
      </c>
      <c r="AD679">
        <f>1-alpha*MAX(0,delta-AC679)</f>
        <v/>
      </c>
      <c r="AE679">
        <f>AB679*AD679</f>
        <v/>
      </c>
      <c r="AF679">
        <f>1+COUNTIF(bounds,"&lt;"&amp;ROUND(AB679,12))</f>
        <v/>
      </c>
      <c r="AG679">
        <f>1+COUNTIF(bounds,"&lt;"&amp;ROUND(AE679,12))</f>
        <v/>
      </c>
      <c r="AH679">
        <f>IF(AD679&lt;1,1,0)</f>
        <v/>
      </c>
      <c r="AI679">
        <f>IF(AF679&lt;&gt;AG679,1,0)</f>
        <v/>
      </c>
      <c r="AJ679">
        <f>IF(AND(AG679&gt;=3,Z679&lt;=0.2),1,0)</f>
        <v/>
      </c>
      <c r="AK679">
        <f>AVERAGE(U679:Z679)</f>
        <v/>
      </c>
      <c r="AL679">
        <f>1+COUNTIF(bounds,"&lt;"&amp;ROUND(AK679,12))</f>
        <v/>
      </c>
      <c r="AM679">
        <f>IF(AI679=1,AB679,NA())</f>
        <v/>
      </c>
      <c r="AN679">
        <f>IF(AI679=0,AB679,NA())</f>
        <v/>
      </c>
    </row>
    <row r="680">
      <c r="A680" t="n">
        <v>672</v>
      </c>
      <c r="B680" t="n">
        <v>2</v>
      </c>
      <c r="C680" t="n">
        <v>3</v>
      </c>
      <c r="D680" t="n">
        <v>1</v>
      </c>
      <c r="E680" t="n">
        <v>1</v>
      </c>
      <c r="F680" t="n">
        <v>5</v>
      </c>
      <c r="G680" t="n">
        <v>5</v>
      </c>
      <c r="H680" t="n">
        <v>2</v>
      </c>
      <c r="I680" t="n">
        <v>4</v>
      </c>
      <c r="J680" t="n">
        <v>2</v>
      </c>
      <c r="K680" t="n">
        <v>5</v>
      </c>
      <c r="L680" t="n">
        <v>3</v>
      </c>
      <c r="M680" t="n">
        <v>5</v>
      </c>
      <c r="N680" t="n">
        <v>1</v>
      </c>
      <c r="O680" t="n">
        <v>4</v>
      </c>
      <c r="P680" t="n">
        <v>5</v>
      </c>
      <c r="Q680" t="n">
        <v>4</v>
      </c>
      <c r="R680" t="n">
        <v>4</v>
      </c>
      <c r="S680" t="n">
        <v>2</v>
      </c>
      <c r="T680" t="n">
        <v>1</v>
      </c>
      <c r="U680">
        <f>(AVERAGE(B680:D680)-1)/4</f>
        <v/>
      </c>
      <c r="V680">
        <f>(AVERAGE(E680:F680)-1)/4</f>
        <v/>
      </c>
      <c r="W680">
        <f>(AVERAGE(G680:I680)-1)/4</f>
        <v/>
      </c>
      <c r="X680">
        <f>(AVERAGE(J680:L680)-1)/4</f>
        <v/>
      </c>
      <c r="Y680">
        <f>(AVERAGE(M680:O680)-1)/4</f>
        <v/>
      </c>
      <c r="Z680">
        <f>(AVERAGE(P680:R680)-1)/4</f>
        <v/>
      </c>
      <c r="AA680">
        <f>(AVERAGE(S680:T680)-1)/4</f>
        <v/>
      </c>
      <c r="AB680">
        <f>AVERAGE(U680:Y680)</f>
        <v/>
      </c>
      <c r="AC680">
        <f>MIN(U680:Y680)</f>
        <v/>
      </c>
      <c r="AD680">
        <f>1-alpha*MAX(0,delta-AC680)</f>
        <v/>
      </c>
      <c r="AE680">
        <f>AB680*AD680</f>
        <v/>
      </c>
      <c r="AF680">
        <f>1+COUNTIF(bounds,"&lt;"&amp;ROUND(AB680,12))</f>
        <v/>
      </c>
      <c r="AG680">
        <f>1+COUNTIF(bounds,"&lt;"&amp;ROUND(AE680,12))</f>
        <v/>
      </c>
      <c r="AH680">
        <f>IF(AD680&lt;1,1,0)</f>
        <v/>
      </c>
      <c r="AI680">
        <f>IF(AF680&lt;&gt;AG680,1,0)</f>
        <v/>
      </c>
      <c r="AJ680">
        <f>IF(AND(AG680&gt;=3,Z680&lt;=0.2),1,0)</f>
        <v/>
      </c>
      <c r="AK680">
        <f>AVERAGE(U680:Z680)</f>
        <v/>
      </c>
      <c r="AL680">
        <f>1+COUNTIF(bounds,"&lt;"&amp;ROUND(AK680,12))</f>
        <v/>
      </c>
      <c r="AM680">
        <f>IF(AI680=1,AB680,NA())</f>
        <v/>
      </c>
      <c r="AN680">
        <f>IF(AI680=0,AB680,NA())</f>
        <v/>
      </c>
    </row>
    <row r="681">
      <c r="A681" t="n">
        <v>673</v>
      </c>
      <c r="B681" t="n">
        <v>2</v>
      </c>
      <c r="C681" t="n">
        <v>4</v>
      </c>
      <c r="D681" t="n">
        <v>4</v>
      </c>
      <c r="E681" t="n">
        <v>4</v>
      </c>
      <c r="F681" t="n">
        <v>3</v>
      </c>
      <c r="G681" t="n">
        <v>4</v>
      </c>
      <c r="H681" t="n">
        <v>1</v>
      </c>
      <c r="I681" t="n">
        <v>5</v>
      </c>
      <c r="J681" t="n">
        <v>2</v>
      </c>
      <c r="K681" t="n">
        <v>1</v>
      </c>
      <c r="L681" t="n">
        <v>2</v>
      </c>
      <c r="M681" t="n">
        <v>4</v>
      </c>
      <c r="N681" t="n">
        <v>5</v>
      </c>
      <c r="O681" t="n">
        <v>5</v>
      </c>
      <c r="P681" t="n">
        <v>1</v>
      </c>
      <c r="Q681" t="n">
        <v>3</v>
      </c>
      <c r="R681" t="n">
        <v>3</v>
      </c>
      <c r="S681" t="n">
        <v>4</v>
      </c>
      <c r="T681" t="n">
        <v>2</v>
      </c>
      <c r="U681">
        <f>(AVERAGE(B681:D681)-1)/4</f>
        <v/>
      </c>
      <c r="V681">
        <f>(AVERAGE(E681:F681)-1)/4</f>
        <v/>
      </c>
      <c r="W681">
        <f>(AVERAGE(G681:I681)-1)/4</f>
        <v/>
      </c>
      <c r="X681">
        <f>(AVERAGE(J681:L681)-1)/4</f>
        <v/>
      </c>
      <c r="Y681">
        <f>(AVERAGE(M681:O681)-1)/4</f>
        <v/>
      </c>
      <c r="Z681">
        <f>(AVERAGE(P681:R681)-1)/4</f>
        <v/>
      </c>
      <c r="AA681">
        <f>(AVERAGE(S681:T681)-1)/4</f>
        <v/>
      </c>
      <c r="AB681">
        <f>AVERAGE(U681:Y681)</f>
        <v/>
      </c>
      <c r="AC681">
        <f>MIN(U681:Y681)</f>
        <v/>
      </c>
      <c r="AD681">
        <f>1-alpha*MAX(0,delta-AC681)</f>
        <v/>
      </c>
      <c r="AE681">
        <f>AB681*AD681</f>
        <v/>
      </c>
      <c r="AF681">
        <f>1+COUNTIF(bounds,"&lt;"&amp;ROUND(AB681,12))</f>
        <v/>
      </c>
      <c r="AG681">
        <f>1+COUNTIF(bounds,"&lt;"&amp;ROUND(AE681,12))</f>
        <v/>
      </c>
      <c r="AH681">
        <f>IF(AD681&lt;1,1,0)</f>
        <v/>
      </c>
      <c r="AI681">
        <f>IF(AF681&lt;&gt;AG681,1,0)</f>
        <v/>
      </c>
      <c r="AJ681">
        <f>IF(AND(AG681&gt;=3,Z681&lt;=0.2),1,0)</f>
        <v/>
      </c>
      <c r="AK681">
        <f>AVERAGE(U681:Z681)</f>
        <v/>
      </c>
      <c r="AL681">
        <f>1+COUNTIF(bounds,"&lt;"&amp;ROUND(AK681,12))</f>
        <v/>
      </c>
      <c r="AM681">
        <f>IF(AI681=1,AB681,NA())</f>
        <v/>
      </c>
      <c r="AN681">
        <f>IF(AI681=0,AB681,NA())</f>
        <v/>
      </c>
    </row>
    <row r="682">
      <c r="A682" t="n">
        <v>674</v>
      </c>
      <c r="B682" t="n">
        <v>5</v>
      </c>
      <c r="C682" t="n">
        <v>5</v>
      </c>
      <c r="D682" t="n">
        <v>2</v>
      </c>
      <c r="E682" t="n">
        <v>5</v>
      </c>
      <c r="F682" t="n">
        <v>4</v>
      </c>
      <c r="G682" t="n">
        <v>5</v>
      </c>
      <c r="H682" t="n">
        <v>4</v>
      </c>
      <c r="I682" t="n">
        <v>2</v>
      </c>
      <c r="J682" t="n">
        <v>4</v>
      </c>
      <c r="K682" t="n">
        <v>4</v>
      </c>
      <c r="L682" t="n">
        <v>4</v>
      </c>
      <c r="M682" t="n">
        <v>1</v>
      </c>
      <c r="N682" t="n">
        <v>4</v>
      </c>
      <c r="O682" t="n">
        <v>2</v>
      </c>
      <c r="P682" t="n">
        <v>2</v>
      </c>
      <c r="Q682" t="n">
        <v>5</v>
      </c>
      <c r="R682" t="n">
        <v>3</v>
      </c>
      <c r="S682" t="n">
        <v>2</v>
      </c>
      <c r="T682" t="n">
        <v>4</v>
      </c>
      <c r="U682">
        <f>(AVERAGE(B682:D682)-1)/4</f>
        <v/>
      </c>
      <c r="V682">
        <f>(AVERAGE(E682:F682)-1)/4</f>
        <v/>
      </c>
      <c r="W682">
        <f>(AVERAGE(G682:I682)-1)/4</f>
        <v/>
      </c>
      <c r="X682">
        <f>(AVERAGE(J682:L682)-1)/4</f>
        <v/>
      </c>
      <c r="Y682">
        <f>(AVERAGE(M682:O682)-1)/4</f>
        <v/>
      </c>
      <c r="Z682">
        <f>(AVERAGE(P682:R682)-1)/4</f>
        <v/>
      </c>
      <c r="AA682">
        <f>(AVERAGE(S682:T682)-1)/4</f>
        <v/>
      </c>
      <c r="AB682">
        <f>AVERAGE(U682:Y682)</f>
        <v/>
      </c>
      <c r="AC682">
        <f>MIN(U682:Y682)</f>
        <v/>
      </c>
      <c r="AD682">
        <f>1-alpha*MAX(0,delta-AC682)</f>
        <v/>
      </c>
      <c r="AE682">
        <f>AB682*AD682</f>
        <v/>
      </c>
      <c r="AF682">
        <f>1+COUNTIF(bounds,"&lt;"&amp;ROUND(AB682,12))</f>
        <v/>
      </c>
      <c r="AG682">
        <f>1+COUNTIF(bounds,"&lt;"&amp;ROUND(AE682,12))</f>
        <v/>
      </c>
      <c r="AH682">
        <f>IF(AD682&lt;1,1,0)</f>
        <v/>
      </c>
      <c r="AI682">
        <f>IF(AF682&lt;&gt;AG682,1,0)</f>
        <v/>
      </c>
      <c r="AJ682">
        <f>IF(AND(AG682&gt;=3,Z682&lt;=0.2),1,0)</f>
        <v/>
      </c>
      <c r="AK682">
        <f>AVERAGE(U682:Z682)</f>
        <v/>
      </c>
      <c r="AL682">
        <f>1+COUNTIF(bounds,"&lt;"&amp;ROUND(AK682,12))</f>
        <v/>
      </c>
      <c r="AM682">
        <f>IF(AI682=1,AB682,NA())</f>
        <v/>
      </c>
      <c r="AN682">
        <f>IF(AI682=0,AB682,NA())</f>
        <v/>
      </c>
    </row>
    <row r="683">
      <c r="A683" t="n">
        <v>675</v>
      </c>
      <c r="B683" t="n">
        <v>4</v>
      </c>
      <c r="C683" t="n">
        <v>1</v>
      </c>
      <c r="D683" t="n">
        <v>4</v>
      </c>
      <c r="E683" t="n">
        <v>2</v>
      </c>
      <c r="F683" t="n">
        <v>3</v>
      </c>
      <c r="G683" t="n">
        <v>5</v>
      </c>
      <c r="H683" t="n">
        <v>2</v>
      </c>
      <c r="I683" t="n">
        <v>2</v>
      </c>
      <c r="J683" t="n">
        <v>5</v>
      </c>
      <c r="K683" t="n">
        <v>1</v>
      </c>
      <c r="L683" t="n">
        <v>3</v>
      </c>
      <c r="M683" t="n">
        <v>2</v>
      </c>
      <c r="N683" t="n">
        <v>2</v>
      </c>
      <c r="O683" t="n">
        <v>2</v>
      </c>
      <c r="P683" t="n">
        <v>3</v>
      </c>
      <c r="Q683" t="n">
        <v>1</v>
      </c>
      <c r="R683" t="n">
        <v>2</v>
      </c>
      <c r="S683" t="n">
        <v>1</v>
      </c>
      <c r="T683" t="n">
        <v>1</v>
      </c>
      <c r="U683">
        <f>(AVERAGE(B683:D683)-1)/4</f>
        <v/>
      </c>
      <c r="V683">
        <f>(AVERAGE(E683:F683)-1)/4</f>
        <v/>
      </c>
      <c r="W683">
        <f>(AVERAGE(G683:I683)-1)/4</f>
        <v/>
      </c>
      <c r="X683">
        <f>(AVERAGE(J683:L683)-1)/4</f>
        <v/>
      </c>
      <c r="Y683">
        <f>(AVERAGE(M683:O683)-1)/4</f>
        <v/>
      </c>
      <c r="Z683">
        <f>(AVERAGE(P683:R683)-1)/4</f>
        <v/>
      </c>
      <c r="AA683">
        <f>(AVERAGE(S683:T683)-1)/4</f>
        <v/>
      </c>
      <c r="AB683">
        <f>AVERAGE(U683:Y683)</f>
        <v/>
      </c>
      <c r="AC683">
        <f>MIN(U683:Y683)</f>
        <v/>
      </c>
      <c r="AD683">
        <f>1-alpha*MAX(0,delta-AC683)</f>
        <v/>
      </c>
      <c r="AE683">
        <f>AB683*AD683</f>
        <v/>
      </c>
      <c r="AF683">
        <f>1+COUNTIF(bounds,"&lt;"&amp;ROUND(AB683,12))</f>
        <v/>
      </c>
      <c r="AG683">
        <f>1+COUNTIF(bounds,"&lt;"&amp;ROUND(AE683,12))</f>
        <v/>
      </c>
      <c r="AH683">
        <f>IF(AD683&lt;1,1,0)</f>
        <v/>
      </c>
      <c r="AI683">
        <f>IF(AF683&lt;&gt;AG683,1,0)</f>
        <v/>
      </c>
      <c r="AJ683">
        <f>IF(AND(AG683&gt;=3,Z683&lt;=0.2),1,0)</f>
        <v/>
      </c>
      <c r="AK683">
        <f>AVERAGE(U683:Z683)</f>
        <v/>
      </c>
      <c r="AL683">
        <f>1+COUNTIF(bounds,"&lt;"&amp;ROUND(AK683,12))</f>
        <v/>
      </c>
      <c r="AM683">
        <f>IF(AI683=1,AB683,NA())</f>
        <v/>
      </c>
      <c r="AN683">
        <f>IF(AI683=0,AB683,NA())</f>
        <v/>
      </c>
    </row>
    <row r="684">
      <c r="A684" t="n">
        <v>676</v>
      </c>
      <c r="B684" t="n">
        <v>1</v>
      </c>
      <c r="C684" t="n">
        <v>1</v>
      </c>
      <c r="D684" t="n">
        <v>5</v>
      </c>
      <c r="E684" t="n">
        <v>1</v>
      </c>
      <c r="F684" t="n">
        <v>3</v>
      </c>
      <c r="G684" t="n">
        <v>5</v>
      </c>
      <c r="H684" t="n">
        <v>3</v>
      </c>
      <c r="I684" t="n">
        <v>2</v>
      </c>
      <c r="J684" t="n">
        <v>3</v>
      </c>
      <c r="K684" t="n">
        <v>5</v>
      </c>
      <c r="L684" t="n">
        <v>1</v>
      </c>
      <c r="M684" t="n">
        <v>4</v>
      </c>
      <c r="N684" t="n">
        <v>3</v>
      </c>
      <c r="O684" t="n">
        <v>5</v>
      </c>
      <c r="P684" t="n">
        <v>5</v>
      </c>
      <c r="Q684" t="n">
        <v>5</v>
      </c>
      <c r="R684" t="n">
        <v>2</v>
      </c>
      <c r="S684" t="n">
        <v>3</v>
      </c>
      <c r="T684" t="n">
        <v>2</v>
      </c>
      <c r="U684">
        <f>(AVERAGE(B684:D684)-1)/4</f>
        <v/>
      </c>
      <c r="V684">
        <f>(AVERAGE(E684:F684)-1)/4</f>
        <v/>
      </c>
      <c r="W684">
        <f>(AVERAGE(G684:I684)-1)/4</f>
        <v/>
      </c>
      <c r="X684">
        <f>(AVERAGE(J684:L684)-1)/4</f>
        <v/>
      </c>
      <c r="Y684">
        <f>(AVERAGE(M684:O684)-1)/4</f>
        <v/>
      </c>
      <c r="Z684">
        <f>(AVERAGE(P684:R684)-1)/4</f>
        <v/>
      </c>
      <c r="AA684">
        <f>(AVERAGE(S684:T684)-1)/4</f>
        <v/>
      </c>
      <c r="AB684">
        <f>AVERAGE(U684:Y684)</f>
        <v/>
      </c>
      <c r="AC684">
        <f>MIN(U684:Y684)</f>
        <v/>
      </c>
      <c r="AD684">
        <f>1-alpha*MAX(0,delta-AC684)</f>
        <v/>
      </c>
      <c r="AE684">
        <f>AB684*AD684</f>
        <v/>
      </c>
      <c r="AF684">
        <f>1+COUNTIF(bounds,"&lt;"&amp;ROUND(AB684,12))</f>
        <v/>
      </c>
      <c r="AG684">
        <f>1+COUNTIF(bounds,"&lt;"&amp;ROUND(AE684,12))</f>
        <v/>
      </c>
      <c r="AH684">
        <f>IF(AD684&lt;1,1,0)</f>
        <v/>
      </c>
      <c r="AI684">
        <f>IF(AF684&lt;&gt;AG684,1,0)</f>
        <v/>
      </c>
      <c r="AJ684">
        <f>IF(AND(AG684&gt;=3,Z684&lt;=0.2),1,0)</f>
        <v/>
      </c>
      <c r="AK684">
        <f>AVERAGE(U684:Z684)</f>
        <v/>
      </c>
      <c r="AL684">
        <f>1+COUNTIF(bounds,"&lt;"&amp;ROUND(AK684,12))</f>
        <v/>
      </c>
      <c r="AM684">
        <f>IF(AI684=1,AB684,NA())</f>
        <v/>
      </c>
      <c r="AN684">
        <f>IF(AI684=0,AB684,NA())</f>
        <v/>
      </c>
    </row>
    <row r="685">
      <c r="A685" t="n">
        <v>677</v>
      </c>
      <c r="B685" t="n">
        <v>4</v>
      </c>
      <c r="C685" t="n">
        <v>2</v>
      </c>
      <c r="D685" t="n">
        <v>4</v>
      </c>
      <c r="E685" t="n">
        <v>1</v>
      </c>
      <c r="F685" t="n">
        <v>3</v>
      </c>
      <c r="G685" t="n">
        <v>1</v>
      </c>
      <c r="H685" t="n">
        <v>4</v>
      </c>
      <c r="I685" t="n">
        <v>3</v>
      </c>
      <c r="J685" t="n">
        <v>1</v>
      </c>
      <c r="K685" t="n">
        <v>1</v>
      </c>
      <c r="L685" t="n">
        <v>1</v>
      </c>
      <c r="M685" t="n">
        <v>3</v>
      </c>
      <c r="N685" t="n">
        <v>5</v>
      </c>
      <c r="O685" t="n">
        <v>2</v>
      </c>
      <c r="P685" t="n">
        <v>4</v>
      </c>
      <c r="Q685" t="n">
        <v>2</v>
      </c>
      <c r="R685" t="n">
        <v>4</v>
      </c>
      <c r="S685" t="n">
        <v>2</v>
      </c>
      <c r="T685" t="n">
        <v>4</v>
      </c>
      <c r="U685">
        <f>(AVERAGE(B685:D685)-1)/4</f>
        <v/>
      </c>
      <c r="V685">
        <f>(AVERAGE(E685:F685)-1)/4</f>
        <v/>
      </c>
      <c r="W685">
        <f>(AVERAGE(G685:I685)-1)/4</f>
        <v/>
      </c>
      <c r="X685">
        <f>(AVERAGE(J685:L685)-1)/4</f>
        <v/>
      </c>
      <c r="Y685">
        <f>(AVERAGE(M685:O685)-1)/4</f>
        <v/>
      </c>
      <c r="Z685">
        <f>(AVERAGE(P685:R685)-1)/4</f>
        <v/>
      </c>
      <c r="AA685">
        <f>(AVERAGE(S685:T685)-1)/4</f>
        <v/>
      </c>
      <c r="AB685">
        <f>AVERAGE(U685:Y685)</f>
        <v/>
      </c>
      <c r="AC685">
        <f>MIN(U685:Y685)</f>
        <v/>
      </c>
      <c r="AD685">
        <f>1-alpha*MAX(0,delta-AC685)</f>
        <v/>
      </c>
      <c r="AE685">
        <f>AB685*AD685</f>
        <v/>
      </c>
      <c r="AF685">
        <f>1+COUNTIF(bounds,"&lt;"&amp;ROUND(AB685,12))</f>
        <v/>
      </c>
      <c r="AG685">
        <f>1+COUNTIF(bounds,"&lt;"&amp;ROUND(AE685,12))</f>
        <v/>
      </c>
      <c r="AH685">
        <f>IF(AD685&lt;1,1,0)</f>
        <v/>
      </c>
      <c r="AI685">
        <f>IF(AF685&lt;&gt;AG685,1,0)</f>
        <v/>
      </c>
      <c r="AJ685">
        <f>IF(AND(AG685&gt;=3,Z685&lt;=0.2),1,0)</f>
        <v/>
      </c>
      <c r="AK685">
        <f>AVERAGE(U685:Z685)</f>
        <v/>
      </c>
      <c r="AL685">
        <f>1+COUNTIF(bounds,"&lt;"&amp;ROUND(AK685,12))</f>
        <v/>
      </c>
      <c r="AM685">
        <f>IF(AI685=1,AB685,NA())</f>
        <v/>
      </c>
      <c r="AN685">
        <f>IF(AI685=0,AB685,NA())</f>
        <v/>
      </c>
    </row>
    <row r="686">
      <c r="A686" t="n">
        <v>678</v>
      </c>
      <c r="B686" t="n">
        <v>2</v>
      </c>
      <c r="C686" t="n">
        <v>3</v>
      </c>
      <c r="D686" t="n">
        <v>4</v>
      </c>
      <c r="E686" t="n">
        <v>2</v>
      </c>
      <c r="F686" t="n">
        <v>2</v>
      </c>
      <c r="G686" t="n">
        <v>4</v>
      </c>
      <c r="H686" t="n">
        <v>1</v>
      </c>
      <c r="I686" t="n">
        <v>3</v>
      </c>
      <c r="J686" t="n">
        <v>4</v>
      </c>
      <c r="K686" t="n">
        <v>1</v>
      </c>
      <c r="L686" t="n">
        <v>3</v>
      </c>
      <c r="M686" t="n">
        <v>2</v>
      </c>
      <c r="N686" t="n">
        <v>3</v>
      </c>
      <c r="O686" t="n">
        <v>4</v>
      </c>
      <c r="P686" t="n">
        <v>5</v>
      </c>
      <c r="Q686" t="n">
        <v>2</v>
      </c>
      <c r="R686" t="n">
        <v>3</v>
      </c>
      <c r="S686" t="n">
        <v>3</v>
      </c>
      <c r="T686" t="n">
        <v>2</v>
      </c>
      <c r="U686">
        <f>(AVERAGE(B686:D686)-1)/4</f>
        <v/>
      </c>
      <c r="V686">
        <f>(AVERAGE(E686:F686)-1)/4</f>
        <v/>
      </c>
      <c r="W686">
        <f>(AVERAGE(G686:I686)-1)/4</f>
        <v/>
      </c>
      <c r="X686">
        <f>(AVERAGE(J686:L686)-1)/4</f>
        <v/>
      </c>
      <c r="Y686">
        <f>(AVERAGE(M686:O686)-1)/4</f>
        <v/>
      </c>
      <c r="Z686">
        <f>(AVERAGE(P686:R686)-1)/4</f>
        <v/>
      </c>
      <c r="AA686">
        <f>(AVERAGE(S686:T686)-1)/4</f>
        <v/>
      </c>
      <c r="AB686">
        <f>AVERAGE(U686:Y686)</f>
        <v/>
      </c>
      <c r="AC686">
        <f>MIN(U686:Y686)</f>
        <v/>
      </c>
      <c r="AD686">
        <f>1-alpha*MAX(0,delta-AC686)</f>
        <v/>
      </c>
      <c r="AE686">
        <f>AB686*AD686</f>
        <v/>
      </c>
      <c r="AF686">
        <f>1+COUNTIF(bounds,"&lt;"&amp;ROUND(AB686,12))</f>
        <v/>
      </c>
      <c r="AG686">
        <f>1+COUNTIF(bounds,"&lt;"&amp;ROUND(AE686,12))</f>
        <v/>
      </c>
      <c r="AH686">
        <f>IF(AD686&lt;1,1,0)</f>
        <v/>
      </c>
      <c r="AI686">
        <f>IF(AF686&lt;&gt;AG686,1,0)</f>
        <v/>
      </c>
      <c r="AJ686">
        <f>IF(AND(AG686&gt;=3,Z686&lt;=0.2),1,0)</f>
        <v/>
      </c>
      <c r="AK686">
        <f>AVERAGE(U686:Z686)</f>
        <v/>
      </c>
      <c r="AL686">
        <f>1+COUNTIF(bounds,"&lt;"&amp;ROUND(AK686,12))</f>
        <v/>
      </c>
      <c r="AM686">
        <f>IF(AI686=1,AB686,NA())</f>
        <v/>
      </c>
      <c r="AN686">
        <f>IF(AI686=0,AB686,NA())</f>
        <v/>
      </c>
    </row>
    <row r="687">
      <c r="A687" t="n">
        <v>679</v>
      </c>
      <c r="B687" t="n">
        <v>1</v>
      </c>
      <c r="C687" t="n">
        <v>2</v>
      </c>
      <c r="D687" t="n">
        <v>2</v>
      </c>
      <c r="E687" t="n">
        <v>1</v>
      </c>
      <c r="F687" t="n">
        <v>3</v>
      </c>
      <c r="G687" t="n">
        <v>5</v>
      </c>
      <c r="H687" t="n">
        <v>3</v>
      </c>
      <c r="I687" t="n">
        <v>5</v>
      </c>
      <c r="J687" t="n">
        <v>3</v>
      </c>
      <c r="K687" t="n">
        <v>3</v>
      </c>
      <c r="L687" t="n">
        <v>4</v>
      </c>
      <c r="M687" t="n">
        <v>5</v>
      </c>
      <c r="N687" t="n">
        <v>5</v>
      </c>
      <c r="O687" t="n">
        <v>5</v>
      </c>
      <c r="P687" t="n">
        <v>5</v>
      </c>
      <c r="Q687" t="n">
        <v>5</v>
      </c>
      <c r="R687" t="n">
        <v>4</v>
      </c>
      <c r="S687" t="n">
        <v>2</v>
      </c>
      <c r="T687" t="n">
        <v>2</v>
      </c>
      <c r="U687">
        <f>(AVERAGE(B687:D687)-1)/4</f>
        <v/>
      </c>
      <c r="V687">
        <f>(AVERAGE(E687:F687)-1)/4</f>
        <v/>
      </c>
      <c r="W687">
        <f>(AVERAGE(G687:I687)-1)/4</f>
        <v/>
      </c>
      <c r="X687">
        <f>(AVERAGE(J687:L687)-1)/4</f>
        <v/>
      </c>
      <c r="Y687">
        <f>(AVERAGE(M687:O687)-1)/4</f>
        <v/>
      </c>
      <c r="Z687">
        <f>(AVERAGE(P687:R687)-1)/4</f>
        <v/>
      </c>
      <c r="AA687">
        <f>(AVERAGE(S687:T687)-1)/4</f>
        <v/>
      </c>
      <c r="AB687">
        <f>AVERAGE(U687:Y687)</f>
        <v/>
      </c>
      <c r="AC687">
        <f>MIN(U687:Y687)</f>
        <v/>
      </c>
      <c r="AD687">
        <f>1-alpha*MAX(0,delta-AC687)</f>
        <v/>
      </c>
      <c r="AE687">
        <f>AB687*AD687</f>
        <v/>
      </c>
      <c r="AF687">
        <f>1+COUNTIF(bounds,"&lt;"&amp;ROUND(AB687,12))</f>
        <v/>
      </c>
      <c r="AG687">
        <f>1+COUNTIF(bounds,"&lt;"&amp;ROUND(AE687,12))</f>
        <v/>
      </c>
      <c r="AH687">
        <f>IF(AD687&lt;1,1,0)</f>
        <v/>
      </c>
      <c r="AI687">
        <f>IF(AF687&lt;&gt;AG687,1,0)</f>
        <v/>
      </c>
      <c r="AJ687">
        <f>IF(AND(AG687&gt;=3,Z687&lt;=0.2),1,0)</f>
        <v/>
      </c>
      <c r="AK687">
        <f>AVERAGE(U687:Z687)</f>
        <v/>
      </c>
      <c r="AL687">
        <f>1+COUNTIF(bounds,"&lt;"&amp;ROUND(AK687,12))</f>
        <v/>
      </c>
      <c r="AM687">
        <f>IF(AI687=1,AB687,NA())</f>
        <v/>
      </c>
      <c r="AN687">
        <f>IF(AI687=0,AB687,NA())</f>
        <v/>
      </c>
    </row>
    <row r="688">
      <c r="A688" t="n">
        <v>680</v>
      </c>
      <c r="B688" t="n">
        <v>4</v>
      </c>
      <c r="C688" t="n">
        <v>2</v>
      </c>
      <c r="D688" t="n">
        <v>4</v>
      </c>
      <c r="E688" t="n">
        <v>2</v>
      </c>
      <c r="F688" t="n">
        <v>1</v>
      </c>
      <c r="G688" t="n">
        <v>2</v>
      </c>
      <c r="H688" t="n">
        <v>4</v>
      </c>
      <c r="I688" t="n">
        <v>3</v>
      </c>
      <c r="J688" t="n">
        <v>3</v>
      </c>
      <c r="K688" t="n">
        <v>3</v>
      </c>
      <c r="L688" t="n">
        <v>2</v>
      </c>
      <c r="M688" t="n">
        <v>1</v>
      </c>
      <c r="N688" t="n">
        <v>5</v>
      </c>
      <c r="O688" t="n">
        <v>3</v>
      </c>
      <c r="P688" t="n">
        <v>4</v>
      </c>
      <c r="Q688" t="n">
        <v>1</v>
      </c>
      <c r="R688" t="n">
        <v>4</v>
      </c>
      <c r="S688" t="n">
        <v>2</v>
      </c>
      <c r="T688" t="n">
        <v>3</v>
      </c>
      <c r="U688">
        <f>(AVERAGE(B688:D688)-1)/4</f>
        <v/>
      </c>
      <c r="V688">
        <f>(AVERAGE(E688:F688)-1)/4</f>
        <v/>
      </c>
      <c r="W688">
        <f>(AVERAGE(G688:I688)-1)/4</f>
        <v/>
      </c>
      <c r="X688">
        <f>(AVERAGE(J688:L688)-1)/4</f>
        <v/>
      </c>
      <c r="Y688">
        <f>(AVERAGE(M688:O688)-1)/4</f>
        <v/>
      </c>
      <c r="Z688">
        <f>(AVERAGE(P688:R688)-1)/4</f>
        <v/>
      </c>
      <c r="AA688">
        <f>(AVERAGE(S688:T688)-1)/4</f>
        <v/>
      </c>
      <c r="AB688">
        <f>AVERAGE(U688:Y688)</f>
        <v/>
      </c>
      <c r="AC688">
        <f>MIN(U688:Y688)</f>
        <v/>
      </c>
      <c r="AD688">
        <f>1-alpha*MAX(0,delta-AC688)</f>
        <v/>
      </c>
      <c r="AE688">
        <f>AB688*AD688</f>
        <v/>
      </c>
      <c r="AF688">
        <f>1+COUNTIF(bounds,"&lt;"&amp;ROUND(AB688,12))</f>
        <v/>
      </c>
      <c r="AG688">
        <f>1+COUNTIF(bounds,"&lt;"&amp;ROUND(AE688,12))</f>
        <v/>
      </c>
      <c r="AH688">
        <f>IF(AD688&lt;1,1,0)</f>
        <v/>
      </c>
      <c r="AI688">
        <f>IF(AF688&lt;&gt;AG688,1,0)</f>
        <v/>
      </c>
      <c r="AJ688">
        <f>IF(AND(AG688&gt;=3,Z688&lt;=0.2),1,0)</f>
        <v/>
      </c>
      <c r="AK688">
        <f>AVERAGE(U688:Z688)</f>
        <v/>
      </c>
      <c r="AL688">
        <f>1+COUNTIF(bounds,"&lt;"&amp;ROUND(AK688,12))</f>
        <v/>
      </c>
      <c r="AM688">
        <f>IF(AI688=1,AB688,NA())</f>
        <v/>
      </c>
      <c r="AN688">
        <f>IF(AI688=0,AB688,NA())</f>
        <v/>
      </c>
    </row>
    <row r="689">
      <c r="A689" t="n">
        <v>681</v>
      </c>
      <c r="B689" t="n">
        <v>4</v>
      </c>
      <c r="C689" t="n">
        <v>2</v>
      </c>
      <c r="D689" t="n">
        <v>2</v>
      </c>
      <c r="E689" t="n">
        <v>1</v>
      </c>
      <c r="F689" t="n">
        <v>3</v>
      </c>
      <c r="G689" t="n">
        <v>2</v>
      </c>
      <c r="H689" t="n">
        <v>4</v>
      </c>
      <c r="I689" t="n">
        <v>2</v>
      </c>
      <c r="J689" t="n">
        <v>1</v>
      </c>
      <c r="K689" t="n">
        <v>3</v>
      </c>
      <c r="L689" t="n">
        <v>4</v>
      </c>
      <c r="M689" t="n">
        <v>1</v>
      </c>
      <c r="N689" t="n">
        <v>3</v>
      </c>
      <c r="O689" t="n">
        <v>4</v>
      </c>
      <c r="P689" t="n">
        <v>4</v>
      </c>
      <c r="Q689" t="n">
        <v>1</v>
      </c>
      <c r="R689" t="n">
        <v>1</v>
      </c>
      <c r="S689" t="n">
        <v>4</v>
      </c>
      <c r="T689" t="n">
        <v>5</v>
      </c>
      <c r="U689">
        <f>(AVERAGE(B689:D689)-1)/4</f>
        <v/>
      </c>
      <c r="V689">
        <f>(AVERAGE(E689:F689)-1)/4</f>
        <v/>
      </c>
      <c r="W689">
        <f>(AVERAGE(G689:I689)-1)/4</f>
        <v/>
      </c>
      <c r="X689">
        <f>(AVERAGE(J689:L689)-1)/4</f>
        <v/>
      </c>
      <c r="Y689">
        <f>(AVERAGE(M689:O689)-1)/4</f>
        <v/>
      </c>
      <c r="Z689">
        <f>(AVERAGE(P689:R689)-1)/4</f>
        <v/>
      </c>
      <c r="AA689">
        <f>(AVERAGE(S689:T689)-1)/4</f>
        <v/>
      </c>
      <c r="AB689">
        <f>AVERAGE(U689:Y689)</f>
        <v/>
      </c>
      <c r="AC689">
        <f>MIN(U689:Y689)</f>
        <v/>
      </c>
      <c r="AD689">
        <f>1-alpha*MAX(0,delta-AC689)</f>
        <v/>
      </c>
      <c r="AE689">
        <f>AB689*AD689</f>
        <v/>
      </c>
      <c r="AF689">
        <f>1+COUNTIF(bounds,"&lt;"&amp;ROUND(AB689,12))</f>
        <v/>
      </c>
      <c r="AG689">
        <f>1+COUNTIF(bounds,"&lt;"&amp;ROUND(AE689,12))</f>
        <v/>
      </c>
      <c r="AH689">
        <f>IF(AD689&lt;1,1,0)</f>
        <v/>
      </c>
      <c r="AI689">
        <f>IF(AF689&lt;&gt;AG689,1,0)</f>
        <v/>
      </c>
      <c r="AJ689">
        <f>IF(AND(AG689&gt;=3,Z689&lt;=0.2),1,0)</f>
        <v/>
      </c>
      <c r="AK689">
        <f>AVERAGE(U689:Z689)</f>
        <v/>
      </c>
      <c r="AL689">
        <f>1+COUNTIF(bounds,"&lt;"&amp;ROUND(AK689,12))</f>
        <v/>
      </c>
      <c r="AM689">
        <f>IF(AI689=1,AB689,NA())</f>
        <v/>
      </c>
      <c r="AN689">
        <f>IF(AI689=0,AB689,NA())</f>
        <v/>
      </c>
    </row>
    <row r="690">
      <c r="A690" t="n">
        <v>682</v>
      </c>
      <c r="B690" t="n">
        <v>1</v>
      </c>
      <c r="C690" t="n">
        <v>3</v>
      </c>
      <c r="D690" t="n">
        <v>3</v>
      </c>
      <c r="E690" t="n">
        <v>5</v>
      </c>
      <c r="F690" t="n">
        <v>4</v>
      </c>
      <c r="G690" t="n">
        <v>2</v>
      </c>
      <c r="H690" t="n">
        <v>2</v>
      </c>
      <c r="I690" t="n">
        <v>4</v>
      </c>
      <c r="J690" t="n">
        <v>3</v>
      </c>
      <c r="K690" t="n">
        <v>5</v>
      </c>
      <c r="L690" t="n">
        <v>3</v>
      </c>
      <c r="M690" t="n">
        <v>4</v>
      </c>
      <c r="N690" t="n">
        <v>3</v>
      </c>
      <c r="O690" t="n">
        <v>5</v>
      </c>
      <c r="P690" t="n">
        <v>3</v>
      </c>
      <c r="Q690" t="n">
        <v>2</v>
      </c>
      <c r="R690" t="n">
        <v>3</v>
      </c>
      <c r="S690" t="n">
        <v>2</v>
      </c>
      <c r="T690" t="n">
        <v>5</v>
      </c>
      <c r="U690">
        <f>(AVERAGE(B690:D690)-1)/4</f>
        <v/>
      </c>
      <c r="V690">
        <f>(AVERAGE(E690:F690)-1)/4</f>
        <v/>
      </c>
      <c r="W690">
        <f>(AVERAGE(G690:I690)-1)/4</f>
        <v/>
      </c>
      <c r="X690">
        <f>(AVERAGE(J690:L690)-1)/4</f>
        <v/>
      </c>
      <c r="Y690">
        <f>(AVERAGE(M690:O690)-1)/4</f>
        <v/>
      </c>
      <c r="Z690">
        <f>(AVERAGE(P690:R690)-1)/4</f>
        <v/>
      </c>
      <c r="AA690">
        <f>(AVERAGE(S690:T690)-1)/4</f>
        <v/>
      </c>
      <c r="AB690">
        <f>AVERAGE(U690:Y690)</f>
        <v/>
      </c>
      <c r="AC690">
        <f>MIN(U690:Y690)</f>
        <v/>
      </c>
      <c r="AD690">
        <f>1-alpha*MAX(0,delta-AC690)</f>
        <v/>
      </c>
      <c r="AE690">
        <f>AB690*AD690</f>
        <v/>
      </c>
      <c r="AF690">
        <f>1+COUNTIF(bounds,"&lt;"&amp;ROUND(AB690,12))</f>
        <v/>
      </c>
      <c r="AG690">
        <f>1+COUNTIF(bounds,"&lt;"&amp;ROUND(AE690,12))</f>
        <v/>
      </c>
      <c r="AH690">
        <f>IF(AD690&lt;1,1,0)</f>
        <v/>
      </c>
      <c r="AI690">
        <f>IF(AF690&lt;&gt;AG690,1,0)</f>
        <v/>
      </c>
      <c r="AJ690">
        <f>IF(AND(AG690&gt;=3,Z690&lt;=0.2),1,0)</f>
        <v/>
      </c>
      <c r="AK690">
        <f>AVERAGE(U690:Z690)</f>
        <v/>
      </c>
      <c r="AL690">
        <f>1+COUNTIF(bounds,"&lt;"&amp;ROUND(AK690,12))</f>
        <v/>
      </c>
      <c r="AM690">
        <f>IF(AI690=1,AB690,NA())</f>
        <v/>
      </c>
      <c r="AN690">
        <f>IF(AI690=0,AB690,NA())</f>
        <v/>
      </c>
    </row>
    <row r="691">
      <c r="A691" t="n">
        <v>683</v>
      </c>
      <c r="B691" t="n">
        <v>4</v>
      </c>
      <c r="C691" t="n">
        <v>3</v>
      </c>
      <c r="D691" t="n">
        <v>5</v>
      </c>
      <c r="E691" t="n">
        <v>3</v>
      </c>
      <c r="F691" t="n">
        <v>4</v>
      </c>
      <c r="G691" t="n">
        <v>2</v>
      </c>
      <c r="H691" t="n">
        <v>1</v>
      </c>
      <c r="I691" t="n">
        <v>1</v>
      </c>
      <c r="J691" t="n">
        <v>2</v>
      </c>
      <c r="K691" t="n">
        <v>2</v>
      </c>
      <c r="L691" t="n">
        <v>4</v>
      </c>
      <c r="M691" t="n">
        <v>5</v>
      </c>
      <c r="N691" t="n">
        <v>3</v>
      </c>
      <c r="O691" t="n">
        <v>5</v>
      </c>
      <c r="P691" t="n">
        <v>2</v>
      </c>
      <c r="Q691" t="n">
        <v>2</v>
      </c>
      <c r="R691" t="n">
        <v>3</v>
      </c>
      <c r="S691" t="n">
        <v>4</v>
      </c>
      <c r="T691" t="n">
        <v>3</v>
      </c>
      <c r="U691">
        <f>(AVERAGE(B691:D691)-1)/4</f>
        <v/>
      </c>
      <c r="V691">
        <f>(AVERAGE(E691:F691)-1)/4</f>
        <v/>
      </c>
      <c r="W691">
        <f>(AVERAGE(G691:I691)-1)/4</f>
        <v/>
      </c>
      <c r="X691">
        <f>(AVERAGE(J691:L691)-1)/4</f>
        <v/>
      </c>
      <c r="Y691">
        <f>(AVERAGE(M691:O691)-1)/4</f>
        <v/>
      </c>
      <c r="Z691">
        <f>(AVERAGE(P691:R691)-1)/4</f>
        <v/>
      </c>
      <c r="AA691">
        <f>(AVERAGE(S691:T691)-1)/4</f>
        <v/>
      </c>
      <c r="AB691">
        <f>AVERAGE(U691:Y691)</f>
        <v/>
      </c>
      <c r="AC691">
        <f>MIN(U691:Y691)</f>
        <v/>
      </c>
      <c r="AD691">
        <f>1-alpha*MAX(0,delta-AC691)</f>
        <v/>
      </c>
      <c r="AE691">
        <f>AB691*AD691</f>
        <v/>
      </c>
      <c r="AF691">
        <f>1+COUNTIF(bounds,"&lt;"&amp;ROUND(AB691,12))</f>
        <v/>
      </c>
      <c r="AG691">
        <f>1+COUNTIF(bounds,"&lt;"&amp;ROUND(AE691,12))</f>
        <v/>
      </c>
      <c r="AH691">
        <f>IF(AD691&lt;1,1,0)</f>
        <v/>
      </c>
      <c r="AI691">
        <f>IF(AF691&lt;&gt;AG691,1,0)</f>
        <v/>
      </c>
      <c r="AJ691">
        <f>IF(AND(AG691&gt;=3,Z691&lt;=0.2),1,0)</f>
        <v/>
      </c>
      <c r="AK691">
        <f>AVERAGE(U691:Z691)</f>
        <v/>
      </c>
      <c r="AL691">
        <f>1+COUNTIF(bounds,"&lt;"&amp;ROUND(AK691,12))</f>
        <v/>
      </c>
      <c r="AM691">
        <f>IF(AI691=1,AB691,NA())</f>
        <v/>
      </c>
      <c r="AN691">
        <f>IF(AI691=0,AB691,NA())</f>
        <v/>
      </c>
    </row>
    <row r="692">
      <c r="A692" t="n">
        <v>684</v>
      </c>
      <c r="B692" t="n">
        <v>5</v>
      </c>
      <c r="C692" t="n">
        <v>1</v>
      </c>
      <c r="D692" t="n">
        <v>3</v>
      </c>
      <c r="E692" t="n">
        <v>2</v>
      </c>
      <c r="F692" t="n">
        <v>5</v>
      </c>
      <c r="G692" t="n">
        <v>4</v>
      </c>
      <c r="H692" t="n">
        <v>3</v>
      </c>
      <c r="I692" t="n">
        <v>3</v>
      </c>
      <c r="J692" t="n">
        <v>5</v>
      </c>
      <c r="K692" t="n">
        <v>3</v>
      </c>
      <c r="L692" t="n">
        <v>2</v>
      </c>
      <c r="M692" t="n">
        <v>5</v>
      </c>
      <c r="N692" t="n">
        <v>3</v>
      </c>
      <c r="O692" t="n">
        <v>3</v>
      </c>
      <c r="P692" t="n">
        <v>4</v>
      </c>
      <c r="Q692" t="n">
        <v>4</v>
      </c>
      <c r="R692" t="n">
        <v>1</v>
      </c>
      <c r="S692" t="n">
        <v>2</v>
      </c>
      <c r="T692" t="n">
        <v>1</v>
      </c>
      <c r="U692">
        <f>(AVERAGE(B692:D692)-1)/4</f>
        <v/>
      </c>
      <c r="V692">
        <f>(AVERAGE(E692:F692)-1)/4</f>
        <v/>
      </c>
      <c r="W692">
        <f>(AVERAGE(G692:I692)-1)/4</f>
        <v/>
      </c>
      <c r="X692">
        <f>(AVERAGE(J692:L692)-1)/4</f>
        <v/>
      </c>
      <c r="Y692">
        <f>(AVERAGE(M692:O692)-1)/4</f>
        <v/>
      </c>
      <c r="Z692">
        <f>(AVERAGE(P692:R692)-1)/4</f>
        <v/>
      </c>
      <c r="AA692">
        <f>(AVERAGE(S692:T692)-1)/4</f>
        <v/>
      </c>
      <c r="AB692">
        <f>AVERAGE(U692:Y692)</f>
        <v/>
      </c>
      <c r="AC692">
        <f>MIN(U692:Y692)</f>
        <v/>
      </c>
      <c r="AD692">
        <f>1-alpha*MAX(0,delta-AC692)</f>
        <v/>
      </c>
      <c r="AE692">
        <f>AB692*AD692</f>
        <v/>
      </c>
      <c r="AF692">
        <f>1+COUNTIF(bounds,"&lt;"&amp;ROUND(AB692,12))</f>
        <v/>
      </c>
      <c r="AG692">
        <f>1+COUNTIF(bounds,"&lt;"&amp;ROUND(AE692,12))</f>
        <v/>
      </c>
      <c r="AH692">
        <f>IF(AD692&lt;1,1,0)</f>
        <v/>
      </c>
      <c r="AI692">
        <f>IF(AF692&lt;&gt;AG692,1,0)</f>
        <v/>
      </c>
      <c r="AJ692">
        <f>IF(AND(AG692&gt;=3,Z692&lt;=0.2),1,0)</f>
        <v/>
      </c>
      <c r="AK692">
        <f>AVERAGE(U692:Z692)</f>
        <v/>
      </c>
      <c r="AL692">
        <f>1+COUNTIF(bounds,"&lt;"&amp;ROUND(AK692,12))</f>
        <v/>
      </c>
      <c r="AM692">
        <f>IF(AI692=1,AB692,NA())</f>
        <v/>
      </c>
      <c r="AN692">
        <f>IF(AI692=0,AB692,NA())</f>
        <v/>
      </c>
    </row>
    <row r="693">
      <c r="A693" t="n">
        <v>685</v>
      </c>
      <c r="B693" t="n">
        <v>4</v>
      </c>
      <c r="C693" t="n">
        <v>3</v>
      </c>
      <c r="D693" t="n">
        <v>2</v>
      </c>
      <c r="E693" t="n">
        <v>1</v>
      </c>
      <c r="F693" t="n">
        <v>4</v>
      </c>
      <c r="G693" t="n">
        <v>4</v>
      </c>
      <c r="H693" t="n">
        <v>2</v>
      </c>
      <c r="I693" t="n">
        <v>1</v>
      </c>
      <c r="J693" t="n">
        <v>5</v>
      </c>
      <c r="K693" t="n">
        <v>3</v>
      </c>
      <c r="L693" t="n">
        <v>2</v>
      </c>
      <c r="M693" t="n">
        <v>4</v>
      </c>
      <c r="N693" t="n">
        <v>1</v>
      </c>
      <c r="O693" t="n">
        <v>1</v>
      </c>
      <c r="P693" t="n">
        <v>3</v>
      </c>
      <c r="Q693" t="n">
        <v>5</v>
      </c>
      <c r="R693" t="n">
        <v>1</v>
      </c>
      <c r="S693" t="n">
        <v>3</v>
      </c>
      <c r="T693" t="n">
        <v>2</v>
      </c>
      <c r="U693">
        <f>(AVERAGE(B693:D693)-1)/4</f>
        <v/>
      </c>
      <c r="V693">
        <f>(AVERAGE(E693:F693)-1)/4</f>
        <v/>
      </c>
      <c r="W693">
        <f>(AVERAGE(G693:I693)-1)/4</f>
        <v/>
      </c>
      <c r="X693">
        <f>(AVERAGE(J693:L693)-1)/4</f>
        <v/>
      </c>
      <c r="Y693">
        <f>(AVERAGE(M693:O693)-1)/4</f>
        <v/>
      </c>
      <c r="Z693">
        <f>(AVERAGE(P693:R693)-1)/4</f>
        <v/>
      </c>
      <c r="AA693">
        <f>(AVERAGE(S693:T693)-1)/4</f>
        <v/>
      </c>
      <c r="AB693">
        <f>AVERAGE(U693:Y693)</f>
        <v/>
      </c>
      <c r="AC693">
        <f>MIN(U693:Y693)</f>
        <v/>
      </c>
      <c r="AD693">
        <f>1-alpha*MAX(0,delta-AC693)</f>
        <v/>
      </c>
      <c r="AE693">
        <f>AB693*AD693</f>
        <v/>
      </c>
      <c r="AF693">
        <f>1+COUNTIF(bounds,"&lt;"&amp;ROUND(AB693,12))</f>
        <v/>
      </c>
      <c r="AG693">
        <f>1+COUNTIF(bounds,"&lt;"&amp;ROUND(AE693,12))</f>
        <v/>
      </c>
      <c r="AH693">
        <f>IF(AD693&lt;1,1,0)</f>
        <v/>
      </c>
      <c r="AI693">
        <f>IF(AF693&lt;&gt;AG693,1,0)</f>
        <v/>
      </c>
      <c r="AJ693">
        <f>IF(AND(AG693&gt;=3,Z693&lt;=0.2),1,0)</f>
        <v/>
      </c>
      <c r="AK693">
        <f>AVERAGE(U693:Z693)</f>
        <v/>
      </c>
      <c r="AL693">
        <f>1+COUNTIF(bounds,"&lt;"&amp;ROUND(AK693,12))</f>
        <v/>
      </c>
      <c r="AM693">
        <f>IF(AI693=1,AB693,NA())</f>
        <v/>
      </c>
      <c r="AN693">
        <f>IF(AI693=0,AB693,NA())</f>
        <v/>
      </c>
    </row>
    <row r="694">
      <c r="A694" t="n">
        <v>686</v>
      </c>
      <c r="B694" t="n">
        <v>1</v>
      </c>
      <c r="C694" t="n">
        <v>4</v>
      </c>
      <c r="D694" t="n">
        <v>1</v>
      </c>
      <c r="E694" t="n">
        <v>1</v>
      </c>
      <c r="F694" t="n">
        <v>3</v>
      </c>
      <c r="G694" t="n">
        <v>5</v>
      </c>
      <c r="H694" t="n">
        <v>3</v>
      </c>
      <c r="I694" t="n">
        <v>3</v>
      </c>
      <c r="J694" t="n">
        <v>2</v>
      </c>
      <c r="K694" t="n">
        <v>4</v>
      </c>
      <c r="L694" t="n">
        <v>1</v>
      </c>
      <c r="M694" t="n">
        <v>4</v>
      </c>
      <c r="N694" t="n">
        <v>5</v>
      </c>
      <c r="O694" t="n">
        <v>4</v>
      </c>
      <c r="P694" t="n">
        <v>4</v>
      </c>
      <c r="Q694" t="n">
        <v>3</v>
      </c>
      <c r="R694" t="n">
        <v>5</v>
      </c>
      <c r="S694" t="n">
        <v>1</v>
      </c>
      <c r="T694" t="n">
        <v>2</v>
      </c>
      <c r="U694">
        <f>(AVERAGE(B694:D694)-1)/4</f>
        <v/>
      </c>
      <c r="V694">
        <f>(AVERAGE(E694:F694)-1)/4</f>
        <v/>
      </c>
      <c r="W694">
        <f>(AVERAGE(G694:I694)-1)/4</f>
        <v/>
      </c>
      <c r="X694">
        <f>(AVERAGE(J694:L694)-1)/4</f>
        <v/>
      </c>
      <c r="Y694">
        <f>(AVERAGE(M694:O694)-1)/4</f>
        <v/>
      </c>
      <c r="Z694">
        <f>(AVERAGE(P694:R694)-1)/4</f>
        <v/>
      </c>
      <c r="AA694">
        <f>(AVERAGE(S694:T694)-1)/4</f>
        <v/>
      </c>
      <c r="AB694">
        <f>AVERAGE(U694:Y694)</f>
        <v/>
      </c>
      <c r="AC694">
        <f>MIN(U694:Y694)</f>
        <v/>
      </c>
      <c r="AD694">
        <f>1-alpha*MAX(0,delta-AC694)</f>
        <v/>
      </c>
      <c r="AE694">
        <f>AB694*AD694</f>
        <v/>
      </c>
      <c r="AF694">
        <f>1+COUNTIF(bounds,"&lt;"&amp;ROUND(AB694,12))</f>
        <v/>
      </c>
      <c r="AG694">
        <f>1+COUNTIF(bounds,"&lt;"&amp;ROUND(AE694,12))</f>
        <v/>
      </c>
      <c r="AH694">
        <f>IF(AD694&lt;1,1,0)</f>
        <v/>
      </c>
      <c r="AI694">
        <f>IF(AF694&lt;&gt;AG694,1,0)</f>
        <v/>
      </c>
      <c r="AJ694">
        <f>IF(AND(AG694&gt;=3,Z694&lt;=0.2),1,0)</f>
        <v/>
      </c>
      <c r="AK694">
        <f>AVERAGE(U694:Z694)</f>
        <v/>
      </c>
      <c r="AL694">
        <f>1+COUNTIF(bounds,"&lt;"&amp;ROUND(AK694,12))</f>
        <v/>
      </c>
      <c r="AM694">
        <f>IF(AI694=1,AB694,NA())</f>
        <v/>
      </c>
      <c r="AN694">
        <f>IF(AI694=0,AB694,NA())</f>
        <v/>
      </c>
    </row>
    <row r="695">
      <c r="A695" t="n">
        <v>687</v>
      </c>
      <c r="B695" t="n">
        <v>3</v>
      </c>
      <c r="C695" t="n">
        <v>5</v>
      </c>
      <c r="D695" t="n">
        <v>4</v>
      </c>
      <c r="E695" t="n">
        <v>4</v>
      </c>
      <c r="F695" t="n">
        <v>4</v>
      </c>
      <c r="G695" t="n">
        <v>4</v>
      </c>
      <c r="H695" t="n">
        <v>5</v>
      </c>
      <c r="I695" t="n">
        <v>1</v>
      </c>
      <c r="J695" t="n">
        <v>1</v>
      </c>
      <c r="K695" t="n">
        <v>3</v>
      </c>
      <c r="L695" t="n">
        <v>4</v>
      </c>
      <c r="M695" t="n">
        <v>4</v>
      </c>
      <c r="N695" t="n">
        <v>3</v>
      </c>
      <c r="O695" t="n">
        <v>2</v>
      </c>
      <c r="P695" t="n">
        <v>2</v>
      </c>
      <c r="Q695" t="n">
        <v>2</v>
      </c>
      <c r="R695" t="n">
        <v>5</v>
      </c>
      <c r="S695" t="n">
        <v>2</v>
      </c>
      <c r="T695" t="n">
        <v>3</v>
      </c>
      <c r="U695">
        <f>(AVERAGE(B695:D695)-1)/4</f>
        <v/>
      </c>
      <c r="V695">
        <f>(AVERAGE(E695:F695)-1)/4</f>
        <v/>
      </c>
      <c r="W695">
        <f>(AVERAGE(G695:I695)-1)/4</f>
        <v/>
      </c>
      <c r="X695">
        <f>(AVERAGE(J695:L695)-1)/4</f>
        <v/>
      </c>
      <c r="Y695">
        <f>(AVERAGE(M695:O695)-1)/4</f>
        <v/>
      </c>
      <c r="Z695">
        <f>(AVERAGE(P695:R695)-1)/4</f>
        <v/>
      </c>
      <c r="AA695">
        <f>(AVERAGE(S695:T695)-1)/4</f>
        <v/>
      </c>
      <c r="AB695">
        <f>AVERAGE(U695:Y695)</f>
        <v/>
      </c>
      <c r="AC695">
        <f>MIN(U695:Y695)</f>
        <v/>
      </c>
      <c r="AD695">
        <f>1-alpha*MAX(0,delta-AC695)</f>
        <v/>
      </c>
      <c r="AE695">
        <f>AB695*AD695</f>
        <v/>
      </c>
      <c r="AF695">
        <f>1+COUNTIF(bounds,"&lt;"&amp;ROUND(AB695,12))</f>
        <v/>
      </c>
      <c r="AG695">
        <f>1+COUNTIF(bounds,"&lt;"&amp;ROUND(AE695,12))</f>
        <v/>
      </c>
      <c r="AH695">
        <f>IF(AD695&lt;1,1,0)</f>
        <v/>
      </c>
      <c r="AI695">
        <f>IF(AF695&lt;&gt;AG695,1,0)</f>
        <v/>
      </c>
      <c r="AJ695">
        <f>IF(AND(AG695&gt;=3,Z695&lt;=0.2),1,0)</f>
        <v/>
      </c>
      <c r="AK695">
        <f>AVERAGE(U695:Z695)</f>
        <v/>
      </c>
      <c r="AL695">
        <f>1+COUNTIF(bounds,"&lt;"&amp;ROUND(AK695,12))</f>
        <v/>
      </c>
      <c r="AM695">
        <f>IF(AI695=1,AB695,NA())</f>
        <v/>
      </c>
      <c r="AN695">
        <f>IF(AI695=0,AB695,NA())</f>
        <v/>
      </c>
    </row>
    <row r="696">
      <c r="A696" t="n">
        <v>688</v>
      </c>
      <c r="B696" t="n">
        <v>1</v>
      </c>
      <c r="C696" t="n">
        <v>5</v>
      </c>
      <c r="D696" t="n">
        <v>4</v>
      </c>
      <c r="E696" t="n">
        <v>1</v>
      </c>
      <c r="F696" t="n">
        <v>1</v>
      </c>
      <c r="G696" t="n">
        <v>1</v>
      </c>
      <c r="H696" t="n">
        <v>4</v>
      </c>
      <c r="I696" t="n">
        <v>2</v>
      </c>
      <c r="J696" t="n">
        <v>1</v>
      </c>
      <c r="K696" t="n">
        <v>1</v>
      </c>
      <c r="L696" t="n">
        <v>3</v>
      </c>
      <c r="M696" t="n">
        <v>2</v>
      </c>
      <c r="N696" t="n">
        <v>2</v>
      </c>
      <c r="O696" t="n">
        <v>3</v>
      </c>
      <c r="P696" t="n">
        <v>3</v>
      </c>
      <c r="Q696" t="n">
        <v>5</v>
      </c>
      <c r="R696" t="n">
        <v>1</v>
      </c>
      <c r="S696" t="n">
        <v>5</v>
      </c>
      <c r="T696" t="n">
        <v>2</v>
      </c>
      <c r="U696">
        <f>(AVERAGE(B696:D696)-1)/4</f>
        <v/>
      </c>
      <c r="V696">
        <f>(AVERAGE(E696:F696)-1)/4</f>
        <v/>
      </c>
      <c r="W696">
        <f>(AVERAGE(G696:I696)-1)/4</f>
        <v/>
      </c>
      <c r="X696">
        <f>(AVERAGE(J696:L696)-1)/4</f>
        <v/>
      </c>
      <c r="Y696">
        <f>(AVERAGE(M696:O696)-1)/4</f>
        <v/>
      </c>
      <c r="Z696">
        <f>(AVERAGE(P696:R696)-1)/4</f>
        <v/>
      </c>
      <c r="AA696">
        <f>(AVERAGE(S696:T696)-1)/4</f>
        <v/>
      </c>
      <c r="AB696">
        <f>AVERAGE(U696:Y696)</f>
        <v/>
      </c>
      <c r="AC696">
        <f>MIN(U696:Y696)</f>
        <v/>
      </c>
      <c r="AD696">
        <f>1-alpha*MAX(0,delta-AC696)</f>
        <v/>
      </c>
      <c r="AE696">
        <f>AB696*AD696</f>
        <v/>
      </c>
      <c r="AF696">
        <f>1+COUNTIF(bounds,"&lt;"&amp;ROUND(AB696,12))</f>
        <v/>
      </c>
      <c r="AG696">
        <f>1+COUNTIF(bounds,"&lt;"&amp;ROUND(AE696,12))</f>
        <v/>
      </c>
      <c r="AH696">
        <f>IF(AD696&lt;1,1,0)</f>
        <v/>
      </c>
      <c r="AI696">
        <f>IF(AF696&lt;&gt;AG696,1,0)</f>
        <v/>
      </c>
      <c r="AJ696">
        <f>IF(AND(AG696&gt;=3,Z696&lt;=0.2),1,0)</f>
        <v/>
      </c>
      <c r="AK696">
        <f>AVERAGE(U696:Z696)</f>
        <v/>
      </c>
      <c r="AL696">
        <f>1+COUNTIF(bounds,"&lt;"&amp;ROUND(AK696,12))</f>
        <v/>
      </c>
      <c r="AM696">
        <f>IF(AI696=1,AB696,NA())</f>
        <v/>
      </c>
      <c r="AN696">
        <f>IF(AI696=0,AB696,NA())</f>
        <v/>
      </c>
    </row>
    <row r="697">
      <c r="A697" t="n">
        <v>689</v>
      </c>
      <c r="B697" t="n">
        <v>4</v>
      </c>
      <c r="C697" t="n">
        <v>2</v>
      </c>
      <c r="D697" t="n">
        <v>5</v>
      </c>
      <c r="E697" t="n">
        <v>1</v>
      </c>
      <c r="F697" t="n">
        <v>2</v>
      </c>
      <c r="G697" t="n">
        <v>3</v>
      </c>
      <c r="H697" t="n">
        <v>4</v>
      </c>
      <c r="I697" t="n">
        <v>5</v>
      </c>
      <c r="J697" t="n">
        <v>2</v>
      </c>
      <c r="K697" t="n">
        <v>5</v>
      </c>
      <c r="L697" t="n">
        <v>4</v>
      </c>
      <c r="M697" t="n">
        <v>2</v>
      </c>
      <c r="N697" t="n">
        <v>4</v>
      </c>
      <c r="O697" t="n">
        <v>1</v>
      </c>
      <c r="P697" t="n">
        <v>3</v>
      </c>
      <c r="Q697" t="n">
        <v>4</v>
      </c>
      <c r="R697" t="n">
        <v>3</v>
      </c>
      <c r="S697" t="n">
        <v>2</v>
      </c>
      <c r="T697" t="n">
        <v>5</v>
      </c>
      <c r="U697">
        <f>(AVERAGE(B697:D697)-1)/4</f>
        <v/>
      </c>
      <c r="V697">
        <f>(AVERAGE(E697:F697)-1)/4</f>
        <v/>
      </c>
      <c r="W697">
        <f>(AVERAGE(G697:I697)-1)/4</f>
        <v/>
      </c>
      <c r="X697">
        <f>(AVERAGE(J697:L697)-1)/4</f>
        <v/>
      </c>
      <c r="Y697">
        <f>(AVERAGE(M697:O697)-1)/4</f>
        <v/>
      </c>
      <c r="Z697">
        <f>(AVERAGE(P697:R697)-1)/4</f>
        <v/>
      </c>
      <c r="AA697">
        <f>(AVERAGE(S697:T697)-1)/4</f>
        <v/>
      </c>
      <c r="AB697">
        <f>AVERAGE(U697:Y697)</f>
        <v/>
      </c>
      <c r="AC697">
        <f>MIN(U697:Y697)</f>
        <v/>
      </c>
      <c r="AD697">
        <f>1-alpha*MAX(0,delta-AC697)</f>
        <v/>
      </c>
      <c r="AE697">
        <f>AB697*AD697</f>
        <v/>
      </c>
      <c r="AF697">
        <f>1+COUNTIF(bounds,"&lt;"&amp;ROUND(AB697,12))</f>
        <v/>
      </c>
      <c r="AG697">
        <f>1+COUNTIF(bounds,"&lt;"&amp;ROUND(AE697,12))</f>
        <v/>
      </c>
      <c r="AH697">
        <f>IF(AD697&lt;1,1,0)</f>
        <v/>
      </c>
      <c r="AI697">
        <f>IF(AF697&lt;&gt;AG697,1,0)</f>
        <v/>
      </c>
      <c r="AJ697">
        <f>IF(AND(AG697&gt;=3,Z697&lt;=0.2),1,0)</f>
        <v/>
      </c>
      <c r="AK697">
        <f>AVERAGE(U697:Z697)</f>
        <v/>
      </c>
      <c r="AL697">
        <f>1+COUNTIF(bounds,"&lt;"&amp;ROUND(AK697,12))</f>
        <v/>
      </c>
      <c r="AM697">
        <f>IF(AI697=1,AB697,NA())</f>
        <v/>
      </c>
      <c r="AN697">
        <f>IF(AI697=0,AB697,NA())</f>
        <v/>
      </c>
    </row>
    <row r="698">
      <c r="A698" t="n">
        <v>690</v>
      </c>
      <c r="B698" t="n">
        <v>4</v>
      </c>
      <c r="C698" t="n">
        <v>2</v>
      </c>
      <c r="D698" t="n">
        <v>2</v>
      </c>
      <c r="E698" t="n">
        <v>1</v>
      </c>
      <c r="F698" t="n">
        <v>5</v>
      </c>
      <c r="G698" t="n">
        <v>3</v>
      </c>
      <c r="H698" t="n">
        <v>5</v>
      </c>
      <c r="I698" t="n">
        <v>5</v>
      </c>
      <c r="J698" t="n">
        <v>1</v>
      </c>
      <c r="K698" t="n">
        <v>1</v>
      </c>
      <c r="L698" t="n">
        <v>3</v>
      </c>
      <c r="M698" t="n">
        <v>1</v>
      </c>
      <c r="N698" t="n">
        <v>5</v>
      </c>
      <c r="O698" t="n">
        <v>5</v>
      </c>
      <c r="P698" t="n">
        <v>1</v>
      </c>
      <c r="Q698" t="n">
        <v>3</v>
      </c>
      <c r="R698" t="n">
        <v>3</v>
      </c>
      <c r="S698" t="n">
        <v>3</v>
      </c>
      <c r="T698" t="n">
        <v>4</v>
      </c>
      <c r="U698">
        <f>(AVERAGE(B698:D698)-1)/4</f>
        <v/>
      </c>
      <c r="V698">
        <f>(AVERAGE(E698:F698)-1)/4</f>
        <v/>
      </c>
      <c r="W698">
        <f>(AVERAGE(G698:I698)-1)/4</f>
        <v/>
      </c>
      <c r="X698">
        <f>(AVERAGE(J698:L698)-1)/4</f>
        <v/>
      </c>
      <c r="Y698">
        <f>(AVERAGE(M698:O698)-1)/4</f>
        <v/>
      </c>
      <c r="Z698">
        <f>(AVERAGE(P698:R698)-1)/4</f>
        <v/>
      </c>
      <c r="AA698">
        <f>(AVERAGE(S698:T698)-1)/4</f>
        <v/>
      </c>
      <c r="AB698">
        <f>AVERAGE(U698:Y698)</f>
        <v/>
      </c>
      <c r="AC698">
        <f>MIN(U698:Y698)</f>
        <v/>
      </c>
      <c r="AD698">
        <f>1-alpha*MAX(0,delta-AC698)</f>
        <v/>
      </c>
      <c r="AE698">
        <f>AB698*AD698</f>
        <v/>
      </c>
      <c r="AF698">
        <f>1+COUNTIF(bounds,"&lt;"&amp;ROUND(AB698,12))</f>
        <v/>
      </c>
      <c r="AG698">
        <f>1+COUNTIF(bounds,"&lt;"&amp;ROUND(AE698,12))</f>
        <v/>
      </c>
      <c r="AH698">
        <f>IF(AD698&lt;1,1,0)</f>
        <v/>
      </c>
      <c r="AI698">
        <f>IF(AF698&lt;&gt;AG698,1,0)</f>
        <v/>
      </c>
      <c r="AJ698">
        <f>IF(AND(AG698&gt;=3,Z698&lt;=0.2),1,0)</f>
        <v/>
      </c>
      <c r="AK698">
        <f>AVERAGE(U698:Z698)</f>
        <v/>
      </c>
      <c r="AL698">
        <f>1+COUNTIF(bounds,"&lt;"&amp;ROUND(AK698,12))</f>
        <v/>
      </c>
      <c r="AM698">
        <f>IF(AI698=1,AB698,NA())</f>
        <v/>
      </c>
      <c r="AN698">
        <f>IF(AI698=0,AB698,NA())</f>
        <v/>
      </c>
    </row>
    <row r="699">
      <c r="A699" t="n">
        <v>691</v>
      </c>
      <c r="B699" t="n">
        <v>1</v>
      </c>
      <c r="C699" t="n">
        <v>1</v>
      </c>
      <c r="D699" t="n">
        <v>1</v>
      </c>
      <c r="E699" t="n">
        <v>5</v>
      </c>
      <c r="F699" t="n">
        <v>1</v>
      </c>
      <c r="G699" t="n">
        <v>3</v>
      </c>
      <c r="H699" t="n">
        <v>1</v>
      </c>
      <c r="I699" t="n">
        <v>5</v>
      </c>
      <c r="J699" t="n">
        <v>2</v>
      </c>
      <c r="K699" t="n">
        <v>3</v>
      </c>
      <c r="L699" t="n">
        <v>3</v>
      </c>
      <c r="M699" t="n">
        <v>4</v>
      </c>
      <c r="N699" t="n">
        <v>2</v>
      </c>
      <c r="O699" t="n">
        <v>4</v>
      </c>
      <c r="P699" t="n">
        <v>4</v>
      </c>
      <c r="Q699" t="n">
        <v>2</v>
      </c>
      <c r="R699" t="n">
        <v>5</v>
      </c>
      <c r="S699" t="n">
        <v>3</v>
      </c>
      <c r="T699" t="n">
        <v>3</v>
      </c>
      <c r="U699">
        <f>(AVERAGE(B699:D699)-1)/4</f>
        <v/>
      </c>
      <c r="V699">
        <f>(AVERAGE(E699:F699)-1)/4</f>
        <v/>
      </c>
      <c r="W699">
        <f>(AVERAGE(G699:I699)-1)/4</f>
        <v/>
      </c>
      <c r="X699">
        <f>(AVERAGE(J699:L699)-1)/4</f>
        <v/>
      </c>
      <c r="Y699">
        <f>(AVERAGE(M699:O699)-1)/4</f>
        <v/>
      </c>
      <c r="Z699">
        <f>(AVERAGE(P699:R699)-1)/4</f>
        <v/>
      </c>
      <c r="AA699">
        <f>(AVERAGE(S699:T699)-1)/4</f>
        <v/>
      </c>
      <c r="AB699">
        <f>AVERAGE(U699:Y699)</f>
        <v/>
      </c>
      <c r="AC699">
        <f>MIN(U699:Y699)</f>
        <v/>
      </c>
      <c r="AD699">
        <f>1-alpha*MAX(0,delta-AC699)</f>
        <v/>
      </c>
      <c r="AE699">
        <f>AB699*AD699</f>
        <v/>
      </c>
      <c r="AF699">
        <f>1+COUNTIF(bounds,"&lt;"&amp;ROUND(AB699,12))</f>
        <v/>
      </c>
      <c r="AG699">
        <f>1+COUNTIF(bounds,"&lt;"&amp;ROUND(AE699,12))</f>
        <v/>
      </c>
      <c r="AH699">
        <f>IF(AD699&lt;1,1,0)</f>
        <v/>
      </c>
      <c r="AI699">
        <f>IF(AF699&lt;&gt;AG699,1,0)</f>
        <v/>
      </c>
      <c r="AJ699">
        <f>IF(AND(AG699&gt;=3,Z699&lt;=0.2),1,0)</f>
        <v/>
      </c>
      <c r="AK699">
        <f>AVERAGE(U699:Z699)</f>
        <v/>
      </c>
      <c r="AL699">
        <f>1+COUNTIF(bounds,"&lt;"&amp;ROUND(AK699,12))</f>
        <v/>
      </c>
      <c r="AM699">
        <f>IF(AI699=1,AB699,NA())</f>
        <v/>
      </c>
      <c r="AN699">
        <f>IF(AI699=0,AB699,NA())</f>
        <v/>
      </c>
    </row>
    <row r="700">
      <c r="A700" t="n">
        <v>692</v>
      </c>
      <c r="B700" t="n">
        <v>1</v>
      </c>
      <c r="C700" t="n">
        <v>5</v>
      </c>
      <c r="D700" t="n">
        <v>4</v>
      </c>
      <c r="E700" t="n">
        <v>3</v>
      </c>
      <c r="F700" t="n">
        <v>3</v>
      </c>
      <c r="G700" t="n">
        <v>2</v>
      </c>
      <c r="H700" t="n">
        <v>1</v>
      </c>
      <c r="I700" t="n">
        <v>5</v>
      </c>
      <c r="J700" t="n">
        <v>4</v>
      </c>
      <c r="K700" t="n">
        <v>4</v>
      </c>
      <c r="L700" t="n">
        <v>5</v>
      </c>
      <c r="M700" t="n">
        <v>4</v>
      </c>
      <c r="N700" t="n">
        <v>5</v>
      </c>
      <c r="O700" t="n">
        <v>2</v>
      </c>
      <c r="P700" t="n">
        <v>3</v>
      </c>
      <c r="Q700" t="n">
        <v>2</v>
      </c>
      <c r="R700" t="n">
        <v>4</v>
      </c>
      <c r="S700" t="n">
        <v>3</v>
      </c>
      <c r="T700" t="n">
        <v>5</v>
      </c>
      <c r="U700">
        <f>(AVERAGE(B700:D700)-1)/4</f>
        <v/>
      </c>
      <c r="V700">
        <f>(AVERAGE(E700:F700)-1)/4</f>
        <v/>
      </c>
      <c r="W700">
        <f>(AVERAGE(G700:I700)-1)/4</f>
        <v/>
      </c>
      <c r="X700">
        <f>(AVERAGE(J700:L700)-1)/4</f>
        <v/>
      </c>
      <c r="Y700">
        <f>(AVERAGE(M700:O700)-1)/4</f>
        <v/>
      </c>
      <c r="Z700">
        <f>(AVERAGE(P700:R700)-1)/4</f>
        <v/>
      </c>
      <c r="AA700">
        <f>(AVERAGE(S700:T700)-1)/4</f>
        <v/>
      </c>
      <c r="AB700">
        <f>AVERAGE(U700:Y700)</f>
        <v/>
      </c>
      <c r="AC700">
        <f>MIN(U700:Y700)</f>
        <v/>
      </c>
      <c r="AD700">
        <f>1-alpha*MAX(0,delta-AC700)</f>
        <v/>
      </c>
      <c r="AE700">
        <f>AB700*AD700</f>
        <v/>
      </c>
      <c r="AF700">
        <f>1+COUNTIF(bounds,"&lt;"&amp;ROUND(AB700,12))</f>
        <v/>
      </c>
      <c r="AG700">
        <f>1+COUNTIF(bounds,"&lt;"&amp;ROUND(AE700,12))</f>
        <v/>
      </c>
      <c r="AH700">
        <f>IF(AD700&lt;1,1,0)</f>
        <v/>
      </c>
      <c r="AI700">
        <f>IF(AF700&lt;&gt;AG700,1,0)</f>
        <v/>
      </c>
      <c r="AJ700">
        <f>IF(AND(AG700&gt;=3,Z700&lt;=0.2),1,0)</f>
        <v/>
      </c>
      <c r="AK700">
        <f>AVERAGE(U700:Z700)</f>
        <v/>
      </c>
      <c r="AL700">
        <f>1+COUNTIF(bounds,"&lt;"&amp;ROUND(AK700,12))</f>
        <v/>
      </c>
      <c r="AM700">
        <f>IF(AI700=1,AB700,NA())</f>
        <v/>
      </c>
      <c r="AN700">
        <f>IF(AI700=0,AB700,NA())</f>
        <v/>
      </c>
    </row>
    <row r="701">
      <c r="A701" t="n">
        <v>693</v>
      </c>
      <c r="B701" t="n">
        <v>3</v>
      </c>
      <c r="C701" t="n">
        <v>3</v>
      </c>
      <c r="D701" t="n">
        <v>5</v>
      </c>
      <c r="E701" t="n">
        <v>3</v>
      </c>
      <c r="F701" t="n">
        <v>4</v>
      </c>
      <c r="G701" t="n">
        <v>1</v>
      </c>
      <c r="H701" t="n">
        <v>2</v>
      </c>
      <c r="I701" t="n">
        <v>5</v>
      </c>
      <c r="J701" t="n">
        <v>2</v>
      </c>
      <c r="K701" t="n">
        <v>4</v>
      </c>
      <c r="L701" t="n">
        <v>4</v>
      </c>
      <c r="M701" t="n">
        <v>2</v>
      </c>
      <c r="N701" t="n">
        <v>5</v>
      </c>
      <c r="O701" t="n">
        <v>2</v>
      </c>
      <c r="P701" t="n">
        <v>1</v>
      </c>
      <c r="Q701" t="n">
        <v>3</v>
      </c>
      <c r="R701" t="n">
        <v>4</v>
      </c>
      <c r="S701" t="n">
        <v>2</v>
      </c>
      <c r="T701" t="n">
        <v>3</v>
      </c>
      <c r="U701">
        <f>(AVERAGE(B701:D701)-1)/4</f>
        <v/>
      </c>
      <c r="V701">
        <f>(AVERAGE(E701:F701)-1)/4</f>
        <v/>
      </c>
      <c r="W701">
        <f>(AVERAGE(G701:I701)-1)/4</f>
        <v/>
      </c>
      <c r="X701">
        <f>(AVERAGE(J701:L701)-1)/4</f>
        <v/>
      </c>
      <c r="Y701">
        <f>(AVERAGE(M701:O701)-1)/4</f>
        <v/>
      </c>
      <c r="Z701">
        <f>(AVERAGE(P701:R701)-1)/4</f>
        <v/>
      </c>
      <c r="AA701">
        <f>(AVERAGE(S701:T701)-1)/4</f>
        <v/>
      </c>
      <c r="AB701">
        <f>AVERAGE(U701:Y701)</f>
        <v/>
      </c>
      <c r="AC701">
        <f>MIN(U701:Y701)</f>
        <v/>
      </c>
      <c r="AD701">
        <f>1-alpha*MAX(0,delta-AC701)</f>
        <v/>
      </c>
      <c r="AE701">
        <f>AB701*AD701</f>
        <v/>
      </c>
      <c r="AF701">
        <f>1+COUNTIF(bounds,"&lt;"&amp;ROUND(AB701,12))</f>
        <v/>
      </c>
      <c r="AG701">
        <f>1+COUNTIF(bounds,"&lt;"&amp;ROUND(AE701,12))</f>
        <v/>
      </c>
      <c r="AH701">
        <f>IF(AD701&lt;1,1,0)</f>
        <v/>
      </c>
      <c r="AI701">
        <f>IF(AF701&lt;&gt;AG701,1,0)</f>
        <v/>
      </c>
      <c r="AJ701">
        <f>IF(AND(AG701&gt;=3,Z701&lt;=0.2),1,0)</f>
        <v/>
      </c>
      <c r="AK701">
        <f>AVERAGE(U701:Z701)</f>
        <v/>
      </c>
      <c r="AL701">
        <f>1+COUNTIF(bounds,"&lt;"&amp;ROUND(AK701,12))</f>
        <v/>
      </c>
      <c r="AM701">
        <f>IF(AI701=1,AB701,NA())</f>
        <v/>
      </c>
      <c r="AN701">
        <f>IF(AI701=0,AB701,NA())</f>
        <v/>
      </c>
    </row>
    <row r="702">
      <c r="A702" t="n">
        <v>694</v>
      </c>
      <c r="B702" t="n">
        <v>2</v>
      </c>
      <c r="C702" t="n">
        <v>3</v>
      </c>
      <c r="D702" t="n">
        <v>1</v>
      </c>
      <c r="E702" t="n">
        <v>1</v>
      </c>
      <c r="F702" t="n">
        <v>3</v>
      </c>
      <c r="G702" t="n">
        <v>4</v>
      </c>
      <c r="H702" t="n">
        <v>3</v>
      </c>
      <c r="I702" t="n">
        <v>2</v>
      </c>
      <c r="J702" t="n">
        <v>4</v>
      </c>
      <c r="K702" t="n">
        <v>2</v>
      </c>
      <c r="L702" t="n">
        <v>4</v>
      </c>
      <c r="M702" t="n">
        <v>3</v>
      </c>
      <c r="N702" t="n">
        <v>3</v>
      </c>
      <c r="O702" t="n">
        <v>4</v>
      </c>
      <c r="P702" t="n">
        <v>1</v>
      </c>
      <c r="Q702" t="n">
        <v>2</v>
      </c>
      <c r="R702" t="n">
        <v>4</v>
      </c>
      <c r="S702" t="n">
        <v>4</v>
      </c>
      <c r="T702" t="n">
        <v>1</v>
      </c>
      <c r="U702">
        <f>(AVERAGE(B702:D702)-1)/4</f>
        <v/>
      </c>
      <c r="V702">
        <f>(AVERAGE(E702:F702)-1)/4</f>
        <v/>
      </c>
      <c r="W702">
        <f>(AVERAGE(G702:I702)-1)/4</f>
        <v/>
      </c>
      <c r="X702">
        <f>(AVERAGE(J702:L702)-1)/4</f>
        <v/>
      </c>
      <c r="Y702">
        <f>(AVERAGE(M702:O702)-1)/4</f>
        <v/>
      </c>
      <c r="Z702">
        <f>(AVERAGE(P702:R702)-1)/4</f>
        <v/>
      </c>
      <c r="AA702">
        <f>(AVERAGE(S702:T702)-1)/4</f>
        <v/>
      </c>
      <c r="AB702">
        <f>AVERAGE(U702:Y702)</f>
        <v/>
      </c>
      <c r="AC702">
        <f>MIN(U702:Y702)</f>
        <v/>
      </c>
      <c r="AD702">
        <f>1-alpha*MAX(0,delta-AC702)</f>
        <v/>
      </c>
      <c r="AE702">
        <f>AB702*AD702</f>
        <v/>
      </c>
      <c r="AF702">
        <f>1+COUNTIF(bounds,"&lt;"&amp;ROUND(AB702,12))</f>
        <v/>
      </c>
      <c r="AG702">
        <f>1+COUNTIF(bounds,"&lt;"&amp;ROUND(AE702,12))</f>
        <v/>
      </c>
      <c r="AH702">
        <f>IF(AD702&lt;1,1,0)</f>
        <v/>
      </c>
      <c r="AI702">
        <f>IF(AF702&lt;&gt;AG702,1,0)</f>
        <v/>
      </c>
      <c r="AJ702">
        <f>IF(AND(AG702&gt;=3,Z702&lt;=0.2),1,0)</f>
        <v/>
      </c>
      <c r="AK702">
        <f>AVERAGE(U702:Z702)</f>
        <v/>
      </c>
      <c r="AL702">
        <f>1+COUNTIF(bounds,"&lt;"&amp;ROUND(AK702,12))</f>
        <v/>
      </c>
      <c r="AM702">
        <f>IF(AI702=1,AB702,NA())</f>
        <v/>
      </c>
      <c r="AN702">
        <f>IF(AI702=0,AB702,NA())</f>
        <v/>
      </c>
    </row>
    <row r="703">
      <c r="A703" t="n">
        <v>695</v>
      </c>
      <c r="B703" t="n">
        <v>1</v>
      </c>
      <c r="C703" t="n">
        <v>1</v>
      </c>
      <c r="D703" t="n">
        <v>3</v>
      </c>
      <c r="E703" t="n">
        <v>3</v>
      </c>
      <c r="F703" t="n">
        <v>4</v>
      </c>
      <c r="G703" t="n">
        <v>2</v>
      </c>
      <c r="H703" t="n">
        <v>3</v>
      </c>
      <c r="I703" t="n">
        <v>3</v>
      </c>
      <c r="J703" t="n">
        <v>4</v>
      </c>
      <c r="K703" t="n">
        <v>5</v>
      </c>
      <c r="L703" t="n">
        <v>2</v>
      </c>
      <c r="M703" t="n">
        <v>4</v>
      </c>
      <c r="N703" t="n">
        <v>5</v>
      </c>
      <c r="O703" t="n">
        <v>4</v>
      </c>
      <c r="P703" t="n">
        <v>1</v>
      </c>
      <c r="Q703" t="n">
        <v>1</v>
      </c>
      <c r="R703" t="n">
        <v>2</v>
      </c>
      <c r="S703" t="n">
        <v>1</v>
      </c>
      <c r="T703" t="n">
        <v>1</v>
      </c>
      <c r="U703">
        <f>(AVERAGE(B703:D703)-1)/4</f>
        <v/>
      </c>
      <c r="V703">
        <f>(AVERAGE(E703:F703)-1)/4</f>
        <v/>
      </c>
      <c r="W703">
        <f>(AVERAGE(G703:I703)-1)/4</f>
        <v/>
      </c>
      <c r="X703">
        <f>(AVERAGE(J703:L703)-1)/4</f>
        <v/>
      </c>
      <c r="Y703">
        <f>(AVERAGE(M703:O703)-1)/4</f>
        <v/>
      </c>
      <c r="Z703">
        <f>(AVERAGE(P703:R703)-1)/4</f>
        <v/>
      </c>
      <c r="AA703">
        <f>(AVERAGE(S703:T703)-1)/4</f>
        <v/>
      </c>
      <c r="AB703">
        <f>AVERAGE(U703:Y703)</f>
        <v/>
      </c>
      <c r="AC703">
        <f>MIN(U703:Y703)</f>
        <v/>
      </c>
      <c r="AD703">
        <f>1-alpha*MAX(0,delta-AC703)</f>
        <v/>
      </c>
      <c r="AE703">
        <f>AB703*AD703</f>
        <v/>
      </c>
      <c r="AF703">
        <f>1+COUNTIF(bounds,"&lt;"&amp;ROUND(AB703,12))</f>
        <v/>
      </c>
      <c r="AG703">
        <f>1+COUNTIF(bounds,"&lt;"&amp;ROUND(AE703,12))</f>
        <v/>
      </c>
      <c r="AH703">
        <f>IF(AD703&lt;1,1,0)</f>
        <v/>
      </c>
      <c r="AI703">
        <f>IF(AF703&lt;&gt;AG703,1,0)</f>
        <v/>
      </c>
      <c r="AJ703">
        <f>IF(AND(AG703&gt;=3,Z703&lt;=0.2),1,0)</f>
        <v/>
      </c>
      <c r="AK703">
        <f>AVERAGE(U703:Z703)</f>
        <v/>
      </c>
      <c r="AL703">
        <f>1+COUNTIF(bounds,"&lt;"&amp;ROUND(AK703,12))</f>
        <v/>
      </c>
      <c r="AM703">
        <f>IF(AI703=1,AB703,NA())</f>
        <v/>
      </c>
      <c r="AN703">
        <f>IF(AI703=0,AB703,NA())</f>
        <v/>
      </c>
    </row>
    <row r="704">
      <c r="A704" t="n">
        <v>696</v>
      </c>
      <c r="B704" t="n">
        <v>3</v>
      </c>
      <c r="C704" t="n">
        <v>3</v>
      </c>
      <c r="D704" t="n">
        <v>4</v>
      </c>
      <c r="E704" t="n">
        <v>5</v>
      </c>
      <c r="F704" t="n">
        <v>5</v>
      </c>
      <c r="G704" t="n">
        <v>1</v>
      </c>
      <c r="H704" t="n">
        <v>1</v>
      </c>
      <c r="I704" t="n">
        <v>3</v>
      </c>
      <c r="J704" t="n">
        <v>2</v>
      </c>
      <c r="K704" t="n">
        <v>2</v>
      </c>
      <c r="L704" t="n">
        <v>4</v>
      </c>
      <c r="M704" t="n">
        <v>5</v>
      </c>
      <c r="N704" t="n">
        <v>4</v>
      </c>
      <c r="O704" t="n">
        <v>3</v>
      </c>
      <c r="P704" t="n">
        <v>5</v>
      </c>
      <c r="Q704" t="n">
        <v>3</v>
      </c>
      <c r="R704" t="n">
        <v>3</v>
      </c>
      <c r="S704" t="n">
        <v>5</v>
      </c>
      <c r="T704" t="n">
        <v>1</v>
      </c>
      <c r="U704">
        <f>(AVERAGE(B704:D704)-1)/4</f>
        <v/>
      </c>
      <c r="V704">
        <f>(AVERAGE(E704:F704)-1)/4</f>
        <v/>
      </c>
      <c r="W704">
        <f>(AVERAGE(G704:I704)-1)/4</f>
        <v/>
      </c>
      <c r="X704">
        <f>(AVERAGE(J704:L704)-1)/4</f>
        <v/>
      </c>
      <c r="Y704">
        <f>(AVERAGE(M704:O704)-1)/4</f>
        <v/>
      </c>
      <c r="Z704">
        <f>(AVERAGE(P704:R704)-1)/4</f>
        <v/>
      </c>
      <c r="AA704">
        <f>(AVERAGE(S704:T704)-1)/4</f>
        <v/>
      </c>
      <c r="AB704">
        <f>AVERAGE(U704:Y704)</f>
        <v/>
      </c>
      <c r="AC704">
        <f>MIN(U704:Y704)</f>
        <v/>
      </c>
      <c r="AD704">
        <f>1-alpha*MAX(0,delta-AC704)</f>
        <v/>
      </c>
      <c r="AE704">
        <f>AB704*AD704</f>
        <v/>
      </c>
      <c r="AF704">
        <f>1+COUNTIF(bounds,"&lt;"&amp;ROUND(AB704,12))</f>
        <v/>
      </c>
      <c r="AG704">
        <f>1+COUNTIF(bounds,"&lt;"&amp;ROUND(AE704,12))</f>
        <v/>
      </c>
      <c r="AH704">
        <f>IF(AD704&lt;1,1,0)</f>
        <v/>
      </c>
      <c r="AI704">
        <f>IF(AF704&lt;&gt;AG704,1,0)</f>
        <v/>
      </c>
      <c r="AJ704">
        <f>IF(AND(AG704&gt;=3,Z704&lt;=0.2),1,0)</f>
        <v/>
      </c>
      <c r="AK704">
        <f>AVERAGE(U704:Z704)</f>
        <v/>
      </c>
      <c r="AL704">
        <f>1+COUNTIF(bounds,"&lt;"&amp;ROUND(AK704,12))</f>
        <v/>
      </c>
      <c r="AM704">
        <f>IF(AI704=1,AB704,NA())</f>
        <v/>
      </c>
      <c r="AN704">
        <f>IF(AI704=0,AB704,NA())</f>
        <v/>
      </c>
    </row>
    <row r="705">
      <c r="A705" t="n">
        <v>697</v>
      </c>
      <c r="B705" t="n">
        <v>1</v>
      </c>
      <c r="C705" t="n">
        <v>3</v>
      </c>
      <c r="D705" t="n">
        <v>5</v>
      </c>
      <c r="E705" t="n">
        <v>3</v>
      </c>
      <c r="F705" t="n">
        <v>5</v>
      </c>
      <c r="G705" t="n">
        <v>1</v>
      </c>
      <c r="H705" t="n">
        <v>4</v>
      </c>
      <c r="I705" t="n">
        <v>4</v>
      </c>
      <c r="J705" t="n">
        <v>4</v>
      </c>
      <c r="K705" t="n">
        <v>2</v>
      </c>
      <c r="L705" t="n">
        <v>5</v>
      </c>
      <c r="M705" t="n">
        <v>2</v>
      </c>
      <c r="N705" t="n">
        <v>5</v>
      </c>
      <c r="O705" t="n">
        <v>3</v>
      </c>
      <c r="P705" t="n">
        <v>3</v>
      </c>
      <c r="Q705" t="n">
        <v>5</v>
      </c>
      <c r="R705" t="n">
        <v>2</v>
      </c>
      <c r="S705" t="n">
        <v>3</v>
      </c>
      <c r="T705" t="n">
        <v>4</v>
      </c>
      <c r="U705">
        <f>(AVERAGE(B705:D705)-1)/4</f>
        <v/>
      </c>
      <c r="V705">
        <f>(AVERAGE(E705:F705)-1)/4</f>
        <v/>
      </c>
      <c r="W705">
        <f>(AVERAGE(G705:I705)-1)/4</f>
        <v/>
      </c>
      <c r="X705">
        <f>(AVERAGE(J705:L705)-1)/4</f>
        <v/>
      </c>
      <c r="Y705">
        <f>(AVERAGE(M705:O705)-1)/4</f>
        <v/>
      </c>
      <c r="Z705">
        <f>(AVERAGE(P705:R705)-1)/4</f>
        <v/>
      </c>
      <c r="AA705">
        <f>(AVERAGE(S705:T705)-1)/4</f>
        <v/>
      </c>
      <c r="AB705">
        <f>AVERAGE(U705:Y705)</f>
        <v/>
      </c>
      <c r="AC705">
        <f>MIN(U705:Y705)</f>
        <v/>
      </c>
      <c r="AD705">
        <f>1-alpha*MAX(0,delta-AC705)</f>
        <v/>
      </c>
      <c r="AE705">
        <f>AB705*AD705</f>
        <v/>
      </c>
      <c r="AF705">
        <f>1+COUNTIF(bounds,"&lt;"&amp;ROUND(AB705,12))</f>
        <v/>
      </c>
      <c r="AG705">
        <f>1+COUNTIF(bounds,"&lt;"&amp;ROUND(AE705,12))</f>
        <v/>
      </c>
      <c r="AH705">
        <f>IF(AD705&lt;1,1,0)</f>
        <v/>
      </c>
      <c r="AI705">
        <f>IF(AF705&lt;&gt;AG705,1,0)</f>
        <v/>
      </c>
      <c r="AJ705">
        <f>IF(AND(AG705&gt;=3,Z705&lt;=0.2),1,0)</f>
        <v/>
      </c>
      <c r="AK705">
        <f>AVERAGE(U705:Z705)</f>
        <v/>
      </c>
      <c r="AL705">
        <f>1+COUNTIF(bounds,"&lt;"&amp;ROUND(AK705,12))</f>
        <v/>
      </c>
      <c r="AM705">
        <f>IF(AI705=1,AB705,NA())</f>
        <v/>
      </c>
      <c r="AN705">
        <f>IF(AI705=0,AB705,NA())</f>
        <v/>
      </c>
    </row>
    <row r="706">
      <c r="A706" t="n">
        <v>698</v>
      </c>
      <c r="B706" t="n">
        <v>4</v>
      </c>
      <c r="C706" t="n">
        <v>4</v>
      </c>
      <c r="D706" t="n">
        <v>3</v>
      </c>
      <c r="E706" t="n">
        <v>3</v>
      </c>
      <c r="F706" t="n">
        <v>4</v>
      </c>
      <c r="G706" t="n">
        <v>4</v>
      </c>
      <c r="H706" t="n">
        <v>1</v>
      </c>
      <c r="I706" t="n">
        <v>4</v>
      </c>
      <c r="J706" t="n">
        <v>1</v>
      </c>
      <c r="K706" t="n">
        <v>1</v>
      </c>
      <c r="L706" t="n">
        <v>4</v>
      </c>
      <c r="M706" t="n">
        <v>3</v>
      </c>
      <c r="N706" t="n">
        <v>4</v>
      </c>
      <c r="O706" t="n">
        <v>2</v>
      </c>
      <c r="P706" t="n">
        <v>5</v>
      </c>
      <c r="Q706" t="n">
        <v>4</v>
      </c>
      <c r="R706" t="n">
        <v>5</v>
      </c>
      <c r="S706" t="n">
        <v>5</v>
      </c>
      <c r="T706" t="n">
        <v>3</v>
      </c>
      <c r="U706">
        <f>(AVERAGE(B706:D706)-1)/4</f>
        <v/>
      </c>
      <c r="V706">
        <f>(AVERAGE(E706:F706)-1)/4</f>
        <v/>
      </c>
      <c r="W706">
        <f>(AVERAGE(G706:I706)-1)/4</f>
        <v/>
      </c>
      <c r="X706">
        <f>(AVERAGE(J706:L706)-1)/4</f>
        <v/>
      </c>
      <c r="Y706">
        <f>(AVERAGE(M706:O706)-1)/4</f>
        <v/>
      </c>
      <c r="Z706">
        <f>(AVERAGE(P706:R706)-1)/4</f>
        <v/>
      </c>
      <c r="AA706">
        <f>(AVERAGE(S706:T706)-1)/4</f>
        <v/>
      </c>
      <c r="AB706">
        <f>AVERAGE(U706:Y706)</f>
        <v/>
      </c>
      <c r="AC706">
        <f>MIN(U706:Y706)</f>
        <v/>
      </c>
      <c r="AD706">
        <f>1-alpha*MAX(0,delta-AC706)</f>
        <v/>
      </c>
      <c r="AE706">
        <f>AB706*AD706</f>
        <v/>
      </c>
      <c r="AF706">
        <f>1+COUNTIF(bounds,"&lt;"&amp;ROUND(AB706,12))</f>
        <v/>
      </c>
      <c r="AG706">
        <f>1+COUNTIF(bounds,"&lt;"&amp;ROUND(AE706,12))</f>
        <v/>
      </c>
      <c r="AH706">
        <f>IF(AD706&lt;1,1,0)</f>
        <v/>
      </c>
      <c r="AI706">
        <f>IF(AF706&lt;&gt;AG706,1,0)</f>
        <v/>
      </c>
      <c r="AJ706">
        <f>IF(AND(AG706&gt;=3,Z706&lt;=0.2),1,0)</f>
        <v/>
      </c>
      <c r="AK706">
        <f>AVERAGE(U706:Z706)</f>
        <v/>
      </c>
      <c r="AL706">
        <f>1+COUNTIF(bounds,"&lt;"&amp;ROUND(AK706,12))</f>
        <v/>
      </c>
      <c r="AM706">
        <f>IF(AI706=1,AB706,NA())</f>
        <v/>
      </c>
      <c r="AN706">
        <f>IF(AI706=0,AB706,NA())</f>
        <v/>
      </c>
    </row>
    <row r="707">
      <c r="A707" t="n">
        <v>699</v>
      </c>
      <c r="B707" t="n">
        <v>1</v>
      </c>
      <c r="C707" t="n">
        <v>5</v>
      </c>
      <c r="D707" t="n">
        <v>2</v>
      </c>
      <c r="E707" t="n">
        <v>2</v>
      </c>
      <c r="F707" t="n">
        <v>2</v>
      </c>
      <c r="G707" t="n">
        <v>1</v>
      </c>
      <c r="H707" t="n">
        <v>5</v>
      </c>
      <c r="I707" t="n">
        <v>3</v>
      </c>
      <c r="J707" t="n">
        <v>4</v>
      </c>
      <c r="K707" t="n">
        <v>5</v>
      </c>
      <c r="L707" t="n">
        <v>4</v>
      </c>
      <c r="M707" t="n">
        <v>5</v>
      </c>
      <c r="N707" t="n">
        <v>2</v>
      </c>
      <c r="O707" t="n">
        <v>1</v>
      </c>
      <c r="P707" t="n">
        <v>5</v>
      </c>
      <c r="Q707" t="n">
        <v>1</v>
      </c>
      <c r="R707" t="n">
        <v>1</v>
      </c>
      <c r="S707" t="n">
        <v>2</v>
      </c>
      <c r="T707" t="n">
        <v>4</v>
      </c>
      <c r="U707">
        <f>(AVERAGE(B707:D707)-1)/4</f>
        <v/>
      </c>
      <c r="V707">
        <f>(AVERAGE(E707:F707)-1)/4</f>
        <v/>
      </c>
      <c r="W707">
        <f>(AVERAGE(G707:I707)-1)/4</f>
        <v/>
      </c>
      <c r="X707">
        <f>(AVERAGE(J707:L707)-1)/4</f>
        <v/>
      </c>
      <c r="Y707">
        <f>(AVERAGE(M707:O707)-1)/4</f>
        <v/>
      </c>
      <c r="Z707">
        <f>(AVERAGE(P707:R707)-1)/4</f>
        <v/>
      </c>
      <c r="AA707">
        <f>(AVERAGE(S707:T707)-1)/4</f>
        <v/>
      </c>
      <c r="AB707">
        <f>AVERAGE(U707:Y707)</f>
        <v/>
      </c>
      <c r="AC707">
        <f>MIN(U707:Y707)</f>
        <v/>
      </c>
      <c r="AD707">
        <f>1-alpha*MAX(0,delta-AC707)</f>
        <v/>
      </c>
      <c r="AE707">
        <f>AB707*AD707</f>
        <v/>
      </c>
      <c r="AF707">
        <f>1+COUNTIF(bounds,"&lt;"&amp;ROUND(AB707,12))</f>
        <v/>
      </c>
      <c r="AG707">
        <f>1+COUNTIF(bounds,"&lt;"&amp;ROUND(AE707,12))</f>
        <v/>
      </c>
      <c r="AH707">
        <f>IF(AD707&lt;1,1,0)</f>
        <v/>
      </c>
      <c r="AI707">
        <f>IF(AF707&lt;&gt;AG707,1,0)</f>
        <v/>
      </c>
      <c r="AJ707">
        <f>IF(AND(AG707&gt;=3,Z707&lt;=0.2),1,0)</f>
        <v/>
      </c>
      <c r="AK707">
        <f>AVERAGE(U707:Z707)</f>
        <v/>
      </c>
      <c r="AL707">
        <f>1+COUNTIF(bounds,"&lt;"&amp;ROUND(AK707,12))</f>
        <v/>
      </c>
      <c r="AM707">
        <f>IF(AI707=1,AB707,NA())</f>
        <v/>
      </c>
      <c r="AN707">
        <f>IF(AI707=0,AB707,NA())</f>
        <v/>
      </c>
    </row>
    <row r="708">
      <c r="A708" t="n">
        <v>700</v>
      </c>
      <c r="B708" t="n">
        <v>1</v>
      </c>
      <c r="C708" t="n">
        <v>3</v>
      </c>
      <c r="D708" t="n">
        <v>1</v>
      </c>
      <c r="E708" t="n">
        <v>4</v>
      </c>
      <c r="F708" t="n">
        <v>4</v>
      </c>
      <c r="G708" t="n">
        <v>1</v>
      </c>
      <c r="H708" t="n">
        <v>4</v>
      </c>
      <c r="I708" t="n">
        <v>1</v>
      </c>
      <c r="J708" t="n">
        <v>1</v>
      </c>
      <c r="K708" t="n">
        <v>5</v>
      </c>
      <c r="L708" t="n">
        <v>4</v>
      </c>
      <c r="M708" t="n">
        <v>2</v>
      </c>
      <c r="N708" t="n">
        <v>2</v>
      </c>
      <c r="O708" t="n">
        <v>4</v>
      </c>
      <c r="P708" t="n">
        <v>4</v>
      </c>
      <c r="Q708" t="n">
        <v>1</v>
      </c>
      <c r="R708" t="n">
        <v>4</v>
      </c>
      <c r="S708" t="n">
        <v>5</v>
      </c>
      <c r="T708" t="n">
        <v>2</v>
      </c>
      <c r="U708">
        <f>(AVERAGE(B708:D708)-1)/4</f>
        <v/>
      </c>
      <c r="V708">
        <f>(AVERAGE(E708:F708)-1)/4</f>
        <v/>
      </c>
      <c r="W708">
        <f>(AVERAGE(G708:I708)-1)/4</f>
        <v/>
      </c>
      <c r="X708">
        <f>(AVERAGE(J708:L708)-1)/4</f>
        <v/>
      </c>
      <c r="Y708">
        <f>(AVERAGE(M708:O708)-1)/4</f>
        <v/>
      </c>
      <c r="Z708">
        <f>(AVERAGE(P708:R708)-1)/4</f>
        <v/>
      </c>
      <c r="AA708">
        <f>(AVERAGE(S708:T708)-1)/4</f>
        <v/>
      </c>
      <c r="AB708">
        <f>AVERAGE(U708:Y708)</f>
        <v/>
      </c>
      <c r="AC708">
        <f>MIN(U708:Y708)</f>
        <v/>
      </c>
      <c r="AD708">
        <f>1-alpha*MAX(0,delta-AC708)</f>
        <v/>
      </c>
      <c r="AE708">
        <f>AB708*AD708</f>
        <v/>
      </c>
      <c r="AF708">
        <f>1+COUNTIF(bounds,"&lt;"&amp;ROUND(AB708,12))</f>
        <v/>
      </c>
      <c r="AG708">
        <f>1+COUNTIF(bounds,"&lt;"&amp;ROUND(AE708,12))</f>
        <v/>
      </c>
      <c r="AH708">
        <f>IF(AD708&lt;1,1,0)</f>
        <v/>
      </c>
      <c r="AI708">
        <f>IF(AF708&lt;&gt;AG708,1,0)</f>
        <v/>
      </c>
      <c r="AJ708">
        <f>IF(AND(AG708&gt;=3,Z708&lt;=0.2),1,0)</f>
        <v/>
      </c>
      <c r="AK708">
        <f>AVERAGE(U708:Z708)</f>
        <v/>
      </c>
      <c r="AL708">
        <f>1+COUNTIF(bounds,"&lt;"&amp;ROUND(AK708,12))</f>
        <v/>
      </c>
      <c r="AM708">
        <f>IF(AI708=1,AB708,NA())</f>
        <v/>
      </c>
      <c r="AN708">
        <f>IF(AI708=0,AB708,NA())</f>
        <v/>
      </c>
    </row>
    <row r="709">
      <c r="A709" t="n">
        <v>701</v>
      </c>
      <c r="B709" t="n">
        <v>2</v>
      </c>
      <c r="C709" t="n">
        <v>3</v>
      </c>
      <c r="D709" t="n">
        <v>1</v>
      </c>
      <c r="E709" t="n">
        <v>3</v>
      </c>
      <c r="F709" t="n">
        <v>5</v>
      </c>
      <c r="G709" t="n">
        <v>2</v>
      </c>
      <c r="H709" t="n">
        <v>2</v>
      </c>
      <c r="I709" t="n">
        <v>5</v>
      </c>
      <c r="J709" t="n">
        <v>4</v>
      </c>
      <c r="K709" t="n">
        <v>1</v>
      </c>
      <c r="L709" t="n">
        <v>3</v>
      </c>
      <c r="M709" t="n">
        <v>2</v>
      </c>
      <c r="N709" t="n">
        <v>3</v>
      </c>
      <c r="O709" t="n">
        <v>3</v>
      </c>
      <c r="P709" t="n">
        <v>4</v>
      </c>
      <c r="Q709" t="n">
        <v>2</v>
      </c>
      <c r="R709" t="n">
        <v>3</v>
      </c>
      <c r="S709" t="n">
        <v>5</v>
      </c>
      <c r="T709" t="n">
        <v>4</v>
      </c>
      <c r="U709">
        <f>(AVERAGE(B709:D709)-1)/4</f>
        <v/>
      </c>
      <c r="V709">
        <f>(AVERAGE(E709:F709)-1)/4</f>
        <v/>
      </c>
      <c r="W709">
        <f>(AVERAGE(G709:I709)-1)/4</f>
        <v/>
      </c>
      <c r="X709">
        <f>(AVERAGE(J709:L709)-1)/4</f>
        <v/>
      </c>
      <c r="Y709">
        <f>(AVERAGE(M709:O709)-1)/4</f>
        <v/>
      </c>
      <c r="Z709">
        <f>(AVERAGE(P709:R709)-1)/4</f>
        <v/>
      </c>
      <c r="AA709">
        <f>(AVERAGE(S709:T709)-1)/4</f>
        <v/>
      </c>
      <c r="AB709">
        <f>AVERAGE(U709:Y709)</f>
        <v/>
      </c>
      <c r="AC709">
        <f>MIN(U709:Y709)</f>
        <v/>
      </c>
      <c r="AD709">
        <f>1-alpha*MAX(0,delta-AC709)</f>
        <v/>
      </c>
      <c r="AE709">
        <f>AB709*AD709</f>
        <v/>
      </c>
      <c r="AF709">
        <f>1+COUNTIF(bounds,"&lt;"&amp;ROUND(AB709,12))</f>
        <v/>
      </c>
      <c r="AG709">
        <f>1+COUNTIF(bounds,"&lt;"&amp;ROUND(AE709,12))</f>
        <v/>
      </c>
      <c r="AH709">
        <f>IF(AD709&lt;1,1,0)</f>
        <v/>
      </c>
      <c r="AI709">
        <f>IF(AF709&lt;&gt;AG709,1,0)</f>
        <v/>
      </c>
      <c r="AJ709">
        <f>IF(AND(AG709&gt;=3,Z709&lt;=0.2),1,0)</f>
        <v/>
      </c>
      <c r="AK709">
        <f>AVERAGE(U709:Z709)</f>
        <v/>
      </c>
      <c r="AL709">
        <f>1+COUNTIF(bounds,"&lt;"&amp;ROUND(AK709,12))</f>
        <v/>
      </c>
      <c r="AM709">
        <f>IF(AI709=1,AB709,NA())</f>
        <v/>
      </c>
      <c r="AN709">
        <f>IF(AI709=0,AB709,NA())</f>
        <v/>
      </c>
    </row>
    <row r="710">
      <c r="A710" t="n">
        <v>702</v>
      </c>
      <c r="B710" t="n">
        <v>5</v>
      </c>
      <c r="C710" t="n">
        <v>2</v>
      </c>
      <c r="D710" t="n">
        <v>3</v>
      </c>
      <c r="E710" t="n">
        <v>3</v>
      </c>
      <c r="F710" t="n">
        <v>1</v>
      </c>
      <c r="G710" t="n">
        <v>2</v>
      </c>
      <c r="H710" t="n">
        <v>2</v>
      </c>
      <c r="I710" t="n">
        <v>4</v>
      </c>
      <c r="J710" t="n">
        <v>2</v>
      </c>
      <c r="K710" t="n">
        <v>3</v>
      </c>
      <c r="L710" t="n">
        <v>2</v>
      </c>
      <c r="M710" t="n">
        <v>1</v>
      </c>
      <c r="N710" t="n">
        <v>2</v>
      </c>
      <c r="O710" t="n">
        <v>4</v>
      </c>
      <c r="P710" t="n">
        <v>3</v>
      </c>
      <c r="Q710" t="n">
        <v>5</v>
      </c>
      <c r="R710" t="n">
        <v>4</v>
      </c>
      <c r="S710" t="n">
        <v>2</v>
      </c>
      <c r="T710" t="n">
        <v>1</v>
      </c>
      <c r="U710">
        <f>(AVERAGE(B710:D710)-1)/4</f>
        <v/>
      </c>
      <c r="V710">
        <f>(AVERAGE(E710:F710)-1)/4</f>
        <v/>
      </c>
      <c r="W710">
        <f>(AVERAGE(G710:I710)-1)/4</f>
        <v/>
      </c>
      <c r="X710">
        <f>(AVERAGE(J710:L710)-1)/4</f>
        <v/>
      </c>
      <c r="Y710">
        <f>(AVERAGE(M710:O710)-1)/4</f>
        <v/>
      </c>
      <c r="Z710">
        <f>(AVERAGE(P710:R710)-1)/4</f>
        <v/>
      </c>
      <c r="AA710">
        <f>(AVERAGE(S710:T710)-1)/4</f>
        <v/>
      </c>
      <c r="AB710">
        <f>AVERAGE(U710:Y710)</f>
        <v/>
      </c>
      <c r="AC710">
        <f>MIN(U710:Y710)</f>
        <v/>
      </c>
      <c r="AD710">
        <f>1-alpha*MAX(0,delta-AC710)</f>
        <v/>
      </c>
      <c r="AE710">
        <f>AB710*AD710</f>
        <v/>
      </c>
      <c r="AF710">
        <f>1+COUNTIF(bounds,"&lt;"&amp;ROUND(AB710,12))</f>
        <v/>
      </c>
      <c r="AG710">
        <f>1+COUNTIF(bounds,"&lt;"&amp;ROUND(AE710,12))</f>
        <v/>
      </c>
      <c r="AH710">
        <f>IF(AD710&lt;1,1,0)</f>
        <v/>
      </c>
      <c r="AI710">
        <f>IF(AF710&lt;&gt;AG710,1,0)</f>
        <v/>
      </c>
      <c r="AJ710">
        <f>IF(AND(AG710&gt;=3,Z710&lt;=0.2),1,0)</f>
        <v/>
      </c>
      <c r="AK710">
        <f>AVERAGE(U710:Z710)</f>
        <v/>
      </c>
      <c r="AL710">
        <f>1+COUNTIF(bounds,"&lt;"&amp;ROUND(AK710,12))</f>
        <v/>
      </c>
      <c r="AM710">
        <f>IF(AI710=1,AB710,NA())</f>
        <v/>
      </c>
      <c r="AN710">
        <f>IF(AI710=0,AB710,NA())</f>
        <v/>
      </c>
    </row>
    <row r="711">
      <c r="A711" t="n">
        <v>703</v>
      </c>
      <c r="B711" t="n">
        <v>4</v>
      </c>
      <c r="C711" t="n">
        <v>3</v>
      </c>
      <c r="D711" t="n">
        <v>5</v>
      </c>
      <c r="E711" t="n">
        <v>3</v>
      </c>
      <c r="F711" t="n">
        <v>4</v>
      </c>
      <c r="G711" t="n">
        <v>2</v>
      </c>
      <c r="H711" t="n">
        <v>2</v>
      </c>
      <c r="I711" t="n">
        <v>4</v>
      </c>
      <c r="J711" t="n">
        <v>4</v>
      </c>
      <c r="K711" t="n">
        <v>2</v>
      </c>
      <c r="L711" t="n">
        <v>3</v>
      </c>
      <c r="M711" t="n">
        <v>2</v>
      </c>
      <c r="N711" t="n">
        <v>1</v>
      </c>
      <c r="O711" t="n">
        <v>3</v>
      </c>
      <c r="P711" t="n">
        <v>5</v>
      </c>
      <c r="Q711" t="n">
        <v>4</v>
      </c>
      <c r="R711" t="n">
        <v>1</v>
      </c>
      <c r="S711" t="n">
        <v>3</v>
      </c>
      <c r="T711" t="n">
        <v>5</v>
      </c>
      <c r="U711">
        <f>(AVERAGE(B711:D711)-1)/4</f>
        <v/>
      </c>
      <c r="V711">
        <f>(AVERAGE(E711:F711)-1)/4</f>
        <v/>
      </c>
      <c r="W711">
        <f>(AVERAGE(G711:I711)-1)/4</f>
        <v/>
      </c>
      <c r="X711">
        <f>(AVERAGE(J711:L711)-1)/4</f>
        <v/>
      </c>
      <c r="Y711">
        <f>(AVERAGE(M711:O711)-1)/4</f>
        <v/>
      </c>
      <c r="Z711">
        <f>(AVERAGE(P711:R711)-1)/4</f>
        <v/>
      </c>
      <c r="AA711">
        <f>(AVERAGE(S711:T711)-1)/4</f>
        <v/>
      </c>
      <c r="AB711">
        <f>AVERAGE(U711:Y711)</f>
        <v/>
      </c>
      <c r="AC711">
        <f>MIN(U711:Y711)</f>
        <v/>
      </c>
      <c r="AD711">
        <f>1-alpha*MAX(0,delta-AC711)</f>
        <v/>
      </c>
      <c r="AE711">
        <f>AB711*AD711</f>
        <v/>
      </c>
      <c r="AF711">
        <f>1+COUNTIF(bounds,"&lt;"&amp;ROUND(AB711,12))</f>
        <v/>
      </c>
      <c r="AG711">
        <f>1+COUNTIF(bounds,"&lt;"&amp;ROUND(AE711,12))</f>
        <v/>
      </c>
      <c r="AH711">
        <f>IF(AD711&lt;1,1,0)</f>
        <v/>
      </c>
      <c r="AI711">
        <f>IF(AF711&lt;&gt;AG711,1,0)</f>
        <v/>
      </c>
      <c r="AJ711">
        <f>IF(AND(AG711&gt;=3,Z711&lt;=0.2),1,0)</f>
        <v/>
      </c>
      <c r="AK711">
        <f>AVERAGE(U711:Z711)</f>
        <v/>
      </c>
      <c r="AL711">
        <f>1+COUNTIF(bounds,"&lt;"&amp;ROUND(AK711,12))</f>
        <v/>
      </c>
      <c r="AM711">
        <f>IF(AI711=1,AB711,NA())</f>
        <v/>
      </c>
      <c r="AN711">
        <f>IF(AI711=0,AB711,NA())</f>
        <v/>
      </c>
    </row>
    <row r="712">
      <c r="A712" t="n">
        <v>704</v>
      </c>
      <c r="B712" t="n">
        <v>4</v>
      </c>
      <c r="C712" t="n">
        <v>4</v>
      </c>
      <c r="D712" t="n">
        <v>3</v>
      </c>
      <c r="E712" t="n">
        <v>1</v>
      </c>
      <c r="F712" t="n">
        <v>4</v>
      </c>
      <c r="G712" t="n">
        <v>3</v>
      </c>
      <c r="H712" t="n">
        <v>4</v>
      </c>
      <c r="I712" t="n">
        <v>5</v>
      </c>
      <c r="J712" t="n">
        <v>4</v>
      </c>
      <c r="K712" t="n">
        <v>1</v>
      </c>
      <c r="L712" t="n">
        <v>1</v>
      </c>
      <c r="M712" t="n">
        <v>3</v>
      </c>
      <c r="N712" t="n">
        <v>2</v>
      </c>
      <c r="O712" t="n">
        <v>1</v>
      </c>
      <c r="P712" t="n">
        <v>1</v>
      </c>
      <c r="Q712" t="n">
        <v>2</v>
      </c>
      <c r="R712" t="n">
        <v>5</v>
      </c>
      <c r="S712" t="n">
        <v>5</v>
      </c>
      <c r="T712" t="n">
        <v>2</v>
      </c>
      <c r="U712">
        <f>(AVERAGE(B712:D712)-1)/4</f>
        <v/>
      </c>
      <c r="V712">
        <f>(AVERAGE(E712:F712)-1)/4</f>
        <v/>
      </c>
      <c r="W712">
        <f>(AVERAGE(G712:I712)-1)/4</f>
        <v/>
      </c>
      <c r="X712">
        <f>(AVERAGE(J712:L712)-1)/4</f>
        <v/>
      </c>
      <c r="Y712">
        <f>(AVERAGE(M712:O712)-1)/4</f>
        <v/>
      </c>
      <c r="Z712">
        <f>(AVERAGE(P712:R712)-1)/4</f>
        <v/>
      </c>
      <c r="AA712">
        <f>(AVERAGE(S712:T712)-1)/4</f>
        <v/>
      </c>
      <c r="AB712">
        <f>AVERAGE(U712:Y712)</f>
        <v/>
      </c>
      <c r="AC712">
        <f>MIN(U712:Y712)</f>
        <v/>
      </c>
      <c r="AD712">
        <f>1-alpha*MAX(0,delta-AC712)</f>
        <v/>
      </c>
      <c r="AE712">
        <f>AB712*AD712</f>
        <v/>
      </c>
      <c r="AF712">
        <f>1+COUNTIF(bounds,"&lt;"&amp;ROUND(AB712,12))</f>
        <v/>
      </c>
      <c r="AG712">
        <f>1+COUNTIF(bounds,"&lt;"&amp;ROUND(AE712,12))</f>
        <v/>
      </c>
      <c r="AH712">
        <f>IF(AD712&lt;1,1,0)</f>
        <v/>
      </c>
      <c r="AI712">
        <f>IF(AF712&lt;&gt;AG712,1,0)</f>
        <v/>
      </c>
      <c r="AJ712">
        <f>IF(AND(AG712&gt;=3,Z712&lt;=0.2),1,0)</f>
        <v/>
      </c>
      <c r="AK712">
        <f>AVERAGE(U712:Z712)</f>
        <v/>
      </c>
      <c r="AL712">
        <f>1+COUNTIF(bounds,"&lt;"&amp;ROUND(AK712,12))</f>
        <v/>
      </c>
      <c r="AM712">
        <f>IF(AI712=1,AB712,NA())</f>
        <v/>
      </c>
      <c r="AN712">
        <f>IF(AI712=0,AB712,NA())</f>
        <v/>
      </c>
    </row>
    <row r="713">
      <c r="A713" t="n">
        <v>705</v>
      </c>
      <c r="B713" t="n">
        <v>4</v>
      </c>
      <c r="C713" t="n">
        <v>1</v>
      </c>
      <c r="D713" t="n">
        <v>5</v>
      </c>
      <c r="E713" t="n">
        <v>1</v>
      </c>
      <c r="F713" t="n">
        <v>2</v>
      </c>
      <c r="G713" t="n">
        <v>4</v>
      </c>
      <c r="H713" t="n">
        <v>3</v>
      </c>
      <c r="I713" t="n">
        <v>4</v>
      </c>
      <c r="J713" t="n">
        <v>2</v>
      </c>
      <c r="K713" t="n">
        <v>3</v>
      </c>
      <c r="L713" t="n">
        <v>1</v>
      </c>
      <c r="M713" t="n">
        <v>5</v>
      </c>
      <c r="N713" t="n">
        <v>2</v>
      </c>
      <c r="O713" t="n">
        <v>4</v>
      </c>
      <c r="P713" t="n">
        <v>5</v>
      </c>
      <c r="Q713" t="n">
        <v>4</v>
      </c>
      <c r="R713" t="n">
        <v>5</v>
      </c>
      <c r="S713" t="n">
        <v>1</v>
      </c>
      <c r="T713" t="n">
        <v>2</v>
      </c>
      <c r="U713">
        <f>(AVERAGE(B713:D713)-1)/4</f>
        <v/>
      </c>
      <c r="V713">
        <f>(AVERAGE(E713:F713)-1)/4</f>
        <v/>
      </c>
      <c r="W713">
        <f>(AVERAGE(G713:I713)-1)/4</f>
        <v/>
      </c>
      <c r="X713">
        <f>(AVERAGE(J713:L713)-1)/4</f>
        <v/>
      </c>
      <c r="Y713">
        <f>(AVERAGE(M713:O713)-1)/4</f>
        <v/>
      </c>
      <c r="Z713">
        <f>(AVERAGE(P713:R713)-1)/4</f>
        <v/>
      </c>
      <c r="AA713">
        <f>(AVERAGE(S713:T713)-1)/4</f>
        <v/>
      </c>
      <c r="AB713">
        <f>AVERAGE(U713:Y713)</f>
        <v/>
      </c>
      <c r="AC713">
        <f>MIN(U713:Y713)</f>
        <v/>
      </c>
      <c r="AD713">
        <f>1-alpha*MAX(0,delta-AC713)</f>
        <v/>
      </c>
      <c r="AE713">
        <f>AB713*AD713</f>
        <v/>
      </c>
      <c r="AF713">
        <f>1+COUNTIF(bounds,"&lt;"&amp;ROUND(AB713,12))</f>
        <v/>
      </c>
      <c r="AG713">
        <f>1+COUNTIF(bounds,"&lt;"&amp;ROUND(AE713,12))</f>
        <v/>
      </c>
      <c r="AH713">
        <f>IF(AD713&lt;1,1,0)</f>
        <v/>
      </c>
      <c r="AI713">
        <f>IF(AF713&lt;&gt;AG713,1,0)</f>
        <v/>
      </c>
      <c r="AJ713">
        <f>IF(AND(AG713&gt;=3,Z713&lt;=0.2),1,0)</f>
        <v/>
      </c>
      <c r="AK713">
        <f>AVERAGE(U713:Z713)</f>
        <v/>
      </c>
      <c r="AL713">
        <f>1+COUNTIF(bounds,"&lt;"&amp;ROUND(AK713,12))</f>
        <v/>
      </c>
      <c r="AM713">
        <f>IF(AI713=1,AB713,NA())</f>
        <v/>
      </c>
      <c r="AN713">
        <f>IF(AI713=0,AB713,NA())</f>
        <v/>
      </c>
    </row>
    <row r="714">
      <c r="A714" t="n">
        <v>706</v>
      </c>
      <c r="B714" t="n">
        <v>2</v>
      </c>
      <c r="C714" t="n">
        <v>1</v>
      </c>
      <c r="D714" t="n">
        <v>2</v>
      </c>
      <c r="E714" t="n">
        <v>2</v>
      </c>
      <c r="F714" t="n">
        <v>5</v>
      </c>
      <c r="G714" t="n">
        <v>5</v>
      </c>
      <c r="H714" t="n">
        <v>2</v>
      </c>
      <c r="I714" t="n">
        <v>2</v>
      </c>
      <c r="J714" t="n">
        <v>4</v>
      </c>
      <c r="K714" t="n">
        <v>1</v>
      </c>
      <c r="L714" t="n">
        <v>3</v>
      </c>
      <c r="M714" t="n">
        <v>5</v>
      </c>
      <c r="N714" t="n">
        <v>2</v>
      </c>
      <c r="O714" t="n">
        <v>3</v>
      </c>
      <c r="P714" t="n">
        <v>3</v>
      </c>
      <c r="Q714" t="n">
        <v>3</v>
      </c>
      <c r="R714" t="n">
        <v>3</v>
      </c>
      <c r="S714" t="n">
        <v>3</v>
      </c>
      <c r="T714" t="n">
        <v>2</v>
      </c>
      <c r="U714">
        <f>(AVERAGE(B714:D714)-1)/4</f>
        <v/>
      </c>
      <c r="V714">
        <f>(AVERAGE(E714:F714)-1)/4</f>
        <v/>
      </c>
      <c r="W714">
        <f>(AVERAGE(G714:I714)-1)/4</f>
        <v/>
      </c>
      <c r="X714">
        <f>(AVERAGE(J714:L714)-1)/4</f>
        <v/>
      </c>
      <c r="Y714">
        <f>(AVERAGE(M714:O714)-1)/4</f>
        <v/>
      </c>
      <c r="Z714">
        <f>(AVERAGE(P714:R714)-1)/4</f>
        <v/>
      </c>
      <c r="AA714">
        <f>(AVERAGE(S714:T714)-1)/4</f>
        <v/>
      </c>
      <c r="AB714">
        <f>AVERAGE(U714:Y714)</f>
        <v/>
      </c>
      <c r="AC714">
        <f>MIN(U714:Y714)</f>
        <v/>
      </c>
      <c r="AD714">
        <f>1-alpha*MAX(0,delta-AC714)</f>
        <v/>
      </c>
      <c r="AE714">
        <f>AB714*AD714</f>
        <v/>
      </c>
      <c r="AF714">
        <f>1+COUNTIF(bounds,"&lt;"&amp;ROUND(AB714,12))</f>
        <v/>
      </c>
      <c r="AG714">
        <f>1+COUNTIF(bounds,"&lt;"&amp;ROUND(AE714,12))</f>
        <v/>
      </c>
      <c r="AH714">
        <f>IF(AD714&lt;1,1,0)</f>
        <v/>
      </c>
      <c r="AI714">
        <f>IF(AF714&lt;&gt;AG714,1,0)</f>
        <v/>
      </c>
      <c r="AJ714">
        <f>IF(AND(AG714&gt;=3,Z714&lt;=0.2),1,0)</f>
        <v/>
      </c>
      <c r="AK714">
        <f>AVERAGE(U714:Z714)</f>
        <v/>
      </c>
      <c r="AL714">
        <f>1+COUNTIF(bounds,"&lt;"&amp;ROUND(AK714,12))</f>
        <v/>
      </c>
      <c r="AM714">
        <f>IF(AI714=1,AB714,NA())</f>
        <v/>
      </c>
      <c r="AN714">
        <f>IF(AI714=0,AB714,NA())</f>
        <v/>
      </c>
    </row>
    <row r="715">
      <c r="A715" t="n">
        <v>707</v>
      </c>
      <c r="B715" t="n">
        <v>2</v>
      </c>
      <c r="C715" t="n">
        <v>5</v>
      </c>
      <c r="D715" t="n">
        <v>2</v>
      </c>
      <c r="E715" t="n">
        <v>4</v>
      </c>
      <c r="F715" t="n">
        <v>3</v>
      </c>
      <c r="G715" t="n">
        <v>2</v>
      </c>
      <c r="H715" t="n">
        <v>5</v>
      </c>
      <c r="I715" t="n">
        <v>5</v>
      </c>
      <c r="J715" t="n">
        <v>3</v>
      </c>
      <c r="K715" t="n">
        <v>1</v>
      </c>
      <c r="L715" t="n">
        <v>5</v>
      </c>
      <c r="M715" t="n">
        <v>1</v>
      </c>
      <c r="N715" t="n">
        <v>3</v>
      </c>
      <c r="O715" t="n">
        <v>2</v>
      </c>
      <c r="P715" t="n">
        <v>1</v>
      </c>
      <c r="Q715" t="n">
        <v>1</v>
      </c>
      <c r="R715" t="n">
        <v>4</v>
      </c>
      <c r="S715" t="n">
        <v>1</v>
      </c>
      <c r="T715" t="n">
        <v>5</v>
      </c>
      <c r="U715">
        <f>(AVERAGE(B715:D715)-1)/4</f>
        <v/>
      </c>
      <c r="V715">
        <f>(AVERAGE(E715:F715)-1)/4</f>
        <v/>
      </c>
      <c r="W715">
        <f>(AVERAGE(G715:I715)-1)/4</f>
        <v/>
      </c>
      <c r="X715">
        <f>(AVERAGE(J715:L715)-1)/4</f>
        <v/>
      </c>
      <c r="Y715">
        <f>(AVERAGE(M715:O715)-1)/4</f>
        <v/>
      </c>
      <c r="Z715">
        <f>(AVERAGE(P715:R715)-1)/4</f>
        <v/>
      </c>
      <c r="AA715">
        <f>(AVERAGE(S715:T715)-1)/4</f>
        <v/>
      </c>
      <c r="AB715">
        <f>AVERAGE(U715:Y715)</f>
        <v/>
      </c>
      <c r="AC715">
        <f>MIN(U715:Y715)</f>
        <v/>
      </c>
      <c r="AD715">
        <f>1-alpha*MAX(0,delta-AC715)</f>
        <v/>
      </c>
      <c r="AE715">
        <f>AB715*AD715</f>
        <v/>
      </c>
      <c r="AF715">
        <f>1+COUNTIF(bounds,"&lt;"&amp;ROUND(AB715,12))</f>
        <v/>
      </c>
      <c r="AG715">
        <f>1+COUNTIF(bounds,"&lt;"&amp;ROUND(AE715,12))</f>
        <v/>
      </c>
      <c r="AH715">
        <f>IF(AD715&lt;1,1,0)</f>
        <v/>
      </c>
      <c r="AI715">
        <f>IF(AF715&lt;&gt;AG715,1,0)</f>
        <v/>
      </c>
      <c r="AJ715">
        <f>IF(AND(AG715&gt;=3,Z715&lt;=0.2),1,0)</f>
        <v/>
      </c>
      <c r="AK715">
        <f>AVERAGE(U715:Z715)</f>
        <v/>
      </c>
      <c r="AL715">
        <f>1+COUNTIF(bounds,"&lt;"&amp;ROUND(AK715,12))</f>
        <v/>
      </c>
      <c r="AM715">
        <f>IF(AI715=1,AB715,NA())</f>
        <v/>
      </c>
      <c r="AN715">
        <f>IF(AI715=0,AB715,NA())</f>
        <v/>
      </c>
    </row>
    <row r="716">
      <c r="A716" t="n">
        <v>708</v>
      </c>
      <c r="B716" t="n">
        <v>2</v>
      </c>
      <c r="C716" t="n">
        <v>5</v>
      </c>
      <c r="D716" t="n">
        <v>5</v>
      </c>
      <c r="E716" t="n">
        <v>4</v>
      </c>
      <c r="F716" t="n">
        <v>2</v>
      </c>
      <c r="G716" t="n">
        <v>5</v>
      </c>
      <c r="H716" t="n">
        <v>5</v>
      </c>
      <c r="I716" t="n">
        <v>2</v>
      </c>
      <c r="J716" t="n">
        <v>3</v>
      </c>
      <c r="K716" t="n">
        <v>1</v>
      </c>
      <c r="L716" t="n">
        <v>4</v>
      </c>
      <c r="M716" t="n">
        <v>1</v>
      </c>
      <c r="N716" t="n">
        <v>2</v>
      </c>
      <c r="O716" t="n">
        <v>3</v>
      </c>
      <c r="P716" t="n">
        <v>1</v>
      </c>
      <c r="Q716" t="n">
        <v>5</v>
      </c>
      <c r="R716" t="n">
        <v>5</v>
      </c>
      <c r="S716" t="n">
        <v>2</v>
      </c>
      <c r="T716" t="n">
        <v>4</v>
      </c>
      <c r="U716">
        <f>(AVERAGE(B716:D716)-1)/4</f>
        <v/>
      </c>
      <c r="V716">
        <f>(AVERAGE(E716:F716)-1)/4</f>
        <v/>
      </c>
      <c r="W716">
        <f>(AVERAGE(G716:I716)-1)/4</f>
        <v/>
      </c>
      <c r="X716">
        <f>(AVERAGE(J716:L716)-1)/4</f>
        <v/>
      </c>
      <c r="Y716">
        <f>(AVERAGE(M716:O716)-1)/4</f>
        <v/>
      </c>
      <c r="Z716">
        <f>(AVERAGE(P716:R716)-1)/4</f>
        <v/>
      </c>
      <c r="AA716">
        <f>(AVERAGE(S716:T716)-1)/4</f>
        <v/>
      </c>
      <c r="AB716">
        <f>AVERAGE(U716:Y716)</f>
        <v/>
      </c>
      <c r="AC716">
        <f>MIN(U716:Y716)</f>
        <v/>
      </c>
      <c r="AD716">
        <f>1-alpha*MAX(0,delta-AC716)</f>
        <v/>
      </c>
      <c r="AE716">
        <f>AB716*AD716</f>
        <v/>
      </c>
      <c r="AF716">
        <f>1+COUNTIF(bounds,"&lt;"&amp;ROUND(AB716,12))</f>
        <v/>
      </c>
      <c r="AG716">
        <f>1+COUNTIF(bounds,"&lt;"&amp;ROUND(AE716,12))</f>
        <v/>
      </c>
      <c r="AH716">
        <f>IF(AD716&lt;1,1,0)</f>
        <v/>
      </c>
      <c r="AI716">
        <f>IF(AF716&lt;&gt;AG716,1,0)</f>
        <v/>
      </c>
      <c r="AJ716">
        <f>IF(AND(AG716&gt;=3,Z716&lt;=0.2),1,0)</f>
        <v/>
      </c>
      <c r="AK716">
        <f>AVERAGE(U716:Z716)</f>
        <v/>
      </c>
      <c r="AL716">
        <f>1+COUNTIF(bounds,"&lt;"&amp;ROUND(AK716,12))</f>
        <v/>
      </c>
      <c r="AM716">
        <f>IF(AI716=1,AB716,NA())</f>
        <v/>
      </c>
      <c r="AN716">
        <f>IF(AI716=0,AB716,NA())</f>
        <v/>
      </c>
    </row>
    <row r="717">
      <c r="A717" t="n">
        <v>709</v>
      </c>
      <c r="B717" t="n">
        <v>3</v>
      </c>
      <c r="C717" t="n">
        <v>5</v>
      </c>
      <c r="D717" t="n">
        <v>1</v>
      </c>
      <c r="E717" t="n">
        <v>2</v>
      </c>
      <c r="F717" t="n">
        <v>3</v>
      </c>
      <c r="G717" t="n">
        <v>2</v>
      </c>
      <c r="H717" t="n">
        <v>3</v>
      </c>
      <c r="I717" t="n">
        <v>5</v>
      </c>
      <c r="J717" t="n">
        <v>4</v>
      </c>
      <c r="K717" t="n">
        <v>2</v>
      </c>
      <c r="L717" t="n">
        <v>3</v>
      </c>
      <c r="M717" t="n">
        <v>4</v>
      </c>
      <c r="N717" t="n">
        <v>5</v>
      </c>
      <c r="O717" t="n">
        <v>4</v>
      </c>
      <c r="P717" t="n">
        <v>1</v>
      </c>
      <c r="Q717" t="n">
        <v>1</v>
      </c>
      <c r="R717" t="n">
        <v>2</v>
      </c>
      <c r="S717" t="n">
        <v>1</v>
      </c>
      <c r="T717" t="n">
        <v>2</v>
      </c>
      <c r="U717">
        <f>(AVERAGE(B717:D717)-1)/4</f>
        <v/>
      </c>
      <c r="V717">
        <f>(AVERAGE(E717:F717)-1)/4</f>
        <v/>
      </c>
      <c r="W717">
        <f>(AVERAGE(G717:I717)-1)/4</f>
        <v/>
      </c>
      <c r="X717">
        <f>(AVERAGE(J717:L717)-1)/4</f>
        <v/>
      </c>
      <c r="Y717">
        <f>(AVERAGE(M717:O717)-1)/4</f>
        <v/>
      </c>
      <c r="Z717">
        <f>(AVERAGE(P717:R717)-1)/4</f>
        <v/>
      </c>
      <c r="AA717">
        <f>(AVERAGE(S717:T717)-1)/4</f>
        <v/>
      </c>
      <c r="AB717">
        <f>AVERAGE(U717:Y717)</f>
        <v/>
      </c>
      <c r="AC717">
        <f>MIN(U717:Y717)</f>
        <v/>
      </c>
      <c r="AD717">
        <f>1-alpha*MAX(0,delta-AC717)</f>
        <v/>
      </c>
      <c r="AE717">
        <f>AB717*AD717</f>
        <v/>
      </c>
      <c r="AF717">
        <f>1+COUNTIF(bounds,"&lt;"&amp;ROUND(AB717,12))</f>
        <v/>
      </c>
      <c r="AG717">
        <f>1+COUNTIF(bounds,"&lt;"&amp;ROUND(AE717,12))</f>
        <v/>
      </c>
      <c r="AH717">
        <f>IF(AD717&lt;1,1,0)</f>
        <v/>
      </c>
      <c r="AI717">
        <f>IF(AF717&lt;&gt;AG717,1,0)</f>
        <v/>
      </c>
      <c r="AJ717">
        <f>IF(AND(AG717&gt;=3,Z717&lt;=0.2),1,0)</f>
        <v/>
      </c>
      <c r="AK717">
        <f>AVERAGE(U717:Z717)</f>
        <v/>
      </c>
      <c r="AL717">
        <f>1+COUNTIF(bounds,"&lt;"&amp;ROUND(AK717,12))</f>
        <v/>
      </c>
      <c r="AM717">
        <f>IF(AI717=1,AB717,NA())</f>
        <v/>
      </c>
      <c r="AN717">
        <f>IF(AI717=0,AB717,NA())</f>
        <v/>
      </c>
    </row>
    <row r="718">
      <c r="A718" t="n">
        <v>710</v>
      </c>
      <c r="B718" t="n">
        <v>4</v>
      </c>
      <c r="C718" t="n">
        <v>1</v>
      </c>
      <c r="D718" t="n">
        <v>1</v>
      </c>
      <c r="E718" t="n">
        <v>3</v>
      </c>
      <c r="F718" t="n">
        <v>5</v>
      </c>
      <c r="G718" t="n">
        <v>3</v>
      </c>
      <c r="H718" t="n">
        <v>2</v>
      </c>
      <c r="I718" t="n">
        <v>4</v>
      </c>
      <c r="J718" t="n">
        <v>3</v>
      </c>
      <c r="K718" t="n">
        <v>3</v>
      </c>
      <c r="L718" t="n">
        <v>3</v>
      </c>
      <c r="M718" t="n">
        <v>4</v>
      </c>
      <c r="N718" t="n">
        <v>4</v>
      </c>
      <c r="O718" t="n">
        <v>5</v>
      </c>
      <c r="P718" t="n">
        <v>1</v>
      </c>
      <c r="Q718" t="n">
        <v>4</v>
      </c>
      <c r="R718" t="n">
        <v>3</v>
      </c>
      <c r="S718" t="n">
        <v>1</v>
      </c>
      <c r="T718" t="n">
        <v>3</v>
      </c>
      <c r="U718">
        <f>(AVERAGE(B718:D718)-1)/4</f>
        <v/>
      </c>
      <c r="V718">
        <f>(AVERAGE(E718:F718)-1)/4</f>
        <v/>
      </c>
      <c r="W718">
        <f>(AVERAGE(G718:I718)-1)/4</f>
        <v/>
      </c>
      <c r="X718">
        <f>(AVERAGE(J718:L718)-1)/4</f>
        <v/>
      </c>
      <c r="Y718">
        <f>(AVERAGE(M718:O718)-1)/4</f>
        <v/>
      </c>
      <c r="Z718">
        <f>(AVERAGE(P718:R718)-1)/4</f>
        <v/>
      </c>
      <c r="AA718">
        <f>(AVERAGE(S718:T718)-1)/4</f>
        <v/>
      </c>
      <c r="AB718">
        <f>AVERAGE(U718:Y718)</f>
        <v/>
      </c>
      <c r="AC718">
        <f>MIN(U718:Y718)</f>
        <v/>
      </c>
      <c r="AD718">
        <f>1-alpha*MAX(0,delta-AC718)</f>
        <v/>
      </c>
      <c r="AE718">
        <f>AB718*AD718</f>
        <v/>
      </c>
      <c r="AF718">
        <f>1+COUNTIF(bounds,"&lt;"&amp;ROUND(AB718,12))</f>
        <v/>
      </c>
      <c r="AG718">
        <f>1+COUNTIF(bounds,"&lt;"&amp;ROUND(AE718,12))</f>
        <v/>
      </c>
      <c r="AH718">
        <f>IF(AD718&lt;1,1,0)</f>
        <v/>
      </c>
      <c r="AI718">
        <f>IF(AF718&lt;&gt;AG718,1,0)</f>
        <v/>
      </c>
      <c r="AJ718">
        <f>IF(AND(AG718&gt;=3,Z718&lt;=0.2),1,0)</f>
        <v/>
      </c>
      <c r="AK718">
        <f>AVERAGE(U718:Z718)</f>
        <v/>
      </c>
      <c r="AL718">
        <f>1+COUNTIF(bounds,"&lt;"&amp;ROUND(AK718,12))</f>
        <v/>
      </c>
      <c r="AM718">
        <f>IF(AI718=1,AB718,NA())</f>
        <v/>
      </c>
      <c r="AN718">
        <f>IF(AI718=0,AB718,NA())</f>
        <v/>
      </c>
    </row>
    <row r="719">
      <c r="A719" t="n">
        <v>711</v>
      </c>
      <c r="B719" t="n">
        <v>5</v>
      </c>
      <c r="C719" t="n">
        <v>5</v>
      </c>
      <c r="D719" t="n">
        <v>4</v>
      </c>
      <c r="E719" t="n">
        <v>2</v>
      </c>
      <c r="F719" t="n">
        <v>4</v>
      </c>
      <c r="G719" t="n">
        <v>4</v>
      </c>
      <c r="H719" t="n">
        <v>1</v>
      </c>
      <c r="I719" t="n">
        <v>5</v>
      </c>
      <c r="J719" t="n">
        <v>1</v>
      </c>
      <c r="K719" t="n">
        <v>1</v>
      </c>
      <c r="L719" t="n">
        <v>4</v>
      </c>
      <c r="M719" t="n">
        <v>3</v>
      </c>
      <c r="N719" t="n">
        <v>4</v>
      </c>
      <c r="O719" t="n">
        <v>4</v>
      </c>
      <c r="P719" t="n">
        <v>1</v>
      </c>
      <c r="Q719" t="n">
        <v>3</v>
      </c>
      <c r="R719" t="n">
        <v>2</v>
      </c>
      <c r="S719" t="n">
        <v>2</v>
      </c>
      <c r="T719" t="n">
        <v>2</v>
      </c>
      <c r="U719">
        <f>(AVERAGE(B719:D719)-1)/4</f>
        <v/>
      </c>
      <c r="V719">
        <f>(AVERAGE(E719:F719)-1)/4</f>
        <v/>
      </c>
      <c r="W719">
        <f>(AVERAGE(G719:I719)-1)/4</f>
        <v/>
      </c>
      <c r="X719">
        <f>(AVERAGE(J719:L719)-1)/4</f>
        <v/>
      </c>
      <c r="Y719">
        <f>(AVERAGE(M719:O719)-1)/4</f>
        <v/>
      </c>
      <c r="Z719">
        <f>(AVERAGE(P719:R719)-1)/4</f>
        <v/>
      </c>
      <c r="AA719">
        <f>(AVERAGE(S719:T719)-1)/4</f>
        <v/>
      </c>
      <c r="AB719">
        <f>AVERAGE(U719:Y719)</f>
        <v/>
      </c>
      <c r="AC719">
        <f>MIN(U719:Y719)</f>
        <v/>
      </c>
      <c r="AD719">
        <f>1-alpha*MAX(0,delta-AC719)</f>
        <v/>
      </c>
      <c r="AE719">
        <f>AB719*AD719</f>
        <v/>
      </c>
      <c r="AF719">
        <f>1+COUNTIF(bounds,"&lt;"&amp;ROUND(AB719,12))</f>
        <v/>
      </c>
      <c r="AG719">
        <f>1+COUNTIF(bounds,"&lt;"&amp;ROUND(AE719,12))</f>
        <v/>
      </c>
      <c r="AH719">
        <f>IF(AD719&lt;1,1,0)</f>
        <v/>
      </c>
      <c r="AI719">
        <f>IF(AF719&lt;&gt;AG719,1,0)</f>
        <v/>
      </c>
      <c r="AJ719">
        <f>IF(AND(AG719&gt;=3,Z719&lt;=0.2),1,0)</f>
        <v/>
      </c>
      <c r="AK719">
        <f>AVERAGE(U719:Z719)</f>
        <v/>
      </c>
      <c r="AL719">
        <f>1+COUNTIF(bounds,"&lt;"&amp;ROUND(AK719,12))</f>
        <v/>
      </c>
      <c r="AM719">
        <f>IF(AI719=1,AB719,NA())</f>
        <v/>
      </c>
      <c r="AN719">
        <f>IF(AI719=0,AB719,NA())</f>
        <v/>
      </c>
    </row>
    <row r="720">
      <c r="A720" t="n">
        <v>712</v>
      </c>
      <c r="B720" t="n">
        <v>3</v>
      </c>
      <c r="C720" t="n">
        <v>5</v>
      </c>
      <c r="D720" t="n">
        <v>3</v>
      </c>
      <c r="E720" t="n">
        <v>5</v>
      </c>
      <c r="F720" t="n">
        <v>1</v>
      </c>
      <c r="G720" t="n">
        <v>4</v>
      </c>
      <c r="H720" t="n">
        <v>2</v>
      </c>
      <c r="I720" t="n">
        <v>3</v>
      </c>
      <c r="J720" t="n">
        <v>4</v>
      </c>
      <c r="K720" t="n">
        <v>4</v>
      </c>
      <c r="L720" t="n">
        <v>2</v>
      </c>
      <c r="M720" t="n">
        <v>2</v>
      </c>
      <c r="N720" t="n">
        <v>5</v>
      </c>
      <c r="O720" t="n">
        <v>2</v>
      </c>
      <c r="P720" t="n">
        <v>4</v>
      </c>
      <c r="Q720" t="n">
        <v>3</v>
      </c>
      <c r="R720" t="n">
        <v>4</v>
      </c>
      <c r="S720" t="n">
        <v>1</v>
      </c>
      <c r="T720" t="n">
        <v>5</v>
      </c>
      <c r="U720">
        <f>(AVERAGE(B720:D720)-1)/4</f>
        <v/>
      </c>
      <c r="V720">
        <f>(AVERAGE(E720:F720)-1)/4</f>
        <v/>
      </c>
      <c r="W720">
        <f>(AVERAGE(G720:I720)-1)/4</f>
        <v/>
      </c>
      <c r="X720">
        <f>(AVERAGE(J720:L720)-1)/4</f>
        <v/>
      </c>
      <c r="Y720">
        <f>(AVERAGE(M720:O720)-1)/4</f>
        <v/>
      </c>
      <c r="Z720">
        <f>(AVERAGE(P720:R720)-1)/4</f>
        <v/>
      </c>
      <c r="AA720">
        <f>(AVERAGE(S720:T720)-1)/4</f>
        <v/>
      </c>
      <c r="AB720">
        <f>AVERAGE(U720:Y720)</f>
        <v/>
      </c>
      <c r="AC720">
        <f>MIN(U720:Y720)</f>
        <v/>
      </c>
      <c r="AD720">
        <f>1-alpha*MAX(0,delta-AC720)</f>
        <v/>
      </c>
      <c r="AE720">
        <f>AB720*AD720</f>
        <v/>
      </c>
      <c r="AF720">
        <f>1+COUNTIF(bounds,"&lt;"&amp;ROUND(AB720,12))</f>
        <v/>
      </c>
      <c r="AG720">
        <f>1+COUNTIF(bounds,"&lt;"&amp;ROUND(AE720,12))</f>
        <v/>
      </c>
      <c r="AH720">
        <f>IF(AD720&lt;1,1,0)</f>
        <v/>
      </c>
      <c r="AI720">
        <f>IF(AF720&lt;&gt;AG720,1,0)</f>
        <v/>
      </c>
      <c r="AJ720">
        <f>IF(AND(AG720&gt;=3,Z720&lt;=0.2),1,0)</f>
        <v/>
      </c>
      <c r="AK720">
        <f>AVERAGE(U720:Z720)</f>
        <v/>
      </c>
      <c r="AL720">
        <f>1+COUNTIF(bounds,"&lt;"&amp;ROUND(AK720,12))</f>
        <v/>
      </c>
      <c r="AM720">
        <f>IF(AI720=1,AB720,NA())</f>
        <v/>
      </c>
      <c r="AN720">
        <f>IF(AI720=0,AB720,NA())</f>
        <v/>
      </c>
    </row>
    <row r="721">
      <c r="A721" t="n">
        <v>713</v>
      </c>
      <c r="B721" t="n">
        <v>3</v>
      </c>
      <c r="C721" t="n">
        <v>1</v>
      </c>
      <c r="D721" t="n">
        <v>3</v>
      </c>
      <c r="E721" t="n">
        <v>3</v>
      </c>
      <c r="F721" t="n">
        <v>3</v>
      </c>
      <c r="G721" t="n">
        <v>2</v>
      </c>
      <c r="H721" t="n">
        <v>3</v>
      </c>
      <c r="I721" t="n">
        <v>3</v>
      </c>
      <c r="J721" t="n">
        <v>1</v>
      </c>
      <c r="K721" t="n">
        <v>3</v>
      </c>
      <c r="L721" t="n">
        <v>4</v>
      </c>
      <c r="M721" t="n">
        <v>2</v>
      </c>
      <c r="N721" t="n">
        <v>2</v>
      </c>
      <c r="O721" t="n">
        <v>1</v>
      </c>
      <c r="P721" t="n">
        <v>1</v>
      </c>
      <c r="Q721" t="n">
        <v>3</v>
      </c>
      <c r="R721" t="n">
        <v>1</v>
      </c>
      <c r="S721" t="n">
        <v>2</v>
      </c>
      <c r="T721" t="n">
        <v>3</v>
      </c>
      <c r="U721">
        <f>(AVERAGE(B721:D721)-1)/4</f>
        <v/>
      </c>
      <c r="V721">
        <f>(AVERAGE(E721:F721)-1)/4</f>
        <v/>
      </c>
      <c r="W721">
        <f>(AVERAGE(G721:I721)-1)/4</f>
        <v/>
      </c>
      <c r="X721">
        <f>(AVERAGE(J721:L721)-1)/4</f>
        <v/>
      </c>
      <c r="Y721">
        <f>(AVERAGE(M721:O721)-1)/4</f>
        <v/>
      </c>
      <c r="Z721">
        <f>(AVERAGE(P721:R721)-1)/4</f>
        <v/>
      </c>
      <c r="AA721">
        <f>(AVERAGE(S721:T721)-1)/4</f>
        <v/>
      </c>
      <c r="AB721">
        <f>AVERAGE(U721:Y721)</f>
        <v/>
      </c>
      <c r="AC721">
        <f>MIN(U721:Y721)</f>
        <v/>
      </c>
      <c r="AD721">
        <f>1-alpha*MAX(0,delta-AC721)</f>
        <v/>
      </c>
      <c r="AE721">
        <f>AB721*AD721</f>
        <v/>
      </c>
      <c r="AF721">
        <f>1+COUNTIF(bounds,"&lt;"&amp;ROUND(AB721,12))</f>
        <v/>
      </c>
      <c r="AG721">
        <f>1+COUNTIF(bounds,"&lt;"&amp;ROUND(AE721,12))</f>
        <v/>
      </c>
      <c r="AH721">
        <f>IF(AD721&lt;1,1,0)</f>
        <v/>
      </c>
      <c r="AI721">
        <f>IF(AF721&lt;&gt;AG721,1,0)</f>
        <v/>
      </c>
      <c r="AJ721">
        <f>IF(AND(AG721&gt;=3,Z721&lt;=0.2),1,0)</f>
        <v/>
      </c>
      <c r="AK721">
        <f>AVERAGE(U721:Z721)</f>
        <v/>
      </c>
      <c r="AL721">
        <f>1+COUNTIF(bounds,"&lt;"&amp;ROUND(AK721,12))</f>
        <v/>
      </c>
      <c r="AM721">
        <f>IF(AI721=1,AB721,NA())</f>
        <v/>
      </c>
      <c r="AN721">
        <f>IF(AI721=0,AB721,NA())</f>
        <v/>
      </c>
    </row>
    <row r="722">
      <c r="A722" t="n">
        <v>714</v>
      </c>
      <c r="B722" t="n">
        <v>1</v>
      </c>
      <c r="C722" t="n">
        <v>2</v>
      </c>
      <c r="D722" t="n">
        <v>2</v>
      </c>
      <c r="E722" t="n">
        <v>4</v>
      </c>
      <c r="F722" t="n">
        <v>1</v>
      </c>
      <c r="G722" t="n">
        <v>4</v>
      </c>
      <c r="H722" t="n">
        <v>1</v>
      </c>
      <c r="I722" t="n">
        <v>3</v>
      </c>
      <c r="J722" t="n">
        <v>1</v>
      </c>
      <c r="K722" t="n">
        <v>4</v>
      </c>
      <c r="L722" t="n">
        <v>3</v>
      </c>
      <c r="M722" t="n">
        <v>4</v>
      </c>
      <c r="N722" t="n">
        <v>4</v>
      </c>
      <c r="O722" t="n">
        <v>3</v>
      </c>
      <c r="P722" t="n">
        <v>3</v>
      </c>
      <c r="Q722" t="n">
        <v>4</v>
      </c>
      <c r="R722" t="n">
        <v>4</v>
      </c>
      <c r="S722" t="n">
        <v>5</v>
      </c>
      <c r="T722" t="n">
        <v>4</v>
      </c>
      <c r="U722">
        <f>(AVERAGE(B722:D722)-1)/4</f>
        <v/>
      </c>
      <c r="V722">
        <f>(AVERAGE(E722:F722)-1)/4</f>
        <v/>
      </c>
      <c r="W722">
        <f>(AVERAGE(G722:I722)-1)/4</f>
        <v/>
      </c>
      <c r="X722">
        <f>(AVERAGE(J722:L722)-1)/4</f>
        <v/>
      </c>
      <c r="Y722">
        <f>(AVERAGE(M722:O722)-1)/4</f>
        <v/>
      </c>
      <c r="Z722">
        <f>(AVERAGE(P722:R722)-1)/4</f>
        <v/>
      </c>
      <c r="AA722">
        <f>(AVERAGE(S722:T722)-1)/4</f>
        <v/>
      </c>
      <c r="AB722">
        <f>AVERAGE(U722:Y722)</f>
        <v/>
      </c>
      <c r="AC722">
        <f>MIN(U722:Y722)</f>
        <v/>
      </c>
      <c r="AD722">
        <f>1-alpha*MAX(0,delta-AC722)</f>
        <v/>
      </c>
      <c r="AE722">
        <f>AB722*AD722</f>
        <v/>
      </c>
      <c r="AF722">
        <f>1+COUNTIF(bounds,"&lt;"&amp;ROUND(AB722,12))</f>
        <v/>
      </c>
      <c r="AG722">
        <f>1+COUNTIF(bounds,"&lt;"&amp;ROUND(AE722,12))</f>
        <v/>
      </c>
      <c r="AH722">
        <f>IF(AD722&lt;1,1,0)</f>
        <v/>
      </c>
      <c r="AI722">
        <f>IF(AF722&lt;&gt;AG722,1,0)</f>
        <v/>
      </c>
      <c r="AJ722">
        <f>IF(AND(AG722&gt;=3,Z722&lt;=0.2),1,0)</f>
        <v/>
      </c>
      <c r="AK722">
        <f>AVERAGE(U722:Z722)</f>
        <v/>
      </c>
      <c r="AL722">
        <f>1+COUNTIF(bounds,"&lt;"&amp;ROUND(AK722,12))</f>
        <v/>
      </c>
      <c r="AM722">
        <f>IF(AI722=1,AB722,NA())</f>
        <v/>
      </c>
      <c r="AN722">
        <f>IF(AI722=0,AB722,NA())</f>
        <v/>
      </c>
    </row>
    <row r="723">
      <c r="A723" t="n">
        <v>715</v>
      </c>
      <c r="B723" t="n">
        <v>4</v>
      </c>
      <c r="C723" t="n">
        <v>4</v>
      </c>
      <c r="D723" t="n">
        <v>5</v>
      </c>
      <c r="E723" t="n">
        <v>1</v>
      </c>
      <c r="F723" t="n">
        <v>1</v>
      </c>
      <c r="G723" t="n">
        <v>5</v>
      </c>
      <c r="H723" t="n">
        <v>4</v>
      </c>
      <c r="I723" t="n">
        <v>5</v>
      </c>
      <c r="J723" t="n">
        <v>5</v>
      </c>
      <c r="K723" t="n">
        <v>1</v>
      </c>
      <c r="L723" t="n">
        <v>4</v>
      </c>
      <c r="M723" t="n">
        <v>3</v>
      </c>
      <c r="N723" t="n">
        <v>5</v>
      </c>
      <c r="O723" t="n">
        <v>5</v>
      </c>
      <c r="P723" t="n">
        <v>1</v>
      </c>
      <c r="Q723" t="n">
        <v>3</v>
      </c>
      <c r="R723" t="n">
        <v>4</v>
      </c>
      <c r="S723" t="n">
        <v>1</v>
      </c>
      <c r="T723" t="n">
        <v>4</v>
      </c>
      <c r="U723">
        <f>(AVERAGE(B723:D723)-1)/4</f>
        <v/>
      </c>
      <c r="V723">
        <f>(AVERAGE(E723:F723)-1)/4</f>
        <v/>
      </c>
      <c r="W723">
        <f>(AVERAGE(G723:I723)-1)/4</f>
        <v/>
      </c>
      <c r="X723">
        <f>(AVERAGE(J723:L723)-1)/4</f>
        <v/>
      </c>
      <c r="Y723">
        <f>(AVERAGE(M723:O723)-1)/4</f>
        <v/>
      </c>
      <c r="Z723">
        <f>(AVERAGE(P723:R723)-1)/4</f>
        <v/>
      </c>
      <c r="AA723">
        <f>(AVERAGE(S723:T723)-1)/4</f>
        <v/>
      </c>
      <c r="AB723">
        <f>AVERAGE(U723:Y723)</f>
        <v/>
      </c>
      <c r="AC723">
        <f>MIN(U723:Y723)</f>
        <v/>
      </c>
      <c r="AD723">
        <f>1-alpha*MAX(0,delta-AC723)</f>
        <v/>
      </c>
      <c r="AE723">
        <f>AB723*AD723</f>
        <v/>
      </c>
      <c r="AF723">
        <f>1+COUNTIF(bounds,"&lt;"&amp;ROUND(AB723,12))</f>
        <v/>
      </c>
      <c r="AG723">
        <f>1+COUNTIF(bounds,"&lt;"&amp;ROUND(AE723,12))</f>
        <v/>
      </c>
      <c r="AH723">
        <f>IF(AD723&lt;1,1,0)</f>
        <v/>
      </c>
      <c r="AI723">
        <f>IF(AF723&lt;&gt;AG723,1,0)</f>
        <v/>
      </c>
      <c r="AJ723">
        <f>IF(AND(AG723&gt;=3,Z723&lt;=0.2),1,0)</f>
        <v/>
      </c>
      <c r="AK723">
        <f>AVERAGE(U723:Z723)</f>
        <v/>
      </c>
      <c r="AL723">
        <f>1+COUNTIF(bounds,"&lt;"&amp;ROUND(AK723,12))</f>
        <v/>
      </c>
      <c r="AM723">
        <f>IF(AI723=1,AB723,NA())</f>
        <v/>
      </c>
      <c r="AN723">
        <f>IF(AI723=0,AB723,NA())</f>
        <v/>
      </c>
    </row>
    <row r="724">
      <c r="A724" t="n">
        <v>716</v>
      </c>
      <c r="B724" t="n">
        <v>5</v>
      </c>
      <c r="C724" t="n">
        <v>1</v>
      </c>
      <c r="D724" t="n">
        <v>5</v>
      </c>
      <c r="E724" t="n">
        <v>5</v>
      </c>
      <c r="F724" t="n">
        <v>3</v>
      </c>
      <c r="G724" t="n">
        <v>3</v>
      </c>
      <c r="H724" t="n">
        <v>3</v>
      </c>
      <c r="I724" t="n">
        <v>4</v>
      </c>
      <c r="J724" t="n">
        <v>3</v>
      </c>
      <c r="K724" t="n">
        <v>1</v>
      </c>
      <c r="L724" t="n">
        <v>2</v>
      </c>
      <c r="M724" t="n">
        <v>3</v>
      </c>
      <c r="N724" t="n">
        <v>2</v>
      </c>
      <c r="O724" t="n">
        <v>5</v>
      </c>
      <c r="P724" t="n">
        <v>5</v>
      </c>
      <c r="Q724" t="n">
        <v>3</v>
      </c>
      <c r="R724" t="n">
        <v>2</v>
      </c>
      <c r="S724" t="n">
        <v>4</v>
      </c>
      <c r="T724" t="n">
        <v>3</v>
      </c>
      <c r="U724">
        <f>(AVERAGE(B724:D724)-1)/4</f>
        <v/>
      </c>
      <c r="V724">
        <f>(AVERAGE(E724:F724)-1)/4</f>
        <v/>
      </c>
      <c r="W724">
        <f>(AVERAGE(G724:I724)-1)/4</f>
        <v/>
      </c>
      <c r="X724">
        <f>(AVERAGE(J724:L724)-1)/4</f>
        <v/>
      </c>
      <c r="Y724">
        <f>(AVERAGE(M724:O724)-1)/4</f>
        <v/>
      </c>
      <c r="Z724">
        <f>(AVERAGE(P724:R724)-1)/4</f>
        <v/>
      </c>
      <c r="AA724">
        <f>(AVERAGE(S724:T724)-1)/4</f>
        <v/>
      </c>
      <c r="AB724">
        <f>AVERAGE(U724:Y724)</f>
        <v/>
      </c>
      <c r="AC724">
        <f>MIN(U724:Y724)</f>
        <v/>
      </c>
      <c r="AD724">
        <f>1-alpha*MAX(0,delta-AC724)</f>
        <v/>
      </c>
      <c r="AE724">
        <f>AB724*AD724</f>
        <v/>
      </c>
      <c r="AF724">
        <f>1+COUNTIF(bounds,"&lt;"&amp;ROUND(AB724,12))</f>
        <v/>
      </c>
      <c r="AG724">
        <f>1+COUNTIF(bounds,"&lt;"&amp;ROUND(AE724,12))</f>
        <v/>
      </c>
      <c r="AH724">
        <f>IF(AD724&lt;1,1,0)</f>
        <v/>
      </c>
      <c r="AI724">
        <f>IF(AF724&lt;&gt;AG724,1,0)</f>
        <v/>
      </c>
      <c r="AJ724">
        <f>IF(AND(AG724&gt;=3,Z724&lt;=0.2),1,0)</f>
        <v/>
      </c>
      <c r="AK724">
        <f>AVERAGE(U724:Z724)</f>
        <v/>
      </c>
      <c r="AL724">
        <f>1+COUNTIF(bounds,"&lt;"&amp;ROUND(AK724,12))</f>
        <v/>
      </c>
      <c r="AM724">
        <f>IF(AI724=1,AB724,NA())</f>
        <v/>
      </c>
      <c r="AN724">
        <f>IF(AI724=0,AB724,NA())</f>
        <v/>
      </c>
    </row>
    <row r="725">
      <c r="A725" t="n">
        <v>717</v>
      </c>
      <c r="B725" t="n">
        <v>5</v>
      </c>
      <c r="C725" t="n">
        <v>2</v>
      </c>
      <c r="D725" t="n">
        <v>3</v>
      </c>
      <c r="E725" t="n">
        <v>1</v>
      </c>
      <c r="F725" t="n">
        <v>2</v>
      </c>
      <c r="G725" t="n">
        <v>4</v>
      </c>
      <c r="H725" t="n">
        <v>5</v>
      </c>
      <c r="I725" t="n">
        <v>5</v>
      </c>
      <c r="J725" t="n">
        <v>1</v>
      </c>
      <c r="K725" t="n">
        <v>1</v>
      </c>
      <c r="L725" t="n">
        <v>5</v>
      </c>
      <c r="M725" t="n">
        <v>1</v>
      </c>
      <c r="N725" t="n">
        <v>5</v>
      </c>
      <c r="O725" t="n">
        <v>4</v>
      </c>
      <c r="P725" t="n">
        <v>4</v>
      </c>
      <c r="Q725" t="n">
        <v>4</v>
      </c>
      <c r="R725" t="n">
        <v>5</v>
      </c>
      <c r="S725" t="n">
        <v>1</v>
      </c>
      <c r="T725" t="n">
        <v>2</v>
      </c>
      <c r="U725">
        <f>(AVERAGE(B725:D725)-1)/4</f>
        <v/>
      </c>
      <c r="V725">
        <f>(AVERAGE(E725:F725)-1)/4</f>
        <v/>
      </c>
      <c r="W725">
        <f>(AVERAGE(G725:I725)-1)/4</f>
        <v/>
      </c>
      <c r="X725">
        <f>(AVERAGE(J725:L725)-1)/4</f>
        <v/>
      </c>
      <c r="Y725">
        <f>(AVERAGE(M725:O725)-1)/4</f>
        <v/>
      </c>
      <c r="Z725">
        <f>(AVERAGE(P725:R725)-1)/4</f>
        <v/>
      </c>
      <c r="AA725">
        <f>(AVERAGE(S725:T725)-1)/4</f>
        <v/>
      </c>
      <c r="AB725">
        <f>AVERAGE(U725:Y725)</f>
        <v/>
      </c>
      <c r="AC725">
        <f>MIN(U725:Y725)</f>
        <v/>
      </c>
      <c r="AD725">
        <f>1-alpha*MAX(0,delta-AC725)</f>
        <v/>
      </c>
      <c r="AE725">
        <f>AB725*AD725</f>
        <v/>
      </c>
      <c r="AF725">
        <f>1+COUNTIF(bounds,"&lt;"&amp;ROUND(AB725,12))</f>
        <v/>
      </c>
      <c r="AG725">
        <f>1+COUNTIF(bounds,"&lt;"&amp;ROUND(AE725,12))</f>
        <v/>
      </c>
      <c r="AH725">
        <f>IF(AD725&lt;1,1,0)</f>
        <v/>
      </c>
      <c r="AI725">
        <f>IF(AF725&lt;&gt;AG725,1,0)</f>
        <v/>
      </c>
      <c r="AJ725">
        <f>IF(AND(AG725&gt;=3,Z725&lt;=0.2),1,0)</f>
        <v/>
      </c>
      <c r="AK725">
        <f>AVERAGE(U725:Z725)</f>
        <v/>
      </c>
      <c r="AL725">
        <f>1+COUNTIF(bounds,"&lt;"&amp;ROUND(AK725,12))</f>
        <v/>
      </c>
      <c r="AM725">
        <f>IF(AI725=1,AB725,NA())</f>
        <v/>
      </c>
      <c r="AN725">
        <f>IF(AI725=0,AB725,NA())</f>
        <v/>
      </c>
    </row>
    <row r="726">
      <c r="A726" t="n">
        <v>718</v>
      </c>
      <c r="B726" t="n">
        <v>1</v>
      </c>
      <c r="C726" t="n">
        <v>2</v>
      </c>
      <c r="D726" t="n">
        <v>2</v>
      </c>
      <c r="E726" t="n">
        <v>2</v>
      </c>
      <c r="F726" t="n">
        <v>5</v>
      </c>
      <c r="G726" t="n">
        <v>3</v>
      </c>
      <c r="H726" t="n">
        <v>2</v>
      </c>
      <c r="I726" t="n">
        <v>2</v>
      </c>
      <c r="J726" t="n">
        <v>3</v>
      </c>
      <c r="K726" t="n">
        <v>2</v>
      </c>
      <c r="L726" t="n">
        <v>3</v>
      </c>
      <c r="M726" t="n">
        <v>5</v>
      </c>
      <c r="N726" t="n">
        <v>2</v>
      </c>
      <c r="O726" t="n">
        <v>3</v>
      </c>
      <c r="P726" t="n">
        <v>3</v>
      </c>
      <c r="Q726" t="n">
        <v>2</v>
      </c>
      <c r="R726" t="n">
        <v>4</v>
      </c>
      <c r="S726" t="n">
        <v>1</v>
      </c>
      <c r="T726" t="n">
        <v>4</v>
      </c>
      <c r="U726">
        <f>(AVERAGE(B726:D726)-1)/4</f>
        <v/>
      </c>
      <c r="V726">
        <f>(AVERAGE(E726:F726)-1)/4</f>
        <v/>
      </c>
      <c r="W726">
        <f>(AVERAGE(G726:I726)-1)/4</f>
        <v/>
      </c>
      <c r="X726">
        <f>(AVERAGE(J726:L726)-1)/4</f>
        <v/>
      </c>
      <c r="Y726">
        <f>(AVERAGE(M726:O726)-1)/4</f>
        <v/>
      </c>
      <c r="Z726">
        <f>(AVERAGE(P726:R726)-1)/4</f>
        <v/>
      </c>
      <c r="AA726">
        <f>(AVERAGE(S726:T726)-1)/4</f>
        <v/>
      </c>
      <c r="AB726">
        <f>AVERAGE(U726:Y726)</f>
        <v/>
      </c>
      <c r="AC726">
        <f>MIN(U726:Y726)</f>
        <v/>
      </c>
      <c r="AD726">
        <f>1-alpha*MAX(0,delta-AC726)</f>
        <v/>
      </c>
      <c r="AE726">
        <f>AB726*AD726</f>
        <v/>
      </c>
      <c r="AF726">
        <f>1+COUNTIF(bounds,"&lt;"&amp;ROUND(AB726,12))</f>
        <v/>
      </c>
      <c r="AG726">
        <f>1+COUNTIF(bounds,"&lt;"&amp;ROUND(AE726,12))</f>
        <v/>
      </c>
      <c r="AH726">
        <f>IF(AD726&lt;1,1,0)</f>
        <v/>
      </c>
      <c r="AI726">
        <f>IF(AF726&lt;&gt;AG726,1,0)</f>
        <v/>
      </c>
      <c r="AJ726">
        <f>IF(AND(AG726&gt;=3,Z726&lt;=0.2),1,0)</f>
        <v/>
      </c>
      <c r="AK726">
        <f>AVERAGE(U726:Z726)</f>
        <v/>
      </c>
      <c r="AL726">
        <f>1+COUNTIF(bounds,"&lt;"&amp;ROUND(AK726,12))</f>
        <v/>
      </c>
      <c r="AM726">
        <f>IF(AI726=1,AB726,NA())</f>
        <v/>
      </c>
      <c r="AN726">
        <f>IF(AI726=0,AB726,NA())</f>
        <v/>
      </c>
    </row>
    <row r="727">
      <c r="A727" t="n">
        <v>719</v>
      </c>
      <c r="B727" t="n">
        <v>3</v>
      </c>
      <c r="C727" t="n">
        <v>1</v>
      </c>
      <c r="D727" t="n">
        <v>5</v>
      </c>
      <c r="E727" t="n">
        <v>2</v>
      </c>
      <c r="F727" t="n">
        <v>1</v>
      </c>
      <c r="G727" t="n">
        <v>4</v>
      </c>
      <c r="H727" t="n">
        <v>1</v>
      </c>
      <c r="I727" t="n">
        <v>5</v>
      </c>
      <c r="J727" t="n">
        <v>3</v>
      </c>
      <c r="K727" t="n">
        <v>3</v>
      </c>
      <c r="L727" t="n">
        <v>4</v>
      </c>
      <c r="M727" t="n">
        <v>1</v>
      </c>
      <c r="N727" t="n">
        <v>1</v>
      </c>
      <c r="O727" t="n">
        <v>5</v>
      </c>
      <c r="P727" t="n">
        <v>3</v>
      </c>
      <c r="Q727" t="n">
        <v>5</v>
      </c>
      <c r="R727" t="n">
        <v>1</v>
      </c>
      <c r="S727" t="n">
        <v>1</v>
      </c>
      <c r="T727" t="n">
        <v>1</v>
      </c>
      <c r="U727">
        <f>(AVERAGE(B727:D727)-1)/4</f>
        <v/>
      </c>
      <c r="V727">
        <f>(AVERAGE(E727:F727)-1)/4</f>
        <v/>
      </c>
      <c r="W727">
        <f>(AVERAGE(G727:I727)-1)/4</f>
        <v/>
      </c>
      <c r="X727">
        <f>(AVERAGE(J727:L727)-1)/4</f>
        <v/>
      </c>
      <c r="Y727">
        <f>(AVERAGE(M727:O727)-1)/4</f>
        <v/>
      </c>
      <c r="Z727">
        <f>(AVERAGE(P727:R727)-1)/4</f>
        <v/>
      </c>
      <c r="AA727">
        <f>(AVERAGE(S727:T727)-1)/4</f>
        <v/>
      </c>
      <c r="AB727">
        <f>AVERAGE(U727:Y727)</f>
        <v/>
      </c>
      <c r="AC727">
        <f>MIN(U727:Y727)</f>
        <v/>
      </c>
      <c r="AD727">
        <f>1-alpha*MAX(0,delta-AC727)</f>
        <v/>
      </c>
      <c r="AE727">
        <f>AB727*AD727</f>
        <v/>
      </c>
      <c r="AF727">
        <f>1+COUNTIF(bounds,"&lt;"&amp;ROUND(AB727,12))</f>
        <v/>
      </c>
      <c r="AG727">
        <f>1+COUNTIF(bounds,"&lt;"&amp;ROUND(AE727,12))</f>
        <v/>
      </c>
      <c r="AH727">
        <f>IF(AD727&lt;1,1,0)</f>
        <v/>
      </c>
      <c r="AI727">
        <f>IF(AF727&lt;&gt;AG727,1,0)</f>
        <v/>
      </c>
      <c r="AJ727">
        <f>IF(AND(AG727&gt;=3,Z727&lt;=0.2),1,0)</f>
        <v/>
      </c>
      <c r="AK727">
        <f>AVERAGE(U727:Z727)</f>
        <v/>
      </c>
      <c r="AL727">
        <f>1+COUNTIF(bounds,"&lt;"&amp;ROUND(AK727,12))</f>
        <v/>
      </c>
      <c r="AM727">
        <f>IF(AI727=1,AB727,NA())</f>
        <v/>
      </c>
      <c r="AN727">
        <f>IF(AI727=0,AB727,NA())</f>
        <v/>
      </c>
    </row>
    <row r="728">
      <c r="A728" t="n">
        <v>720</v>
      </c>
      <c r="B728" t="n">
        <v>5</v>
      </c>
      <c r="C728" t="n">
        <v>2</v>
      </c>
      <c r="D728" t="n">
        <v>5</v>
      </c>
      <c r="E728" t="n">
        <v>4</v>
      </c>
      <c r="F728" t="n">
        <v>5</v>
      </c>
      <c r="G728" t="n">
        <v>1</v>
      </c>
      <c r="H728" t="n">
        <v>2</v>
      </c>
      <c r="I728" t="n">
        <v>2</v>
      </c>
      <c r="J728" t="n">
        <v>5</v>
      </c>
      <c r="K728" t="n">
        <v>5</v>
      </c>
      <c r="L728" t="n">
        <v>5</v>
      </c>
      <c r="M728" t="n">
        <v>5</v>
      </c>
      <c r="N728" t="n">
        <v>2</v>
      </c>
      <c r="O728" t="n">
        <v>4</v>
      </c>
      <c r="P728" t="n">
        <v>3</v>
      </c>
      <c r="Q728" t="n">
        <v>1</v>
      </c>
      <c r="R728" t="n">
        <v>1</v>
      </c>
      <c r="S728" t="n">
        <v>2</v>
      </c>
      <c r="T728" t="n">
        <v>5</v>
      </c>
      <c r="U728">
        <f>(AVERAGE(B728:D728)-1)/4</f>
        <v/>
      </c>
      <c r="V728">
        <f>(AVERAGE(E728:F728)-1)/4</f>
        <v/>
      </c>
      <c r="W728">
        <f>(AVERAGE(G728:I728)-1)/4</f>
        <v/>
      </c>
      <c r="X728">
        <f>(AVERAGE(J728:L728)-1)/4</f>
        <v/>
      </c>
      <c r="Y728">
        <f>(AVERAGE(M728:O728)-1)/4</f>
        <v/>
      </c>
      <c r="Z728">
        <f>(AVERAGE(P728:R728)-1)/4</f>
        <v/>
      </c>
      <c r="AA728">
        <f>(AVERAGE(S728:T728)-1)/4</f>
        <v/>
      </c>
      <c r="AB728">
        <f>AVERAGE(U728:Y728)</f>
        <v/>
      </c>
      <c r="AC728">
        <f>MIN(U728:Y728)</f>
        <v/>
      </c>
      <c r="AD728">
        <f>1-alpha*MAX(0,delta-AC728)</f>
        <v/>
      </c>
      <c r="AE728">
        <f>AB728*AD728</f>
        <v/>
      </c>
      <c r="AF728">
        <f>1+COUNTIF(bounds,"&lt;"&amp;ROUND(AB728,12))</f>
        <v/>
      </c>
      <c r="AG728">
        <f>1+COUNTIF(bounds,"&lt;"&amp;ROUND(AE728,12))</f>
        <v/>
      </c>
      <c r="AH728">
        <f>IF(AD728&lt;1,1,0)</f>
        <v/>
      </c>
      <c r="AI728">
        <f>IF(AF728&lt;&gt;AG728,1,0)</f>
        <v/>
      </c>
      <c r="AJ728">
        <f>IF(AND(AG728&gt;=3,Z728&lt;=0.2),1,0)</f>
        <v/>
      </c>
      <c r="AK728">
        <f>AVERAGE(U728:Z728)</f>
        <v/>
      </c>
      <c r="AL728">
        <f>1+COUNTIF(bounds,"&lt;"&amp;ROUND(AK728,12))</f>
        <v/>
      </c>
      <c r="AM728">
        <f>IF(AI728=1,AB728,NA())</f>
        <v/>
      </c>
      <c r="AN728">
        <f>IF(AI728=0,AB728,NA())</f>
        <v/>
      </c>
    </row>
    <row r="729">
      <c r="A729" t="n">
        <v>721</v>
      </c>
      <c r="B729" t="n">
        <v>3</v>
      </c>
      <c r="C729" t="n">
        <v>2</v>
      </c>
      <c r="D729" t="n">
        <v>3</v>
      </c>
      <c r="E729" t="n">
        <v>4</v>
      </c>
      <c r="F729" t="n">
        <v>3</v>
      </c>
      <c r="G729" t="n">
        <v>4</v>
      </c>
      <c r="H729" t="n">
        <v>4</v>
      </c>
      <c r="I729" t="n">
        <v>2</v>
      </c>
      <c r="J729" t="n">
        <v>2</v>
      </c>
      <c r="K729" t="n">
        <v>5</v>
      </c>
      <c r="L729" t="n">
        <v>3</v>
      </c>
      <c r="M729" t="n">
        <v>1</v>
      </c>
      <c r="N729" t="n">
        <v>4</v>
      </c>
      <c r="O729" t="n">
        <v>1</v>
      </c>
      <c r="P729" t="n">
        <v>1</v>
      </c>
      <c r="Q729" t="n">
        <v>1</v>
      </c>
      <c r="R729" t="n">
        <v>3</v>
      </c>
      <c r="S729" t="n">
        <v>5</v>
      </c>
      <c r="T729" t="n">
        <v>3</v>
      </c>
      <c r="U729">
        <f>(AVERAGE(B729:D729)-1)/4</f>
        <v/>
      </c>
      <c r="V729">
        <f>(AVERAGE(E729:F729)-1)/4</f>
        <v/>
      </c>
      <c r="W729">
        <f>(AVERAGE(G729:I729)-1)/4</f>
        <v/>
      </c>
      <c r="X729">
        <f>(AVERAGE(J729:L729)-1)/4</f>
        <v/>
      </c>
      <c r="Y729">
        <f>(AVERAGE(M729:O729)-1)/4</f>
        <v/>
      </c>
      <c r="Z729">
        <f>(AVERAGE(P729:R729)-1)/4</f>
        <v/>
      </c>
      <c r="AA729">
        <f>(AVERAGE(S729:T729)-1)/4</f>
        <v/>
      </c>
      <c r="AB729">
        <f>AVERAGE(U729:Y729)</f>
        <v/>
      </c>
      <c r="AC729">
        <f>MIN(U729:Y729)</f>
        <v/>
      </c>
      <c r="AD729">
        <f>1-alpha*MAX(0,delta-AC729)</f>
        <v/>
      </c>
      <c r="AE729">
        <f>AB729*AD729</f>
        <v/>
      </c>
      <c r="AF729">
        <f>1+COUNTIF(bounds,"&lt;"&amp;ROUND(AB729,12))</f>
        <v/>
      </c>
      <c r="AG729">
        <f>1+COUNTIF(bounds,"&lt;"&amp;ROUND(AE729,12))</f>
        <v/>
      </c>
      <c r="AH729">
        <f>IF(AD729&lt;1,1,0)</f>
        <v/>
      </c>
      <c r="AI729">
        <f>IF(AF729&lt;&gt;AG729,1,0)</f>
        <v/>
      </c>
      <c r="AJ729">
        <f>IF(AND(AG729&gt;=3,Z729&lt;=0.2),1,0)</f>
        <v/>
      </c>
      <c r="AK729">
        <f>AVERAGE(U729:Z729)</f>
        <v/>
      </c>
      <c r="AL729">
        <f>1+COUNTIF(bounds,"&lt;"&amp;ROUND(AK729,12))</f>
        <v/>
      </c>
      <c r="AM729">
        <f>IF(AI729=1,AB729,NA())</f>
        <v/>
      </c>
      <c r="AN729">
        <f>IF(AI729=0,AB729,NA())</f>
        <v/>
      </c>
    </row>
    <row r="730">
      <c r="A730" t="n">
        <v>722</v>
      </c>
      <c r="B730" t="n">
        <v>1</v>
      </c>
      <c r="C730" t="n">
        <v>4</v>
      </c>
      <c r="D730" t="n">
        <v>5</v>
      </c>
      <c r="E730" t="n">
        <v>3</v>
      </c>
      <c r="F730" t="n">
        <v>2</v>
      </c>
      <c r="G730" t="n">
        <v>4</v>
      </c>
      <c r="H730" t="n">
        <v>3</v>
      </c>
      <c r="I730" t="n">
        <v>2</v>
      </c>
      <c r="J730" t="n">
        <v>4</v>
      </c>
      <c r="K730" t="n">
        <v>3</v>
      </c>
      <c r="L730" t="n">
        <v>2</v>
      </c>
      <c r="M730" t="n">
        <v>2</v>
      </c>
      <c r="N730" t="n">
        <v>3</v>
      </c>
      <c r="O730" t="n">
        <v>2</v>
      </c>
      <c r="P730" t="n">
        <v>3</v>
      </c>
      <c r="Q730" t="n">
        <v>1</v>
      </c>
      <c r="R730" t="n">
        <v>3</v>
      </c>
      <c r="S730" t="n">
        <v>2</v>
      </c>
      <c r="T730" t="n">
        <v>1</v>
      </c>
      <c r="U730">
        <f>(AVERAGE(B730:D730)-1)/4</f>
        <v/>
      </c>
      <c r="V730">
        <f>(AVERAGE(E730:F730)-1)/4</f>
        <v/>
      </c>
      <c r="W730">
        <f>(AVERAGE(G730:I730)-1)/4</f>
        <v/>
      </c>
      <c r="X730">
        <f>(AVERAGE(J730:L730)-1)/4</f>
        <v/>
      </c>
      <c r="Y730">
        <f>(AVERAGE(M730:O730)-1)/4</f>
        <v/>
      </c>
      <c r="Z730">
        <f>(AVERAGE(P730:R730)-1)/4</f>
        <v/>
      </c>
      <c r="AA730">
        <f>(AVERAGE(S730:T730)-1)/4</f>
        <v/>
      </c>
      <c r="AB730">
        <f>AVERAGE(U730:Y730)</f>
        <v/>
      </c>
      <c r="AC730">
        <f>MIN(U730:Y730)</f>
        <v/>
      </c>
      <c r="AD730">
        <f>1-alpha*MAX(0,delta-AC730)</f>
        <v/>
      </c>
      <c r="AE730">
        <f>AB730*AD730</f>
        <v/>
      </c>
      <c r="AF730">
        <f>1+COUNTIF(bounds,"&lt;"&amp;ROUND(AB730,12))</f>
        <v/>
      </c>
      <c r="AG730">
        <f>1+COUNTIF(bounds,"&lt;"&amp;ROUND(AE730,12))</f>
        <v/>
      </c>
      <c r="AH730">
        <f>IF(AD730&lt;1,1,0)</f>
        <v/>
      </c>
      <c r="AI730">
        <f>IF(AF730&lt;&gt;AG730,1,0)</f>
        <v/>
      </c>
      <c r="AJ730">
        <f>IF(AND(AG730&gt;=3,Z730&lt;=0.2),1,0)</f>
        <v/>
      </c>
      <c r="AK730">
        <f>AVERAGE(U730:Z730)</f>
        <v/>
      </c>
      <c r="AL730">
        <f>1+COUNTIF(bounds,"&lt;"&amp;ROUND(AK730,12))</f>
        <v/>
      </c>
      <c r="AM730">
        <f>IF(AI730=1,AB730,NA())</f>
        <v/>
      </c>
      <c r="AN730">
        <f>IF(AI730=0,AB730,NA())</f>
        <v/>
      </c>
    </row>
    <row r="731">
      <c r="A731" t="n">
        <v>723</v>
      </c>
      <c r="B731" t="n">
        <v>1</v>
      </c>
      <c r="C731" t="n">
        <v>1</v>
      </c>
      <c r="D731" t="n">
        <v>2</v>
      </c>
      <c r="E731" t="n">
        <v>1</v>
      </c>
      <c r="F731" t="n">
        <v>2</v>
      </c>
      <c r="G731" t="n">
        <v>2</v>
      </c>
      <c r="H731" t="n">
        <v>2</v>
      </c>
      <c r="I731" t="n">
        <v>3</v>
      </c>
      <c r="J731" t="n">
        <v>5</v>
      </c>
      <c r="K731" t="n">
        <v>1</v>
      </c>
      <c r="L731" t="n">
        <v>2</v>
      </c>
      <c r="M731" t="n">
        <v>5</v>
      </c>
      <c r="N731" t="n">
        <v>5</v>
      </c>
      <c r="O731" t="n">
        <v>5</v>
      </c>
      <c r="P731" t="n">
        <v>3</v>
      </c>
      <c r="Q731" t="n">
        <v>4</v>
      </c>
      <c r="R731" t="n">
        <v>5</v>
      </c>
      <c r="S731" t="n">
        <v>1</v>
      </c>
      <c r="T731" t="n">
        <v>2</v>
      </c>
      <c r="U731">
        <f>(AVERAGE(B731:D731)-1)/4</f>
        <v/>
      </c>
      <c r="V731">
        <f>(AVERAGE(E731:F731)-1)/4</f>
        <v/>
      </c>
      <c r="W731">
        <f>(AVERAGE(G731:I731)-1)/4</f>
        <v/>
      </c>
      <c r="X731">
        <f>(AVERAGE(J731:L731)-1)/4</f>
        <v/>
      </c>
      <c r="Y731">
        <f>(AVERAGE(M731:O731)-1)/4</f>
        <v/>
      </c>
      <c r="Z731">
        <f>(AVERAGE(P731:R731)-1)/4</f>
        <v/>
      </c>
      <c r="AA731">
        <f>(AVERAGE(S731:T731)-1)/4</f>
        <v/>
      </c>
      <c r="AB731">
        <f>AVERAGE(U731:Y731)</f>
        <v/>
      </c>
      <c r="AC731">
        <f>MIN(U731:Y731)</f>
        <v/>
      </c>
      <c r="AD731">
        <f>1-alpha*MAX(0,delta-AC731)</f>
        <v/>
      </c>
      <c r="AE731">
        <f>AB731*AD731</f>
        <v/>
      </c>
      <c r="AF731">
        <f>1+COUNTIF(bounds,"&lt;"&amp;ROUND(AB731,12))</f>
        <v/>
      </c>
      <c r="AG731">
        <f>1+COUNTIF(bounds,"&lt;"&amp;ROUND(AE731,12))</f>
        <v/>
      </c>
      <c r="AH731">
        <f>IF(AD731&lt;1,1,0)</f>
        <v/>
      </c>
      <c r="AI731">
        <f>IF(AF731&lt;&gt;AG731,1,0)</f>
        <v/>
      </c>
      <c r="AJ731">
        <f>IF(AND(AG731&gt;=3,Z731&lt;=0.2),1,0)</f>
        <v/>
      </c>
      <c r="AK731">
        <f>AVERAGE(U731:Z731)</f>
        <v/>
      </c>
      <c r="AL731">
        <f>1+COUNTIF(bounds,"&lt;"&amp;ROUND(AK731,12))</f>
        <v/>
      </c>
      <c r="AM731">
        <f>IF(AI731=1,AB731,NA())</f>
        <v/>
      </c>
      <c r="AN731">
        <f>IF(AI731=0,AB731,NA())</f>
        <v/>
      </c>
    </row>
    <row r="732">
      <c r="A732" t="n">
        <v>724</v>
      </c>
      <c r="B732" t="n">
        <v>1</v>
      </c>
      <c r="C732" t="n">
        <v>1</v>
      </c>
      <c r="D732" t="n">
        <v>4</v>
      </c>
      <c r="E732" t="n">
        <v>1</v>
      </c>
      <c r="F732" t="n">
        <v>5</v>
      </c>
      <c r="G732" t="n">
        <v>1</v>
      </c>
      <c r="H732" t="n">
        <v>1</v>
      </c>
      <c r="I732" t="n">
        <v>5</v>
      </c>
      <c r="J732" t="n">
        <v>3</v>
      </c>
      <c r="K732" t="n">
        <v>2</v>
      </c>
      <c r="L732" t="n">
        <v>1</v>
      </c>
      <c r="M732" t="n">
        <v>3</v>
      </c>
      <c r="N732" t="n">
        <v>2</v>
      </c>
      <c r="O732" t="n">
        <v>4</v>
      </c>
      <c r="P732" t="n">
        <v>2</v>
      </c>
      <c r="Q732" t="n">
        <v>2</v>
      </c>
      <c r="R732" t="n">
        <v>4</v>
      </c>
      <c r="S732" t="n">
        <v>2</v>
      </c>
      <c r="T732" t="n">
        <v>3</v>
      </c>
      <c r="U732">
        <f>(AVERAGE(B732:D732)-1)/4</f>
        <v/>
      </c>
      <c r="V732">
        <f>(AVERAGE(E732:F732)-1)/4</f>
        <v/>
      </c>
      <c r="W732">
        <f>(AVERAGE(G732:I732)-1)/4</f>
        <v/>
      </c>
      <c r="X732">
        <f>(AVERAGE(J732:L732)-1)/4</f>
        <v/>
      </c>
      <c r="Y732">
        <f>(AVERAGE(M732:O732)-1)/4</f>
        <v/>
      </c>
      <c r="Z732">
        <f>(AVERAGE(P732:R732)-1)/4</f>
        <v/>
      </c>
      <c r="AA732">
        <f>(AVERAGE(S732:T732)-1)/4</f>
        <v/>
      </c>
      <c r="AB732">
        <f>AVERAGE(U732:Y732)</f>
        <v/>
      </c>
      <c r="AC732">
        <f>MIN(U732:Y732)</f>
        <v/>
      </c>
      <c r="AD732">
        <f>1-alpha*MAX(0,delta-AC732)</f>
        <v/>
      </c>
      <c r="AE732">
        <f>AB732*AD732</f>
        <v/>
      </c>
      <c r="AF732">
        <f>1+COUNTIF(bounds,"&lt;"&amp;ROUND(AB732,12))</f>
        <v/>
      </c>
      <c r="AG732">
        <f>1+COUNTIF(bounds,"&lt;"&amp;ROUND(AE732,12))</f>
        <v/>
      </c>
      <c r="AH732">
        <f>IF(AD732&lt;1,1,0)</f>
        <v/>
      </c>
      <c r="AI732">
        <f>IF(AF732&lt;&gt;AG732,1,0)</f>
        <v/>
      </c>
      <c r="AJ732">
        <f>IF(AND(AG732&gt;=3,Z732&lt;=0.2),1,0)</f>
        <v/>
      </c>
      <c r="AK732">
        <f>AVERAGE(U732:Z732)</f>
        <v/>
      </c>
      <c r="AL732">
        <f>1+COUNTIF(bounds,"&lt;"&amp;ROUND(AK732,12))</f>
        <v/>
      </c>
      <c r="AM732">
        <f>IF(AI732=1,AB732,NA())</f>
        <v/>
      </c>
      <c r="AN732">
        <f>IF(AI732=0,AB732,NA())</f>
        <v/>
      </c>
    </row>
    <row r="733">
      <c r="A733" t="n">
        <v>725</v>
      </c>
      <c r="B733" t="n">
        <v>2</v>
      </c>
      <c r="C733" t="n">
        <v>4</v>
      </c>
      <c r="D733" t="n">
        <v>2</v>
      </c>
      <c r="E733" t="n">
        <v>2</v>
      </c>
      <c r="F733" t="n">
        <v>1</v>
      </c>
      <c r="G733" t="n">
        <v>5</v>
      </c>
      <c r="H733" t="n">
        <v>2</v>
      </c>
      <c r="I733" t="n">
        <v>1</v>
      </c>
      <c r="J733" t="n">
        <v>5</v>
      </c>
      <c r="K733" t="n">
        <v>5</v>
      </c>
      <c r="L733" t="n">
        <v>3</v>
      </c>
      <c r="M733" t="n">
        <v>5</v>
      </c>
      <c r="N733" t="n">
        <v>1</v>
      </c>
      <c r="O733" t="n">
        <v>2</v>
      </c>
      <c r="P733" t="n">
        <v>3</v>
      </c>
      <c r="Q733" t="n">
        <v>1</v>
      </c>
      <c r="R733" t="n">
        <v>3</v>
      </c>
      <c r="S733" t="n">
        <v>3</v>
      </c>
      <c r="T733" t="n">
        <v>5</v>
      </c>
      <c r="U733">
        <f>(AVERAGE(B733:D733)-1)/4</f>
        <v/>
      </c>
      <c r="V733">
        <f>(AVERAGE(E733:F733)-1)/4</f>
        <v/>
      </c>
      <c r="W733">
        <f>(AVERAGE(G733:I733)-1)/4</f>
        <v/>
      </c>
      <c r="X733">
        <f>(AVERAGE(J733:L733)-1)/4</f>
        <v/>
      </c>
      <c r="Y733">
        <f>(AVERAGE(M733:O733)-1)/4</f>
        <v/>
      </c>
      <c r="Z733">
        <f>(AVERAGE(P733:R733)-1)/4</f>
        <v/>
      </c>
      <c r="AA733">
        <f>(AVERAGE(S733:T733)-1)/4</f>
        <v/>
      </c>
      <c r="AB733">
        <f>AVERAGE(U733:Y733)</f>
        <v/>
      </c>
      <c r="AC733">
        <f>MIN(U733:Y733)</f>
        <v/>
      </c>
      <c r="AD733">
        <f>1-alpha*MAX(0,delta-AC733)</f>
        <v/>
      </c>
      <c r="AE733">
        <f>AB733*AD733</f>
        <v/>
      </c>
      <c r="AF733">
        <f>1+COUNTIF(bounds,"&lt;"&amp;ROUND(AB733,12))</f>
        <v/>
      </c>
      <c r="AG733">
        <f>1+COUNTIF(bounds,"&lt;"&amp;ROUND(AE733,12))</f>
        <v/>
      </c>
      <c r="AH733">
        <f>IF(AD733&lt;1,1,0)</f>
        <v/>
      </c>
      <c r="AI733">
        <f>IF(AF733&lt;&gt;AG733,1,0)</f>
        <v/>
      </c>
      <c r="AJ733">
        <f>IF(AND(AG733&gt;=3,Z733&lt;=0.2),1,0)</f>
        <v/>
      </c>
      <c r="AK733">
        <f>AVERAGE(U733:Z733)</f>
        <v/>
      </c>
      <c r="AL733">
        <f>1+COUNTIF(bounds,"&lt;"&amp;ROUND(AK733,12))</f>
        <v/>
      </c>
      <c r="AM733">
        <f>IF(AI733=1,AB733,NA())</f>
        <v/>
      </c>
      <c r="AN733">
        <f>IF(AI733=0,AB733,NA())</f>
        <v/>
      </c>
    </row>
    <row r="734">
      <c r="A734" t="n">
        <v>726</v>
      </c>
      <c r="B734" t="n">
        <v>3</v>
      </c>
      <c r="C734" t="n">
        <v>4</v>
      </c>
      <c r="D734" t="n">
        <v>5</v>
      </c>
      <c r="E734" t="n">
        <v>2</v>
      </c>
      <c r="F734" t="n">
        <v>2</v>
      </c>
      <c r="G734" t="n">
        <v>1</v>
      </c>
      <c r="H734" t="n">
        <v>3</v>
      </c>
      <c r="I734" t="n">
        <v>1</v>
      </c>
      <c r="J734" t="n">
        <v>2</v>
      </c>
      <c r="K734" t="n">
        <v>3</v>
      </c>
      <c r="L734" t="n">
        <v>3</v>
      </c>
      <c r="M734" t="n">
        <v>3</v>
      </c>
      <c r="N734" t="n">
        <v>3</v>
      </c>
      <c r="O734" t="n">
        <v>4</v>
      </c>
      <c r="P734" t="n">
        <v>2</v>
      </c>
      <c r="Q734" t="n">
        <v>1</v>
      </c>
      <c r="R734" t="n">
        <v>2</v>
      </c>
      <c r="S734" t="n">
        <v>2</v>
      </c>
      <c r="T734" t="n">
        <v>4</v>
      </c>
      <c r="U734">
        <f>(AVERAGE(B734:D734)-1)/4</f>
        <v/>
      </c>
      <c r="V734">
        <f>(AVERAGE(E734:F734)-1)/4</f>
        <v/>
      </c>
      <c r="W734">
        <f>(AVERAGE(G734:I734)-1)/4</f>
        <v/>
      </c>
      <c r="X734">
        <f>(AVERAGE(J734:L734)-1)/4</f>
        <v/>
      </c>
      <c r="Y734">
        <f>(AVERAGE(M734:O734)-1)/4</f>
        <v/>
      </c>
      <c r="Z734">
        <f>(AVERAGE(P734:R734)-1)/4</f>
        <v/>
      </c>
      <c r="AA734">
        <f>(AVERAGE(S734:T734)-1)/4</f>
        <v/>
      </c>
      <c r="AB734">
        <f>AVERAGE(U734:Y734)</f>
        <v/>
      </c>
      <c r="AC734">
        <f>MIN(U734:Y734)</f>
        <v/>
      </c>
      <c r="AD734">
        <f>1-alpha*MAX(0,delta-AC734)</f>
        <v/>
      </c>
      <c r="AE734">
        <f>AB734*AD734</f>
        <v/>
      </c>
      <c r="AF734">
        <f>1+COUNTIF(bounds,"&lt;"&amp;ROUND(AB734,12))</f>
        <v/>
      </c>
      <c r="AG734">
        <f>1+COUNTIF(bounds,"&lt;"&amp;ROUND(AE734,12))</f>
        <v/>
      </c>
      <c r="AH734">
        <f>IF(AD734&lt;1,1,0)</f>
        <v/>
      </c>
      <c r="AI734">
        <f>IF(AF734&lt;&gt;AG734,1,0)</f>
        <v/>
      </c>
      <c r="AJ734">
        <f>IF(AND(AG734&gt;=3,Z734&lt;=0.2),1,0)</f>
        <v/>
      </c>
      <c r="AK734">
        <f>AVERAGE(U734:Z734)</f>
        <v/>
      </c>
      <c r="AL734">
        <f>1+COUNTIF(bounds,"&lt;"&amp;ROUND(AK734,12))</f>
        <v/>
      </c>
      <c r="AM734">
        <f>IF(AI734=1,AB734,NA())</f>
        <v/>
      </c>
      <c r="AN734">
        <f>IF(AI734=0,AB734,NA())</f>
        <v/>
      </c>
    </row>
    <row r="735">
      <c r="A735" t="n">
        <v>727</v>
      </c>
      <c r="B735" t="n">
        <v>3</v>
      </c>
      <c r="C735" t="n">
        <v>2</v>
      </c>
      <c r="D735" t="n">
        <v>4</v>
      </c>
      <c r="E735" t="n">
        <v>1</v>
      </c>
      <c r="F735" t="n">
        <v>5</v>
      </c>
      <c r="G735" t="n">
        <v>4</v>
      </c>
      <c r="H735" t="n">
        <v>5</v>
      </c>
      <c r="I735" t="n">
        <v>2</v>
      </c>
      <c r="J735" t="n">
        <v>2</v>
      </c>
      <c r="K735" t="n">
        <v>4</v>
      </c>
      <c r="L735" t="n">
        <v>4</v>
      </c>
      <c r="M735" t="n">
        <v>1</v>
      </c>
      <c r="N735" t="n">
        <v>1</v>
      </c>
      <c r="O735" t="n">
        <v>1</v>
      </c>
      <c r="P735" t="n">
        <v>4</v>
      </c>
      <c r="Q735" t="n">
        <v>3</v>
      </c>
      <c r="R735" t="n">
        <v>5</v>
      </c>
      <c r="S735" t="n">
        <v>3</v>
      </c>
      <c r="T735" t="n">
        <v>4</v>
      </c>
      <c r="U735">
        <f>(AVERAGE(B735:D735)-1)/4</f>
        <v/>
      </c>
      <c r="V735">
        <f>(AVERAGE(E735:F735)-1)/4</f>
        <v/>
      </c>
      <c r="W735">
        <f>(AVERAGE(G735:I735)-1)/4</f>
        <v/>
      </c>
      <c r="X735">
        <f>(AVERAGE(J735:L735)-1)/4</f>
        <v/>
      </c>
      <c r="Y735">
        <f>(AVERAGE(M735:O735)-1)/4</f>
        <v/>
      </c>
      <c r="Z735">
        <f>(AVERAGE(P735:R735)-1)/4</f>
        <v/>
      </c>
      <c r="AA735">
        <f>(AVERAGE(S735:T735)-1)/4</f>
        <v/>
      </c>
      <c r="AB735">
        <f>AVERAGE(U735:Y735)</f>
        <v/>
      </c>
      <c r="AC735">
        <f>MIN(U735:Y735)</f>
        <v/>
      </c>
      <c r="AD735">
        <f>1-alpha*MAX(0,delta-AC735)</f>
        <v/>
      </c>
      <c r="AE735">
        <f>AB735*AD735</f>
        <v/>
      </c>
      <c r="AF735">
        <f>1+COUNTIF(bounds,"&lt;"&amp;ROUND(AB735,12))</f>
        <v/>
      </c>
      <c r="AG735">
        <f>1+COUNTIF(bounds,"&lt;"&amp;ROUND(AE735,12))</f>
        <v/>
      </c>
      <c r="AH735">
        <f>IF(AD735&lt;1,1,0)</f>
        <v/>
      </c>
      <c r="AI735">
        <f>IF(AF735&lt;&gt;AG735,1,0)</f>
        <v/>
      </c>
      <c r="AJ735">
        <f>IF(AND(AG735&gt;=3,Z735&lt;=0.2),1,0)</f>
        <v/>
      </c>
      <c r="AK735">
        <f>AVERAGE(U735:Z735)</f>
        <v/>
      </c>
      <c r="AL735">
        <f>1+COUNTIF(bounds,"&lt;"&amp;ROUND(AK735,12))</f>
        <v/>
      </c>
      <c r="AM735">
        <f>IF(AI735=1,AB735,NA())</f>
        <v/>
      </c>
      <c r="AN735">
        <f>IF(AI735=0,AB735,NA())</f>
        <v/>
      </c>
    </row>
    <row r="736">
      <c r="A736" t="n">
        <v>728</v>
      </c>
      <c r="B736" t="n">
        <v>2</v>
      </c>
      <c r="C736" t="n">
        <v>2</v>
      </c>
      <c r="D736" t="n">
        <v>1</v>
      </c>
      <c r="E736" t="n">
        <v>3</v>
      </c>
      <c r="F736" t="n">
        <v>5</v>
      </c>
      <c r="G736" t="n">
        <v>5</v>
      </c>
      <c r="H736" t="n">
        <v>2</v>
      </c>
      <c r="I736" t="n">
        <v>1</v>
      </c>
      <c r="J736" t="n">
        <v>3</v>
      </c>
      <c r="K736" t="n">
        <v>2</v>
      </c>
      <c r="L736" t="n">
        <v>2</v>
      </c>
      <c r="M736" t="n">
        <v>2</v>
      </c>
      <c r="N736" t="n">
        <v>2</v>
      </c>
      <c r="O736" t="n">
        <v>3</v>
      </c>
      <c r="P736" t="n">
        <v>5</v>
      </c>
      <c r="Q736" t="n">
        <v>5</v>
      </c>
      <c r="R736" t="n">
        <v>1</v>
      </c>
      <c r="S736" t="n">
        <v>2</v>
      </c>
      <c r="T736" t="n">
        <v>5</v>
      </c>
      <c r="U736">
        <f>(AVERAGE(B736:D736)-1)/4</f>
        <v/>
      </c>
      <c r="V736">
        <f>(AVERAGE(E736:F736)-1)/4</f>
        <v/>
      </c>
      <c r="W736">
        <f>(AVERAGE(G736:I736)-1)/4</f>
        <v/>
      </c>
      <c r="X736">
        <f>(AVERAGE(J736:L736)-1)/4</f>
        <v/>
      </c>
      <c r="Y736">
        <f>(AVERAGE(M736:O736)-1)/4</f>
        <v/>
      </c>
      <c r="Z736">
        <f>(AVERAGE(P736:R736)-1)/4</f>
        <v/>
      </c>
      <c r="AA736">
        <f>(AVERAGE(S736:T736)-1)/4</f>
        <v/>
      </c>
      <c r="AB736">
        <f>AVERAGE(U736:Y736)</f>
        <v/>
      </c>
      <c r="AC736">
        <f>MIN(U736:Y736)</f>
        <v/>
      </c>
      <c r="AD736">
        <f>1-alpha*MAX(0,delta-AC736)</f>
        <v/>
      </c>
      <c r="AE736">
        <f>AB736*AD736</f>
        <v/>
      </c>
      <c r="AF736">
        <f>1+COUNTIF(bounds,"&lt;"&amp;ROUND(AB736,12))</f>
        <v/>
      </c>
      <c r="AG736">
        <f>1+COUNTIF(bounds,"&lt;"&amp;ROUND(AE736,12))</f>
        <v/>
      </c>
      <c r="AH736">
        <f>IF(AD736&lt;1,1,0)</f>
        <v/>
      </c>
      <c r="AI736">
        <f>IF(AF736&lt;&gt;AG736,1,0)</f>
        <v/>
      </c>
      <c r="AJ736">
        <f>IF(AND(AG736&gt;=3,Z736&lt;=0.2),1,0)</f>
        <v/>
      </c>
      <c r="AK736">
        <f>AVERAGE(U736:Z736)</f>
        <v/>
      </c>
      <c r="AL736">
        <f>1+COUNTIF(bounds,"&lt;"&amp;ROUND(AK736,12))</f>
        <v/>
      </c>
      <c r="AM736">
        <f>IF(AI736=1,AB736,NA())</f>
        <v/>
      </c>
      <c r="AN736">
        <f>IF(AI736=0,AB736,NA())</f>
        <v/>
      </c>
    </row>
    <row r="737">
      <c r="A737" t="n">
        <v>729</v>
      </c>
      <c r="B737" t="n">
        <v>2</v>
      </c>
      <c r="C737" t="n">
        <v>3</v>
      </c>
      <c r="D737" t="n">
        <v>4</v>
      </c>
      <c r="E737" t="n">
        <v>4</v>
      </c>
      <c r="F737" t="n">
        <v>4</v>
      </c>
      <c r="G737" t="n">
        <v>4</v>
      </c>
      <c r="H737" t="n">
        <v>2</v>
      </c>
      <c r="I737" t="n">
        <v>3</v>
      </c>
      <c r="J737" t="n">
        <v>4</v>
      </c>
      <c r="K737" t="n">
        <v>2</v>
      </c>
      <c r="L737" t="n">
        <v>4</v>
      </c>
      <c r="M737" t="n">
        <v>2</v>
      </c>
      <c r="N737" t="n">
        <v>1</v>
      </c>
      <c r="O737" t="n">
        <v>5</v>
      </c>
      <c r="P737" t="n">
        <v>5</v>
      </c>
      <c r="Q737" t="n">
        <v>3</v>
      </c>
      <c r="R737" t="n">
        <v>5</v>
      </c>
      <c r="S737" t="n">
        <v>2</v>
      </c>
      <c r="T737" t="n">
        <v>1</v>
      </c>
      <c r="U737">
        <f>(AVERAGE(B737:D737)-1)/4</f>
        <v/>
      </c>
      <c r="V737">
        <f>(AVERAGE(E737:F737)-1)/4</f>
        <v/>
      </c>
      <c r="W737">
        <f>(AVERAGE(G737:I737)-1)/4</f>
        <v/>
      </c>
      <c r="X737">
        <f>(AVERAGE(J737:L737)-1)/4</f>
        <v/>
      </c>
      <c r="Y737">
        <f>(AVERAGE(M737:O737)-1)/4</f>
        <v/>
      </c>
      <c r="Z737">
        <f>(AVERAGE(P737:R737)-1)/4</f>
        <v/>
      </c>
      <c r="AA737">
        <f>(AVERAGE(S737:T737)-1)/4</f>
        <v/>
      </c>
      <c r="AB737">
        <f>AVERAGE(U737:Y737)</f>
        <v/>
      </c>
      <c r="AC737">
        <f>MIN(U737:Y737)</f>
        <v/>
      </c>
      <c r="AD737">
        <f>1-alpha*MAX(0,delta-AC737)</f>
        <v/>
      </c>
      <c r="AE737">
        <f>AB737*AD737</f>
        <v/>
      </c>
      <c r="AF737">
        <f>1+COUNTIF(bounds,"&lt;"&amp;ROUND(AB737,12))</f>
        <v/>
      </c>
      <c r="AG737">
        <f>1+COUNTIF(bounds,"&lt;"&amp;ROUND(AE737,12))</f>
        <v/>
      </c>
      <c r="AH737">
        <f>IF(AD737&lt;1,1,0)</f>
        <v/>
      </c>
      <c r="AI737">
        <f>IF(AF737&lt;&gt;AG737,1,0)</f>
        <v/>
      </c>
      <c r="AJ737">
        <f>IF(AND(AG737&gt;=3,Z737&lt;=0.2),1,0)</f>
        <v/>
      </c>
      <c r="AK737">
        <f>AVERAGE(U737:Z737)</f>
        <v/>
      </c>
      <c r="AL737">
        <f>1+COUNTIF(bounds,"&lt;"&amp;ROUND(AK737,12))</f>
        <v/>
      </c>
      <c r="AM737">
        <f>IF(AI737=1,AB737,NA())</f>
        <v/>
      </c>
      <c r="AN737">
        <f>IF(AI737=0,AB737,NA())</f>
        <v/>
      </c>
    </row>
    <row r="738">
      <c r="A738" t="n">
        <v>730</v>
      </c>
      <c r="B738" t="n">
        <v>5</v>
      </c>
      <c r="C738" t="n">
        <v>2</v>
      </c>
      <c r="D738" t="n">
        <v>4</v>
      </c>
      <c r="E738" t="n">
        <v>3</v>
      </c>
      <c r="F738" t="n">
        <v>1</v>
      </c>
      <c r="G738" t="n">
        <v>1</v>
      </c>
      <c r="H738" t="n">
        <v>5</v>
      </c>
      <c r="I738" t="n">
        <v>5</v>
      </c>
      <c r="J738" t="n">
        <v>1</v>
      </c>
      <c r="K738" t="n">
        <v>2</v>
      </c>
      <c r="L738" t="n">
        <v>2</v>
      </c>
      <c r="M738" t="n">
        <v>4</v>
      </c>
      <c r="N738" t="n">
        <v>3</v>
      </c>
      <c r="O738" t="n">
        <v>3</v>
      </c>
      <c r="P738" t="n">
        <v>3</v>
      </c>
      <c r="Q738" t="n">
        <v>3</v>
      </c>
      <c r="R738" t="n">
        <v>4</v>
      </c>
      <c r="S738" t="n">
        <v>5</v>
      </c>
      <c r="T738" t="n">
        <v>1</v>
      </c>
      <c r="U738">
        <f>(AVERAGE(B738:D738)-1)/4</f>
        <v/>
      </c>
      <c r="V738">
        <f>(AVERAGE(E738:F738)-1)/4</f>
        <v/>
      </c>
      <c r="W738">
        <f>(AVERAGE(G738:I738)-1)/4</f>
        <v/>
      </c>
      <c r="X738">
        <f>(AVERAGE(J738:L738)-1)/4</f>
        <v/>
      </c>
      <c r="Y738">
        <f>(AVERAGE(M738:O738)-1)/4</f>
        <v/>
      </c>
      <c r="Z738">
        <f>(AVERAGE(P738:R738)-1)/4</f>
        <v/>
      </c>
      <c r="AA738">
        <f>(AVERAGE(S738:T738)-1)/4</f>
        <v/>
      </c>
      <c r="AB738">
        <f>AVERAGE(U738:Y738)</f>
        <v/>
      </c>
      <c r="AC738">
        <f>MIN(U738:Y738)</f>
        <v/>
      </c>
      <c r="AD738">
        <f>1-alpha*MAX(0,delta-AC738)</f>
        <v/>
      </c>
      <c r="AE738">
        <f>AB738*AD738</f>
        <v/>
      </c>
      <c r="AF738">
        <f>1+COUNTIF(bounds,"&lt;"&amp;ROUND(AB738,12))</f>
        <v/>
      </c>
      <c r="AG738">
        <f>1+COUNTIF(bounds,"&lt;"&amp;ROUND(AE738,12))</f>
        <v/>
      </c>
      <c r="AH738">
        <f>IF(AD738&lt;1,1,0)</f>
        <v/>
      </c>
      <c r="AI738">
        <f>IF(AF738&lt;&gt;AG738,1,0)</f>
        <v/>
      </c>
      <c r="AJ738">
        <f>IF(AND(AG738&gt;=3,Z738&lt;=0.2),1,0)</f>
        <v/>
      </c>
      <c r="AK738">
        <f>AVERAGE(U738:Z738)</f>
        <v/>
      </c>
      <c r="AL738">
        <f>1+COUNTIF(bounds,"&lt;"&amp;ROUND(AK738,12))</f>
        <v/>
      </c>
      <c r="AM738">
        <f>IF(AI738=1,AB738,NA())</f>
        <v/>
      </c>
      <c r="AN738">
        <f>IF(AI738=0,AB738,NA())</f>
        <v/>
      </c>
    </row>
    <row r="739">
      <c r="A739" t="n">
        <v>731</v>
      </c>
      <c r="B739" t="n">
        <v>4</v>
      </c>
      <c r="C739" t="n">
        <v>5</v>
      </c>
      <c r="D739" t="n">
        <v>5</v>
      </c>
      <c r="E739" t="n">
        <v>3</v>
      </c>
      <c r="F739" t="n">
        <v>5</v>
      </c>
      <c r="G739" t="n">
        <v>5</v>
      </c>
      <c r="H739" t="n">
        <v>1</v>
      </c>
      <c r="I739" t="n">
        <v>4</v>
      </c>
      <c r="J739" t="n">
        <v>2</v>
      </c>
      <c r="K739" t="n">
        <v>4</v>
      </c>
      <c r="L739" t="n">
        <v>1</v>
      </c>
      <c r="M739" t="n">
        <v>4</v>
      </c>
      <c r="N739" t="n">
        <v>2</v>
      </c>
      <c r="O739" t="n">
        <v>4</v>
      </c>
      <c r="P739" t="n">
        <v>1</v>
      </c>
      <c r="Q739" t="n">
        <v>3</v>
      </c>
      <c r="R739" t="n">
        <v>3</v>
      </c>
      <c r="S739" t="n">
        <v>2</v>
      </c>
      <c r="T739" t="n">
        <v>3</v>
      </c>
      <c r="U739">
        <f>(AVERAGE(B739:D739)-1)/4</f>
        <v/>
      </c>
      <c r="V739">
        <f>(AVERAGE(E739:F739)-1)/4</f>
        <v/>
      </c>
      <c r="W739">
        <f>(AVERAGE(G739:I739)-1)/4</f>
        <v/>
      </c>
      <c r="X739">
        <f>(AVERAGE(J739:L739)-1)/4</f>
        <v/>
      </c>
      <c r="Y739">
        <f>(AVERAGE(M739:O739)-1)/4</f>
        <v/>
      </c>
      <c r="Z739">
        <f>(AVERAGE(P739:R739)-1)/4</f>
        <v/>
      </c>
      <c r="AA739">
        <f>(AVERAGE(S739:T739)-1)/4</f>
        <v/>
      </c>
      <c r="AB739">
        <f>AVERAGE(U739:Y739)</f>
        <v/>
      </c>
      <c r="AC739">
        <f>MIN(U739:Y739)</f>
        <v/>
      </c>
      <c r="AD739">
        <f>1-alpha*MAX(0,delta-AC739)</f>
        <v/>
      </c>
      <c r="AE739">
        <f>AB739*AD739</f>
        <v/>
      </c>
      <c r="AF739">
        <f>1+COUNTIF(bounds,"&lt;"&amp;ROUND(AB739,12))</f>
        <v/>
      </c>
      <c r="AG739">
        <f>1+COUNTIF(bounds,"&lt;"&amp;ROUND(AE739,12))</f>
        <v/>
      </c>
      <c r="AH739">
        <f>IF(AD739&lt;1,1,0)</f>
        <v/>
      </c>
      <c r="AI739">
        <f>IF(AF739&lt;&gt;AG739,1,0)</f>
        <v/>
      </c>
      <c r="AJ739">
        <f>IF(AND(AG739&gt;=3,Z739&lt;=0.2),1,0)</f>
        <v/>
      </c>
      <c r="AK739">
        <f>AVERAGE(U739:Z739)</f>
        <v/>
      </c>
      <c r="AL739">
        <f>1+COUNTIF(bounds,"&lt;"&amp;ROUND(AK739,12))</f>
        <v/>
      </c>
      <c r="AM739">
        <f>IF(AI739=1,AB739,NA())</f>
        <v/>
      </c>
      <c r="AN739">
        <f>IF(AI739=0,AB739,NA())</f>
        <v/>
      </c>
    </row>
    <row r="740">
      <c r="A740" t="n">
        <v>732</v>
      </c>
      <c r="B740" t="n">
        <v>3</v>
      </c>
      <c r="C740" t="n">
        <v>3</v>
      </c>
      <c r="D740" t="n">
        <v>5</v>
      </c>
      <c r="E740" t="n">
        <v>4</v>
      </c>
      <c r="F740" t="n">
        <v>5</v>
      </c>
      <c r="G740" t="n">
        <v>1</v>
      </c>
      <c r="H740" t="n">
        <v>1</v>
      </c>
      <c r="I740" t="n">
        <v>2</v>
      </c>
      <c r="J740" t="n">
        <v>1</v>
      </c>
      <c r="K740" t="n">
        <v>4</v>
      </c>
      <c r="L740" t="n">
        <v>3</v>
      </c>
      <c r="M740" t="n">
        <v>1</v>
      </c>
      <c r="N740" t="n">
        <v>1</v>
      </c>
      <c r="O740" t="n">
        <v>5</v>
      </c>
      <c r="P740" t="n">
        <v>3</v>
      </c>
      <c r="Q740" t="n">
        <v>3</v>
      </c>
      <c r="R740" t="n">
        <v>1</v>
      </c>
      <c r="S740" t="n">
        <v>4</v>
      </c>
      <c r="T740" t="n">
        <v>2</v>
      </c>
      <c r="U740">
        <f>(AVERAGE(B740:D740)-1)/4</f>
        <v/>
      </c>
      <c r="V740">
        <f>(AVERAGE(E740:F740)-1)/4</f>
        <v/>
      </c>
      <c r="W740">
        <f>(AVERAGE(G740:I740)-1)/4</f>
        <v/>
      </c>
      <c r="X740">
        <f>(AVERAGE(J740:L740)-1)/4</f>
        <v/>
      </c>
      <c r="Y740">
        <f>(AVERAGE(M740:O740)-1)/4</f>
        <v/>
      </c>
      <c r="Z740">
        <f>(AVERAGE(P740:R740)-1)/4</f>
        <v/>
      </c>
      <c r="AA740">
        <f>(AVERAGE(S740:T740)-1)/4</f>
        <v/>
      </c>
      <c r="AB740">
        <f>AVERAGE(U740:Y740)</f>
        <v/>
      </c>
      <c r="AC740">
        <f>MIN(U740:Y740)</f>
        <v/>
      </c>
      <c r="AD740">
        <f>1-alpha*MAX(0,delta-AC740)</f>
        <v/>
      </c>
      <c r="AE740">
        <f>AB740*AD740</f>
        <v/>
      </c>
      <c r="AF740">
        <f>1+COUNTIF(bounds,"&lt;"&amp;ROUND(AB740,12))</f>
        <v/>
      </c>
      <c r="AG740">
        <f>1+COUNTIF(bounds,"&lt;"&amp;ROUND(AE740,12))</f>
        <v/>
      </c>
      <c r="AH740">
        <f>IF(AD740&lt;1,1,0)</f>
        <v/>
      </c>
      <c r="AI740">
        <f>IF(AF740&lt;&gt;AG740,1,0)</f>
        <v/>
      </c>
      <c r="AJ740">
        <f>IF(AND(AG740&gt;=3,Z740&lt;=0.2),1,0)</f>
        <v/>
      </c>
      <c r="AK740">
        <f>AVERAGE(U740:Z740)</f>
        <v/>
      </c>
      <c r="AL740">
        <f>1+COUNTIF(bounds,"&lt;"&amp;ROUND(AK740,12))</f>
        <v/>
      </c>
      <c r="AM740">
        <f>IF(AI740=1,AB740,NA())</f>
        <v/>
      </c>
      <c r="AN740">
        <f>IF(AI740=0,AB740,NA())</f>
        <v/>
      </c>
    </row>
    <row r="741">
      <c r="A741" t="n">
        <v>733</v>
      </c>
      <c r="B741" t="n">
        <v>1</v>
      </c>
      <c r="C741" t="n">
        <v>4</v>
      </c>
      <c r="D741" t="n">
        <v>5</v>
      </c>
      <c r="E741" t="n">
        <v>2</v>
      </c>
      <c r="F741" t="n">
        <v>2</v>
      </c>
      <c r="G741" t="n">
        <v>1</v>
      </c>
      <c r="H741" t="n">
        <v>1</v>
      </c>
      <c r="I741" t="n">
        <v>4</v>
      </c>
      <c r="J741" t="n">
        <v>4</v>
      </c>
      <c r="K741" t="n">
        <v>3</v>
      </c>
      <c r="L741" t="n">
        <v>5</v>
      </c>
      <c r="M741" t="n">
        <v>1</v>
      </c>
      <c r="N741" t="n">
        <v>5</v>
      </c>
      <c r="O741" t="n">
        <v>5</v>
      </c>
      <c r="P741" t="n">
        <v>4</v>
      </c>
      <c r="Q741" t="n">
        <v>3</v>
      </c>
      <c r="R741" t="n">
        <v>5</v>
      </c>
      <c r="S741" t="n">
        <v>5</v>
      </c>
      <c r="T741" t="n">
        <v>5</v>
      </c>
      <c r="U741">
        <f>(AVERAGE(B741:D741)-1)/4</f>
        <v/>
      </c>
      <c r="V741">
        <f>(AVERAGE(E741:F741)-1)/4</f>
        <v/>
      </c>
      <c r="W741">
        <f>(AVERAGE(G741:I741)-1)/4</f>
        <v/>
      </c>
      <c r="X741">
        <f>(AVERAGE(J741:L741)-1)/4</f>
        <v/>
      </c>
      <c r="Y741">
        <f>(AVERAGE(M741:O741)-1)/4</f>
        <v/>
      </c>
      <c r="Z741">
        <f>(AVERAGE(P741:R741)-1)/4</f>
        <v/>
      </c>
      <c r="AA741">
        <f>(AVERAGE(S741:T741)-1)/4</f>
        <v/>
      </c>
      <c r="AB741">
        <f>AVERAGE(U741:Y741)</f>
        <v/>
      </c>
      <c r="AC741">
        <f>MIN(U741:Y741)</f>
        <v/>
      </c>
      <c r="AD741">
        <f>1-alpha*MAX(0,delta-AC741)</f>
        <v/>
      </c>
      <c r="AE741">
        <f>AB741*AD741</f>
        <v/>
      </c>
      <c r="AF741">
        <f>1+COUNTIF(bounds,"&lt;"&amp;ROUND(AB741,12))</f>
        <v/>
      </c>
      <c r="AG741">
        <f>1+COUNTIF(bounds,"&lt;"&amp;ROUND(AE741,12))</f>
        <v/>
      </c>
      <c r="AH741">
        <f>IF(AD741&lt;1,1,0)</f>
        <v/>
      </c>
      <c r="AI741">
        <f>IF(AF741&lt;&gt;AG741,1,0)</f>
        <v/>
      </c>
      <c r="AJ741">
        <f>IF(AND(AG741&gt;=3,Z741&lt;=0.2),1,0)</f>
        <v/>
      </c>
      <c r="AK741">
        <f>AVERAGE(U741:Z741)</f>
        <v/>
      </c>
      <c r="AL741">
        <f>1+COUNTIF(bounds,"&lt;"&amp;ROUND(AK741,12))</f>
        <v/>
      </c>
      <c r="AM741">
        <f>IF(AI741=1,AB741,NA())</f>
        <v/>
      </c>
      <c r="AN741">
        <f>IF(AI741=0,AB741,NA())</f>
        <v/>
      </c>
    </row>
    <row r="742">
      <c r="A742" t="n">
        <v>734</v>
      </c>
      <c r="B742" t="n">
        <v>5</v>
      </c>
      <c r="C742" t="n">
        <v>1</v>
      </c>
      <c r="D742" t="n">
        <v>4</v>
      </c>
      <c r="E742" t="n">
        <v>5</v>
      </c>
      <c r="F742" t="n">
        <v>2</v>
      </c>
      <c r="G742" t="n">
        <v>3</v>
      </c>
      <c r="H742" t="n">
        <v>4</v>
      </c>
      <c r="I742" t="n">
        <v>4</v>
      </c>
      <c r="J742" t="n">
        <v>4</v>
      </c>
      <c r="K742" t="n">
        <v>3</v>
      </c>
      <c r="L742" t="n">
        <v>3</v>
      </c>
      <c r="M742" t="n">
        <v>1</v>
      </c>
      <c r="N742" t="n">
        <v>2</v>
      </c>
      <c r="O742" t="n">
        <v>5</v>
      </c>
      <c r="P742" t="n">
        <v>3</v>
      </c>
      <c r="Q742" t="n">
        <v>1</v>
      </c>
      <c r="R742" t="n">
        <v>1</v>
      </c>
      <c r="S742" t="n">
        <v>2</v>
      </c>
      <c r="T742" t="n">
        <v>5</v>
      </c>
      <c r="U742">
        <f>(AVERAGE(B742:D742)-1)/4</f>
        <v/>
      </c>
      <c r="V742">
        <f>(AVERAGE(E742:F742)-1)/4</f>
        <v/>
      </c>
      <c r="W742">
        <f>(AVERAGE(G742:I742)-1)/4</f>
        <v/>
      </c>
      <c r="X742">
        <f>(AVERAGE(J742:L742)-1)/4</f>
        <v/>
      </c>
      <c r="Y742">
        <f>(AVERAGE(M742:O742)-1)/4</f>
        <v/>
      </c>
      <c r="Z742">
        <f>(AVERAGE(P742:R742)-1)/4</f>
        <v/>
      </c>
      <c r="AA742">
        <f>(AVERAGE(S742:T742)-1)/4</f>
        <v/>
      </c>
      <c r="AB742">
        <f>AVERAGE(U742:Y742)</f>
        <v/>
      </c>
      <c r="AC742">
        <f>MIN(U742:Y742)</f>
        <v/>
      </c>
      <c r="AD742">
        <f>1-alpha*MAX(0,delta-AC742)</f>
        <v/>
      </c>
      <c r="AE742">
        <f>AB742*AD742</f>
        <v/>
      </c>
      <c r="AF742">
        <f>1+COUNTIF(bounds,"&lt;"&amp;ROUND(AB742,12))</f>
        <v/>
      </c>
      <c r="AG742">
        <f>1+COUNTIF(bounds,"&lt;"&amp;ROUND(AE742,12))</f>
        <v/>
      </c>
      <c r="AH742">
        <f>IF(AD742&lt;1,1,0)</f>
        <v/>
      </c>
      <c r="AI742">
        <f>IF(AF742&lt;&gt;AG742,1,0)</f>
        <v/>
      </c>
      <c r="AJ742">
        <f>IF(AND(AG742&gt;=3,Z742&lt;=0.2),1,0)</f>
        <v/>
      </c>
      <c r="AK742">
        <f>AVERAGE(U742:Z742)</f>
        <v/>
      </c>
      <c r="AL742">
        <f>1+COUNTIF(bounds,"&lt;"&amp;ROUND(AK742,12))</f>
        <v/>
      </c>
      <c r="AM742">
        <f>IF(AI742=1,AB742,NA())</f>
        <v/>
      </c>
      <c r="AN742">
        <f>IF(AI742=0,AB742,NA())</f>
        <v/>
      </c>
    </row>
    <row r="743">
      <c r="A743" t="n">
        <v>735</v>
      </c>
      <c r="B743" t="n">
        <v>3</v>
      </c>
      <c r="C743" t="n">
        <v>1</v>
      </c>
      <c r="D743" t="n">
        <v>4</v>
      </c>
      <c r="E743" t="n">
        <v>3</v>
      </c>
      <c r="F743" t="n">
        <v>3</v>
      </c>
      <c r="G743" t="n">
        <v>2</v>
      </c>
      <c r="H743" t="n">
        <v>2</v>
      </c>
      <c r="I743" t="n">
        <v>1</v>
      </c>
      <c r="J743" t="n">
        <v>4</v>
      </c>
      <c r="K743" t="n">
        <v>3</v>
      </c>
      <c r="L743" t="n">
        <v>3</v>
      </c>
      <c r="M743" t="n">
        <v>1</v>
      </c>
      <c r="N743" t="n">
        <v>3</v>
      </c>
      <c r="O743" t="n">
        <v>5</v>
      </c>
      <c r="P743" t="n">
        <v>2</v>
      </c>
      <c r="Q743" t="n">
        <v>1</v>
      </c>
      <c r="R743" t="n">
        <v>4</v>
      </c>
      <c r="S743" t="n">
        <v>3</v>
      </c>
      <c r="T743" t="n">
        <v>5</v>
      </c>
      <c r="U743">
        <f>(AVERAGE(B743:D743)-1)/4</f>
        <v/>
      </c>
      <c r="V743">
        <f>(AVERAGE(E743:F743)-1)/4</f>
        <v/>
      </c>
      <c r="W743">
        <f>(AVERAGE(G743:I743)-1)/4</f>
        <v/>
      </c>
      <c r="X743">
        <f>(AVERAGE(J743:L743)-1)/4</f>
        <v/>
      </c>
      <c r="Y743">
        <f>(AVERAGE(M743:O743)-1)/4</f>
        <v/>
      </c>
      <c r="Z743">
        <f>(AVERAGE(P743:R743)-1)/4</f>
        <v/>
      </c>
      <c r="AA743">
        <f>(AVERAGE(S743:T743)-1)/4</f>
        <v/>
      </c>
      <c r="AB743">
        <f>AVERAGE(U743:Y743)</f>
        <v/>
      </c>
      <c r="AC743">
        <f>MIN(U743:Y743)</f>
        <v/>
      </c>
      <c r="AD743">
        <f>1-alpha*MAX(0,delta-AC743)</f>
        <v/>
      </c>
      <c r="AE743">
        <f>AB743*AD743</f>
        <v/>
      </c>
      <c r="AF743">
        <f>1+COUNTIF(bounds,"&lt;"&amp;ROUND(AB743,12))</f>
        <v/>
      </c>
      <c r="AG743">
        <f>1+COUNTIF(bounds,"&lt;"&amp;ROUND(AE743,12))</f>
        <v/>
      </c>
      <c r="AH743">
        <f>IF(AD743&lt;1,1,0)</f>
        <v/>
      </c>
      <c r="AI743">
        <f>IF(AF743&lt;&gt;AG743,1,0)</f>
        <v/>
      </c>
      <c r="AJ743">
        <f>IF(AND(AG743&gt;=3,Z743&lt;=0.2),1,0)</f>
        <v/>
      </c>
      <c r="AK743">
        <f>AVERAGE(U743:Z743)</f>
        <v/>
      </c>
      <c r="AL743">
        <f>1+COUNTIF(bounds,"&lt;"&amp;ROUND(AK743,12))</f>
        <v/>
      </c>
      <c r="AM743">
        <f>IF(AI743=1,AB743,NA())</f>
        <v/>
      </c>
      <c r="AN743">
        <f>IF(AI743=0,AB743,NA())</f>
        <v/>
      </c>
    </row>
    <row r="744">
      <c r="A744" t="n">
        <v>736</v>
      </c>
      <c r="B744" t="n">
        <v>3</v>
      </c>
      <c r="C744" t="n">
        <v>3</v>
      </c>
      <c r="D744" t="n">
        <v>2</v>
      </c>
      <c r="E744" t="n">
        <v>4</v>
      </c>
      <c r="F744" t="n">
        <v>1</v>
      </c>
      <c r="G744" t="n">
        <v>2</v>
      </c>
      <c r="H744" t="n">
        <v>2</v>
      </c>
      <c r="I744" t="n">
        <v>2</v>
      </c>
      <c r="J744" t="n">
        <v>1</v>
      </c>
      <c r="K744" t="n">
        <v>4</v>
      </c>
      <c r="L744" t="n">
        <v>3</v>
      </c>
      <c r="M744" t="n">
        <v>1</v>
      </c>
      <c r="N744" t="n">
        <v>3</v>
      </c>
      <c r="O744" t="n">
        <v>1</v>
      </c>
      <c r="P744" t="n">
        <v>2</v>
      </c>
      <c r="Q744" t="n">
        <v>1</v>
      </c>
      <c r="R744" t="n">
        <v>5</v>
      </c>
      <c r="S744" t="n">
        <v>3</v>
      </c>
      <c r="T744" t="n">
        <v>1</v>
      </c>
      <c r="U744">
        <f>(AVERAGE(B744:D744)-1)/4</f>
        <v/>
      </c>
      <c r="V744">
        <f>(AVERAGE(E744:F744)-1)/4</f>
        <v/>
      </c>
      <c r="W744">
        <f>(AVERAGE(G744:I744)-1)/4</f>
        <v/>
      </c>
      <c r="X744">
        <f>(AVERAGE(J744:L744)-1)/4</f>
        <v/>
      </c>
      <c r="Y744">
        <f>(AVERAGE(M744:O744)-1)/4</f>
        <v/>
      </c>
      <c r="Z744">
        <f>(AVERAGE(P744:R744)-1)/4</f>
        <v/>
      </c>
      <c r="AA744">
        <f>(AVERAGE(S744:T744)-1)/4</f>
        <v/>
      </c>
      <c r="AB744">
        <f>AVERAGE(U744:Y744)</f>
        <v/>
      </c>
      <c r="AC744">
        <f>MIN(U744:Y744)</f>
        <v/>
      </c>
      <c r="AD744">
        <f>1-alpha*MAX(0,delta-AC744)</f>
        <v/>
      </c>
      <c r="AE744">
        <f>AB744*AD744</f>
        <v/>
      </c>
      <c r="AF744">
        <f>1+COUNTIF(bounds,"&lt;"&amp;ROUND(AB744,12))</f>
        <v/>
      </c>
      <c r="AG744">
        <f>1+COUNTIF(bounds,"&lt;"&amp;ROUND(AE744,12))</f>
        <v/>
      </c>
      <c r="AH744">
        <f>IF(AD744&lt;1,1,0)</f>
        <v/>
      </c>
      <c r="AI744">
        <f>IF(AF744&lt;&gt;AG744,1,0)</f>
        <v/>
      </c>
      <c r="AJ744">
        <f>IF(AND(AG744&gt;=3,Z744&lt;=0.2),1,0)</f>
        <v/>
      </c>
      <c r="AK744">
        <f>AVERAGE(U744:Z744)</f>
        <v/>
      </c>
      <c r="AL744">
        <f>1+COUNTIF(bounds,"&lt;"&amp;ROUND(AK744,12))</f>
        <v/>
      </c>
      <c r="AM744">
        <f>IF(AI744=1,AB744,NA())</f>
        <v/>
      </c>
      <c r="AN744">
        <f>IF(AI744=0,AB744,NA())</f>
        <v/>
      </c>
    </row>
    <row r="745">
      <c r="A745" t="n">
        <v>737</v>
      </c>
      <c r="B745" t="n">
        <v>2</v>
      </c>
      <c r="C745" t="n">
        <v>5</v>
      </c>
      <c r="D745" t="n">
        <v>5</v>
      </c>
      <c r="E745" t="n">
        <v>1</v>
      </c>
      <c r="F745" t="n">
        <v>4</v>
      </c>
      <c r="G745" t="n">
        <v>4</v>
      </c>
      <c r="H745" t="n">
        <v>4</v>
      </c>
      <c r="I745" t="n">
        <v>3</v>
      </c>
      <c r="J745" t="n">
        <v>5</v>
      </c>
      <c r="K745" t="n">
        <v>1</v>
      </c>
      <c r="L745" t="n">
        <v>5</v>
      </c>
      <c r="M745" t="n">
        <v>5</v>
      </c>
      <c r="N745" t="n">
        <v>2</v>
      </c>
      <c r="O745" t="n">
        <v>4</v>
      </c>
      <c r="P745" t="n">
        <v>4</v>
      </c>
      <c r="Q745" t="n">
        <v>2</v>
      </c>
      <c r="R745" t="n">
        <v>2</v>
      </c>
      <c r="S745" t="n">
        <v>1</v>
      </c>
      <c r="T745" t="n">
        <v>1</v>
      </c>
      <c r="U745">
        <f>(AVERAGE(B745:D745)-1)/4</f>
        <v/>
      </c>
      <c r="V745">
        <f>(AVERAGE(E745:F745)-1)/4</f>
        <v/>
      </c>
      <c r="W745">
        <f>(AVERAGE(G745:I745)-1)/4</f>
        <v/>
      </c>
      <c r="X745">
        <f>(AVERAGE(J745:L745)-1)/4</f>
        <v/>
      </c>
      <c r="Y745">
        <f>(AVERAGE(M745:O745)-1)/4</f>
        <v/>
      </c>
      <c r="Z745">
        <f>(AVERAGE(P745:R745)-1)/4</f>
        <v/>
      </c>
      <c r="AA745">
        <f>(AVERAGE(S745:T745)-1)/4</f>
        <v/>
      </c>
      <c r="AB745">
        <f>AVERAGE(U745:Y745)</f>
        <v/>
      </c>
      <c r="AC745">
        <f>MIN(U745:Y745)</f>
        <v/>
      </c>
      <c r="AD745">
        <f>1-alpha*MAX(0,delta-AC745)</f>
        <v/>
      </c>
      <c r="AE745">
        <f>AB745*AD745</f>
        <v/>
      </c>
      <c r="AF745">
        <f>1+COUNTIF(bounds,"&lt;"&amp;ROUND(AB745,12))</f>
        <v/>
      </c>
      <c r="AG745">
        <f>1+COUNTIF(bounds,"&lt;"&amp;ROUND(AE745,12))</f>
        <v/>
      </c>
      <c r="AH745">
        <f>IF(AD745&lt;1,1,0)</f>
        <v/>
      </c>
      <c r="AI745">
        <f>IF(AF745&lt;&gt;AG745,1,0)</f>
        <v/>
      </c>
      <c r="AJ745">
        <f>IF(AND(AG745&gt;=3,Z745&lt;=0.2),1,0)</f>
        <v/>
      </c>
      <c r="AK745">
        <f>AVERAGE(U745:Z745)</f>
        <v/>
      </c>
      <c r="AL745">
        <f>1+COUNTIF(bounds,"&lt;"&amp;ROUND(AK745,12))</f>
        <v/>
      </c>
      <c r="AM745">
        <f>IF(AI745=1,AB745,NA())</f>
        <v/>
      </c>
      <c r="AN745">
        <f>IF(AI745=0,AB745,NA())</f>
        <v/>
      </c>
    </row>
    <row r="746">
      <c r="A746" t="n">
        <v>738</v>
      </c>
      <c r="B746" t="n">
        <v>1</v>
      </c>
      <c r="C746" t="n">
        <v>3</v>
      </c>
      <c r="D746" t="n">
        <v>1</v>
      </c>
      <c r="E746" t="n">
        <v>3</v>
      </c>
      <c r="F746" t="n">
        <v>5</v>
      </c>
      <c r="G746" t="n">
        <v>2</v>
      </c>
      <c r="H746" t="n">
        <v>3</v>
      </c>
      <c r="I746" t="n">
        <v>2</v>
      </c>
      <c r="J746" t="n">
        <v>1</v>
      </c>
      <c r="K746" t="n">
        <v>1</v>
      </c>
      <c r="L746" t="n">
        <v>1</v>
      </c>
      <c r="M746" t="n">
        <v>2</v>
      </c>
      <c r="N746" t="n">
        <v>2</v>
      </c>
      <c r="O746" t="n">
        <v>5</v>
      </c>
      <c r="P746" t="n">
        <v>3</v>
      </c>
      <c r="Q746" t="n">
        <v>4</v>
      </c>
      <c r="R746" t="n">
        <v>3</v>
      </c>
      <c r="S746" t="n">
        <v>3</v>
      </c>
      <c r="T746" t="n">
        <v>2</v>
      </c>
      <c r="U746">
        <f>(AVERAGE(B746:D746)-1)/4</f>
        <v/>
      </c>
      <c r="V746">
        <f>(AVERAGE(E746:F746)-1)/4</f>
        <v/>
      </c>
      <c r="W746">
        <f>(AVERAGE(G746:I746)-1)/4</f>
        <v/>
      </c>
      <c r="X746">
        <f>(AVERAGE(J746:L746)-1)/4</f>
        <v/>
      </c>
      <c r="Y746">
        <f>(AVERAGE(M746:O746)-1)/4</f>
        <v/>
      </c>
      <c r="Z746">
        <f>(AVERAGE(P746:R746)-1)/4</f>
        <v/>
      </c>
      <c r="AA746">
        <f>(AVERAGE(S746:T746)-1)/4</f>
        <v/>
      </c>
      <c r="AB746">
        <f>AVERAGE(U746:Y746)</f>
        <v/>
      </c>
      <c r="AC746">
        <f>MIN(U746:Y746)</f>
        <v/>
      </c>
      <c r="AD746">
        <f>1-alpha*MAX(0,delta-AC746)</f>
        <v/>
      </c>
      <c r="AE746">
        <f>AB746*AD746</f>
        <v/>
      </c>
      <c r="AF746">
        <f>1+COUNTIF(bounds,"&lt;"&amp;ROUND(AB746,12))</f>
        <v/>
      </c>
      <c r="AG746">
        <f>1+COUNTIF(bounds,"&lt;"&amp;ROUND(AE746,12))</f>
        <v/>
      </c>
      <c r="AH746">
        <f>IF(AD746&lt;1,1,0)</f>
        <v/>
      </c>
      <c r="AI746">
        <f>IF(AF746&lt;&gt;AG746,1,0)</f>
        <v/>
      </c>
      <c r="AJ746">
        <f>IF(AND(AG746&gt;=3,Z746&lt;=0.2),1,0)</f>
        <v/>
      </c>
      <c r="AK746">
        <f>AVERAGE(U746:Z746)</f>
        <v/>
      </c>
      <c r="AL746">
        <f>1+COUNTIF(bounds,"&lt;"&amp;ROUND(AK746,12))</f>
        <v/>
      </c>
      <c r="AM746">
        <f>IF(AI746=1,AB746,NA())</f>
        <v/>
      </c>
      <c r="AN746">
        <f>IF(AI746=0,AB746,NA())</f>
        <v/>
      </c>
    </row>
    <row r="747">
      <c r="A747" t="n">
        <v>739</v>
      </c>
      <c r="B747" t="n">
        <v>1</v>
      </c>
      <c r="C747" t="n">
        <v>1</v>
      </c>
      <c r="D747" t="n">
        <v>4</v>
      </c>
      <c r="E747" t="n">
        <v>4</v>
      </c>
      <c r="F747" t="n">
        <v>3</v>
      </c>
      <c r="G747" t="n">
        <v>1</v>
      </c>
      <c r="H747" t="n">
        <v>4</v>
      </c>
      <c r="I747" t="n">
        <v>5</v>
      </c>
      <c r="J747" t="n">
        <v>5</v>
      </c>
      <c r="K747" t="n">
        <v>2</v>
      </c>
      <c r="L747" t="n">
        <v>5</v>
      </c>
      <c r="M747" t="n">
        <v>5</v>
      </c>
      <c r="N747" t="n">
        <v>2</v>
      </c>
      <c r="O747" t="n">
        <v>1</v>
      </c>
      <c r="P747" t="n">
        <v>5</v>
      </c>
      <c r="Q747" t="n">
        <v>5</v>
      </c>
      <c r="R747" t="n">
        <v>2</v>
      </c>
      <c r="S747" t="n">
        <v>1</v>
      </c>
      <c r="T747" t="n">
        <v>4</v>
      </c>
      <c r="U747">
        <f>(AVERAGE(B747:D747)-1)/4</f>
        <v/>
      </c>
      <c r="V747">
        <f>(AVERAGE(E747:F747)-1)/4</f>
        <v/>
      </c>
      <c r="W747">
        <f>(AVERAGE(G747:I747)-1)/4</f>
        <v/>
      </c>
      <c r="X747">
        <f>(AVERAGE(J747:L747)-1)/4</f>
        <v/>
      </c>
      <c r="Y747">
        <f>(AVERAGE(M747:O747)-1)/4</f>
        <v/>
      </c>
      <c r="Z747">
        <f>(AVERAGE(P747:R747)-1)/4</f>
        <v/>
      </c>
      <c r="AA747">
        <f>(AVERAGE(S747:T747)-1)/4</f>
        <v/>
      </c>
      <c r="AB747">
        <f>AVERAGE(U747:Y747)</f>
        <v/>
      </c>
      <c r="AC747">
        <f>MIN(U747:Y747)</f>
        <v/>
      </c>
      <c r="AD747">
        <f>1-alpha*MAX(0,delta-AC747)</f>
        <v/>
      </c>
      <c r="AE747">
        <f>AB747*AD747</f>
        <v/>
      </c>
      <c r="AF747">
        <f>1+COUNTIF(bounds,"&lt;"&amp;ROUND(AB747,12))</f>
        <v/>
      </c>
      <c r="AG747">
        <f>1+COUNTIF(bounds,"&lt;"&amp;ROUND(AE747,12))</f>
        <v/>
      </c>
      <c r="AH747">
        <f>IF(AD747&lt;1,1,0)</f>
        <v/>
      </c>
      <c r="AI747">
        <f>IF(AF747&lt;&gt;AG747,1,0)</f>
        <v/>
      </c>
      <c r="AJ747">
        <f>IF(AND(AG747&gt;=3,Z747&lt;=0.2),1,0)</f>
        <v/>
      </c>
      <c r="AK747">
        <f>AVERAGE(U747:Z747)</f>
        <v/>
      </c>
      <c r="AL747">
        <f>1+COUNTIF(bounds,"&lt;"&amp;ROUND(AK747,12))</f>
        <v/>
      </c>
      <c r="AM747">
        <f>IF(AI747=1,AB747,NA())</f>
        <v/>
      </c>
      <c r="AN747">
        <f>IF(AI747=0,AB747,NA())</f>
        <v/>
      </c>
    </row>
    <row r="748">
      <c r="A748" t="n">
        <v>740</v>
      </c>
      <c r="B748" t="n">
        <v>4</v>
      </c>
      <c r="C748" t="n">
        <v>3</v>
      </c>
      <c r="D748" t="n">
        <v>1</v>
      </c>
      <c r="E748" t="n">
        <v>2</v>
      </c>
      <c r="F748" t="n">
        <v>2</v>
      </c>
      <c r="G748" t="n">
        <v>5</v>
      </c>
      <c r="H748" t="n">
        <v>5</v>
      </c>
      <c r="I748" t="n">
        <v>1</v>
      </c>
      <c r="J748" t="n">
        <v>3</v>
      </c>
      <c r="K748" t="n">
        <v>2</v>
      </c>
      <c r="L748" t="n">
        <v>5</v>
      </c>
      <c r="M748" t="n">
        <v>4</v>
      </c>
      <c r="N748" t="n">
        <v>1</v>
      </c>
      <c r="O748" t="n">
        <v>2</v>
      </c>
      <c r="P748" t="n">
        <v>1</v>
      </c>
      <c r="Q748" t="n">
        <v>1</v>
      </c>
      <c r="R748" t="n">
        <v>1</v>
      </c>
      <c r="S748" t="n">
        <v>3</v>
      </c>
      <c r="T748" t="n">
        <v>2</v>
      </c>
      <c r="U748">
        <f>(AVERAGE(B748:D748)-1)/4</f>
        <v/>
      </c>
      <c r="V748">
        <f>(AVERAGE(E748:F748)-1)/4</f>
        <v/>
      </c>
      <c r="W748">
        <f>(AVERAGE(G748:I748)-1)/4</f>
        <v/>
      </c>
      <c r="X748">
        <f>(AVERAGE(J748:L748)-1)/4</f>
        <v/>
      </c>
      <c r="Y748">
        <f>(AVERAGE(M748:O748)-1)/4</f>
        <v/>
      </c>
      <c r="Z748">
        <f>(AVERAGE(P748:R748)-1)/4</f>
        <v/>
      </c>
      <c r="AA748">
        <f>(AVERAGE(S748:T748)-1)/4</f>
        <v/>
      </c>
      <c r="AB748">
        <f>AVERAGE(U748:Y748)</f>
        <v/>
      </c>
      <c r="AC748">
        <f>MIN(U748:Y748)</f>
        <v/>
      </c>
      <c r="AD748">
        <f>1-alpha*MAX(0,delta-AC748)</f>
        <v/>
      </c>
      <c r="AE748">
        <f>AB748*AD748</f>
        <v/>
      </c>
      <c r="AF748">
        <f>1+COUNTIF(bounds,"&lt;"&amp;ROUND(AB748,12))</f>
        <v/>
      </c>
      <c r="AG748">
        <f>1+COUNTIF(bounds,"&lt;"&amp;ROUND(AE748,12))</f>
        <v/>
      </c>
      <c r="AH748">
        <f>IF(AD748&lt;1,1,0)</f>
        <v/>
      </c>
      <c r="AI748">
        <f>IF(AF748&lt;&gt;AG748,1,0)</f>
        <v/>
      </c>
      <c r="AJ748">
        <f>IF(AND(AG748&gt;=3,Z748&lt;=0.2),1,0)</f>
        <v/>
      </c>
      <c r="AK748">
        <f>AVERAGE(U748:Z748)</f>
        <v/>
      </c>
      <c r="AL748">
        <f>1+COUNTIF(bounds,"&lt;"&amp;ROUND(AK748,12))</f>
        <v/>
      </c>
      <c r="AM748">
        <f>IF(AI748=1,AB748,NA())</f>
        <v/>
      </c>
      <c r="AN748">
        <f>IF(AI748=0,AB748,NA())</f>
        <v/>
      </c>
    </row>
    <row r="749">
      <c r="A749" t="n">
        <v>741</v>
      </c>
      <c r="B749" t="n">
        <v>1</v>
      </c>
      <c r="C749" t="n">
        <v>1</v>
      </c>
      <c r="D749" t="n">
        <v>5</v>
      </c>
      <c r="E749" t="n">
        <v>3</v>
      </c>
      <c r="F749" t="n">
        <v>3</v>
      </c>
      <c r="G749" t="n">
        <v>1</v>
      </c>
      <c r="H749" t="n">
        <v>4</v>
      </c>
      <c r="I749" t="n">
        <v>1</v>
      </c>
      <c r="J749" t="n">
        <v>4</v>
      </c>
      <c r="K749" t="n">
        <v>5</v>
      </c>
      <c r="L749" t="n">
        <v>4</v>
      </c>
      <c r="M749" t="n">
        <v>2</v>
      </c>
      <c r="N749" t="n">
        <v>2</v>
      </c>
      <c r="O749" t="n">
        <v>2</v>
      </c>
      <c r="P749" t="n">
        <v>4</v>
      </c>
      <c r="Q749" t="n">
        <v>5</v>
      </c>
      <c r="R749" t="n">
        <v>1</v>
      </c>
      <c r="S749" t="n">
        <v>3</v>
      </c>
      <c r="T749" t="n">
        <v>4</v>
      </c>
      <c r="U749">
        <f>(AVERAGE(B749:D749)-1)/4</f>
        <v/>
      </c>
      <c r="V749">
        <f>(AVERAGE(E749:F749)-1)/4</f>
        <v/>
      </c>
      <c r="W749">
        <f>(AVERAGE(G749:I749)-1)/4</f>
        <v/>
      </c>
      <c r="X749">
        <f>(AVERAGE(J749:L749)-1)/4</f>
        <v/>
      </c>
      <c r="Y749">
        <f>(AVERAGE(M749:O749)-1)/4</f>
        <v/>
      </c>
      <c r="Z749">
        <f>(AVERAGE(P749:R749)-1)/4</f>
        <v/>
      </c>
      <c r="AA749">
        <f>(AVERAGE(S749:T749)-1)/4</f>
        <v/>
      </c>
      <c r="AB749">
        <f>AVERAGE(U749:Y749)</f>
        <v/>
      </c>
      <c r="AC749">
        <f>MIN(U749:Y749)</f>
        <v/>
      </c>
      <c r="AD749">
        <f>1-alpha*MAX(0,delta-AC749)</f>
        <v/>
      </c>
      <c r="AE749">
        <f>AB749*AD749</f>
        <v/>
      </c>
      <c r="AF749">
        <f>1+COUNTIF(bounds,"&lt;"&amp;ROUND(AB749,12))</f>
        <v/>
      </c>
      <c r="AG749">
        <f>1+COUNTIF(bounds,"&lt;"&amp;ROUND(AE749,12))</f>
        <v/>
      </c>
      <c r="AH749">
        <f>IF(AD749&lt;1,1,0)</f>
        <v/>
      </c>
      <c r="AI749">
        <f>IF(AF749&lt;&gt;AG749,1,0)</f>
        <v/>
      </c>
      <c r="AJ749">
        <f>IF(AND(AG749&gt;=3,Z749&lt;=0.2),1,0)</f>
        <v/>
      </c>
      <c r="AK749">
        <f>AVERAGE(U749:Z749)</f>
        <v/>
      </c>
      <c r="AL749">
        <f>1+COUNTIF(bounds,"&lt;"&amp;ROUND(AK749,12))</f>
        <v/>
      </c>
      <c r="AM749">
        <f>IF(AI749=1,AB749,NA())</f>
        <v/>
      </c>
      <c r="AN749">
        <f>IF(AI749=0,AB749,NA())</f>
        <v/>
      </c>
    </row>
    <row r="750">
      <c r="A750" t="n">
        <v>742</v>
      </c>
      <c r="B750" t="n">
        <v>2</v>
      </c>
      <c r="C750" t="n">
        <v>1</v>
      </c>
      <c r="D750" t="n">
        <v>5</v>
      </c>
      <c r="E750" t="n">
        <v>4</v>
      </c>
      <c r="F750" t="n">
        <v>1</v>
      </c>
      <c r="G750" t="n">
        <v>3</v>
      </c>
      <c r="H750" t="n">
        <v>4</v>
      </c>
      <c r="I750" t="n">
        <v>1</v>
      </c>
      <c r="J750" t="n">
        <v>3</v>
      </c>
      <c r="K750" t="n">
        <v>1</v>
      </c>
      <c r="L750" t="n">
        <v>4</v>
      </c>
      <c r="M750" t="n">
        <v>1</v>
      </c>
      <c r="N750" t="n">
        <v>4</v>
      </c>
      <c r="O750" t="n">
        <v>4</v>
      </c>
      <c r="P750" t="n">
        <v>1</v>
      </c>
      <c r="Q750" t="n">
        <v>5</v>
      </c>
      <c r="R750" t="n">
        <v>4</v>
      </c>
      <c r="S750" t="n">
        <v>3</v>
      </c>
      <c r="T750" t="n">
        <v>1</v>
      </c>
      <c r="U750">
        <f>(AVERAGE(B750:D750)-1)/4</f>
        <v/>
      </c>
      <c r="V750">
        <f>(AVERAGE(E750:F750)-1)/4</f>
        <v/>
      </c>
      <c r="W750">
        <f>(AVERAGE(G750:I750)-1)/4</f>
        <v/>
      </c>
      <c r="X750">
        <f>(AVERAGE(J750:L750)-1)/4</f>
        <v/>
      </c>
      <c r="Y750">
        <f>(AVERAGE(M750:O750)-1)/4</f>
        <v/>
      </c>
      <c r="Z750">
        <f>(AVERAGE(P750:R750)-1)/4</f>
        <v/>
      </c>
      <c r="AA750">
        <f>(AVERAGE(S750:T750)-1)/4</f>
        <v/>
      </c>
      <c r="AB750">
        <f>AVERAGE(U750:Y750)</f>
        <v/>
      </c>
      <c r="AC750">
        <f>MIN(U750:Y750)</f>
        <v/>
      </c>
      <c r="AD750">
        <f>1-alpha*MAX(0,delta-AC750)</f>
        <v/>
      </c>
      <c r="AE750">
        <f>AB750*AD750</f>
        <v/>
      </c>
      <c r="AF750">
        <f>1+COUNTIF(bounds,"&lt;"&amp;ROUND(AB750,12))</f>
        <v/>
      </c>
      <c r="AG750">
        <f>1+COUNTIF(bounds,"&lt;"&amp;ROUND(AE750,12))</f>
        <v/>
      </c>
      <c r="AH750">
        <f>IF(AD750&lt;1,1,0)</f>
        <v/>
      </c>
      <c r="AI750">
        <f>IF(AF750&lt;&gt;AG750,1,0)</f>
        <v/>
      </c>
      <c r="AJ750">
        <f>IF(AND(AG750&gt;=3,Z750&lt;=0.2),1,0)</f>
        <v/>
      </c>
      <c r="AK750">
        <f>AVERAGE(U750:Z750)</f>
        <v/>
      </c>
      <c r="AL750">
        <f>1+COUNTIF(bounds,"&lt;"&amp;ROUND(AK750,12))</f>
        <v/>
      </c>
      <c r="AM750">
        <f>IF(AI750=1,AB750,NA())</f>
        <v/>
      </c>
      <c r="AN750">
        <f>IF(AI750=0,AB750,NA())</f>
        <v/>
      </c>
    </row>
    <row r="751">
      <c r="A751" t="n">
        <v>743</v>
      </c>
      <c r="B751" t="n">
        <v>5</v>
      </c>
      <c r="C751" t="n">
        <v>3</v>
      </c>
      <c r="D751" t="n">
        <v>2</v>
      </c>
      <c r="E751" t="n">
        <v>2</v>
      </c>
      <c r="F751" t="n">
        <v>1</v>
      </c>
      <c r="G751" t="n">
        <v>4</v>
      </c>
      <c r="H751" t="n">
        <v>1</v>
      </c>
      <c r="I751" t="n">
        <v>3</v>
      </c>
      <c r="J751" t="n">
        <v>2</v>
      </c>
      <c r="K751" t="n">
        <v>2</v>
      </c>
      <c r="L751" t="n">
        <v>3</v>
      </c>
      <c r="M751" t="n">
        <v>2</v>
      </c>
      <c r="N751" t="n">
        <v>2</v>
      </c>
      <c r="O751" t="n">
        <v>1</v>
      </c>
      <c r="P751" t="n">
        <v>3</v>
      </c>
      <c r="Q751" t="n">
        <v>4</v>
      </c>
      <c r="R751" t="n">
        <v>3</v>
      </c>
      <c r="S751" t="n">
        <v>2</v>
      </c>
      <c r="T751" t="n">
        <v>2</v>
      </c>
      <c r="U751">
        <f>(AVERAGE(B751:D751)-1)/4</f>
        <v/>
      </c>
      <c r="V751">
        <f>(AVERAGE(E751:F751)-1)/4</f>
        <v/>
      </c>
      <c r="W751">
        <f>(AVERAGE(G751:I751)-1)/4</f>
        <v/>
      </c>
      <c r="X751">
        <f>(AVERAGE(J751:L751)-1)/4</f>
        <v/>
      </c>
      <c r="Y751">
        <f>(AVERAGE(M751:O751)-1)/4</f>
        <v/>
      </c>
      <c r="Z751">
        <f>(AVERAGE(P751:R751)-1)/4</f>
        <v/>
      </c>
      <c r="AA751">
        <f>(AVERAGE(S751:T751)-1)/4</f>
        <v/>
      </c>
      <c r="AB751">
        <f>AVERAGE(U751:Y751)</f>
        <v/>
      </c>
      <c r="AC751">
        <f>MIN(U751:Y751)</f>
        <v/>
      </c>
      <c r="AD751">
        <f>1-alpha*MAX(0,delta-AC751)</f>
        <v/>
      </c>
      <c r="AE751">
        <f>AB751*AD751</f>
        <v/>
      </c>
      <c r="AF751">
        <f>1+COUNTIF(bounds,"&lt;"&amp;ROUND(AB751,12))</f>
        <v/>
      </c>
      <c r="AG751">
        <f>1+COUNTIF(bounds,"&lt;"&amp;ROUND(AE751,12))</f>
        <v/>
      </c>
      <c r="AH751">
        <f>IF(AD751&lt;1,1,0)</f>
        <v/>
      </c>
      <c r="AI751">
        <f>IF(AF751&lt;&gt;AG751,1,0)</f>
        <v/>
      </c>
      <c r="AJ751">
        <f>IF(AND(AG751&gt;=3,Z751&lt;=0.2),1,0)</f>
        <v/>
      </c>
      <c r="AK751">
        <f>AVERAGE(U751:Z751)</f>
        <v/>
      </c>
      <c r="AL751">
        <f>1+COUNTIF(bounds,"&lt;"&amp;ROUND(AK751,12))</f>
        <v/>
      </c>
      <c r="AM751">
        <f>IF(AI751=1,AB751,NA())</f>
        <v/>
      </c>
      <c r="AN751">
        <f>IF(AI751=0,AB751,NA())</f>
        <v/>
      </c>
    </row>
    <row r="752">
      <c r="A752" t="n">
        <v>744</v>
      </c>
      <c r="B752" t="n">
        <v>2</v>
      </c>
      <c r="C752" t="n">
        <v>3</v>
      </c>
      <c r="D752" t="n">
        <v>2</v>
      </c>
      <c r="E752" t="n">
        <v>5</v>
      </c>
      <c r="F752" t="n">
        <v>5</v>
      </c>
      <c r="G752" t="n">
        <v>5</v>
      </c>
      <c r="H752" t="n">
        <v>2</v>
      </c>
      <c r="I752" t="n">
        <v>3</v>
      </c>
      <c r="J752" t="n">
        <v>5</v>
      </c>
      <c r="K752" t="n">
        <v>2</v>
      </c>
      <c r="L752" t="n">
        <v>2</v>
      </c>
      <c r="M752" t="n">
        <v>1</v>
      </c>
      <c r="N752" t="n">
        <v>4</v>
      </c>
      <c r="O752" t="n">
        <v>3</v>
      </c>
      <c r="P752" t="n">
        <v>2</v>
      </c>
      <c r="Q752" t="n">
        <v>4</v>
      </c>
      <c r="R752" t="n">
        <v>4</v>
      </c>
      <c r="S752" t="n">
        <v>1</v>
      </c>
      <c r="T752" t="n">
        <v>1</v>
      </c>
      <c r="U752">
        <f>(AVERAGE(B752:D752)-1)/4</f>
        <v/>
      </c>
      <c r="V752">
        <f>(AVERAGE(E752:F752)-1)/4</f>
        <v/>
      </c>
      <c r="W752">
        <f>(AVERAGE(G752:I752)-1)/4</f>
        <v/>
      </c>
      <c r="X752">
        <f>(AVERAGE(J752:L752)-1)/4</f>
        <v/>
      </c>
      <c r="Y752">
        <f>(AVERAGE(M752:O752)-1)/4</f>
        <v/>
      </c>
      <c r="Z752">
        <f>(AVERAGE(P752:R752)-1)/4</f>
        <v/>
      </c>
      <c r="AA752">
        <f>(AVERAGE(S752:T752)-1)/4</f>
        <v/>
      </c>
      <c r="AB752">
        <f>AVERAGE(U752:Y752)</f>
        <v/>
      </c>
      <c r="AC752">
        <f>MIN(U752:Y752)</f>
        <v/>
      </c>
      <c r="AD752">
        <f>1-alpha*MAX(0,delta-AC752)</f>
        <v/>
      </c>
      <c r="AE752">
        <f>AB752*AD752</f>
        <v/>
      </c>
      <c r="AF752">
        <f>1+COUNTIF(bounds,"&lt;"&amp;ROUND(AB752,12))</f>
        <v/>
      </c>
      <c r="AG752">
        <f>1+COUNTIF(bounds,"&lt;"&amp;ROUND(AE752,12))</f>
        <v/>
      </c>
      <c r="AH752">
        <f>IF(AD752&lt;1,1,0)</f>
        <v/>
      </c>
      <c r="AI752">
        <f>IF(AF752&lt;&gt;AG752,1,0)</f>
        <v/>
      </c>
      <c r="AJ752">
        <f>IF(AND(AG752&gt;=3,Z752&lt;=0.2),1,0)</f>
        <v/>
      </c>
      <c r="AK752">
        <f>AVERAGE(U752:Z752)</f>
        <v/>
      </c>
      <c r="AL752">
        <f>1+COUNTIF(bounds,"&lt;"&amp;ROUND(AK752,12))</f>
        <v/>
      </c>
      <c r="AM752">
        <f>IF(AI752=1,AB752,NA())</f>
        <v/>
      </c>
      <c r="AN752">
        <f>IF(AI752=0,AB752,NA())</f>
        <v/>
      </c>
    </row>
    <row r="753">
      <c r="A753" t="n">
        <v>745</v>
      </c>
      <c r="B753" t="n">
        <v>2</v>
      </c>
      <c r="C753" t="n">
        <v>5</v>
      </c>
      <c r="D753" t="n">
        <v>1</v>
      </c>
      <c r="E753" t="n">
        <v>5</v>
      </c>
      <c r="F753" t="n">
        <v>1</v>
      </c>
      <c r="G753" t="n">
        <v>1</v>
      </c>
      <c r="H753" t="n">
        <v>1</v>
      </c>
      <c r="I753" t="n">
        <v>1</v>
      </c>
      <c r="J753" t="n">
        <v>4</v>
      </c>
      <c r="K753" t="n">
        <v>3</v>
      </c>
      <c r="L753" t="n">
        <v>3</v>
      </c>
      <c r="M753" t="n">
        <v>5</v>
      </c>
      <c r="N753" t="n">
        <v>1</v>
      </c>
      <c r="O753" t="n">
        <v>1</v>
      </c>
      <c r="P753" t="n">
        <v>3</v>
      </c>
      <c r="Q753" t="n">
        <v>2</v>
      </c>
      <c r="R753" t="n">
        <v>1</v>
      </c>
      <c r="S753" t="n">
        <v>2</v>
      </c>
      <c r="T753" t="n">
        <v>4</v>
      </c>
      <c r="U753">
        <f>(AVERAGE(B753:D753)-1)/4</f>
        <v/>
      </c>
      <c r="V753">
        <f>(AVERAGE(E753:F753)-1)/4</f>
        <v/>
      </c>
      <c r="W753">
        <f>(AVERAGE(G753:I753)-1)/4</f>
        <v/>
      </c>
      <c r="X753">
        <f>(AVERAGE(J753:L753)-1)/4</f>
        <v/>
      </c>
      <c r="Y753">
        <f>(AVERAGE(M753:O753)-1)/4</f>
        <v/>
      </c>
      <c r="Z753">
        <f>(AVERAGE(P753:R753)-1)/4</f>
        <v/>
      </c>
      <c r="AA753">
        <f>(AVERAGE(S753:T753)-1)/4</f>
        <v/>
      </c>
      <c r="AB753">
        <f>AVERAGE(U753:Y753)</f>
        <v/>
      </c>
      <c r="AC753">
        <f>MIN(U753:Y753)</f>
        <v/>
      </c>
      <c r="AD753">
        <f>1-alpha*MAX(0,delta-AC753)</f>
        <v/>
      </c>
      <c r="AE753">
        <f>AB753*AD753</f>
        <v/>
      </c>
      <c r="AF753">
        <f>1+COUNTIF(bounds,"&lt;"&amp;ROUND(AB753,12))</f>
        <v/>
      </c>
      <c r="AG753">
        <f>1+COUNTIF(bounds,"&lt;"&amp;ROUND(AE753,12))</f>
        <v/>
      </c>
      <c r="AH753">
        <f>IF(AD753&lt;1,1,0)</f>
        <v/>
      </c>
      <c r="AI753">
        <f>IF(AF753&lt;&gt;AG753,1,0)</f>
        <v/>
      </c>
      <c r="AJ753">
        <f>IF(AND(AG753&gt;=3,Z753&lt;=0.2),1,0)</f>
        <v/>
      </c>
      <c r="AK753">
        <f>AVERAGE(U753:Z753)</f>
        <v/>
      </c>
      <c r="AL753">
        <f>1+COUNTIF(bounds,"&lt;"&amp;ROUND(AK753,12))</f>
        <v/>
      </c>
      <c r="AM753">
        <f>IF(AI753=1,AB753,NA())</f>
        <v/>
      </c>
      <c r="AN753">
        <f>IF(AI753=0,AB753,NA())</f>
        <v/>
      </c>
    </row>
    <row r="754">
      <c r="A754" t="n">
        <v>746</v>
      </c>
      <c r="B754" t="n">
        <v>1</v>
      </c>
      <c r="C754" t="n">
        <v>1</v>
      </c>
      <c r="D754" t="n">
        <v>1</v>
      </c>
      <c r="E754" t="n">
        <v>2</v>
      </c>
      <c r="F754" t="n">
        <v>4</v>
      </c>
      <c r="G754" t="n">
        <v>4</v>
      </c>
      <c r="H754" t="n">
        <v>5</v>
      </c>
      <c r="I754" t="n">
        <v>2</v>
      </c>
      <c r="J754" t="n">
        <v>5</v>
      </c>
      <c r="K754" t="n">
        <v>1</v>
      </c>
      <c r="L754" t="n">
        <v>2</v>
      </c>
      <c r="M754" t="n">
        <v>3</v>
      </c>
      <c r="N754" t="n">
        <v>4</v>
      </c>
      <c r="O754" t="n">
        <v>2</v>
      </c>
      <c r="P754" t="n">
        <v>1</v>
      </c>
      <c r="Q754" t="n">
        <v>4</v>
      </c>
      <c r="R754" t="n">
        <v>5</v>
      </c>
      <c r="S754" t="n">
        <v>1</v>
      </c>
      <c r="T754" t="n">
        <v>2</v>
      </c>
      <c r="U754">
        <f>(AVERAGE(B754:D754)-1)/4</f>
        <v/>
      </c>
      <c r="V754">
        <f>(AVERAGE(E754:F754)-1)/4</f>
        <v/>
      </c>
      <c r="W754">
        <f>(AVERAGE(G754:I754)-1)/4</f>
        <v/>
      </c>
      <c r="X754">
        <f>(AVERAGE(J754:L754)-1)/4</f>
        <v/>
      </c>
      <c r="Y754">
        <f>(AVERAGE(M754:O754)-1)/4</f>
        <v/>
      </c>
      <c r="Z754">
        <f>(AVERAGE(P754:R754)-1)/4</f>
        <v/>
      </c>
      <c r="AA754">
        <f>(AVERAGE(S754:T754)-1)/4</f>
        <v/>
      </c>
      <c r="AB754">
        <f>AVERAGE(U754:Y754)</f>
        <v/>
      </c>
      <c r="AC754">
        <f>MIN(U754:Y754)</f>
        <v/>
      </c>
      <c r="AD754">
        <f>1-alpha*MAX(0,delta-AC754)</f>
        <v/>
      </c>
      <c r="AE754">
        <f>AB754*AD754</f>
        <v/>
      </c>
      <c r="AF754">
        <f>1+COUNTIF(bounds,"&lt;"&amp;ROUND(AB754,12))</f>
        <v/>
      </c>
      <c r="AG754">
        <f>1+COUNTIF(bounds,"&lt;"&amp;ROUND(AE754,12))</f>
        <v/>
      </c>
      <c r="AH754">
        <f>IF(AD754&lt;1,1,0)</f>
        <v/>
      </c>
      <c r="AI754">
        <f>IF(AF754&lt;&gt;AG754,1,0)</f>
        <v/>
      </c>
      <c r="AJ754">
        <f>IF(AND(AG754&gt;=3,Z754&lt;=0.2),1,0)</f>
        <v/>
      </c>
      <c r="AK754">
        <f>AVERAGE(U754:Z754)</f>
        <v/>
      </c>
      <c r="AL754">
        <f>1+COUNTIF(bounds,"&lt;"&amp;ROUND(AK754,12))</f>
        <v/>
      </c>
      <c r="AM754">
        <f>IF(AI754=1,AB754,NA())</f>
        <v/>
      </c>
      <c r="AN754">
        <f>IF(AI754=0,AB754,NA())</f>
        <v/>
      </c>
    </row>
    <row r="755">
      <c r="A755" t="n">
        <v>747</v>
      </c>
      <c r="B755" t="n">
        <v>1</v>
      </c>
      <c r="C755" t="n">
        <v>5</v>
      </c>
      <c r="D755" t="n">
        <v>5</v>
      </c>
      <c r="E755" t="n">
        <v>3</v>
      </c>
      <c r="F755" t="n">
        <v>2</v>
      </c>
      <c r="G755" t="n">
        <v>3</v>
      </c>
      <c r="H755" t="n">
        <v>4</v>
      </c>
      <c r="I755" t="n">
        <v>2</v>
      </c>
      <c r="J755" t="n">
        <v>3</v>
      </c>
      <c r="K755" t="n">
        <v>4</v>
      </c>
      <c r="L755" t="n">
        <v>2</v>
      </c>
      <c r="M755" t="n">
        <v>4</v>
      </c>
      <c r="N755" t="n">
        <v>3</v>
      </c>
      <c r="O755" t="n">
        <v>2</v>
      </c>
      <c r="P755" t="n">
        <v>1</v>
      </c>
      <c r="Q755" t="n">
        <v>5</v>
      </c>
      <c r="R755" t="n">
        <v>5</v>
      </c>
      <c r="S755" t="n">
        <v>5</v>
      </c>
      <c r="T755" t="n">
        <v>5</v>
      </c>
      <c r="U755">
        <f>(AVERAGE(B755:D755)-1)/4</f>
        <v/>
      </c>
      <c r="V755">
        <f>(AVERAGE(E755:F755)-1)/4</f>
        <v/>
      </c>
      <c r="W755">
        <f>(AVERAGE(G755:I755)-1)/4</f>
        <v/>
      </c>
      <c r="X755">
        <f>(AVERAGE(J755:L755)-1)/4</f>
        <v/>
      </c>
      <c r="Y755">
        <f>(AVERAGE(M755:O755)-1)/4</f>
        <v/>
      </c>
      <c r="Z755">
        <f>(AVERAGE(P755:R755)-1)/4</f>
        <v/>
      </c>
      <c r="AA755">
        <f>(AVERAGE(S755:T755)-1)/4</f>
        <v/>
      </c>
      <c r="AB755">
        <f>AVERAGE(U755:Y755)</f>
        <v/>
      </c>
      <c r="AC755">
        <f>MIN(U755:Y755)</f>
        <v/>
      </c>
      <c r="AD755">
        <f>1-alpha*MAX(0,delta-AC755)</f>
        <v/>
      </c>
      <c r="AE755">
        <f>AB755*AD755</f>
        <v/>
      </c>
      <c r="AF755">
        <f>1+COUNTIF(bounds,"&lt;"&amp;ROUND(AB755,12))</f>
        <v/>
      </c>
      <c r="AG755">
        <f>1+COUNTIF(bounds,"&lt;"&amp;ROUND(AE755,12))</f>
        <v/>
      </c>
      <c r="AH755">
        <f>IF(AD755&lt;1,1,0)</f>
        <v/>
      </c>
      <c r="AI755">
        <f>IF(AF755&lt;&gt;AG755,1,0)</f>
        <v/>
      </c>
      <c r="AJ755">
        <f>IF(AND(AG755&gt;=3,Z755&lt;=0.2),1,0)</f>
        <v/>
      </c>
      <c r="AK755">
        <f>AVERAGE(U755:Z755)</f>
        <v/>
      </c>
      <c r="AL755">
        <f>1+COUNTIF(bounds,"&lt;"&amp;ROUND(AK755,12))</f>
        <v/>
      </c>
      <c r="AM755">
        <f>IF(AI755=1,AB755,NA())</f>
        <v/>
      </c>
      <c r="AN755">
        <f>IF(AI755=0,AB755,NA())</f>
        <v/>
      </c>
    </row>
    <row r="756">
      <c r="A756" t="n">
        <v>748</v>
      </c>
      <c r="B756" t="n">
        <v>5</v>
      </c>
      <c r="C756" t="n">
        <v>2</v>
      </c>
      <c r="D756" t="n">
        <v>5</v>
      </c>
      <c r="E756" t="n">
        <v>5</v>
      </c>
      <c r="F756" t="n">
        <v>4</v>
      </c>
      <c r="G756" t="n">
        <v>4</v>
      </c>
      <c r="H756" t="n">
        <v>4</v>
      </c>
      <c r="I756" t="n">
        <v>2</v>
      </c>
      <c r="J756" t="n">
        <v>1</v>
      </c>
      <c r="K756" t="n">
        <v>2</v>
      </c>
      <c r="L756" t="n">
        <v>3</v>
      </c>
      <c r="M756" t="n">
        <v>2</v>
      </c>
      <c r="N756" t="n">
        <v>4</v>
      </c>
      <c r="O756" t="n">
        <v>1</v>
      </c>
      <c r="P756" t="n">
        <v>5</v>
      </c>
      <c r="Q756" t="n">
        <v>2</v>
      </c>
      <c r="R756" t="n">
        <v>5</v>
      </c>
      <c r="S756" t="n">
        <v>1</v>
      </c>
      <c r="T756" t="n">
        <v>3</v>
      </c>
      <c r="U756">
        <f>(AVERAGE(B756:D756)-1)/4</f>
        <v/>
      </c>
      <c r="V756">
        <f>(AVERAGE(E756:F756)-1)/4</f>
        <v/>
      </c>
      <c r="W756">
        <f>(AVERAGE(G756:I756)-1)/4</f>
        <v/>
      </c>
      <c r="X756">
        <f>(AVERAGE(J756:L756)-1)/4</f>
        <v/>
      </c>
      <c r="Y756">
        <f>(AVERAGE(M756:O756)-1)/4</f>
        <v/>
      </c>
      <c r="Z756">
        <f>(AVERAGE(P756:R756)-1)/4</f>
        <v/>
      </c>
      <c r="AA756">
        <f>(AVERAGE(S756:T756)-1)/4</f>
        <v/>
      </c>
      <c r="AB756">
        <f>AVERAGE(U756:Y756)</f>
        <v/>
      </c>
      <c r="AC756">
        <f>MIN(U756:Y756)</f>
        <v/>
      </c>
      <c r="AD756">
        <f>1-alpha*MAX(0,delta-AC756)</f>
        <v/>
      </c>
      <c r="AE756">
        <f>AB756*AD756</f>
        <v/>
      </c>
      <c r="AF756">
        <f>1+COUNTIF(bounds,"&lt;"&amp;ROUND(AB756,12))</f>
        <v/>
      </c>
      <c r="AG756">
        <f>1+COUNTIF(bounds,"&lt;"&amp;ROUND(AE756,12))</f>
        <v/>
      </c>
      <c r="AH756">
        <f>IF(AD756&lt;1,1,0)</f>
        <v/>
      </c>
      <c r="AI756">
        <f>IF(AF756&lt;&gt;AG756,1,0)</f>
        <v/>
      </c>
      <c r="AJ756">
        <f>IF(AND(AG756&gt;=3,Z756&lt;=0.2),1,0)</f>
        <v/>
      </c>
      <c r="AK756">
        <f>AVERAGE(U756:Z756)</f>
        <v/>
      </c>
      <c r="AL756">
        <f>1+COUNTIF(bounds,"&lt;"&amp;ROUND(AK756,12))</f>
        <v/>
      </c>
      <c r="AM756">
        <f>IF(AI756=1,AB756,NA())</f>
        <v/>
      </c>
      <c r="AN756">
        <f>IF(AI756=0,AB756,NA())</f>
        <v/>
      </c>
    </row>
    <row r="757">
      <c r="A757" t="n">
        <v>749</v>
      </c>
      <c r="B757" t="n">
        <v>5</v>
      </c>
      <c r="C757" t="n">
        <v>2</v>
      </c>
      <c r="D757" t="n">
        <v>3</v>
      </c>
      <c r="E757" t="n">
        <v>4</v>
      </c>
      <c r="F757" t="n">
        <v>5</v>
      </c>
      <c r="G757" t="n">
        <v>1</v>
      </c>
      <c r="H757" t="n">
        <v>1</v>
      </c>
      <c r="I757" t="n">
        <v>5</v>
      </c>
      <c r="J757" t="n">
        <v>1</v>
      </c>
      <c r="K757" t="n">
        <v>1</v>
      </c>
      <c r="L757" t="n">
        <v>5</v>
      </c>
      <c r="M757" t="n">
        <v>5</v>
      </c>
      <c r="N757" t="n">
        <v>5</v>
      </c>
      <c r="O757" t="n">
        <v>5</v>
      </c>
      <c r="P757" t="n">
        <v>2</v>
      </c>
      <c r="Q757" t="n">
        <v>2</v>
      </c>
      <c r="R757" t="n">
        <v>5</v>
      </c>
      <c r="S757" t="n">
        <v>5</v>
      </c>
      <c r="T757" t="n">
        <v>3</v>
      </c>
      <c r="U757">
        <f>(AVERAGE(B757:D757)-1)/4</f>
        <v/>
      </c>
      <c r="V757">
        <f>(AVERAGE(E757:F757)-1)/4</f>
        <v/>
      </c>
      <c r="W757">
        <f>(AVERAGE(G757:I757)-1)/4</f>
        <v/>
      </c>
      <c r="X757">
        <f>(AVERAGE(J757:L757)-1)/4</f>
        <v/>
      </c>
      <c r="Y757">
        <f>(AVERAGE(M757:O757)-1)/4</f>
        <v/>
      </c>
      <c r="Z757">
        <f>(AVERAGE(P757:R757)-1)/4</f>
        <v/>
      </c>
      <c r="AA757">
        <f>(AVERAGE(S757:T757)-1)/4</f>
        <v/>
      </c>
      <c r="AB757">
        <f>AVERAGE(U757:Y757)</f>
        <v/>
      </c>
      <c r="AC757">
        <f>MIN(U757:Y757)</f>
        <v/>
      </c>
      <c r="AD757">
        <f>1-alpha*MAX(0,delta-AC757)</f>
        <v/>
      </c>
      <c r="AE757">
        <f>AB757*AD757</f>
        <v/>
      </c>
      <c r="AF757">
        <f>1+COUNTIF(bounds,"&lt;"&amp;ROUND(AB757,12))</f>
        <v/>
      </c>
      <c r="AG757">
        <f>1+COUNTIF(bounds,"&lt;"&amp;ROUND(AE757,12))</f>
        <v/>
      </c>
      <c r="AH757">
        <f>IF(AD757&lt;1,1,0)</f>
        <v/>
      </c>
      <c r="AI757">
        <f>IF(AF757&lt;&gt;AG757,1,0)</f>
        <v/>
      </c>
      <c r="AJ757">
        <f>IF(AND(AG757&gt;=3,Z757&lt;=0.2),1,0)</f>
        <v/>
      </c>
      <c r="AK757">
        <f>AVERAGE(U757:Z757)</f>
        <v/>
      </c>
      <c r="AL757">
        <f>1+COUNTIF(bounds,"&lt;"&amp;ROUND(AK757,12))</f>
        <v/>
      </c>
      <c r="AM757">
        <f>IF(AI757=1,AB757,NA())</f>
        <v/>
      </c>
      <c r="AN757">
        <f>IF(AI757=0,AB757,NA())</f>
        <v/>
      </c>
    </row>
    <row r="758">
      <c r="A758" t="n">
        <v>750</v>
      </c>
      <c r="B758" t="n">
        <v>4</v>
      </c>
      <c r="C758" t="n">
        <v>1</v>
      </c>
      <c r="D758" t="n">
        <v>4</v>
      </c>
      <c r="E758" t="n">
        <v>3</v>
      </c>
      <c r="F758" t="n">
        <v>5</v>
      </c>
      <c r="G758" t="n">
        <v>4</v>
      </c>
      <c r="H758" t="n">
        <v>1</v>
      </c>
      <c r="I758" t="n">
        <v>2</v>
      </c>
      <c r="J758" t="n">
        <v>2</v>
      </c>
      <c r="K758" t="n">
        <v>1</v>
      </c>
      <c r="L758" t="n">
        <v>5</v>
      </c>
      <c r="M758" t="n">
        <v>2</v>
      </c>
      <c r="N758" t="n">
        <v>1</v>
      </c>
      <c r="O758" t="n">
        <v>1</v>
      </c>
      <c r="P758" t="n">
        <v>1</v>
      </c>
      <c r="Q758" t="n">
        <v>4</v>
      </c>
      <c r="R758" t="n">
        <v>4</v>
      </c>
      <c r="S758" t="n">
        <v>3</v>
      </c>
      <c r="T758" t="n">
        <v>1</v>
      </c>
      <c r="U758">
        <f>(AVERAGE(B758:D758)-1)/4</f>
        <v/>
      </c>
      <c r="V758">
        <f>(AVERAGE(E758:F758)-1)/4</f>
        <v/>
      </c>
      <c r="W758">
        <f>(AVERAGE(G758:I758)-1)/4</f>
        <v/>
      </c>
      <c r="X758">
        <f>(AVERAGE(J758:L758)-1)/4</f>
        <v/>
      </c>
      <c r="Y758">
        <f>(AVERAGE(M758:O758)-1)/4</f>
        <v/>
      </c>
      <c r="Z758">
        <f>(AVERAGE(P758:R758)-1)/4</f>
        <v/>
      </c>
      <c r="AA758">
        <f>(AVERAGE(S758:T758)-1)/4</f>
        <v/>
      </c>
      <c r="AB758">
        <f>AVERAGE(U758:Y758)</f>
        <v/>
      </c>
      <c r="AC758">
        <f>MIN(U758:Y758)</f>
        <v/>
      </c>
      <c r="AD758">
        <f>1-alpha*MAX(0,delta-AC758)</f>
        <v/>
      </c>
      <c r="AE758">
        <f>AB758*AD758</f>
        <v/>
      </c>
      <c r="AF758">
        <f>1+COUNTIF(bounds,"&lt;"&amp;ROUND(AB758,12))</f>
        <v/>
      </c>
      <c r="AG758">
        <f>1+COUNTIF(bounds,"&lt;"&amp;ROUND(AE758,12))</f>
        <v/>
      </c>
      <c r="AH758">
        <f>IF(AD758&lt;1,1,0)</f>
        <v/>
      </c>
      <c r="AI758">
        <f>IF(AF758&lt;&gt;AG758,1,0)</f>
        <v/>
      </c>
      <c r="AJ758">
        <f>IF(AND(AG758&gt;=3,Z758&lt;=0.2),1,0)</f>
        <v/>
      </c>
      <c r="AK758">
        <f>AVERAGE(U758:Z758)</f>
        <v/>
      </c>
      <c r="AL758">
        <f>1+COUNTIF(bounds,"&lt;"&amp;ROUND(AK758,12))</f>
        <v/>
      </c>
      <c r="AM758">
        <f>IF(AI758=1,AB758,NA())</f>
        <v/>
      </c>
      <c r="AN758">
        <f>IF(AI758=0,AB758,NA())</f>
        <v/>
      </c>
    </row>
    <row r="759">
      <c r="A759" t="n">
        <v>751</v>
      </c>
      <c r="B759" t="n">
        <v>4</v>
      </c>
      <c r="C759" t="n">
        <v>2</v>
      </c>
      <c r="D759" t="n">
        <v>4</v>
      </c>
      <c r="E759" t="n">
        <v>2</v>
      </c>
      <c r="F759" t="n">
        <v>3</v>
      </c>
      <c r="G759" t="n">
        <v>1</v>
      </c>
      <c r="H759" t="n">
        <v>3</v>
      </c>
      <c r="I759" t="n">
        <v>1</v>
      </c>
      <c r="J759" t="n">
        <v>5</v>
      </c>
      <c r="K759" t="n">
        <v>1</v>
      </c>
      <c r="L759" t="n">
        <v>5</v>
      </c>
      <c r="M759" t="n">
        <v>4</v>
      </c>
      <c r="N759" t="n">
        <v>3</v>
      </c>
      <c r="O759" t="n">
        <v>2</v>
      </c>
      <c r="P759" t="n">
        <v>1</v>
      </c>
      <c r="Q759" t="n">
        <v>4</v>
      </c>
      <c r="R759" t="n">
        <v>5</v>
      </c>
      <c r="S759" t="n">
        <v>1</v>
      </c>
      <c r="T759" t="n">
        <v>5</v>
      </c>
      <c r="U759">
        <f>(AVERAGE(B759:D759)-1)/4</f>
        <v/>
      </c>
      <c r="V759">
        <f>(AVERAGE(E759:F759)-1)/4</f>
        <v/>
      </c>
      <c r="W759">
        <f>(AVERAGE(G759:I759)-1)/4</f>
        <v/>
      </c>
      <c r="X759">
        <f>(AVERAGE(J759:L759)-1)/4</f>
        <v/>
      </c>
      <c r="Y759">
        <f>(AVERAGE(M759:O759)-1)/4</f>
        <v/>
      </c>
      <c r="Z759">
        <f>(AVERAGE(P759:R759)-1)/4</f>
        <v/>
      </c>
      <c r="AA759">
        <f>(AVERAGE(S759:T759)-1)/4</f>
        <v/>
      </c>
      <c r="AB759">
        <f>AVERAGE(U759:Y759)</f>
        <v/>
      </c>
      <c r="AC759">
        <f>MIN(U759:Y759)</f>
        <v/>
      </c>
      <c r="AD759">
        <f>1-alpha*MAX(0,delta-AC759)</f>
        <v/>
      </c>
      <c r="AE759">
        <f>AB759*AD759</f>
        <v/>
      </c>
      <c r="AF759">
        <f>1+COUNTIF(bounds,"&lt;"&amp;ROUND(AB759,12))</f>
        <v/>
      </c>
      <c r="AG759">
        <f>1+COUNTIF(bounds,"&lt;"&amp;ROUND(AE759,12))</f>
        <v/>
      </c>
      <c r="AH759">
        <f>IF(AD759&lt;1,1,0)</f>
        <v/>
      </c>
      <c r="AI759">
        <f>IF(AF759&lt;&gt;AG759,1,0)</f>
        <v/>
      </c>
      <c r="AJ759">
        <f>IF(AND(AG759&gt;=3,Z759&lt;=0.2),1,0)</f>
        <v/>
      </c>
      <c r="AK759">
        <f>AVERAGE(U759:Z759)</f>
        <v/>
      </c>
      <c r="AL759">
        <f>1+COUNTIF(bounds,"&lt;"&amp;ROUND(AK759,12))</f>
        <v/>
      </c>
      <c r="AM759">
        <f>IF(AI759=1,AB759,NA())</f>
        <v/>
      </c>
      <c r="AN759">
        <f>IF(AI759=0,AB759,NA())</f>
        <v/>
      </c>
    </row>
    <row r="760">
      <c r="A760" t="n">
        <v>752</v>
      </c>
      <c r="B760" t="n">
        <v>3</v>
      </c>
      <c r="C760" t="n">
        <v>1</v>
      </c>
      <c r="D760" t="n">
        <v>3</v>
      </c>
      <c r="E760" t="n">
        <v>4</v>
      </c>
      <c r="F760" t="n">
        <v>4</v>
      </c>
      <c r="G760" t="n">
        <v>5</v>
      </c>
      <c r="H760" t="n">
        <v>1</v>
      </c>
      <c r="I760" t="n">
        <v>5</v>
      </c>
      <c r="J760" t="n">
        <v>3</v>
      </c>
      <c r="K760" t="n">
        <v>5</v>
      </c>
      <c r="L760" t="n">
        <v>5</v>
      </c>
      <c r="M760" t="n">
        <v>5</v>
      </c>
      <c r="N760" t="n">
        <v>2</v>
      </c>
      <c r="O760" t="n">
        <v>3</v>
      </c>
      <c r="P760" t="n">
        <v>1</v>
      </c>
      <c r="Q760" t="n">
        <v>3</v>
      </c>
      <c r="R760" t="n">
        <v>2</v>
      </c>
      <c r="S760" t="n">
        <v>5</v>
      </c>
      <c r="T760" t="n">
        <v>3</v>
      </c>
      <c r="U760">
        <f>(AVERAGE(B760:D760)-1)/4</f>
        <v/>
      </c>
      <c r="V760">
        <f>(AVERAGE(E760:F760)-1)/4</f>
        <v/>
      </c>
      <c r="W760">
        <f>(AVERAGE(G760:I760)-1)/4</f>
        <v/>
      </c>
      <c r="X760">
        <f>(AVERAGE(J760:L760)-1)/4</f>
        <v/>
      </c>
      <c r="Y760">
        <f>(AVERAGE(M760:O760)-1)/4</f>
        <v/>
      </c>
      <c r="Z760">
        <f>(AVERAGE(P760:R760)-1)/4</f>
        <v/>
      </c>
      <c r="AA760">
        <f>(AVERAGE(S760:T760)-1)/4</f>
        <v/>
      </c>
      <c r="AB760">
        <f>AVERAGE(U760:Y760)</f>
        <v/>
      </c>
      <c r="AC760">
        <f>MIN(U760:Y760)</f>
        <v/>
      </c>
      <c r="AD760">
        <f>1-alpha*MAX(0,delta-AC760)</f>
        <v/>
      </c>
      <c r="AE760">
        <f>AB760*AD760</f>
        <v/>
      </c>
      <c r="AF760">
        <f>1+COUNTIF(bounds,"&lt;"&amp;ROUND(AB760,12))</f>
        <v/>
      </c>
      <c r="AG760">
        <f>1+COUNTIF(bounds,"&lt;"&amp;ROUND(AE760,12))</f>
        <v/>
      </c>
      <c r="AH760">
        <f>IF(AD760&lt;1,1,0)</f>
        <v/>
      </c>
      <c r="AI760">
        <f>IF(AF760&lt;&gt;AG760,1,0)</f>
        <v/>
      </c>
      <c r="AJ760">
        <f>IF(AND(AG760&gt;=3,Z760&lt;=0.2),1,0)</f>
        <v/>
      </c>
      <c r="AK760">
        <f>AVERAGE(U760:Z760)</f>
        <v/>
      </c>
      <c r="AL760">
        <f>1+COUNTIF(bounds,"&lt;"&amp;ROUND(AK760,12))</f>
        <v/>
      </c>
      <c r="AM760">
        <f>IF(AI760=1,AB760,NA())</f>
        <v/>
      </c>
      <c r="AN760">
        <f>IF(AI760=0,AB760,NA())</f>
        <v/>
      </c>
    </row>
    <row r="761">
      <c r="A761" t="n">
        <v>753</v>
      </c>
      <c r="B761" t="n">
        <v>1</v>
      </c>
      <c r="C761" t="n">
        <v>3</v>
      </c>
      <c r="D761" t="n">
        <v>2</v>
      </c>
      <c r="E761" t="n">
        <v>1</v>
      </c>
      <c r="F761" t="n">
        <v>1</v>
      </c>
      <c r="G761" t="n">
        <v>3</v>
      </c>
      <c r="H761" t="n">
        <v>4</v>
      </c>
      <c r="I761" t="n">
        <v>4</v>
      </c>
      <c r="J761" t="n">
        <v>2</v>
      </c>
      <c r="K761" t="n">
        <v>3</v>
      </c>
      <c r="L761" t="n">
        <v>3</v>
      </c>
      <c r="M761" t="n">
        <v>4</v>
      </c>
      <c r="N761" t="n">
        <v>3</v>
      </c>
      <c r="O761" t="n">
        <v>1</v>
      </c>
      <c r="P761" t="n">
        <v>2</v>
      </c>
      <c r="Q761" t="n">
        <v>2</v>
      </c>
      <c r="R761" t="n">
        <v>5</v>
      </c>
      <c r="S761" t="n">
        <v>4</v>
      </c>
      <c r="T761" t="n">
        <v>2</v>
      </c>
      <c r="U761">
        <f>(AVERAGE(B761:D761)-1)/4</f>
        <v/>
      </c>
      <c r="V761">
        <f>(AVERAGE(E761:F761)-1)/4</f>
        <v/>
      </c>
      <c r="W761">
        <f>(AVERAGE(G761:I761)-1)/4</f>
        <v/>
      </c>
      <c r="X761">
        <f>(AVERAGE(J761:L761)-1)/4</f>
        <v/>
      </c>
      <c r="Y761">
        <f>(AVERAGE(M761:O761)-1)/4</f>
        <v/>
      </c>
      <c r="Z761">
        <f>(AVERAGE(P761:R761)-1)/4</f>
        <v/>
      </c>
      <c r="AA761">
        <f>(AVERAGE(S761:T761)-1)/4</f>
        <v/>
      </c>
      <c r="AB761">
        <f>AVERAGE(U761:Y761)</f>
        <v/>
      </c>
      <c r="AC761">
        <f>MIN(U761:Y761)</f>
        <v/>
      </c>
      <c r="AD761">
        <f>1-alpha*MAX(0,delta-AC761)</f>
        <v/>
      </c>
      <c r="AE761">
        <f>AB761*AD761</f>
        <v/>
      </c>
      <c r="AF761">
        <f>1+COUNTIF(bounds,"&lt;"&amp;ROUND(AB761,12))</f>
        <v/>
      </c>
      <c r="AG761">
        <f>1+COUNTIF(bounds,"&lt;"&amp;ROUND(AE761,12))</f>
        <v/>
      </c>
      <c r="AH761">
        <f>IF(AD761&lt;1,1,0)</f>
        <v/>
      </c>
      <c r="AI761">
        <f>IF(AF761&lt;&gt;AG761,1,0)</f>
        <v/>
      </c>
      <c r="AJ761">
        <f>IF(AND(AG761&gt;=3,Z761&lt;=0.2),1,0)</f>
        <v/>
      </c>
      <c r="AK761">
        <f>AVERAGE(U761:Z761)</f>
        <v/>
      </c>
      <c r="AL761">
        <f>1+COUNTIF(bounds,"&lt;"&amp;ROUND(AK761,12))</f>
        <v/>
      </c>
      <c r="AM761">
        <f>IF(AI761=1,AB761,NA())</f>
        <v/>
      </c>
      <c r="AN761">
        <f>IF(AI761=0,AB761,NA())</f>
        <v/>
      </c>
    </row>
    <row r="762">
      <c r="A762" t="n">
        <v>754</v>
      </c>
      <c r="B762" t="n">
        <v>1</v>
      </c>
      <c r="C762" t="n">
        <v>1</v>
      </c>
      <c r="D762" t="n">
        <v>1</v>
      </c>
      <c r="E762" t="n">
        <v>1</v>
      </c>
      <c r="F762" t="n">
        <v>2</v>
      </c>
      <c r="G762" t="n">
        <v>4</v>
      </c>
      <c r="H762" t="n">
        <v>1</v>
      </c>
      <c r="I762" t="n">
        <v>3</v>
      </c>
      <c r="J762" t="n">
        <v>2</v>
      </c>
      <c r="K762" t="n">
        <v>1</v>
      </c>
      <c r="L762" t="n">
        <v>1</v>
      </c>
      <c r="M762" t="n">
        <v>1</v>
      </c>
      <c r="N762" t="n">
        <v>4</v>
      </c>
      <c r="O762" t="n">
        <v>4</v>
      </c>
      <c r="P762" t="n">
        <v>2</v>
      </c>
      <c r="Q762" t="n">
        <v>5</v>
      </c>
      <c r="R762" t="n">
        <v>4</v>
      </c>
      <c r="S762" t="n">
        <v>2</v>
      </c>
      <c r="T762" t="n">
        <v>4</v>
      </c>
      <c r="U762">
        <f>(AVERAGE(B762:D762)-1)/4</f>
        <v/>
      </c>
      <c r="V762">
        <f>(AVERAGE(E762:F762)-1)/4</f>
        <v/>
      </c>
      <c r="W762">
        <f>(AVERAGE(G762:I762)-1)/4</f>
        <v/>
      </c>
      <c r="X762">
        <f>(AVERAGE(J762:L762)-1)/4</f>
        <v/>
      </c>
      <c r="Y762">
        <f>(AVERAGE(M762:O762)-1)/4</f>
        <v/>
      </c>
      <c r="Z762">
        <f>(AVERAGE(P762:R762)-1)/4</f>
        <v/>
      </c>
      <c r="AA762">
        <f>(AVERAGE(S762:T762)-1)/4</f>
        <v/>
      </c>
      <c r="AB762">
        <f>AVERAGE(U762:Y762)</f>
        <v/>
      </c>
      <c r="AC762">
        <f>MIN(U762:Y762)</f>
        <v/>
      </c>
      <c r="AD762">
        <f>1-alpha*MAX(0,delta-AC762)</f>
        <v/>
      </c>
      <c r="AE762">
        <f>AB762*AD762</f>
        <v/>
      </c>
      <c r="AF762">
        <f>1+COUNTIF(bounds,"&lt;"&amp;ROUND(AB762,12))</f>
        <v/>
      </c>
      <c r="AG762">
        <f>1+COUNTIF(bounds,"&lt;"&amp;ROUND(AE762,12))</f>
        <v/>
      </c>
      <c r="AH762">
        <f>IF(AD762&lt;1,1,0)</f>
        <v/>
      </c>
      <c r="AI762">
        <f>IF(AF762&lt;&gt;AG762,1,0)</f>
        <v/>
      </c>
      <c r="AJ762">
        <f>IF(AND(AG762&gt;=3,Z762&lt;=0.2),1,0)</f>
        <v/>
      </c>
      <c r="AK762">
        <f>AVERAGE(U762:Z762)</f>
        <v/>
      </c>
      <c r="AL762">
        <f>1+COUNTIF(bounds,"&lt;"&amp;ROUND(AK762,12))</f>
        <v/>
      </c>
      <c r="AM762">
        <f>IF(AI762=1,AB762,NA())</f>
        <v/>
      </c>
      <c r="AN762">
        <f>IF(AI762=0,AB762,NA())</f>
        <v/>
      </c>
    </row>
    <row r="763">
      <c r="A763" t="n">
        <v>755</v>
      </c>
      <c r="B763" t="n">
        <v>4</v>
      </c>
      <c r="C763" t="n">
        <v>5</v>
      </c>
      <c r="D763" t="n">
        <v>2</v>
      </c>
      <c r="E763" t="n">
        <v>1</v>
      </c>
      <c r="F763" t="n">
        <v>1</v>
      </c>
      <c r="G763" t="n">
        <v>1</v>
      </c>
      <c r="H763" t="n">
        <v>3</v>
      </c>
      <c r="I763" t="n">
        <v>3</v>
      </c>
      <c r="J763" t="n">
        <v>1</v>
      </c>
      <c r="K763" t="n">
        <v>5</v>
      </c>
      <c r="L763" t="n">
        <v>3</v>
      </c>
      <c r="M763" t="n">
        <v>4</v>
      </c>
      <c r="N763" t="n">
        <v>5</v>
      </c>
      <c r="O763" t="n">
        <v>3</v>
      </c>
      <c r="P763" t="n">
        <v>5</v>
      </c>
      <c r="Q763" t="n">
        <v>4</v>
      </c>
      <c r="R763" t="n">
        <v>2</v>
      </c>
      <c r="S763" t="n">
        <v>4</v>
      </c>
      <c r="T763" t="n">
        <v>1</v>
      </c>
      <c r="U763">
        <f>(AVERAGE(B763:D763)-1)/4</f>
        <v/>
      </c>
      <c r="V763">
        <f>(AVERAGE(E763:F763)-1)/4</f>
        <v/>
      </c>
      <c r="W763">
        <f>(AVERAGE(G763:I763)-1)/4</f>
        <v/>
      </c>
      <c r="X763">
        <f>(AVERAGE(J763:L763)-1)/4</f>
        <v/>
      </c>
      <c r="Y763">
        <f>(AVERAGE(M763:O763)-1)/4</f>
        <v/>
      </c>
      <c r="Z763">
        <f>(AVERAGE(P763:R763)-1)/4</f>
        <v/>
      </c>
      <c r="AA763">
        <f>(AVERAGE(S763:T763)-1)/4</f>
        <v/>
      </c>
      <c r="AB763">
        <f>AVERAGE(U763:Y763)</f>
        <v/>
      </c>
      <c r="AC763">
        <f>MIN(U763:Y763)</f>
        <v/>
      </c>
      <c r="AD763">
        <f>1-alpha*MAX(0,delta-AC763)</f>
        <v/>
      </c>
      <c r="AE763">
        <f>AB763*AD763</f>
        <v/>
      </c>
      <c r="AF763">
        <f>1+COUNTIF(bounds,"&lt;"&amp;ROUND(AB763,12))</f>
        <v/>
      </c>
      <c r="AG763">
        <f>1+COUNTIF(bounds,"&lt;"&amp;ROUND(AE763,12))</f>
        <v/>
      </c>
      <c r="AH763">
        <f>IF(AD763&lt;1,1,0)</f>
        <v/>
      </c>
      <c r="AI763">
        <f>IF(AF763&lt;&gt;AG763,1,0)</f>
        <v/>
      </c>
      <c r="AJ763">
        <f>IF(AND(AG763&gt;=3,Z763&lt;=0.2),1,0)</f>
        <v/>
      </c>
      <c r="AK763">
        <f>AVERAGE(U763:Z763)</f>
        <v/>
      </c>
      <c r="AL763">
        <f>1+COUNTIF(bounds,"&lt;"&amp;ROUND(AK763,12))</f>
        <v/>
      </c>
      <c r="AM763">
        <f>IF(AI763=1,AB763,NA())</f>
        <v/>
      </c>
      <c r="AN763">
        <f>IF(AI763=0,AB763,NA())</f>
        <v/>
      </c>
    </row>
    <row r="764">
      <c r="A764" t="n">
        <v>756</v>
      </c>
      <c r="B764" t="n">
        <v>3</v>
      </c>
      <c r="C764" t="n">
        <v>5</v>
      </c>
      <c r="D764" t="n">
        <v>2</v>
      </c>
      <c r="E764" t="n">
        <v>1</v>
      </c>
      <c r="F764" t="n">
        <v>4</v>
      </c>
      <c r="G764" t="n">
        <v>1</v>
      </c>
      <c r="H764" t="n">
        <v>3</v>
      </c>
      <c r="I764" t="n">
        <v>3</v>
      </c>
      <c r="J764" t="n">
        <v>3</v>
      </c>
      <c r="K764" t="n">
        <v>2</v>
      </c>
      <c r="L764" t="n">
        <v>5</v>
      </c>
      <c r="M764" t="n">
        <v>5</v>
      </c>
      <c r="N764" t="n">
        <v>5</v>
      </c>
      <c r="O764" t="n">
        <v>2</v>
      </c>
      <c r="P764" t="n">
        <v>1</v>
      </c>
      <c r="Q764" t="n">
        <v>3</v>
      </c>
      <c r="R764" t="n">
        <v>3</v>
      </c>
      <c r="S764" t="n">
        <v>4</v>
      </c>
      <c r="T764" t="n">
        <v>1</v>
      </c>
      <c r="U764">
        <f>(AVERAGE(B764:D764)-1)/4</f>
        <v/>
      </c>
      <c r="V764">
        <f>(AVERAGE(E764:F764)-1)/4</f>
        <v/>
      </c>
      <c r="W764">
        <f>(AVERAGE(G764:I764)-1)/4</f>
        <v/>
      </c>
      <c r="X764">
        <f>(AVERAGE(J764:L764)-1)/4</f>
        <v/>
      </c>
      <c r="Y764">
        <f>(AVERAGE(M764:O764)-1)/4</f>
        <v/>
      </c>
      <c r="Z764">
        <f>(AVERAGE(P764:R764)-1)/4</f>
        <v/>
      </c>
      <c r="AA764">
        <f>(AVERAGE(S764:T764)-1)/4</f>
        <v/>
      </c>
      <c r="AB764">
        <f>AVERAGE(U764:Y764)</f>
        <v/>
      </c>
      <c r="AC764">
        <f>MIN(U764:Y764)</f>
        <v/>
      </c>
      <c r="AD764">
        <f>1-alpha*MAX(0,delta-AC764)</f>
        <v/>
      </c>
      <c r="AE764">
        <f>AB764*AD764</f>
        <v/>
      </c>
      <c r="AF764">
        <f>1+COUNTIF(bounds,"&lt;"&amp;ROUND(AB764,12))</f>
        <v/>
      </c>
      <c r="AG764">
        <f>1+COUNTIF(bounds,"&lt;"&amp;ROUND(AE764,12))</f>
        <v/>
      </c>
      <c r="AH764">
        <f>IF(AD764&lt;1,1,0)</f>
        <v/>
      </c>
      <c r="AI764">
        <f>IF(AF764&lt;&gt;AG764,1,0)</f>
        <v/>
      </c>
      <c r="AJ764">
        <f>IF(AND(AG764&gt;=3,Z764&lt;=0.2),1,0)</f>
        <v/>
      </c>
      <c r="AK764">
        <f>AVERAGE(U764:Z764)</f>
        <v/>
      </c>
      <c r="AL764">
        <f>1+COUNTIF(bounds,"&lt;"&amp;ROUND(AK764,12))</f>
        <v/>
      </c>
      <c r="AM764">
        <f>IF(AI764=1,AB764,NA())</f>
        <v/>
      </c>
      <c r="AN764">
        <f>IF(AI764=0,AB764,NA())</f>
        <v/>
      </c>
    </row>
    <row r="765">
      <c r="A765" t="n">
        <v>757</v>
      </c>
      <c r="B765" t="n">
        <v>4</v>
      </c>
      <c r="C765" t="n">
        <v>4</v>
      </c>
      <c r="D765" t="n">
        <v>3</v>
      </c>
      <c r="E765" t="n">
        <v>5</v>
      </c>
      <c r="F765" t="n">
        <v>3</v>
      </c>
      <c r="G765" t="n">
        <v>5</v>
      </c>
      <c r="H765" t="n">
        <v>1</v>
      </c>
      <c r="I765" t="n">
        <v>2</v>
      </c>
      <c r="J765" t="n">
        <v>1</v>
      </c>
      <c r="K765" t="n">
        <v>2</v>
      </c>
      <c r="L765" t="n">
        <v>3</v>
      </c>
      <c r="M765" t="n">
        <v>3</v>
      </c>
      <c r="N765" t="n">
        <v>3</v>
      </c>
      <c r="O765" t="n">
        <v>3</v>
      </c>
      <c r="P765" t="n">
        <v>5</v>
      </c>
      <c r="Q765" t="n">
        <v>4</v>
      </c>
      <c r="R765" t="n">
        <v>5</v>
      </c>
      <c r="S765" t="n">
        <v>3</v>
      </c>
      <c r="T765" t="n">
        <v>4</v>
      </c>
      <c r="U765">
        <f>(AVERAGE(B765:D765)-1)/4</f>
        <v/>
      </c>
      <c r="V765">
        <f>(AVERAGE(E765:F765)-1)/4</f>
        <v/>
      </c>
      <c r="W765">
        <f>(AVERAGE(G765:I765)-1)/4</f>
        <v/>
      </c>
      <c r="X765">
        <f>(AVERAGE(J765:L765)-1)/4</f>
        <v/>
      </c>
      <c r="Y765">
        <f>(AVERAGE(M765:O765)-1)/4</f>
        <v/>
      </c>
      <c r="Z765">
        <f>(AVERAGE(P765:R765)-1)/4</f>
        <v/>
      </c>
      <c r="AA765">
        <f>(AVERAGE(S765:T765)-1)/4</f>
        <v/>
      </c>
      <c r="AB765">
        <f>AVERAGE(U765:Y765)</f>
        <v/>
      </c>
      <c r="AC765">
        <f>MIN(U765:Y765)</f>
        <v/>
      </c>
      <c r="AD765">
        <f>1-alpha*MAX(0,delta-AC765)</f>
        <v/>
      </c>
      <c r="AE765">
        <f>AB765*AD765</f>
        <v/>
      </c>
      <c r="AF765">
        <f>1+COUNTIF(bounds,"&lt;"&amp;ROUND(AB765,12))</f>
        <v/>
      </c>
      <c r="AG765">
        <f>1+COUNTIF(bounds,"&lt;"&amp;ROUND(AE765,12))</f>
        <v/>
      </c>
      <c r="AH765">
        <f>IF(AD765&lt;1,1,0)</f>
        <v/>
      </c>
      <c r="AI765">
        <f>IF(AF765&lt;&gt;AG765,1,0)</f>
        <v/>
      </c>
      <c r="AJ765">
        <f>IF(AND(AG765&gt;=3,Z765&lt;=0.2),1,0)</f>
        <v/>
      </c>
      <c r="AK765">
        <f>AVERAGE(U765:Z765)</f>
        <v/>
      </c>
      <c r="AL765">
        <f>1+COUNTIF(bounds,"&lt;"&amp;ROUND(AK765,12))</f>
        <v/>
      </c>
      <c r="AM765">
        <f>IF(AI765=1,AB765,NA())</f>
        <v/>
      </c>
      <c r="AN765">
        <f>IF(AI765=0,AB765,NA())</f>
        <v/>
      </c>
    </row>
    <row r="766">
      <c r="A766" t="n">
        <v>758</v>
      </c>
      <c r="B766" t="n">
        <v>5</v>
      </c>
      <c r="C766" t="n">
        <v>1</v>
      </c>
      <c r="D766" t="n">
        <v>1</v>
      </c>
      <c r="E766" t="n">
        <v>3</v>
      </c>
      <c r="F766" t="n">
        <v>1</v>
      </c>
      <c r="G766" t="n">
        <v>2</v>
      </c>
      <c r="H766" t="n">
        <v>4</v>
      </c>
      <c r="I766" t="n">
        <v>2</v>
      </c>
      <c r="J766" t="n">
        <v>5</v>
      </c>
      <c r="K766" t="n">
        <v>4</v>
      </c>
      <c r="L766" t="n">
        <v>2</v>
      </c>
      <c r="M766" t="n">
        <v>4</v>
      </c>
      <c r="N766" t="n">
        <v>2</v>
      </c>
      <c r="O766" t="n">
        <v>1</v>
      </c>
      <c r="P766" t="n">
        <v>2</v>
      </c>
      <c r="Q766" t="n">
        <v>1</v>
      </c>
      <c r="R766" t="n">
        <v>1</v>
      </c>
      <c r="S766" t="n">
        <v>5</v>
      </c>
      <c r="T766" t="n">
        <v>1</v>
      </c>
      <c r="U766">
        <f>(AVERAGE(B766:D766)-1)/4</f>
        <v/>
      </c>
      <c r="V766">
        <f>(AVERAGE(E766:F766)-1)/4</f>
        <v/>
      </c>
      <c r="W766">
        <f>(AVERAGE(G766:I766)-1)/4</f>
        <v/>
      </c>
      <c r="X766">
        <f>(AVERAGE(J766:L766)-1)/4</f>
        <v/>
      </c>
      <c r="Y766">
        <f>(AVERAGE(M766:O766)-1)/4</f>
        <v/>
      </c>
      <c r="Z766">
        <f>(AVERAGE(P766:R766)-1)/4</f>
        <v/>
      </c>
      <c r="AA766">
        <f>(AVERAGE(S766:T766)-1)/4</f>
        <v/>
      </c>
      <c r="AB766">
        <f>AVERAGE(U766:Y766)</f>
        <v/>
      </c>
      <c r="AC766">
        <f>MIN(U766:Y766)</f>
        <v/>
      </c>
      <c r="AD766">
        <f>1-alpha*MAX(0,delta-AC766)</f>
        <v/>
      </c>
      <c r="AE766">
        <f>AB766*AD766</f>
        <v/>
      </c>
      <c r="AF766">
        <f>1+COUNTIF(bounds,"&lt;"&amp;ROUND(AB766,12))</f>
        <v/>
      </c>
      <c r="AG766">
        <f>1+COUNTIF(bounds,"&lt;"&amp;ROUND(AE766,12))</f>
        <v/>
      </c>
      <c r="AH766">
        <f>IF(AD766&lt;1,1,0)</f>
        <v/>
      </c>
      <c r="AI766">
        <f>IF(AF766&lt;&gt;AG766,1,0)</f>
        <v/>
      </c>
      <c r="AJ766">
        <f>IF(AND(AG766&gt;=3,Z766&lt;=0.2),1,0)</f>
        <v/>
      </c>
      <c r="AK766">
        <f>AVERAGE(U766:Z766)</f>
        <v/>
      </c>
      <c r="AL766">
        <f>1+COUNTIF(bounds,"&lt;"&amp;ROUND(AK766,12))</f>
        <v/>
      </c>
      <c r="AM766">
        <f>IF(AI766=1,AB766,NA())</f>
        <v/>
      </c>
      <c r="AN766">
        <f>IF(AI766=0,AB766,NA())</f>
        <v/>
      </c>
    </row>
    <row r="767">
      <c r="A767" t="n">
        <v>759</v>
      </c>
      <c r="B767" t="n">
        <v>5</v>
      </c>
      <c r="C767" t="n">
        <v>3</v>
      </c>
      <c r="D767" t="n">
        <v>2</v>
      </c>
      <c r="E767" t="n">
        <v>2</v>
      </c>
      <c r="F767" t="n">
        <v>2</v>
      </c>
      <c r="G767" t="n">
        <v>5</v>
      </c>
      <c r="H767" t="n">
        <v>4</v>
      </c>
      <c r="I767" t="n">
        <v>5</v>
      </c>
      <c r="J767" t="n">
        <v>5</v>
      </c>
      <c r="K767" t="n">
        <v>3</v>
      </c>
      <c r="L767" t="n">
        <v>2</v>
      </c>
      <c r="M767" t="n">
        <v>4</v>
      </c>
      <c r="N767" t="n">
        <v>2</v>
      </c>
      <c r="O767" t="n">
        <v>4</v>
      </c>
      <c r="P767" t="n">
        <v>2</v>
      </c>
      <c r="Q767" t="n">
        <v>1</v>
      </c>
      <c r="R767" t="n">
        <v>2</v>
      </c>
      <c r="S767" t="n">
        <v>1</v>
      </c>
      <c r="T767" t="n">
        <v>4</v>
      </c>
      <c r="U767">
        <f>(AVERAGE(B767:D767)-1)/4</f>
        <v/>
      </c>
      <c r="V767">
        <f>(AVERAGE(E767:F767)-1)/4</f>
        <v/>
      </c>
      <c r="W767">
        <f>(AVERAGE(G767:I767)-1)/4</f>
        <v/>
      </c>
      <c r="X767">
        <f>(AVERAGE(J767:L767)-1)/4</f>
        <v/>
      </c>
      <c r="Y767">
        <f>(AVERAGE(M767:O767)-1)/4</f>
        <v/>
      </c>
      <c r="Z767">
        <f>(AVERAGE(P767:R767)-1)/4</f>
        <v/>
      </c>
      <c r="AA767">
        <f>(AVERAGE(S767:T767)-1)/4</f>
        <v/>
      </c>
      <c r="AB767">
        <f>AVERAGE(U767:Y767)</f>
        <v/>
      </c>
      <c r="AC767">
        <f>MIN(U767:Y767)</f>
        <v/>
      </c>
      <c r="AD767">
        <f>1-alpha*MAX(0,delta-AC767)</f>
        <v/>
      </c>
      <c r="AE767">
        <f>AB767*AD767</f>
        <v/>
      </c>
      <c r="AF767">
        <f>1+COUNTIF(bounds,"&lt;"&amp;ROUND(AB767,12))</f>
        <v/>
      </c>
      <c r="AG767">
        <f>1+COUNTIF(bounds,"&lt;"&amp;ROUND(AE767,12))</f>
        <v/>
      </c>
      <c r="AH767">
        <f>IF(AD767&lt;1,1,0)</f>
        <v/>
      </c>
      <c r="AI767">
        <f>IF(AF767&lt;&gt;AG767,1,0)</f>
        <v/>
      </c>
      <c r="AJ767">
        <f>IF(AND(AG767&gt;=3,Z767&lt;=0.2),1,0)</f>
        <v/>
      </c>
      <c r="AK767">
        <f>AVERAGE(U767:Z767)</f>
        <v/>
      </c>
      <c r="AL767">
        <f>1+COUNTIF(bounds,"&lt;"&amp;ROUND(AK767,12))</f>
        <v/>
      </c>
      <c r="AM767">
        <f>IF(AI767=1,AB767,NA())</f>
        <v/>
      </c>
      <c r="AN767">
        <f>IF(AI767=0,AB767,NA())</f>
        <v/>
      </c>
    </row>
    <row r="768">
      <c r="A768" t="n">
        <v>760</v>
      </c>
      <c r="B768" t="n">
        <v>5</v>
      </c>
      <c r="C768" t="n">
        <v>5</v>
      </c>
      <c r="D768" t="n">
        <v>5</v>
      </c>
      <c r="E768" t="n">
        <v>4</v>
      </c>
      <c r="F768" t="n">
        <v>1</v>
      </c>
      <c r="G768" t="n">
        <v>1</v>
      </c>
      <c r="H768" t="n">
        <v>2</v>
      </c>
      <c r="I768" t="n">
        <v>5</v>
      </c>
      <c r="J768" t="n">
        <v>2</v>
      </c>
      <c r="K768" t="n">
        <v>3</v>
      </c>
      <c r="L768" t="n">
        <v>1</v>
      </c>
      <c r="M768" t="n">
        <v>2</v>
      </c>
      <c r="N768" t="n">
        <v>5</v>
      </c>
      <c r="O768" t="n">
        <v>2</v>
      </c>
      <c r="P768" t="n">
        <v>1</v>
      </c>
      <c r="Q768" t="n">
        <v>1</v>
      </c>
      <c r="R768" t="n">
        <v>5</v>
      </c>
      <c r="S768" t="n">
        <v>1</v>
      </c>
      <c r="T768" t="n">
        <v>3</v>
      </c>
      <c r="U768">
        <f>(AVERAGE(B768:D768)-1)/4</f>
        <v/>
      </c>
      <c r="V768">
        <f>(AVERAGE(E768:F768)-1)/4</f>
        <v/>
      </c>
      <c r="W768">
        <f>(AVERAGE(G768:I768)-1)/4</f>
        <v/>
      </c>
      <c r="X768">
        <f>(AVERAGE(J768:L768)-1)/4</f>
        <v/>
      </c>
      <c r="Y768">
        <f>(AVERAGE(M768:O768)-1)/4</f>
        <v/>
      </c>
      <c r="Z768">
        <f>(AVERAGE(P768:R768)-1)/4</f>
        <v/>
      </c>
      <c r="AA768">
        <f>(AVERAGE(S768:T768)-1)/4</f>
        <v/>
      </c>
      <c r="AB768">
        <f>AVERAGE(U768:Y768)</f>
        <v/>
      </c>
      <c r="AC768">
        <f>MIN(U768:Y768)</f>
        <v/>
      </c>
      <c r="AD768">
        <f>1-alpha*MAX(0,delta-AC768)</f>
        <v/>
      </c>
      <c r="AE768">
        <f>AB768*AD768</f>
        <v/>
      </c>
      <c r="AF768">
        <f>1+COUNTIF(bounds,"&lt;"&amp;ROUND(AB768,12))</f>
        <v/>
      </c>
      <c r="AG768">
        <f>1+COUNTIF(bounds,"&lt;"&amp;ROUND(AE768,12))</f>
        <v/>
      </c>
      <c r="AH768">
        <f>IF(AD768&lt;1,1,0)</f>
        <v/>
      </c>
      <c r="AI768">
        <f>IF(AF768&lt;&gt;AG768,1,0)</f>
        <v/>
      </c>
      <c r="AJ768">
        <f>IF(AND(AG768&gt;=3,Z768&lt;=0.2),1,0)</f>
        <v/>
      </c>
      <c r="AK768">
        <f>AVERAGE(U768:Z768)</f>
        <v/>
      </c>
      <c r="AL768">
        <f>1+COUNTIF(bounds,"&lt;"&amp;ROUND(AK768,12))</f>
        <v/>
      </c>
      <c r="AM768">
        <f>IF(AI768=1,AB768,NA())</f>
        <v/>
      </c>
      <c r="AN768">
        <f>IF(AI768=0,AB768,NA())</f>
        <v/>
      </c>
    </row>
    <row r="769">
      <c r="A769" t="n">
        <v>761</v>
      </c>
      <c r="B769" t="n">
        <v>1</v>
      </c>
      <c r="C769" t="n">
        <v>3</v>
      </c>
      <c r="D769" t="n">
        <v>5</v>
      </c>
      <c r="E769" t="n">
        <v>2</v>
      </c>
      <c r="F769" t="n">
        <v>3</v>
      </c>
      <c r="G769" t="n">
        <v>4</v>
      </c>
      <c r="H769" t="n">
        <v>1</v>
      </c>
      <c r="I769" t="n">
        <v>1</v>
      </c>
      <c r="J769" t="n">
        <v>2</v>
      </c>
      <c r="K769" t="n">
        <v>5</v>
      </c>
      <c r="L769" t="n">
        <v>3</v>
      </c>
      <c r="M769" t="n">
        <v>1</v>
      </c>
      <c r="N769" t="n">
        <v>3</v>
      </c>
      <c r="O769" t="n">
        <v>1</v>
      </c>
      <c r="P769" t="n">
        <v>2</v>
      </c>
      <c r="Q769" t="n">
        <v>4</v>
      </c>
      <c r="R769" t="n">
        <v>4</v>
      </c>
      <c r="S769" t="n">
        <v>5</v>
      </c>
      <c r="T769" t="n">
        <v>1</v>
      </c>
      <c r="U769">
        <f>(AVERAGE(B769:D769)-1)/4</f>
        <v/>
      </c>
      <c r="V769">
        <f>(AVERAGE(E769:F769)-1)/4</f>
        <v/>
      </c>
      <c r="W769">
        <f>(AVERAGE(G769:I769)-1)/4</f>
        <v/>
      </c>
      <c r="X769">
        <f>(AVERAGE(J769:L769)-1)/4</f>
        <v/>
      </c>
      <c r="Y769">
        <f>(AVERAGE(M769:O769)-1)/4</f>
        <v/>
      </c>
      <c r="Z769">
        <f>(AVERAGE(P769:R769)-1)/4</f>
        <v/>
      </c>
      <c r="AA769">
        <f>(AVERAGE(S769:T769)-1)/4</f>
        <v/>
      </c>
      <c r="AB769">
        <f>AVERAGE(U769:Y769)</f>
        <v/>
      </c>
      <c r="AC769">
        <f>MIN(U769:Y769)</f>
        <v/>
      </c>
      <c r="AD769">
        <f>1-alpha*MAX(0,delta-AC769)</f>
        <v/>
      </c>
      <c r="AE769">
        <f>AB769*AD769</f>
        <v/>
      </c>
      <c r="AF769">
        <f>1+COUNTIF(bounds,"&lt;"&amp;ROUND(AB769,12))</f>
        <v/>
      </c>
      <c r="AG769">
        <f>1+COUNTIF(bounds,"&lt;"&amp;ROUND(AE769,12))</f>
        <v/>
      </c>
      <c r="AH769">
        <f>IF(AD769&lt;1,1,0)</f>
        <v/>
      </c>
      <c r="AI769">
        <f>IF(AF769&lt;&gt;AG769,1,0)</f>
        <v/>
      </c>
      <c r="AJ769">
        <f>IF(AND(AG769&gt;=3,Z769&lt;=0.2),1,0)</f>
        <v/>
      </c>
      <c r="AK769">
        <f>AVERAGE(U769:Z769)</f>
        <v/>
      </c>
      <c r="AL769">
        <f>1+COUNTIF(bounds,"&lt;"&amp;ROUND(AK769,12))</f>
        <v/>
      </c>
      <c r="AM769">
        <f>IF(AI769=1,AB769,NA())</f>
        <v/>
      </c>
      <c r="AN769">
        <f>IF(AI769=0,AB769,NA())</f>
        <v/>
      </c>
    </row>
    <row r="770">
      <c r="A770" t="n">
        <v>762</v>
      </c>
      <c r="B770" t="n">
        <v>3</v>
      </c>
      <c r="C770" t="n">
        <v>4</v>
      </c>
      <c r="D770" t="n">
        <v>5</v>
      </c>
      <c r="E770" t="n">
        <v>2</v>
      </c>
      <c r="F770" t="n">
        <v>3</v>
      </c>
      <c r="G770" t="n">
        <v>4</v>
      </c>
      <c r="H770" t="n">
        <v>5</v>
      </c>
      <c r="I770" t="n">
        <v>3</v>
      </c>
      <c r="J770" t="n">
        <v>3</v>
      </c>
      <c r="K770" t="n">
        <v>5</v>
      </c>
      <c r="L770" t="n">
        <v>3</v>
      </c>
      <c r="M770" t="n">
        <v>1</v>
      </c>
      <c r="N770" t="n">
        <v>5</v>
      </c>
      <c r="O770" t="n">
        <v>4</v>
      </c>
      <c r="P770" t="n">
        <v>1</v>
      </c>
      <c r="Q770" t="n">
        <v>5</v>
      </c>
      <c r="R770" t="n">
        <v>3</v>
      </c>
      <c r="S770" t="n">
        <v>4</v>
      </c>
      <c r="T770" t="n">
        <v>1</v>
      </c>
      <c r="U770">
        <f>(AVERAGE(B770:D770)-1)/4</f>
        <v/>
      </c>
      <c r="V770">
        <f>(AVERAGE(E770:F770)-1)/4</f>
        <v/>
      </c>
      <c r="W770">
        <f>(AVERAGE(G770:I770)-1)/4</f>
        <v/>
      </c>
      <c r="X770">
        <f>(AVERAGE(J770:L770)-1)/4</f>
        <v/>
      </c>
      <c r="Y770">
        <f>(AVERAGE(M770:O770)-1)/4</f>
        <v/>
      </c>
      <c r="Z770">
        <f>(AVERAGE(P770:R770)-1)/4</f>
        <v/>
      </c>
      <c r="AA770">
        <f>(AVERAGE(S770:T770)-1)/4</f>
        <v/>
      </c>
      <c r="AB770">
        <f>AVERAGE(U770:Y770)</f>
        <v/>
      </c>
      <c r="AC770">
        <f>MIN(U770:Y770)</f>
        <v/>
      </c>
      <c r="AD770">
        <f>1-alpha*MAX(0,delta-AC770)</f>
        <v/>
      </c>
      <c r="AE770">
        <f>AB770*AD770</f>
        <v/>
      </c>
      <c r="AF770">
        <f>1+COUNTIF(bounds,"&lt;"&amp;ROUND(AB770,12))</f>
        <v/>
      </c>
      <c r="AG770">
        <f>1+COUNTIF(bounds,"&lt;"&amp;ROUND(AE770,12))</f>
        <v/>
      </c>
      <c r="AH770">
        <f>IF(AD770&lt;1,1,0)</f>
        <v/>
      </c>
      <c r="AI770">
        <f>IF(AF770&lt;&gt;AG770,1,0)</f>
        <v/>
      </c>
      <c r="AJ770">
        <f>IF(AND(AG770&gt;=3,Z770&lt;=0.2),1,0)</f>
        <v/>
      </c>
      <c r="AK770">
        <f>AVERAGE(U770:Z770)</f>
        <v/>
      </c>
      <c r="AL770">
        <f>1+COUNTIF(bounds,"&lt;"&amp;ROUND(AK770,12))</f>
        <v/>
      </c>
      <c r="AM770">
        <f>IF(AI770=1,AB770,NA())</f>
        <v/>
      </c>
      <c r="AN770">
        <f>IF(AI770=0,AB770,NA())</f>
        <v/>
      </c>
    </row>
    <row r="771">
      <c r="A771" t="n">
        <v>763</v>
      </c>
      <c r="B771" t="n">
        <v>4</v>
      </c>
      <c r="C771" t="n">
        <v>2</v>
      </c>
      <c r="D771" t="n">
        <v>4</v>
      </c>
      <c r="E771" t="n">
        <v>2</v>
      </c>
      <c r="F771" t="n">
        <v>5</v>
      </c>
      <c r="G771" t="n">
        <v>1</v>
      </c>
      <c r="H771" t="n">
        <v>2</v>
      </c>
      <c r="I771" t="n">
        <v>3</v>
      </c>
      <c r="J771" t="n">
        <v>5</v>
      </c>
      <c r="K771" t="n">
        <v>1</v>
      </c>
      <c r="L771" t="n">
        <v>4</v>
      </c>
      <c r="M771" t="n">
        <v>4</v>
      </c>
      <c r="N771" t="n">
        <v>5</v>
      </c>
      <c r="O771" t="n">
        <v>1</v>
      </c>
      <c r="P771" t="n">
        <v>5</v>
      </c>
      <c r="Q771" t="n">
        <v>5</v>
      </c>
      <c r="R771" t="n">
        <v>2</v>
      </c>
      <c r="S771" t="n">
        <v>3</v>
      </c>
      <c r="T771" t="n">
        <v>5</v>
      </c>
      <c r="U771">
        <f>(AVERAGE(B771:D771)-1)/4</f>
        <v/>
      </c>
      <c r="V771">
        <f>(AVERAGE(E771:F771)-1)/4</f>
        <v/>
      </c>
      <c r="W771">
        <f>(AVERAGE(G771:I771)-1)/4</f>
        <v/>
      </c>
      <c r="X771">
        <f>(AVERAGE(J771:L771)-1)/4</f>
        <v/>
      </c>
      <c r="Y771">
        <f>(AVERAGE(M771:O771)-1)/4</f>
        <v/>
      </c>
      <c r="Z771">
        <f>(AVERAGE(P771:R771)-1)/4</f>
        <v/>
      </c>
      <c r="AA771">
        <f>(AVERAGE(S771:T771)-1)/4</f>
        <v/>
      </c>
      <c r="AB771">
        <f>AVERAGE(U771:Y771)</f>
        <v/>
      </c>
      <c r="AC771">
        <f>MIN(U771:Y771)</f>
        <v/>
      </c>
      <c r="AD771">
        <f>1-alpha*MAX(0,delta-AC771)</f>
        <v/>
      </c>
      <c r="AE771">
        <f>AB771*AD771</f>
        <v/>
      </c>
      <c r="AF771">
        <f>1+COUNTIF(bounds,"&lt;"&amp;ROUND(AB771,12))</f>
        <v/>
      </c>
      <c r="AG771">
        <f>1+COUNTIF(bounds,"&lt;"&amp;ROUND(AE771,12))</f>
        <v/>
      </c>
      <c r="AH771">
        <f>IF(AD771&lt;1,1,0)</f>
        <v/>
      </c>
      <c r="AI771">
        <f>IF(AF771&lt;&gt;AG771,1,0)</f>
        <v/>
      </c>
      <c r="AJ771">
        <f>IF(AND(AG771&gt;=3,Z771&lt;=0.2),1,0)</f>
        <v/>
      </c>
      <c r="AK771">
        <f>AVERAGE(U771:Z771)</f>
        <v/>
      </c>
      <c r="AL771">
        <f>1+COUNTIF(bounds,"&lt;"&amp;ROUND(AK771,12))</f>
        <v/>
      </c>
      <c r="AM771">
        <f>IF(AI771=1,AB771,NA())</f>
        <v/>
      </c>
      <c r="AN771">
        <f>IF(AI771=0,AB771,NA())</f>
        <v/>
      </c>
    </row>
    <row r="772">
      <c r="A772" t="n">
        <v>764</v>
      </c>
      <c r="B772" t="n">
        <v>5</v>
      </c>
      <c r="C772" t="n">
        <v>3</v>
      </c>
      <c r="D772" t="n">
        <v>2</v>
      </c>
      <c r="E772" t="n">
        <v>1</v>
      </c>
      <c r="F772" t="n">
        <v>3</v>
      </c>
      <c r="G772" t="n">
        <v>2</v>
      </c>
      <c r="H772" t="n">
        <v>2</v>
      </c>
      <c r="I772" t="n">
        <v>4</v>
      </c>
      <c r="J772" t="n">
        <v>5</v>
      </c>
      <c r="K772" t="n">
        <v>1</v>
      </c>
      <c r="L772" t="n">
        <v>2</v>
      </c>
      <c r="M772" t="n">
        <v>1</v>
      </c>
      <c r="N772" t="n">
        <v>1</v>
      </c>
      <c r="O772" t="n">
        <v>3</v>
      </c>
      <c r="P772" t="n">
        <v>4</v>
      </c>
      <c r="Q772" t="n">
        <v>1</v>
      </c>
      <c r="R772" t="n">
        <v>2</v>
      </c>
      <c r="S772" t="n">
        <v>4</v>
      </c>
      <c r="T772" t="n">
        <v>5</v>
      </c>
      <c r="U772">
        <f>(AVERAGE(B772:D772)-1)/4</f>
        <v/>
      </c>
      <c r="V772">
        <f>(AVERAGE(E772:F772)-1)/4</f>
        <v/>
      </c>
      <c r="W772">
        <f>(AVERAGE(G772:I772)-1)/4</f>
        <v/>
      </c>
      <c r="X772">
        <f>(AVERAGE(J772:L772)-1)/4</f>
        <v/>
      </c>
      <c r="Y772">
        <f>(AVERAGE(M772:O772)-1)/4</f>
        <v/>
      </c>
      <c r="Z772">
        <f>(AVERAGE(P772:R772)-1)/4</f>
        <v/>
      </c>
      <c r="AA772">
        <f>(AVERAGE(S772:T772)-1)/4</f>
        <v/>
      </c>
      <c r="AB772">
        <f>AVERAGE(U772:Y772)</f>
        <v/>
      </c>
      <c r="AC772">
        <f>MIN(U772:Y772)</f>
        <v/>
      </c>
      <c r="AD772">
        <f>1-alpha*MAX(0,delta-AC772)</f>
        <v/>
      </c>
      <c r="AE772">
        <f>AB772*AD772</f>
        <v/>
      </c>
      <c r="AF772">
        <f>1+COUNTIF(bounds,"&lt;"&amp;ROUND(AB772,12))</f>
        <v/>
      </c>
      <c r="AG772">
        <f>1+COUNTIF(bounds,"&lt;"&amp;ROUND(AE772,12))</f>
        <v/>
      </c>
      <c r="AH772">
        <f>IF(AD772&lt;1,1,0)</f>
        <v/>
      </c>
      <c r="AI772">
        <f>IF(AF772&lt;&gt;AG772,1,0)</f>
        <v/>
      </c>
      <c r="AJ772">
        <f>IF(AND(AG772&gt;=3,Z772&lt;=0.2),1,0)</f>
        <v/>
      </c>
      <c r="AK772">
        <f>AVERAGE(U772:Z772)</f>
        <v/>
      </c>
      <c r="AL772">
        <f>1+COUNTIF(bounds,"&lt;"&amp;ROUND(AK772,12))</f>
        <v/>
      </c>
      <c r="AM772">
        <f>IF(AI772=1,AB772,NA())</f>
        <v/>
      </c>
      <c r="AN772">
        <f>IF(AI772=0,AB772,NA())</f>
        <v/>
      </c>
    </row>
    <row r="773">
      <c r="A773" t="n">
        <v>765</v>
      </c>
      <c r="B773" t="n">
        <v>4</v>
      </c>
      <c r="C773" t="n">
        <v>2</v>
      </c>
      <c r="D773" t="n">
        <v>2</v>
      </c>
      <c r="E773" t="n">
        <v>3</v>
      </c>
      <c r="F773" t="n">
        <v>4</v>
      </c>
      <c r="G773" t="n">
        <v>3</v>
      </c>
      <c r="H773" t="n">
        <v>2</v>
      </c>
      <c r="I773" t="n">
        <v>4</v>
      </c>
      <c r="J773" t="n">
        <v>3</v>
      </c>
      <c r="K773" t="n">
        <v>4</v>
      </c>
      <c r="L773" t="n">
        <v>5</v>
      </c>
      <c r="M773" t="n">
        <v>4</v>
      </c>
      <c r="N773" t="n">
        <v>5</v>
      </c>
      <c r="O773" t="n">
        <v>2</v>
      </c>
      <c r="P773" t="n">
        <v>3</v>
      </c>
      <c r="Q773" t="n">
        <v>3</v>
      </c>
      <c r="R773" t="n">
        <v>2</v>
      </c>
      <c r="S773" t="n">
        <v>4</v>
      </c>
      <c r="T773" t="n">
        <v>2</v>
      </c>
      <c r="U773">
        <f>(AVERAGE(B773:D773)-1)/4</f>
        <v/>
      </c>
      <c r="V773">
        <f>(AVERAGE(E773:F773)-1)/4</f>
        <v/>
      </c>
      <c r="W773">
        <f>(AVERAGE(G773:I773)-1)/4</f>
        <v/>
      </c>
      <c r="X773">
        <f>(AVERAGE(J773:L773)-1)/4</f>
        <v/>
      </c>
      <c r="Y773">
        <f>(AVERAGE(M773:O773)-1)/4</f>
        <v/>
      </c>
      <c r="Z773">
        <f>(AVERAGE(P773:R773)-1)/4</f>
        <v/>
      </c>
      <c r="AA773">
        <f>(AVERAGE(S773:T773)-1)/4</f>
        <v/>
      </c>
      <c r="AB773">
        <f>AVERAGE(U773:Y773)</f>
        <v/>
      </c>
      <c r="AC773">
        <f>MIN(U773:Y773)</f>
        <v/>
      </c>
      <c r="AD773">
        <f>1-alpha*MAX(0,delta-AC773)</f>
        <v/>
      </c>
      <c r="AE773">
        <f>AB773*AD773</f>
        <v/>
      </c>
      <c r="AF773">
        <f>1+COUNTIF(bounds,"&lt;"&amp;ROUND(AB773,12))</f>
        <v/>
      </c>
      <c r="AG773">
        <f>1+COUNTIF(bounds,"&lt;"&amp;ROUND(AE773,12))</f>
        <v/>
      </c>
      <c r="AH773">
        <f>IF(AD773&lt;1,1,0)</f>
        <v/>
      </c>
      <c r="AI773">
        <f>IF(AF773&lt;&gt;AG773,1,0)</f>
        <v/>
      </c>
      <c r="AJ773">
        <f>IF(AND(AG773&gt;=3,Z773&lt;=0.2),1,0)</f>
        <v/>
      </c>
      <c r="AK773">
        <f>AVERAGE(U773:Z773)</f>
        <v/>
      </c>
      <c r="AL773">
        <f>1+COUNTIF(bounds,"&lt;"&amp;ROUND(AK773,12))</f>
        <v/>
      </c>
      <c r="AM773">
        <f>IF(AI773=1,AB773,NA())</f>
        <v/>
      </c>
      <c r="AN773">
        <f>IF(AI773=0,AB773,NA())</f>
        <v/>
      </c>
    </row>
    <row r="774">
      <c r="A774" t="n">
        <v>766</v>
      </c>
      <c r="B774" t="n">
        <v>2</v>
      </c>
      <c r="C774" t="n">
        <v>5</v>
      </c>
      <c r="D774" t="n">
        <v>4</v>
      </c>
      <c r="E774" t="n">
        <v>2</v>
      </c>
      <c r="F774" t="n">
        <v>5</v>
      </c>
      <c r="G774" t="n">
        <v>3</v>
      </c>
      <c r="H774" t="n">
        <v>2</v>
      </c>
      <c r="I774" t="n">
        <v>4</v>
      </c>
      <c r="J774" t="n">
        <v>1</v>
      </c>
      <c r="K774" t="n">
        <v>5</v>
      </c>
      <c r="L774" t="n">
        <v>2</v>
      </c>
      <c r="M774" t="n">
        <v>1</v>
      </c>
      <c r="N774" t="n">
        <v>2</v>
      </c>
      <c r="O774" t="n">
        <v>2</v>
      </c>
      <c r="P774" t="n">
        <v>2</v>
      </c>
      <c r="Q774" t="n">
        <v>1</v>
      </c>
      <c r="R774" t="n">
        <v>2</v>
      </c>
      <c r="S774" t="n">
        <v>3</v>
      </c>
      <c r="T774" t="n">
        <v>1</v>
      </c>
      <c r="U774">
        <f>(AVERAGE(B774:D774)-1)/4</f>
        <v/>
      </c>
      <c r="V774">
        <f>(AVERAGE(E774:F774)-1)/4</f>
        <v/>
      </c>
      <c r="W774">
        <f>(AVERAGE(G774:I774)-1)/4</f>
        <v/>
      </c>
      <c r="X774">
        <f>(AVERAGE(J774:L774)-1)/4</f>
        <v/>
      </c>
      <c r="Y774">
        <f>(AVERAGE(M774:O774)-1)/4</f>
        <v/>
      </c>
      <c r="Z774">
        <f>(AVERAGE(P774:R774)-1)/4</f>
        <v/>
      </c>
      <c r="AA774">
        <f>(AVERAGE(S774:T774)-1)/4</f>
        <v/>
      </c>
      <c r="AB774">
        <f>AVERAGE(U774:Y774)</f>
        <v/>
      </c>
      <c r="AC774">
        <f>MIN(U774:Y774)</f>
        <v/>
      </c>
      <c r="AD774">
        <f>1-alpha*MAX(0,delta-AC774)</f>
        <v/>
      </c>
      <c r="AE774">
        <f>AB774*AD774</f>
        <v/>
      </c>
      <c r="AF774">
        <f>1+COUNTIF(bounds,"&lt;"&amp;ROUND(AB774,12))</f>
        <v/>
      </c>
      <c r="AG774">
        <f>1+COUNTIF(bounds,"&lt;"&amp;ROUND(AE774,12))</f>
        <v/>
      </c>
      <c r="AH774">
        <f>IF(AD774&lt;1,1,0)</f>
        <v/>
      </c>
      <c r="AI774">
        <f>IF(AF774&lt;&gt;AG774,1,0)</f>
        <v/>
      </c>
      <c r="AJ774">
        <f>IF(AND(AG774&gt;=3,Z774&lt;=0.2),1,0)</f>
        <v/>
      </c>
      <c r="AK774">
        <f>AVERAGE(U774:Z774)</f>
        <v/>
      </c>
      <c r="AL774">
        <f>1+COUNTIF(bounds,"&lt;"&amp;ROUND(AK774,12))</f>
        <v/>
      </c>
      <c r="AM774">
        <f>IF(AI774=1,AB774,NA())</f>
        <v/>
      </c>
      <c r="AN774">
        <f>IF(AI774=0,AB774,NA())</f>
        <v/>
      </c>
    </row>
    <row r="775">
      <c r="A775" t="n">
        <v>767</v>
      </c>
      <c r="B775" t="n">
        <v>5</v>
      </c>
      <c r="C775" t="n">
        <v>1</v>
      </c>
      <c r="D775" t="n">
        <v>1</v>
      </c>
      <c r="E775" t="n">
        <v>2</v>
      </c>
      <c r="F775" t="n">
        <v>5</v>
      </c>
      <c r="G775" t="n">
        <v>5</v>
      </c>
      <c r="H775" t="n">
        <v>1</v>
      </c>
      <c r="I775" t="n">
        <v>1</v>
      </c>
      <c r="J775" t="n">
        <v>1</v>
      </c>
      <c r="K775" t="n">
        <v>2</v>
      </c>
      <c r="L775" t="n">
        <v>5</v>
      </c>
      <c r="M775" t="n">
        <v>1</v>
      </c>
      <c r="N775" t="n">
        <v>3</v>
      </c>
      <c r="O775" t="n">
        <v>1</v>
      </c>
      <c r="P775" t="n">
        <v>3</v>
      </c>
      <c r="Q775" t="n">
        <v>5</v>
      </c>
      <c r="R775" t="n">
        <v>4</v>
      </c>
      <c r="S775" t="n">
        <v>1</v>
      </c>
      <c r="T775" t="n">
        <v>4</v>
      </c>
      <c r="U775">
        <f>(AVERAGE(B775:D775)-1)/4</f>
        <v/>
      </c>
      <c r="V775">
        <f>(AVERAGE(E775:F775)-1)/4</f>
        <v/>
      </c>
      <c r="W775">
        <f>(AVERAGE(G775:I775)-1)/4</f>
        <v/>
      </c>
      <c r="X775">
        <f>(AVERAGE(J775:L775)-1)/4</f>
        <v/>
      </c>
      <c r="Y775">
        <f>(AVERAGE(M775:O775)-1)/4</f>
        <v/>
      </c>
      <c r="Z775">
        <f>(AVERAGE(P775:R775)-1)/4</f>
        <v/>
      </c>
      <c r="AA775">
        <f>(AVERAGE(S775:T775)-1)/4</f>
        <v/>
      </c>
      <c r="AB775">
        <f>AVERAGE(U775:Y775)</f>
        <v/>
      </c>
      <c r="AC775">
        <f>MIN(U775:Y775)</f>
        <v/>
      </c>
      <c r="AD775">
        <f>1-alpha*MAX(0,delta-AC775)</f>
        <v/>
      </c>
      <c r="AE775">
        <f>AB775*AD775</f>
        <v/>
      </c>
      <c r="AF775">
        <f>1+COUNTIF(bounds,"&lt;"&amp;ROUND(AB775,12))</f>
        <v/>
      </c>
      <c r="AG775">
        <f>1+COUNTIF(bounds,"&lt;"&amp;ROUND(AE775,12))</f>
        <v/>
      </c>
      <c r="AH775">
        <f>IF(AD775&lt;1,1,0)</f>
        <v/>
      </c>
      <c r="AI775">
        <f>IF(AF775&lt;&gt;AG775,1,0)</f>
        <v/>
      </c>
      <c r="AJ775">
        <f>IF(AND(AG775&gt;=3,Z775&lt;=0.2),1,0)</f>
        <v/>
      </c>
      <c r="AK775">
        <f>AVERAGE(U775:Z775)</f>
        <v/>
      </c>
      <c r="AL775">
        <f>1+COUNTIF(bounds,"&lt;"&amp;ROUND(AK775,12))</f>
        <v/>
      </c>
      <c r="AM775">
        <f>IF(AI775=1,AB775,NA())</f>
        <v/>
      </c>
      <c r="AN775">
        <f>IF(AI775=0,AB775,NA())</f>
        <v/>
      </c>
    </row>
    <row r="776">
      <c r="A776" t="n">
        <v>768</v>
      </c>
      <c r="B776" t="n">
        <v>5</v>
      </c>
      <c r="C776" t="n">
        <v>3</v>
      </c>
      <c r="D776" t="n">
        <v>5</v>
      </c>
      <c r="E776" t="n">
        <v>4</v>
      </c>
      <c r="F776" t="n">
        <v>3</v>
      </c>
      <c r="G776" t="n">
        <v>2</v>
      </c>
      <c r="H776" t="n">
        <v>4</v>
      </c>
      <c r="I776" t="n">
        <v>2</v>
      </c>
      <c r="J776" t="n">
        <v>1</v>
      </c>
      <c r="K776" t="n">
        <v>5</v>
      </c>
      <c r="L776" t="n">
        <v>5</v>
      </c>
      <c r="M776" t="n">
        <v>5</v>
      </c>
      <c r="N776" t="n">
        <v>5</v>
      </c>
      <c r="O776" t="n">
        <v>1</v>
      </c>
      <c r="P776" t="n">
        <v>1</v>
      </c>
      <c r="Q776" t="n">
        <v>5</v>
      </c>
      <c r="R776" t="n">
        <v>4</v>
      </c>
      <c r="S776" t="n">
        <v>3</v>
      </c>
      <c r="T776" t="n">
        <v>1</v>
      </c>
      <c r="U776">
        <f>(AVERAGE(B776:D776)-1)/4</f>
        <v/>
      </c>
      <c r="V776">
        <f>(AVERAGE(E776:F776)-1)/4</f>
        <v/>
      </c>
      <c r="W776">
        <f>(AVERAGE(G776:I776)-1)/4</f>
        <v/>
      </c>
      <c r="X776">
        <f>(AVERAGE(J776:L776)-1)/4</f>
        <v/>
      </c>
      <c r="Y776">
        <f>(AVERAGE(M776:O776)-1)/4</f>
        <v/>
      </c>
      <c r="Z776">
        <f>(AVERAGE(P776:R776)-1)/4</f>
        <v/>
      </c>
      <c r="AA776">
        <f>(AVERAGE(S776:T776)-1)/4</f>
        <v/>
      </c>
      <c r="AB776">
        <f>AVERAGE(U776:Y776)</f>
        <v/>
      </c>
      <c r="AC776">
        <f>MIN(U776:Y776)</f>
        <v/>
      </c>
      <c r="AD776">
        <f>1-alpha*MAX(0,delta-AC776)</f>
        <v/>
      </c>
      <c r="AE776">
        <f>AB776*AD776</f>
        <v/>
      </c>
      <c r="AF776">
        <f>1+COUNTIF(bounds,"&lt;"&amp;ROUND(AB776,12))</f>
        <v/>
      </c>
      <c r="AG776">
        <f>1+COUNTIF(bounds,"&lt;"&amp;ROUND(AE776,12))</f>
        <v/>
      </c>
      <c r="AH776">
        <f>IF(AD776&lt;1,1,0)</f>
        <v/>
      </c>
      <c r="AI776">
        <f>IF(AF776&lt;&gt;AG776,1,0)</f>
        <v/>
      </c>
      <c r="AJ776">
        <f>IF(AND(AG776&gt;=3,Z776&lt;=0.2),1,0)</f>
        <v/>
      </c>
      <c r="AK776">
        <f>AVERAGE(U776:Z776)</f>
        <v/>
      </c>
      <c r="AL776">
        <f>1+COUNTIF(bounds,"&lt;"&amp;ROUND(AK776,12))</f>
        <v/>
      </c>
      <c r="AM776">
        <f>IF(AI776=1,AB776,NA())</f>
        <v/>
      </c>
      <c r="AN776">
        <f>IF(AI776=0,AB776,NA())</f>
        <v/>
      </c>
    </row>
    <row r="777">
      <c r="A777" t="n">
        <v>769</v>
      </c>
      <c r="B777" t="n">
        <v>2</v>
      </c>
      <c r="C777" t="n">
        <v>2</v>
      </c>
      <c r="D777" t="n">
        <v>4</v>
      </c>
      <c r="E777" t="n">
        <v>5</v>
      </c>
      <c r="F777" t="n">
        <v>2</v>
      </c>
      <c r="G777" t="n">
        <v>5</v>
      </c>
      <c r="H777" t="n">
        <v>5</v>
      </c>
      <c r="I777" t="n">
        <v>4</v>
      </c>
      <c r="J777" t="n">
        <v>5</v>
      </c>
      <c r="K777" t="n">
        <v>5</v>
      </c>
      <c r="L777" t="n">
        <v>2</v>
      </c>
      <c r="M777" t="n">
        <v>4</v>
      </c>
      <c r="N777" t="n">
        <v>2</v>
      </c>
      <c r="O777" t="n">
        <v>3</v>
      </c>
      <c r="P777" t="n">
        <v>5</v>
      </c>
      <c r="Q777" t="n">
        <v>4</v>
      </c>
      <c r="R777" t="n">
        <v>2</v>
      </c>
      <c r="S777" t="n">
        <v>4</v>
      </c>
      <c r="T777" t="n">
        <v>4</v>
      </c>
      <c r="U777">
        <f>(AVERAGE(B777:D777)-1)/4</f>
        <v/>
      </c>
      <c r="V777">
        <f>(AVERAGE(E777:F777)-1)/4</f>
        <v/>
      </c>
      <c r="W777">
        <f>(AVERAGE(G777:I777)-1)/4</f>
        <v/>
      </c>
      <c r="X777">
        <f>(AVERAGE(J777:L777)-1)/4</f>
        <v/>
      </c>
      <c r="Y777">
        <f>(AVERAGE(M777:O777)-1)/4</f>
        <v/>
      </c>
      <c r="Z777">
        <f>(AVERAGE(P777:R777)-1)/4</f>
        <v/>
      </c>
      <c r="AA777">
        <f>(AVERAGE(S777:T777)-1)/4</f>
        <v/>
      </c>
      <c r="AB777">
        <f>AVERAGE(U777:Y777)</f>
        <v/>
      </c>
      <c r="AC777">
        <f>MIN(U777:Y777)</f>
        <v/>
      </c>
      <c r="AD777">
        <f>1-alpha*MAX(0,delta-AC777)</f>
        <v/>
      </c>
      <c r="AE777">
        <f>AB777*AD777</f>
        <v/>
      </c>
      <c r="AF777">
        <f>1+COUNTIF(bounds,"&lt;"&amp;ROUND(AB777,12))</f>
        <v/>
      </c>
      <c r="AG777">
        <f>1+COUNTIF(bounds,"&lt;"&amp;ROUND(AE777,12))</f>
        <v/>
      </c>
      <c r="AH777">
        <f>IF(AD777&lt;1,1,0)</f>
        <v/>
      </c>
      <c r="AI777">
        <f>IF(AF777&lt;&gt;AG777,1,0)</f>
        <v/>
      </c>
      <c r="AJ777">
        <f>IF(AND(AG777&gt;=3,Z777&lt;=0.2),1,0)</f>
        <v/>
      </c>
      <c r="AK777">
        <f>AVERAGE(U777:Z777)</f>
        <v/>
      </c>
      <c r="AL777">
        <f>1+COUNTIF(bounds,"&lt;"&amp;ROUND(AK777,12))</f>
        <v/>
      </c>
      <c r="AM777">
        <f>IF(AI777=1,AB777,NA())</f>
        <v/>
      </c>
      <c r="AN777">
        <f>IF(AI777=0,AB777,NA())</f>
        <v/>
      </c>
    </row>
    <row r="778">
      <c r="A778" t="n">
        <v>770</v>
      </c>
      <c r="B778" t="n">
        <v>2</v>
      </c>
      <c r="C778" t="n">
        <v>2</v>
      </c>
      <c r="D778" t="n">
        <v>3</v>
      </c>
      <c r="E778" t="n">
        <v>3</v>
      </c>
      <c r="F778" t="n">
        <v>1</v>
      </c>
      <c r="G778" t="n">
        <v>5</v>
      </c>
      <c r="H778" t="n">
        <v>5</v>
      </c>
      <c r="I778" t="n">
        <v>3</v>
      </c>
      <c r="J778" t="n">
        <v>5</v>
      </c>
      <c r="K778" t="n">
        <v>1</v>
      </c>
      <c r="L778" t="n">
        <v>1</v>
      </c>
      <c r="M778" t="n">
        <v>3</v>
      </c>
      <c r="N778" t="n">
        <v>5</v>
      </c>
      <c r="O778" t="n">
        <v>5</v>
      </c>
      <c r="P778" t="n">
        <v>4</v>
      </c>
      <c r="Q778" t="n">
        <v>2</v>
      </c>
      <c r="R778" t="n">
        <v>4</v>
      </c>
      <c r="S778" t="n">
        <v>4</v>
      </c>
      <c r="T778" t="n">
        <v>5</v>
      </c>
      <c r="U778">
        <f>(AVERAGE(B778:D778)-1)/4</f>
        <v/>
      </c>
      <c r="V778">
        <f>(AVERAGE(E778:F778)-1)/4</f>
        <v/>
      </c>
      <c r="W778">
        <f>(AVERAGE(G778:I778)-1)/4</f>
        <v/>
      </c>
      <c r="X778">
        <f>(AVERAGE(J778:L778)-1)/4</f>
        <v/>
      </c>
      <c r="Y778">
        <f>(AVERAGE(M778:O778)-1)/4</f>
        <v/>
      </c>
      <c r="Z778">
        <f>(AVERAGE(P778:R778)-1)/4</f>
        <v/>
      </c>
      <c r="AA778">
        <f>(AVERAGE(S778:T778)-1)/4</f>
        <v/>
      </c>
      <c r="AB778">
        <f>AVERAGE(U778:Y778)</f>
        <v/>
      </c>
      <c r="AC778">
        <f>MIN(U778:Y778)</f>
        <v/>
      </c>
      <c r="AD778">
        <f>1-alpha*MAX(0,delta-AC778)</f>
        <v/>
      </c>
      <c r="AE778">
        <f>AB778*AD778</f>
        <v/>
      </c>
      <c r="AF778">
        <f>1+COUNTIF(bounds,"&lt;"&amp;ROUND(AB778,12))</f>
        <v/>
      </c>
      <c r="AG778">
        <f>1+COUNTIF(bounds,"&lt;"&amp;ROUND(AE778,12))</f>
        <v/>
      </c>
      <c r="AH778">
        <f>IF(AD778&lt;1,1,0)</f>
        <v/>
      </c>
      <c r="AI778">
        <f>IF(AF778&lt;&gt;AG778,1,0)</f>
        <v/>
      </c>
      <c r="AJ778">
        <f>IF(AND(AG778&gt;=3,Z778&lt;=0.2),1,0)</f>
        <v/>
      </c>
      <c r="AK778">
        <f>AVERAGE(U778:Z778)</f>
        <v/>
      </c>
      <c r="AL778">
        <f>1+COUNTIF(bounds,"&lt;"&amp;ROUND(AK778,12))</f>
        <v/>
      </c>
      <c r="AM778">
        <f>IF(AI778=1,AB778,NA())</f>
        <v/>
      </c>
      <c r="AN778">
        <f>IF(AI778=0,AB778,NA())</f>
        <v/>
      </c>
    </row>
    <row r="779">
      <c r="A779" t="n">
        <v>771</v>
      </c>
      <c r="B779" t="n">
        <v>4</v>
      </c>
      <c r="C779" t="n">
        <v>3</v>
      </c>
      <c r="D779" t="n">
        <v>3</v>
      </c>
      <c r="E779" t="n">
        <v>1</v>
      </c>
      <c r="F779" t="n">
        <v>3</v>
      </c>
      <c r="G779" t="n">
        <v>2</v>
      </c>
      <c r="H779" t="n">
        <v>5</v>
      </c>
      <c r="I779" t="n">
        <v>5</v>
      </c>
      <c r="J779" t="n">
        <v>4</v>
      </c>
      <c r="K779" t="n">
        <v>5</v>
      </c>
      <c r="L779" t="n">
        <v>4</v>
      </c>
      <c r="M779" t="n">
        <v>1</v>
      </c>
      <c r="N779" t="n">
        <v>4</v>
      </c>
      <c r="O779" t="n">
        <v>5</v>
      </c>
      <c r="P779" t="n">
        <v>1</v>
      </c>
      <c r="Q779" t="n">
        <v>2</v>
      </c>
      <c r="R779" t="n">
        <v>4</v>
      </c>
      <c r="S779" t="n">
        <v>2</v>
      </c>
      <c r="T779" t="n">
        <v>2</v>
      </c>
      <c r="U779">
        <f>(AVERAGE(B779:D779)-1)/4</f>
        <v/>
      </c>
      <c r="V779">
        <f>(AVERAGE(E779:F779)-1)/4</f>
        <v/>
      </c>
      <c r="W779">
        <f>(AVERAGE(G779:I779)-1)/4</f>
        <v/>
      </c>
      <c r="X779">
        <f>(AVERAGE(J779:L779)-1)/4</f>
        <v/>
      </c>
      <c r="Y779">
        <f>(AVERAGE(M779:O779)-1)/4</f>
        <v/>
      </c>
      <c r="Z779">
        <f>(AVERAGE(P779:R779)-1)/4</f>
        <v/>
      </c>
      <c r="AA779">
        <f>(AVERAGE(S779:T779)-1)/4</f>
        <v/>
      </c>
      <c r="AB779">
        <f>AVERAGE(U779:Y779)</f>
        <v/>
      </c>
      <c r="AC779">
        <f>MIN(U779:Y779)</f>
        <v/>
      </c>
      <c r="AD779">
        <f>1-alpha*MAX(0,delta-AC779)</f>
        <v/>
      </c>
      <c r="AE779">
        <f>AB779*AD779</f>
        <v/>
      </c>
      <c r="AF779">
        <f>1+COUNTIF(bounds,"&lt;"&amp;ROUND(AB779,12))</f>
        <v/>
      </c>
      <c r="AG779">
        <f>1+COUNTIF(bounds,"&lt;"&amp;ROUND(AE779,12))</f>
        <v/>
      </c>
      <c r="AH779">
        <f>IF(AD779&lt;1,1,0)</f>
        <v/>
      </c>
      <c r="AI779">
        <f>IF(AF779&lt;&gt;AG779,1,0)</f>
        <v/>
      </c>
      <c r="AJ779">
        <f>IF(AND(AG779&gt;=3,Z779&lt;=0.2),1,0)</f>
        <v/>
      </c>
      <c r="AK779">
        <f>AVERAGE(U779:Z779)</f>
        <v/>
      </c>
      <c r="AL779">
        <f>1+COUNTIF(bounds,"&lt;"&amp;ROUND(AK779,12))</f>
        <v/>
      </c>
      <c r="AM779">
        <f>IF(AI779=1,AB779,NA())</f>
        <v/>
      </c>
      <c r="AN779">
        <f>IF(AI779=0,AB779,NA())</f>
        <v/>
      </c>
    </row>
    <row r="780">
      <c r="A780" t="n">
        <v>772</v>
      </c>
      <c r="B780" t="n">
        <v>3</v>
      </c>
      <c r="C780" t="n">
        <v>5</v>
      </c>
      <c r="D780" t="n">
        <v>5</v>
      </c>
      <c r="E780" t="n">
        <v>5</v>
      </c>
      <c r="F780" t="n">
        <v>4</v>
      </c>
      <c r="G780" t="n">
        <v>5</v>
      </c>
      <c r="H780" t="n">
        <v>3</v>
      </c>
      <c r="I780" t="n">
        <v>5</v>
      </c>
      <c r="J780" t="n">
        <v>1</v>
      </c>
      <c r="K780" t="n">
        <v>1</v>
      </c>
      <c r="L780" t="n">
        <v>2</v>
      </c>
      <c r="M780" t="n">
        <v>3</v>
      </c>
      <c r="N780" t="n">
        <v>2</v>
      </c>
      <c r="O780" t="n">
        <v>4</v>
      </c>
      <c r="P780" t="n">
        <v>2</v>
      </c>
      <c r="Q780" t="n">
        <v>2</v>
      </c>
      <c r="R780" t="n">
        <v>4</v>
      </c>
      <c r="S780" t="n">
        <v>1</v>
      </c>
      <c r="T780" t="n">
        <v>1</v>
      </c>
      <c r="U780">
        <f>(AVERAGE(B780:D780)-1)/4</f>
        <v/>
      </c>
      <c r="V780">
        <f>(AVERAGE(E780:F780)-1)/4</f>
        <v/>
      </c>
      <c r="W780">
        <f>(AVERAGE(G780:I780)-1)/4</f>
        <v/>
      </c>
      <c r="X780">
        <f>(AVERAGE(J780:L780)-1)/4</f>
        <v/>
      </c>
      <c r="Y780">
        <f>(AVERAGE(M780:O780)-1)/4</f>
        <v/>
      </c>
      <c r="Z780">
        <f>(AVERAGE(P780:R780)-1)/4</f>
        <v/>
      </c>
      <c r="AA780">
        <f>(AVERAGE(S780:T780)-1)/4</f>
        <v/>
      </c>
      <c r="AB780">
        <f>AVERAGE(U780:Y780)</f>
        <v/>
      </c>
      <c r="AC780">
        <f>MIN(U780:Y780)</f>
        <v/>
      </c>
      <c r="AD780">
        <f>1-alpha*MAX(0,delta-AC780)</f>
        <v/>
      </c>
      <c r="AE780">
        <f>AB780*AD780</f>
        <v/>
      </c>
      <c r="AF780">
        <f>1+COUNTIF(bounds,"&lt;"&amp;ROUND(AB780,12))</f>
        <v/>
      </c>
      <c r="AG780">
        <f>1+COUNTIF(bounds,"&lt;"&amp;ROUND(AE780,12))</f>
        <v/>
      </c>
      <c r="AH780">
        <f>IF(AD780&lt;1,1,0)</f>
        <v/>
      </c>
      <c r="AI780">
        <f>IF(AF780&lt;&gt;AG780,1,0)</f>
        <v/>
      </c>
      <c r="AJ780">
        <f>IF(AND(AG780&gt;=3,Z780&lt;=0.2),1,0)</f>
        <v/>
      </c>
      <c r="AK780">
        <f>AVERAGE(U780:Z780)</f>
        <v/>
      </c>
      <c r="AL780">
        <f>1+COUNTIF(bounds,"&lt;"&amp;ROUND(AK780,12))</f>
        <v/>
      </c>
      <c r="AM780">
        <f>IF(AI780=1,AB780,NA())</f>
        <v/>
      </c>
      <c r="AN780">
        <f>IF(AI780=0,AB780,NA())</f>
        <v/>
      </c>
    </row>
    <row r="781">
      <c r="A781" t="n">
        <v>773</v>
      </c>
      <c r="B781" t="n">
        <v>3</v>
      </c>
      <c r="C781" t="n">
        <v>3</v>
      </c>
      <c r="D781" t="n">
        <v>1</v>
      </c>
      <c r="E781" t="n">
        <v>3</v>
      </c>
      <c r="F781" t="n">
        <v>3</v>
      </c>
      <c r="G781" t="n">
        <v>4</v>
      </c>
      <c r="H781" t="n">
        <v>5</v>
      </c>
      <c r="I781" t="n">
        <v>5</v>
      </c>
      <c r="J781" t="n">
        <v>4</v>
      </c>
      <c r="K781" t="n">
        <v>1</v>
      </c>
      <c r="L781" t="n">
        <v>1</v>
      </c>
      <c r="M781" t="n">
        <v>4</v>
      </c>
      <c r="N781" t="n">
        <v>3</v>
      </c>
      <c r="O781" t="n">
        <v>5</v>
      </c>
      <c r="P781" t="n">
        <v>5</v>
      </c>
      <c r="Q781" t="n">
        <v>2</v>
      </c>
      <c r="R781" t="n">
        <v>5</v>
      </c>
      <c r="S781" t="n">
        <v>1</v>
      </c>
      <c r="T781" t="n">
        <v>3</v>
      </c>
      <c r="U781">
        <f>(AVERAGE(B781:D781)-1)/4</f>
        <v/>
      </c>
      <c r="V781">
        <f>(AVERAGE(E781:F781)-1)/4</f>
        <v/>
      </c>
      <c r="W781">
        <f>(AVERAGE(G781:I781)-1)/4</f>
        <v/>
      </c>
      <c r="X781">
        <f>(AVERAGE(J781:L781)-1)/4</f>
        <v/>
      </c>
      <c r="Y781">
        <f>(AVERAGE(M781:O781)-1)/4</f>
        <v/>
      </c>
      <c r="Z781">
        <f>(AVERAGE(P781:R781)-1)/4</f>
        <v/>
      </c>
      <c r="AA781">
        <f>(AVERAGE(S781:T781)-1)/4</f>
        <v/>
      </c>
      <c r="AB781">
        <f>AVERAGE(U781:Y781)</f>
        <v/>
      </c>
      <c r="AC781">
        <f>MIN(U781:Y781)</f>
        <v/>
      </c>
      <c r="AD781">
        <f>1-alpha*MAX(0,delta-AC781)</f>
        <v/>
      </c>
      <c r="AE781">
        <f>AB781*AD781</f>
        <v/>
      </c>
      <c r="AF781">
        <f>1+COUNTIF(bounds,"&lt;"&amp;ROUND(AB781,12))</f>
        <v/>
      </c>
      <c r="AG781">
        <f>1+COUNTIF(bounds,"&lt;"&amp;ROUND(AE781,12))</f>
        <v/>
      </c>
      <c r="AH781">
        <f>IF(AD781&lt;1,1,0)</f>
        <v/>
      </c>
      <c r="AI781">
        <f>IF(AF781&lt;&gt;AG781,1,0)</f>
        <v/>
      </c>
      <c r="AJ781">
        <f>IF(AND(AG781&gt;=3,Z781&lt;=0.2),1,0)</f>
        <v/>
      </c>
      <c r="AK781">
        <f>AVERAGE(U781:Z781)</f>
        <v/>
      </c>
      <c r="AL781">
        <f>1+COUNTIF(bounds,"&lt;"&amp;ROUND(AK781,12))</f>
        <v/>
      </c>
      <c r="AM781">
        <f>IF(AI781=1,AB781,NA())</f>
        <v/>
      </c>
      <c r="AN781">
        <f>IF(AI781=0,AB781,NA())</f>
        <v/>
      </c>
    </row>
    <row r="782">
      <c r="A782" t="n">
        <v>774</v>
      </c>
      <c r="B782" t="n">
        <v>4</v>
      </c>
      <c r="C782" t="n">
        <v>4</v>
      </c>
      <c r="D782" t="n">
        <v>1</v>
      </c>
      <c r="E782" t="n">
        <v>5</v>
      </c>
      <c r="F782" t="n">
        <v>5</v>
      </c>
      <c r="G782" t="n">
        <v>5</v>
      </c>
      <c r="H782" t="n">
        <v>5</v>
      </c>
      <c r="I782" t="n">
        <v>4</v>
      </c>
      <c r="J782" t="n">
        <v>3</v>
      </c>
      <c r="K782" t="n">
        <v>5</v>
      </c>
      <c r="L782" t="n">
        <v>4</v>
      </c>
      <c r="M782" t="n">
        <v>2</v>
      </c>
      <c r="N782" t="n">
        <v>2</v>
      </c>
      <c r="O782" t="n">
        <v>5</v>
      </c>
      <c r="P782" t="n">
        <v>1</v>
      </c>
      <c r="Q782" t="n">
        <v>3</v>
      </c>
      <c r="R782" t="n">
        <v>5</v>
      </c>
      <c r="S782" t="n">
        <v>2</v>
      </c>
      <c r="T782" t="n">
        <v>2</v>
      </c>
      <c r="U782">
        <f>(AVERAGE(B782:D782)-1)/4</f>
        <v/>
      </c>
      <c r="V782">
        <f>(AVERAGE(E782:F782)-1)/4</f>
        <v/>
      </c>
      <c r="W782">
        <f>(AVERAGE(G782:I782)-1)/4</f>
        <v/>
      </c>
      <c r="X782">
        <f>(AVERAGE(J782:L782)-1)/4</f>
        <v/>
      </c>
      <c r="Y782">
        <f>(AVERAGE(M782:O782)-1)/4</f>
        <v/>
      </c>
      <c r="Z782">
        <f>(AVERAGE(P782:R782)-1)/4</f>
        <v/>
      </c>
      <c r="AA782">
        <f>(AVERAGE(S782:T782)-1)/4</f>
        <v/>
      </c>
      <c r="AB782">
        <f>AVERAGE(U782:Y782)</f>
        <v/>
      </c>
      <c r="AC782">
        <f>MIN(U782:Y782)</f>
        <v/>
      </c>
      <c r="AD782">
        <f>1-alpha*MAX(0,delta-AC782)</f>
        <v/>
      </c>
      <c r="AE782">
        <f>AB782*AD782</f>
        <v/>
      </c>
      <c r="AF782">
        <f>1+COUNTIF(bounds,"&lt;"&amp;ROUND(AB782,12))</f>
        <v/>
      </c>
      <c r="AG782">
        <f>1+COUNTIF(bounds,"&lt;"&amp;ROUND(AE782,12))</f>
        <v/>
      </c>
      <c r="AH782">
        <f>IF(AD782&lt;1,1,0)</f>
        <v/>
      </c>
      <c r="AI782">
        <f>IF(AF782&lt;&gt;AG782,1,0)</f>
        <v/>
      </c>
      <c r="AJ782">
        <f>IF(AND(AG782&gt;=3,Z782&lt;=0.2),1,0)</f>
        <v/>
      </c>
      <c r="AK782">
        <f>AVERAGE(U782:Z782)</f>
        <v/>
      </c>
      <c r="AL782">
        <f>1+COUNTIF(bounds,"&lt;"&amp;ROUND(AK782,12))</f>
        <v/>
      </c>
      <c r="AM782">
        <f>IF(AI782=1,AB782,NA())</f>
        <v/>
      </c>
      <c r="AN782">
        <f>IF(AI782=0,AB782,NA())</f>
        <v/>
      </c>
    </row>
    <row r="783">
      <c r="A783" t="n">
        <v>775</v>
      </c>
      <c r="B783" t="n">
        <v>1</v>
      </c>
      <c r="C783" t="n">
        <v>1</v>
      </c>
      <c r="D783" t="n">
        <v>3</v>
      </c>
      <c r="E783" t="n">
        <v>4</v>
      </c>
      <c r="F783" t="n">
        <v>2</v>
      </c>
      <c r="G783" t="n">
        <v>2</v>
      </c>
      <c r="H783" t="n">
        <v>2</v>
      </c>
      <c r="I783" t="n">
        <v>1</v>
      </c>
      <c r="J783" t="n">
        <v>2</v>
      </c>
      <c r="K783" t="n">
        <v>1</v>
      </c>
      <c r="L783" t="n">
        <v>3</v>
      </c>
      <c r="M783" t="n">
        <v>5</v>
      </c>
      <c r="N783" t="n">
        <v>5</v>
      </c>
      <c r="O783" t="n">
        <v>4</v>
      </c>
      <c r="P783" t="n">
        <v>1</v>
      </c>
      <c r="Q783" t="n">
        <v>2</v>
      </c>
      <c r="R783" t="n">
        <v>4</v>
      </c>
      <c r="S783" t="n">
        <v>1</v>
      </c>
      <c r="T783" t="n">
        <v>4</v>
      </c>
      <c r="U783">
        <f>(AVERAGE(B783:D783)-1)/4</f>
        <v/>
      </c>
      <c r="V783">
        <f>(AVERAGE(E783:F783)-1)/4</f>
        <v/>
      </c>
      <c r="W783">
        <f>(AVERAGE(G783:I783)-1)/4</f>
        <v/>
      </c>
      <c r="X783">
        <f>(AVERAGE(J783:L783)-1)/4</f>
        <v/>
      </c>
      <c r="Y783">
        <f>(AVERAGE(M783:O783)-1)/4</f>
        <v/>
      </c>
      <c r="Z783">
        <f>(AVERAGE(P783:R783)-1)/4</f>
        <v/>
      </c>
      <c r="AA783">
        <f>(AVERAGE(S783:T783)-1)/4</f>
        <v/>
      </c>
      <c r="AB783">
        <f>AVERAGE(U783:Y783)</f>
        <v/>
      </c>
      <c r="AC783">
        <f>MIN(U783:Y783)</f>
        <v/>
      </c>
      <c r="AD783">
        <f>1-alpha*MAX(0,delta-AC783)</f>
        <v/>
      </c>
      <c r="AE783">
        <f>AB783*AD783</f>
        <v/>
      </c>
      <c r="AF783">
        <f>1+COUNTIF(bounds,"&lt;"&amp;ROUND(AB783,12))</f>
        <v/>
      </c>
      <c r="AG783">
        <f>1+COUNTIF(bounds,"&lt;"&amp;ROUND(AE783,12))</f>
        <v/>
      </c>
      <c r="AH783">
        <f>IF(AD783&lt;1,1,0)</f>
        <v/>
      </c>
      <c r="AI783">
        <f>IF(AF783&lt;&gt;AG783,1,0)</f>
        <v/>
      </c>
      <c r="AJ783">
        <f>IF(AND(AG783&gt;=3,Z783&lt;=0.2),1,0)</f>
        <v/>
      </c>
      <c r="AK783">
        <f>AVERAGE(U783:Z783)</f>
        <v/>
      </c>
      <c r="AL783">
        <f>1+COUNTIF(bounds,"&lt;"&amp;ROUND(AK783,12))</f>
        <v/>
      </c>
      <c r="AM783">
        <f>IF(AI783=1,AB783,NA())</f>
        <v/>
      </c>
      <c r="AN783">
        <f>IF(AI783=0,AB783,NA())</f>
        <v/>
      </c>
    </row>
    <row r="784">
      <c r="A784" t="n">
        <v>776</v>
      </c>
      <c r="B784" t="n">
        <v>3</v>
      </c>
      <c r="C784" t="n">
        <v>1</v>
      </c>
      <c r="D784" t="n">
        <v>5</v>
      </c>
      <c r="E784" t="n">
        <v>1</v>
      </c>
      <c r="F784" t="n">
        <v>5</v>
      </c>
      <c r="G784" t="n">
        <v>1</v>
      </c>
      <c r="H784" t="n">
        <v>5</v>
      </c>
      <c r="I784" t="n">
        <v>2</v>
      </c>
      <c r="J784" t="n">
        <v>1</v>
      </c>
      <c r="K784" t="n">
        <v>1</v>
      </c>
      <c r="L784" t="n">
        <v>5</v>
      </c>
      <c r="M784" t="n">
        <v>4</v>
      </c>
      <c r="N784" t="n">
        <v>2</v>
      </c>
      <c r="O784" t="n">
        <v>3</v>
      </c>
      <c r="P784" t="n">
        <v>5</v>
      </c>
      <c r="Q784" t="n">
        <v>4</v>
      </c>
      <c r="R784" t="n">
        <v>4</v>
      </c>
      <c r="S784" t="n">
        <v>2</v>
      </c>
      <c r="T784" t="n">
        <v>3</v>
      </c>
      <c r="U784">
        <f>(AVERAGE(B784:D784)-1)/4</f>
        <v/>
      </c>
      <c r="V784">
        <f>(AVERAGE(E784:F784)-1)/4</f>
        <v/>
      </c>
      <c r="W784">
        <f>(AVERAGE(G784:I784)-1)/4</f>
        <v/>
      </c>
      <c r="X784">
        <f>(AVERAGE(J784:L784)-1)/4</f>
        <v/>
      </c>
      <c r="Y784">
        <f>(AVERAGE(M784:O784)-1)/4</f>
        <v/>
      </c>
      <c r="Z784">
        <f>(AVERAGE(P784:R784)-1)/4</f>
        <v/>
      </c>
      <c r="AA784">
        <f>(AVERAGE(S784:T784)-1)/4</f>
        <v/>
      </c>
      <c r="AB784">
        <f>AVERAGE(U784:Y784)</f>
        <v/>
      </c>
      <c r="AC784">
        <f>MIN(U784:Y784)</f>
        <v/>
      </c>
      <c r="AD784">
        <f>1-alpha*MAX(0,delta-AC784)</f>
        <v/>
      </c>
      <c r="AE784">
        <f>AB784*AD784</f>
        <v/>
      </c>
      <c r="AF784">
        <f>1+COUNTIF(bounds,"&lt;"&amp;ROUND(AB784,12))</f>
        <v/>
      </c>
      <c r="AG784">
        <f>1+COUNTIF(bounds,"&lt;"&amp;ROUND(AE784,12))</f>
        <v/>
      </c>
      <c r="AH784">
        <f>IF(AD784&lt;1,1,0)</f>
        <v/>
      </c>
      <c r="AI784">
        <f>IF(AF784&lt;&gt;AG784,1,0)</f>
        <v/>
      </c>
      <c r="AJ784">
        <f>IF(AND(AG784&gt;=3,Z784&lt;=0.2),1,0)</f>
        <v/>
      </c>
      <c r="AK784">
        <f>AVERAGE(U784:Z784)</f>
        <v/>
      </c>
      <c r="AL784">
        <f>1+COUNTIF(bounds,"&lt;"&amp;ROUND(AK784,12))</f>
        <v/>
      </c>
      <c r="AM784">
        <f>IF(AI784=1,AB784,NA())</f>
        <v/>
      </c>
      <c r="AN784">
        <f>IF(AI784=0,AB784,NA())</f>
        <v/>
      </c>
    </row>
    <row r="785">
      <c r="A785" t="n">
        <v>777</v>
      </c>
      <c r="B785" t="n">
        <v>1</v>
      </c>
      <c r="C785" t="n">
        <v>1</v>
      </c>
      <c r="D785" t="n">
        <v>4</v>
      </c>
      <c r="E785" t="n">
        <v>5</v>
      </c>
      <c r="F785" t="n">
        <v>4</v>
      </c>
      <c r="G785" t="n">
        <v>5</v>
      </c>
      <c r="H785" t="n">
        <v>1</v>
      </c>
      <c r="I785" t="n">
        <v>4</v>
      </c>
      <c r="J785" t="n">
        <v>3</v>
      </c>
      <c r="K785" t="n">
        <v>3</v>
      </c>
      <c r="L785" t="n">
        <v>5</v>
      </c>
      <c r="M785" t="n">
        <v>3</v>
      </c>
      <c r="N785" t="n">
        <v>5</v>
      </c>
      <c r="O785" t="n">
        <v>3</v>
      </c>
      <c r="P785" t="n">
        <v>5</v>
      </c>
      <c r="Q785" t="n">
        <v>5</v>
      </c>
      <c r="R785" t="n">
        <v>5</v>
      </c>
      <c r="S785" t="n">
        <v>1</v>
      </c>
      <c r="T785" t="n">
        <v>1</v>
      </c>
      <c r="U785">
        <f>(AVERAGE(B785:D785)-1)/4</f>
        <v/>
      </c>
      <c r="V785">
        <f>(AVERAGE(E785:F785)-1)/4</f>
        <v/>
      </c>
      <c r="W785">
        <f>(AVERAGE(G785:I785)-1)/4</f>
        <v/>
      </c>
      <c r="X785">
        <f>(AVERAGE(J785:L785)-1)/4</f>
        <v/>
      </c>
      <c r="Y785">
        <f>(AVERAGE(M785:O785)-1)/4</f>
        <v/>
      </c>
      <c r="Z785">
        <f>(AVERAGE(P785:R785)-1)/4</f>
        <v/>
      </c>
      <c r="AA785">
        <f>(AVERAGE(S785:T785)-1)/4</f>
        <v/>
      </c>
      <c r="AB785">
        <f>AVERAGE(U785:Y785)</f>
        <v/>
      </c>
      <c r="AC785">
        <f>MIN(U785:Y785)</f>
        <v/>
      </c>
      <c r="AD785">
        <f>1-alpha*MAX(0,delta-AC785)</f>
        <v/>
      </c>
      <c r="AE785">
        <f>AB785*AD785</f>
        <v/>
      </c>
      <c r="AF785">
        <f>1+COUNTIF(bounds,"&lt;"&amp;ROUND(AB785,12))</f>
        <v/>
      </c>
      <c r="AG785">
        <f>1+COUNTIF(bounds,"&lt;"&amp;ROUND(AE785,12))</f>
        <v/>
      </c>
      <c r="AH785">
        <f>IF(AD785&lt;1,1,0)</f>
        <v/>
      </c>
      <c r="AI785">
        <f>IF(AF785&lt;&gt;AG785,1,0)</f>
        <v/>
      </c>
      <c r="AJ785">
        <f>IF(AND(AG785&gt;=3,Z785&lt;=0.2),1,0)</f>
        <v/>
      </c>
      <c r="AK785">
        <f>AVERAGE(U785:Z785)</f>
        <v/>
      </c>
      <c r="AL785">
        <f>1+COUNTIF(bounds,"&lt;"&amp;ROUND(AK785,12))</f>
        <v/>
      </c>
      <c r="AM785">
        <f>IF(AI785=1,AB785,NA())</f>
        <v/>
      </c>
      <c r="AN785">
        <f>IF(AI785=0,AB785,NA())</f>
        <v/>
      </c>
    </row>
    <row r="786">
      <c r="A786" t="n">
        <v>778</v>
      </c>
      <c r="B786" t="n">
        <v>4</v>
      </c>
      <c r="C786" t="n">
        <v>5</v>
      </c>
      <c r="D786" t="n">
        <v>5</v>
      </c>
      <c r="E786" t="n">
        <v>5</v>
      </c>
      <c r="F786" t="n">
        <v>2</v>
      </c>
      <c r="G786" t="n">
        <v>3</v>
      </c>
      <c r="H786" t="n">
        <v>2</v>
      </c>
      <c r="I786" t="n">
        <v>4</v>
      </c>
      <c r="J786" t="n">
        <v>4</v>
      </c>
      <c r="K786" t="n">
        <v>5</v>
      </c>
      <c r="L786" t="n">
        <v>3</v>
      </c>
      <c r="M786" t="n">
        <v>2</v>
      </c>
      <c r="N786" t="n">
        <v>4</v>
      </c>
      <c r="O786" t="n">
        <v>3</v>
      </c>
      <c r="P786" t="n">
        <v>5</v>
      </c>
      <c r="Q786" t="n">
        <v>1</v>
      </c>
      <c r="R786" t="n">
        <v>1</v>
      </c>
      <c r="S786" t="n">
        <v>1</v>
      </c>
      <c r="T786" t="n">
        <v>1</v>
      </c>
      <c r="U786">
        <f>(AVERAGE(B786:D786)-1)/4</f>
        <v/>
      </c>
      <c r="V786">
        <f>(AVERAGE(E786:F786)-1)/4</f>
        <v/>
      </c>
      <c r="W786">
        <f>(AVERAGE(G786:I786)-1)/4</f>
        <v/>
      </c>
      <c r="X786">
        <f>(AVERAGE(J786:L786)-1)/4</f>
        <v/>
      </c>
      <c r="Y786">
        <f>(AVERAGE(M786:O786)-1)/4</f>
        <v/>
      </c>
      <c r="Z786">
        <f>(AVERAGE(P786:R786)-1)/4</f>
        <v/>
      </c>
      <c r="AA786">
        <f>(AVERAGE(S786:T786)-1)/4</f>
        <v/>
      </c>
      <c r="AB786">
        <f>AVERAGE(U786:Y786)</f>
        <v/>
      </c>
      <c r="AC786">
        <f>MIN(U786:Y786)</f>
        <v/>
      </c>
      <c r="AD786">
        <f>1-alpha*MAX(0,delta-AC786)</f>
        <v/>
      </c>
      <c r="AE786">
        <f>AB786*AD786</f>
        <v/>
      </c>
      <c r="AF786">
        <f>1+COUNTIF(bounds,"&lt;"&amp;ROUND(AB786,12))</f>
        <v/>
      </c>
      <c r="AG786">
        <f>1+COUNTIF(bounds,"&lt;"&amp;ROUND(AE786,12))</f>
        <v/>
      </c>
      <c r="AH786">
        <f>IF(AD786&lt;1,1,0)</f>
        <v/>
      </c>
      <c r="AI786">
        <f>IF(AF786&lt;&gt;AG786,1,0)</f>
        <v/>
      </c>
      <c r="AJ786">
        <f>IF(AND(AG786&gt;=3,Z786&lt;=0.2),1,0)</f>
        <v/>
      </c>
      <c r="AK786">
        <f>AVERAGE(U786:Z786)</f>
        <v/>
      </c>
      <c r="AL786">
        <f>1+COUNTIF(bounds,"&lt;"&amp;ROUND(AK786,12))</f>
        <v/>
      </c>
      <c r="AM786">
        <f>IF(AI786=1,AB786,NA())</f>
        <v/>
      </c>
      <c r="AN786">
        <f>IF(AI786=0,AB786,NA())</f>
        <v/>
      </c>
    </row>
    <row r="787">
      <c r="A787" t="n">
        <v>779</v>
      </c>
      <c r="B787" t="n">
        <v>5</v>
      </c>
      <c r="C787" t="n">
        <v>4</v>
      </c>
      <c r="D787" t="n">
        <v>3</v>
      </c>
      <c r="E787" t="n">
        <v>3</v>
      </c>
      <c r="F787" t="n">
        <v>4</v>
      </c>
      <c r="G787" t="n">
        <v>2</v>
      </c>
      <c r="H787" t="n">
        <v>4</v>
      </c>
      <c r="I787" t="n">
        <v>5</v>
      </c>
      <c r="J787" t="n">
        <v>5</v>
      </c>
      <c r="K787" t="n">
        <v>1</v>
      </c>
      <c r="L787" t="n">
        <v>4</v>
      </c>
      <c r="M787" t="n">
        <v>3</v>
      </c>
      <c r="N787" t="n">
        <v>1</v>
      </c>
      <c r="O787" t="n">
        <v>3</v>
      </c>
      <c r="P787" t="n">
        <v>2</v>
      </c>
      <c r="Q787" t="n">
        <v>2</v>
      </c>
      <c r="R787" t="n">
        <v>5</v>
      </c>
      <c r="S787" t="n">
        <v>1</v>
      </c>
      <c r="T787" t="n">
        <v>4</v>
      </c>
      <c r="U787">
        <f>(AVERAGE(B787:D787)-1)/4</f>
        <v/>
      </c>
      <c r="V787">
        <f>(AVERAGE(E787:F787)-1)/4</f>
        <v/>
      </c>
      <c r="W787">
        <f>(AVERAGE(G787:I787)-1)/4</f>
        <v/>
      </c>
      <c r="X787">
        <f>(AVERAGE(J787:L787)-1)/4</f>
        <v/>
      </c>
      <c r="Y787">
        <f>(AVERAGE(M787:O787)-1)/4</f>
        <v/>
      </c>
      <c r="Z787">
        <f>(AVERAGE(P787:R787)-1)/4</f>
        <v/>
      </c>
      <c r="AA787">
        <f>(AVERAGE(S787:T787)-1)/4</f>
        <v/>
      </c>
      <c r="AB787">
        <f>AVERAGE(U787:Y787)</f>
        <v/>
      </c>
      <c r="AC787">
        <f>MIN(U787:Y787)</f>
        <v/>
      </c>
      <c r="AD787">
        <f>1-alpha*MAX(0,delta-AC787)</f>
        <v/>
      </c>
      <c r="AE787">
        <f>AB787*AD787</f>
        <v/>
      </c>
      <c r="AF787">
        <f>1+COUNTIF(bounds,"&lt;"&amp;ROUND(AB787,12))</f>
        <v/>
      </c>
      <c r="AG787">
        <f>1+COUNTIF(bounds,"&lt;"&amp;ROUND(AE787,12))</f>
        <v/>
      </c>
      <c r="AH787">
        <f>IF(AD787&lt;1,1,0)</f>
        <v/>
      </c>
      <c r="AI787">
        <f>IF(AF787&lt;&gt;AG787,1,0)</f>
        <v/>
      </c>
      <c r="AJ787">
        <f>IF(AND(AG787&gt;=3,Z787&lt;=0.2),1,0)</f>
        <v/>
      </c>
      <c r="AK787">
        <f>AVERAGE(U787:Z787)</f>
        <v/>
      </c>
      <c r="AL787">
        <f>1+COUNTIF(bounds,"&lt;"&amp;ROUND(AK787,12))</f>
        <v/>
      </c>
      <c r="AM787">
        <f>IF(AI787=1,AB787,NA())</f>
        <v/>
      </c>
      <c r="AN787">
        <f>IF(AI787=0,AB787,NA())</f>
        <v/>
      </c>
    </row>
    <row r="788">
      <c r="A788" t="n">
        <v>780</v>
      </c>
      <c r="B788" t="n">
        <v>1</v>
      </c>
      <c r="C788" t="n">
        <v>3</v>
      </c>
      <c r="D788" t="n">
        <v>2</v>
      </c>
      <c r="E788" t="n">
        <v>4</v>
      </c>
      <c r="F788" t="n">
        <v>3</v>
      </c>
      <c r="G788" t="n">
        <v>4</v>
      </c>
      <c r="H788" t="n">
        <v>2</v>
      </c>
      <c r="I788" t="n">
        <v>2</v>
      </c>
      <c r="J788" t="n">
        <v>3</v>
      </c>
      <c r="K788" t="n">
        <v>5</v>
      </c>
      <c r="L788" t="n">
        <v>2</v>
      </c>
      <c r="M788" t="n">
        <v>3</v>
      </c>
      <c r="N788" t="n">
        <v>2</v>
      </c>
      <c r="O788" t="n">
        <v>3</v>
      </c>
      <c r="P788" t="n">
        <v>4</v>
      </c>
      <c r="Q788" t="n">
        <v>2</v>
      </c>
      <c r="R788" t="n">
        <v>5</v>
      </c>
      <c r="S788" t="n">
        <v>3</v>
      </c>
      <c r="T788" t="n">
        <v>4</v>
      </c>
      <c r="U788">
        <f>(AVERAGE(B788:D788)-1)/4</f>
        <v/>
      </c>
      <c r="V788">
        <f>(AVERAGE(E788:F788)-1)/4</f>
        <v/>
      </c>
      <c r="W788">
        <f>(AVERAGE(G788:I788)-1)/4</f>
        <v/>
      </c>
      <c r="X788">
        <f>(AVERAGE(J788:L788)-1)/4</f>
        <v/>
      </c>
      <c r="Y788">
        <f>(AVERAGE(M788:O788)-1)/4</f>
        <v/>
      </c>
      <c r="Z788">
        <f>(AVERAGE(P788:R788)-1)/4</f>
        <v/>
      </c>
      <c r="AA788">
        <f>(AVERAGE(S788:T788)-1)/4</f>
        <v/>
      </c>
      <c r="AB788">
        <f>AVERAGE(U788:Y788)</f>
        <v/>
      </c>
      <c r="AC788">
        <f>MIN(U788:Y788)</f>
        <v/>
      </c>
      <c r="AD788">
        <f>1-alpha*MAX(0,delta-AC788)</f>
        <v/>
      </c>
      <c r="AE788">
        <f>AB788*AD788</f>
        <v/>
      </c>
      <c r="AF788">
        <f>1+COUNTIF(bounds,"&lt;"&amp;ROUND(AB788,12))</f>
        <v/>
      </c>
      <c r="AG788">
        <f>1+COUNTIF(bounds,"&lt;"&amp;ROUND(AE788,12))</f>
        <v/>
      </c>
      <c r="AH788">
        <f>IF(AD788&lt;1,1,0)</f>
        <v/>
      </c>
      <c r="AI788">
        <f>IF(AF788&lt;&gt;AG788,1,0)</f>
        <v/>
      </c>
      <c r="AJ788">
        <f>IF(AND(AG788&gt;=3,Z788&lt;=0.2),1,0)</f>
        <v/>
      </c>
      <c r="AK788">
        <f>AVERAGE(U788:Z788)</f>
        <v/>
      </c>
      <c r="AL788">
        <f>1+COUNTIF(bounds,"&lt;"&amp;ROUND(AK788,12))</f>
        <v/>
      </c>
      <c r="AM788">
        <f>IF(AI788=1,AB788,NA())</f>
        <v/>
      </c>
      <c r="AN788">
        <f>IF(AI788=0,AB788,NA())</f>
        <v/>
      </c>
    </row>
    <row r="789">
      <c r="A789" t="n">
        <v>781</v>
      </c>
      <c r="B789" t="n">
        <v>1</v>
      </c>
      <c r="C789" t="n">
        <v>4</v>
      </c>
      <c r="D789" t="n">
        <v>1</v>
      </c>
      <c r="E789" t="n">
        <v>3</v>
      </c>
      <c r="F789" t="n">
        <v>5</v>
      </c>
      <c r="G789" t="n">
        <v>4</v>
      </c>
      <c r="H789" t="n">
        <v>1</v>
      </c>
      <c r="I789" t="n">
        <v>3</v>
      </c>
      <c r="J789" t="n">
        <v>3</v>
      </c>
      <c r="K789" t="n">
        <v>5</v>
      </c>
      <c r="L789" t="n">
        <v>3</v>
      </c>
      <c r="M789" t="n">
        <v>1</v>
      </c>
      <c r="N789" t="n">
        <v>2</v>
      </c>
      <c r="O789" t="n">
        <v>5</v>
      </c>
      <c r="P789" t="n">
        <v>5</v>
      </c>
      <c r="Q789" t="n">
        <v>3</v>
      </c>
      <c r="R789" t="n">
        <v>3</v>
      </c>
      <c r="S789" t="n">
        <v>5</v>
      </c>
      <c r="T789" t="n">
        <v>2</v>
      </c>
      <c r="U789">
        <f>(AVERAGE(B789:D789)-1)/4</f>
        <v/>
      </c>
      <c r="V789">
        <f>(AVERAGE(E789:F789)-1)/4</f>
        <v/>
      </c>
      <c r="W789">
        <f>(AVERAGE(G789:I789)-1)/4</f>
        <v/>
      </c>
      <c r="X789">
        <f>(AVERAGE(J789:L789)-1)/4</f>
        <v/>
      </c>
      <c r="Y789">
        <f>(AVERAGE(M789:O789)-1)/4</f>
        <v/>
      </c>
      <c r="Z789">
        <f>(AVERAGE(P789:R789)-1)/4</f>
        <v/>
      </c>
      <c r="AA789">
        <f>(AVERAGE(S789:T789)-1)/4</f>
        <v/>
      </c>
      <c r="AB789">
        <f>AVERAGE(U789:Y789)</f>
        <v/>
      </c>
      <c r="AC789">
        <f>MIN(U789:Y789)</f>
        <v/>
      </c>
      <c r="AD789">
        <f>1-alpha*MAX(0,delta-AC789)</f>
        <v/>
      </c>
      <c r="AE789">
        <f>AB789*AD789</f>
        <v/>
      </c>
      <c r="AF789">
        <f>1+COUNTIF(bounds,"&lt;"&amp;ROUND(AB789,12))</f>
        <v/>
      </c>
      <c r="AG789">
        <f>1+COUNTIF(bounds,"&lt;"&amp;ROUND(AE789,12))</f>
        <v/>
      </c>
      <c r="AH789">
        <f>IF(AD789&lt;1,1,0)</f>
        <v/>
      </c>
      <c r="AI789">
        <f>IF(AF789&lt;&gt;AG789,1,0)</f>
        <v/>
      </c>
      <c r="AJ789">
        <f>IF(AND(AG789&gt;=3,Z789&lt;=0.2),1,0)</f>
        <v/>
      </c>
      <c r="AK789">
        <f>AVERAGE(U789:Z789)</f>
        <v/>
      </c>
      <c r="AL789">
        <f>1+COUNTIF(bounds,"&lt;"&amp;ROUND(AK789,12))</f>
        <v/>
      </c>
      <c r="AM789">
        <f>IF(AI789=1,AB789,NA())</f>
        <v/>
      </c>
      <c r="AN789">
        <f>IF(AI789=0,AB789,NA())</f>
        <v/>
      </c>
    </row>
    <row r="790">
      <c r="A790" t="n">
        <v>782</v>
      </c>
      <c r="B790" t="n">
        <v>4</v>
      </c>
      <c r="C790" t="n">
        <v>5</v>
      </c>
      <c r="D790" t="n">
        <v>3</v>
      </c>
      <c r="E790" t="n">
        <v>1</v>
      </c>
      <c r="F790" t="n">
        <v>4</v>
      </c>
      <c r="G790" t="n">
        <v>3</v>
      </c>
      <c r="H790" t="n">
        <v>2</v>
      </c>
      <c r="I790" t="n">
        <v>4</v>
      </c>
      <c r="J790" t="n">
        <v>4</v>
      </c>
      <c r="K790" t="n">
        <v>5</v>
      </c>
      <c r="L790" t="n">
        <v>3</v>
      </c>
      <c r="M790" t="n">
        <v>3</v>
      </c>
      <c r="N790" t="n">
        <v>5</v>
      </c>
      <c r="O790" t="n">
        <v>1</v>
      </c>
      <c r="P790" t="n">
        <v>3</v>
      </c>
      <c r="Q790" t="n">
        <v>4</v>
      </c>
      <c r="R790" t="n">
        <v>3</v>
      </c>
      <c r="S790" t="n">
        <v>1</v>
      </c>
      <c r="T790" t="n">
        <v>2</v>
      </c>
      <c r="U790">
        <f>(AVERAGE(B790:D790)-1)/4</f>
        <v/>
      </c>
      <c r="V790">
        <f>(AVERAGE(E790:F790)-1)/4</f>
        <v/>
      </c>
      <c r="W790">
        <f>(AVERAGE(G790:I790)-1)/4</f>
        <v/>
      </c>
      <c r="X790">
        <f>(AVERAGE(J790:L790)-1)/4</f>
        <v/>
      </c>
      <c r="Y790">
        <f>(AVERAGE(M790:O790)-1)/4</f>
        <v/>
      </c>
      <c r="Z790">
        <f>(AVERAGE(P790:R790)-1)/4</f>
        <v/>
      </c>
      <c r="AA790">
        <f>(AVERAGE(S790:T790)-1)/4</f>
        <v/>
      </c>
      <c r="AB790">
        <f>AVERAGE(U790:Y790)</f>
        <v/>
      </c>
      <c r="AC790">
        <f>MIN(U790:Y790)</f>
        <v/>
      </c>
      <c r="AD790">
        <f>1-alpha*MAX(0,delta-AC790)</f>
        <v/>
      </c>
      <c r="AE790">
        <f>AB790*AD790</f>
        <v/>
      </c>
      <c r="AF790">
        <f>1+COUNTIF(bounds,"&lt;"&amp;ROUND(AB790,12))</f>
        <v/>
      </c>
      <c r="AG790">
        <f>1+COUNTIF(bounds,"&lt;"&amp;ROUND(AE790,12))</f>
        <v/>
      </c>
      <c r="AH790">
        <f>IF(AD790&lt;1,1,0)</f>
        <v/>
      </c>
      <c r="AI790">
        <f>IF(AF790&lt;&gt;AG790,1,0)</f>
        <v/>
      </c>
      <c r="AJ790">
        <f>IF(AND(AG790&gt;=3,Z790&lt;=0.2),1,0)</f>
        <v/>
      </c>
      <c r="AK790">
        <f>AVERAGE(U790:Z790)</f>
        <v/>
      </c>
      <c r="AL790">
        <f>1+COUNTIF(bounds,"&lt;"&amp;ROUND(AK790,12))</f>
        <v/>
      </c>
      <c r="AM790">
        <f>IF(AI790=1,AB790,NA())</f>
        <v/>
      </c>
      <c r="AN790">
        <f>IF(AI790=0,AB790,NA())</f>
        <v/>
      </c>
    </row>
    <row r="791">
      <c r="A791" t="n">
        <v>783</v>
      </c>
      <c r="B791" t="n">
        <v>4</v>
      </c>
      <c r="C791" t="n">
        <v>1</v>
      </c>
      <c r="D791" t="n">
        <v>2</v>
      </c>
      <c r="E791" t="n">
        <v>1</v>
      </c>
      <c r="F791" t="n">
        <v>1</v>
      </c>
      <c r="G791" t="n">
        <v>5</v>
      </c>
      <c r="H791" t="n">
        <v>3</v>
      </c>
      <c r="I791" t="n">
        <v>1</v>
      </c>
      <c r="J791" t="n">
        <v>5</v>
      </c>
      <c r="K791" t="n">
        <v>3</v>
      </c>
      <c r="L791" t="n">
        <v>3</v>
      </c>
      <c r="M791" t="n">
        <v>2</v>
      </c>
      <c r="N791" t="n">
        <v>3</v>
      </c>
      <c r="O791" t="n">
        <v>2</v>
      </c>
      <c r="P791" t="n">
        <v>3</v>
      </c>
      <c r="Q791" t="n">
        <v>2</v>
      </c>
      <c r="R791" t="n">
        <v>4</v>
      </c>
      <c r="S791" t="n">
        <v>5</v>
      </c>
      <c r="T791" t="n">
        <v>4</v>
      </c>
      <c r="U791">
        <f>(AVERAGE(B791:D791)-1)/4</f>
        <v/>
      </c>
      <c r="V791">
        <f>(AVERAGE(E791:F791)-1)/4</f>
        <v/>
      </c>
      <c r="W791">
        <f>(AVERAGE(G791:I791)-1)/4</f>
        <v/>
      </c>
      <c r="X791">
        <f>(AVERAGE(J791:L791)-1)/4</f>
        <v/>
      </c>
      <c r="Y791">
        <f>(AVERAGE(M791:O791)-1)/4</f>
        <v/>
      </c>
      <c r="Z791">
        <f>(AVERAGE(P791:R791)-1)/4</f>
        <v/>
      </c>
      <c r="AA791">
        <f>(AVERAGE(S791:T791)-1)/4</f>
        <v/>
      </c>
      <c r="AB791">
        <f>AVERAGE(U791:Y791)</f>
        <v/>
      </c>
      <c r="AC791">
        <f>MIN(U791:Y791)</f>
        <v/>
      </c>
      <c r="AD791">
        <f>1-alpha*MAX(0,delta-AC791)</f>
        <v/>
      </c>
      <c r="AE791">
        <f>AB791*AD791</f>
        <v/>
      </c>
      <c r="AF791">
        <f>1+COUNTIF(bounds,"&lt;"&amp;ROUND(AB791,12))</f>
        <v/>
      </c>
      <c r="AG791">
        <f>1+COUNTIF(bounds,"&lt;"&amp;ROUND(AE791,12))</f>
        <v/>
      </c>
      <c r="AH791">
        <f>IF(AD791&lt;1,1,0)</f>
        <v/>
      </c>
      <c r="AI791">
        <f>IF(AF791&lt;&gt;AG791,1,0)</f>
        <v/>
      </c>
      <c r="AJ791">
        <f>IF(AND(AG791&gt;=3,Z791&lt;=0.2),1,0)</f>
        <v/>
      </c>
      <c r="AK791">
        <f>AVERAGE(U791:Z791)</f>
        <v/>
      </c>
      <c r="AL791">
        <f>1+COUNTIF(bounds,"&lt;"&amp;ROUND(AK791,12))</f>
        <v/>
      </c>
      <c r="AM791">
        <f>IF(AI791=1,AB791,NA())</f>
        <v/>
      </c>
      <c r="AN791">
        <f>IF(AI791=0,AB791,NA())</f>
        <v/>
      </c>
    </row>
    <row r="792">
      <c r="A792" t="n">
        <v>784</v>
      </c>
      <c r="B792" t="n">
        <v>1</v>
      </c>
      <c r="C792" t="n">
        <v>2</v>
      </c>
      <c r="D792" t="n">
        <v>1</v>
      </c>
      <c r="E792" t="n">
        <v>1</v>
      </c>
      <c r="F792" t="n">
        <v>1</v>
      </c>
      <c r="G792" t="n">
        <v>1</v>
      </c>
      <c r="H792" t="n">
        <v>3</v>
      </c>
      <c r="I792" t="n">
        <v>5</v>
      </c>
      <c r="J792" t="n">
        <v>1</v>
      </c>
      <c r="K792" t="n">
        <v>3</v>
      </c>
      <c r="L792" t="n">
        <v>3</v>
      </c>
      <c r="M792" t="n">
        <v>4</v>
      </c>
      <c r="N792" t="n">
        <v>2</v>
      </c>
      <c r="O792" t="n">
        <v>1</v>
      </c>
      <c r="P792" t="n">
        <v>5</v>
      </c>
      <c r="Q792" t="n">
        <v>3</v>
      </c>
      <c r="R792" t="n">
        <v>2</v>
      </c>
      <c r="S792" t="n">
        <v>2</v>
      </c>
      <c r="T792" t="n">
        <v>5</v>
      </c>
      <c r="U792">
        <f>(AVERAGE(B792:D792)-1)/4</f>
        <v/>
      </c>
      <c r="V792">
        <f>(AVERAGE(E792:F792)-1)/4</f>
        <v/>
      </c>
      <c r="W792">
        <f>(AVERAGE(G792:I792)-1)/4</f>
        <v/>
      </c>
      <c r="X792">
        <f>(AVERAGE(J792:L792)-1)/4</f>
        <v/>
      </c>
      <c r="Y792">
        <f>(AVERAGE(M792:O792)-1)/4</f>
        <v/>
      </c>
      <c r="Z792">
        <f>(AVERAGE(P792:R792)-1)/4</f>
        <v/>
      </c>
      <c r="AA792">
        <f>(AVERAGE(S792:T792)-1)/4</f>
        <v/>
      </c>
      <c r="AB792">
        <f>AVERAGE(U792:Y792)</f>
        <v/>
      </c>
      <c r="AC792">
        <f>MIN(U792:Y792)</f>
        <v/>
      </c>
      <c r="AD792">
        <f>1-alpha*MAX(0,delta-AC792)</f>
        <v/>
      </c>
      <c r="AE792">
        <f>AB792*AD792</f>
        <v/>
      </c>
      <c r="AF792">
        <f>1+COUNTIF(bounds,"&lt;"&amp;ROUND(AB792,12))</f>
        <v/>
      </c>
      <c r="AG792">
        <f>1+COUNTIF(bounds,"&lt;"&amp;ROUND(AE792,12))</f>
        <v/>
      </c>
      <c r="AH792">
        <f>IF(AD792&lt;1,1,0)</f>
        <v/>
      </c>
      <c r="AI792">
        <f>IF(AF792&lt;&gt;AG792,1,0)</f>
        <v/>
      </c>
      <c r="AJ792">
        <f>IF(AND(AG792&gt;=3,Z792&lt;=0.2),1,0)</f>
        <v/>
      </c>
      <c r="AK792">
        <f>AVERAGE(U792:Z792)</f>
        <v/>
      </c>
      <c r="AL792">
        <f>1+COUNTIF(bounds,"&lt;"&amp;ROUND(AK792,12))</f>
        <v/>
      </c>
      <c r="AM792">
        <f>IF(AI792=1,AB792,NA())</f>
        <v/>
      </c>
      <c r="AN792">
        <f>IF(AI792=0,AB792,NA())</f>
        <v/>
      </c>
    </row>
    <row r="793">
      <c r="A793" t="n">
        <v>785</v>
      </c>
      <c r="B793" t="n">
        <v>3</v>
      </c>
      <c r="C793" t="n">
        <v>4</v>
      </c>
      <c r="D793" t="n">
        <v>4</v>
      </c>
      <c r="E793" t="n">
        <v>5</v>
      </c>
      <c r="F793" t="n">
        <v>1</v>
      </c>
      <c r="G793" t="n">
        <v>3</v>
      </c>
      <c r="H793" t="n">
        <v>4</v>
      </c>
      <c r="I793" t="n">
        <v>1</v>
      </c>
      <c r="J793" t="n">
        <v>3</v>
      </c>
      <c r="K793" t="n">
        <v>1</v>
      </c>
      <c r="L793" t="n">
        <v>1</v>
      </c>
      <c r="M793" t="n">
        <v>4</v>
      </c>
      <c r="N793" t="n">
        <v>3</v>
      </c>
      <c r="O793" t="n">
        <v>1</v>
      </c>
      <c r="P793" t="n">
        <v>2</v>
      </c>
      <c r="Q793" t="n">
        <v>1</v>
      </c>
      <c r="R793" t="n">
        <v>1</v>
      </c>
      <c r="S793" t="n">
        <v>5</v>
      </c>
      <c r="T793" t="n">
        <v>2</v>
      </c>
      <c r="U793">
        <f>(AVERAGE(B793:D793)-1)/4</f>
        <v/>
      </c>
      <c r="V793">
        <f>(AVERAGE(E793:F793)-1)/4</f>
        <v/>
      </c>
      <c r="W793">
        <f>(AVERAGE(G793:I793)-1)/4</f>
        <v/>
      </c>
      <c r="X793">
        <f>(AVERAGE(J793:L793)-1)/4</f>
        <v/>
      </c>
      <c r="Y793">
        <f>(AVERAGE(M793:O793)-1)/4</f>
        <v/>
      </c>
      <c r="Z793">
        <f>(AVERAGE(P793:R793)-1)/4</f>
        <v/>
      </c>
      <c r="AA793">
        <f>(AVERAGE(S793:T793)-1)/4</f>
        <v/>
      </c>
      <c r="AB793">
        <f>AVERAGE(U793:Y793)</f>
        <v/>
      </c>
      <c r="AC793">
        <f>MIN(U793:Y793)</f>
        <v/>
      </c>
      <c r="AD793">
        <f>1-alpha*MAX(0,delta-AC793)</f>
        <v/>
      </c>
      <c r="AE793">
        <f>AB793*AD793</f>
        <v/>
      </c>
      <c r="AF793">
        <f>1+COUNTIF(bounds,"&lt;"&amp;ROUND(AB793,12))</f>
        <v/>
      </c>
      <c r="AG793">
        <f>1+COUNTIF(bounds,"&lt;"&amp;ROUND(AE793,12))</f>
        <v/>
      </c>
      <c r="AH793">
        <f>IF(AD793&lt;1,1,0)</f>
        <v/>
      </c>
      <c r="AI793">
        <f>IF(AF793&lt;&gt;AG793,1,0)</f>
        <v/>
      </c>
      <c r="AJ793">
        <f>IF(AND(AG793&gt;=3,Z793&lt;=0.2),1,0)</f>
        <v/>
      </c>
      <c r="AK793">
        <f>AVERAGE(U793:Z793)</f>
        <v/>
      </c>
      <c r="AL793">
        <f>1+COUNTIF(bounds,"&lt;"&amp;ROUND(AK793,12))</f>
        <v/>
      </c>
      <c r="AM793">
        <f>IF(AI793=1,AB793,NA())</f>
        <v/>
      </c>
      <c r="AN793">
        <f>IF(AI793=0,AB793,NA())</f>
        <v/>
      </c>
    </row>
    <row r="794">
      <c r="A794" t="n">
        <v>786</v>
      </c>
      <c r="B794" t="n">
        <v>5</v>
      </c>
      <c r="C794" t="n">
        <v>5</v>
      </c>
      <c r="D794" t="n">
        <v>4</v>
      </c>
      <c r="E794" t="n">
        <v>1</v>
      </c>
      <c r="F794" t="n">
        <v>1</v>
      </c>
      <c r="G794" t="n">
        <v>2</v>
      </c>
      <c r="H794" t="n">
        <v>1</v>
      </c>
      <c r="I794" t="n">
        <v>3</v>
      </c>
      <c r="J794" t="n">
        <v>1</v>
      </c>
      <c r="K794" t="n">
        <v>1</v>
      </c>
      <c r="L794" t="n">
        <v>2</v>
      </c>
      <c r="M794" t="n">
        <v>5</v>
      </c>
      <c r="N794" t="n">
        <v>2</v>
      </c>
      <c r="O794" t="n">
        <v>1</v>
      </c>
      <c r="P794" t="n">
        <v>3</v>
      </c>
      <c r="Q794" t="n">
        <v>5</v>
      </c>
      <c r="R794" t="n">
        <v>3</v>
      </c>
      <c r="S794" t="n">
        <v>1</v>
      </c>
      <c r="T794" t="n">
        <v>3</v>
      </c>
      <c r="U794">
        <f>(AVERAGE(B794:D794)-1)/4</f>
        <v/>
      </c>
      <c r="V794">
        <f>(AVERAGE(E794:F794)-1)/4</f>
        <v/>
      </c>
      <c r="W794">
        <f>(AVERAGE(G794:I794)-1)/4</f>
        <v/>
      </c>
      <c r="X794">
        <f>(AVERAGE(J794:L794)-1)/4</f>
        <v/>
      </c>
      <c r="Y794">
        <f>(AVERAGE(M794:O794)-1)/4</f>
        <v/>
      </c>
      <c r="Z794">
        <f>(AVERAGE(P794:R794)-1)/4</f>
        <v/>
      </c>
      <c r="AA794">
        <f>(AVERAGE(S794:T794)-1)/4</f>
        <v/>
      </c>
      <c r="AB794">
        <f>AVERAGE(U794:Y794)</f>
        <v/>
      </c>
      <c r="AC794">
        <f>MIN(U794:Y794)</f>
        <v/>
      </c>
      <c r="AD794">
        <f>1-alpha*MAX(0,delta-AC794)</f>
        <v/>
      </c>
      <c r="AE794">
        <f>AB794*AD794</f>
        <v/>
      </c>
      <c r="AF794">
        <f>1+COUNTIF(bounds,"&lt;"&amp;ROUND(AB794,12))</f>
        <v/>
      </c>
      <c r="AG794">
        <f>1+COUNTIF(bounds,"&lt;"&amp;ROUND(AE794,12))</f>
        <v/>
      </c>
      <c r="AH794">
        <f>IF(AD794&lt;1,1,0)</f>
        <v/>
      </c>
      <c r="AI794">
        <f>IF(AF794&lt;&gt;AG794,1,0)</f>
        <v/>
      </c>
      <c r="AJ794">
        <f>IF(AND(AG794&gt;=3,Z794&lt;=0.2),1,0)</f>
        <v/>
      </c>
      <c r="AK794">
        <f>AVERAGE(U794:Z794)</f>
        <v/>
      </c>
      <c r="AL794">
        <f>1+COUNTIF(bounds,"&lt;"&amp;ROUND(AK794,12))</f>
        <v/>
      </c>
      <c r="AM794">
        <f>IF(AI794=1,AB794,NA())</f>
        <v/>
      </c>
      <c r="AN794">
        <f>IF(AI794=0,AB794,NA())</f>
        <v/>
      </c>
    </row>
    <row r="795">
      <c r="A795" t="n">
        <v>787</v>
      </c>
      <c r="B795" t="n">
        <v>4</v>
      </c>
      <c r="C795" t="n">
        <v>3</v>
      </c>
      <c r="D795" t="n">
        <v>1</v>
      </c>
      <c r="E795" t="n">
        <v>1</v>
      </c>
      <c r="F795" t="n">
        <v>3</v>
      </c>
      <c r="G795" t="n">
        <v>1</v>
      </c>
      <c r="H795" t="n">
        <v>5</v>
      </c>
      <c r="I795" t="n">
        <v>2</v>
      </c>
      <c r="J795" t="n">
        <v>5</v>
      </c>
      <c r="K795" t="n">
        <v>1</v>
      </c>
      <c r="L795" t="n">
        <v>1</v>
      </c>
      <c r="M795" t="n">
        <v>1</v>
      </c>
      <c r="N795" t="n">
        <v>3</v>
      </c>
      <c r="O795" t="n">
        <v>2</v>
      </c>
      <c r="P795" t="n">
        <v>4</v>
      </c>
      <c r="Q795" t="n">
        <v>2</v>
      </c>
      <c r="R795" t="n">
        <v>2</v>
      </c>
      <c r="S795" t="n">
        <v>4</v>
      </c>
      <c r="T795" t="n">
        <v>3</v>
      </c>
      <c r="U795">
        <f>(AVERAGE(B795:D795)-1)/4</f>
        <v/>
      </c>
      <c r="V795">
        <f>(AVERAGE(E795:F795)-1)/4</f>
        <v/>
      </c>
      <c r="W795">
        <f>(AVERAGE(G795:I795)-1)/4</f>
        <v/>
      </c>
      <c r="X795">
        <f>(AVERAGE(J795:L795)-1)/4</f>
        <v/>
      </c>
      <c r="Y795">
        <f>(AVERAGE(M795:O795)-1)/4</f>
        <v/>
      </c>
      <c r="Z795">
        <f>(AVERAGE(P795:R795)-1)/4</f>
        <v/>
      </c>
      <c r="AA795">
        <f>(AVERAGE(S795:T795)-1)/4</f>
        <v/>
      </c>
      <c r="AB795">
        <f>AVERAGE(U795:Y795)</f>
        <v/>
      </c>
      <c r="AC795">
        <f>MIN(U795:Y795)</f>
        <v/>
      </c>
      <c r="AD795">
        <f>1-alpha*MAX(0,delta-AC795)</f>
        <v/>
      </c>
      <c r="AE795">
        <f>AB795*AD795</f>
        <v/>
      </c>
      <c r="AF795">
        <f>1+COUNTIF(bounds,"&lt;"&amp;ROUND(AB795,12))</f>
        <v/>
      </c>
      <c r="AG795">
        <f>1+COUNTIF(bounds,"&lt;"&amp;ROUND(AE795,12))</f>
        <v/>
      </c>
      <c r="AH795">
        <f>IF(AD795&lt;1,1,0)</f>
        <v/>
      </c>
      <c r="AI795">
        <f>IF(AF795&lt;&gt;AG795,1,0)</f>
        <v/>
      </c>
      <c r="AJ795">
        <f>IF(AND(AG795&gt;=3,Z795&lt;=0.2),1,0)</f>
        <v/>
      </c>
      <c r="AK795">
        <f>AVERAGE(U795:Z795)</f>
        <v/>
      </c>
      <c r="AL795">
        <f>1+COUNTIF(bounds,"&lt;"&amp;ROUND(AK795,12))</f>
        <v/>
      </c>
      <c r="AM795">
        <f>IF(AI795=1,AB795,NA())</f>
        <v/>
      </c>
      <c r="AN795">
        <f>IF(AI795=0,AB795,NA())</f>
        <v/>
      </c>
    </row>
    <row r="796">
      <c r="A796" t="n">
        <v>788</v>
      </c>
      <c r="B796" t="n">
        <v>4</v>
      </c>
      <c r="C796" t="n">
        <v>4</v>
      </c>
      <c r="D796" t="n">
        <v>5</v>
      </c>
      <c r="E796" t="n">
        <v>2</v>
      </c>
      <c r="F796" t="n">
        <v>3</v>
      </c>
      <c r="G796" t="n">
        <v>5</v>
      </c>
      <c r="H796" t="n">
        <v>5</v>
      </c>
      <c r="I796" t="n">
        <v>4</v>
      </c>
      <c r="J796" t="n">
        <v>3</v>
      </c>
      <c r="K796" t="n">
        <v>2</v>
      </c>
      <c r="L796" t="n">
        <v>2</v>
      </c>
      <c r="M796" t="n">
        <v>5</v>
      </c>
      <c r="N796" t="n">
        <v>3</v>
      </c>
      <c r="O796" t="n">
        <v>1</v>
      </c>
      <c r="P796" t="n">
        <v>3</v>
      </c>
      <c r="Q796" t="n">
        <v>1</v>
      </c>
      <c r="R796" t="n">
        <v>5</v>
      </c>
      <c r="S796" t="n">
        <v>5</v>
      </c>
      <c r="T796" t="n">
        <v>4</v>
      </c>
      <c r="U796">
        <f>(AVERAGE(B796:D796)-1)/4</f>
        <v/>
      </c>
      <c r="V796">
        <f>(AVERAGE(E796:F796)-1)/4</f>
        <v/>
      </c>
      <c r="W796">
        <f>(AVERAGE(G796:I796)-1)/4</f>
        <v/>
      </c>
      <c r="X796">
        <f>(AVERAGE(J796:L796)-1)/4</f>
        <v/>
      </c>
      <c r="Y796">
        <f>(AVERAGE(M796:O796)-1)/4</f>
        <v/>
      </c>
      <c r="Z796">
        <f>(AVERAGE(P796:R796)-1)/4</f>
        <v/>
      </c>
      <c r="AA796">
        <f>(AVERAGE(S796:T796)-1)/4</f>
        <v/>
      </c>
      <c r="AB796">
        <f>AVERAGE(U796:Y796)</f>
        <v/>
      </c>
      <c r="AC796">
        <f>MIN(U796:Y796)</f>
        <v/>
      </c>
      <c r="AD796">
        <f>1-alpha*MAX(0,delta-AC796)</f>
        <v/>
      </c>
      <c r="AE796">
        <f>AB796*AD796</f>
        <v/>
      </c>
      <c r="AF796">
        <f>1+COUNTIF(bounds,"&lt;"&amp;ROUND(AB796,12))</f>
        <v/>
      </c>
      <c r="AG796">
        <f>1+COUNTIF(bounds,"&lt;"&amp;ROUND(AE796,12))</f>
        <v/>
      </c>
      <c r="AH796">
        <f>IF(AD796&lt;1,1,0)</f>
        <v/>
      </c>
      <c r="AI796">
        <f>IF(AF796&lt;&gt;AG796,1,0)</f>
        <v/>
      </c>
      <c r="AJ796">
        <f>IF(AND(AG796&gt;=3,Z796&lt;=0.2),1,0)</f>
        <v/>
      </c>
      <c r="AK796">
        <f>AVERAGE(U796:Z796)</f>
        <v/>
      </c>
      <c r="AL796">
        <f>1+COUNTIF(bounds,"&lt;"&amp;ROUND(AK796,12))</f>
        <v/>
      </c>
      <c r="AM796">
        <f>IF(AI796=1,AB796,NA())</f>
        <v/>
      </c>
      <c r="AN796">
        <f>IF(AI796=0,AB796,NA())</f>
        <v/>
      </c>
    </row>
    <row r="797">
      <c r="A797" t="n">
        <v>789</v>
      </c>
      <c r="B797" t="n">
        <v>1</v>
      </c>
      <c r="C797" t="n">
        <v>5</v>
      </c>
      <c r="D797" t="n">
        <v>1</v>
      </c>
      <c r="E797" t="n">
        <v>4</v>
      </c>
      <c r="F797" t="n">
        <v>3</v>
      </c>
      <c r="G797" t="n">
        <v>3</v>
      </c>
      <c r="H797" t="n">
        <v>3</v>
      </c>
      <c r="I797" t="n">
        <v>2</v>
      </c>
      <c r="J797" t="n">
        <v>3</v>
      </c>
      <c r="K797" t="n">
        <v>2</v>
      </c>
      <c r="L797" t="n">
        <v>5</v>
      </c>
      <c r="M797" t="n">
        <v>2</v>
      </c>
      <c r="N797" t="n">
        <v>3</v>
      </c>
      <c r="O797" t="n">
        <v>4</v>
      </c>
      <c r="P797" t="n">
        <v>5</v>
      </c>
      <c r="Q797" t="n">
        <v>3</v>
      </c>
      <c r="R797" t="n">
        <v>2</v>
      </c>
      <c r="S797" t="n">
        <v>1</v>
      </c>
      <c r="T797" t="n">
        <v>3</v>
      </c>
      <c r="U797">
        <f>(AVERAGE(B797:D797)-1)/4</f>
        <v/>
      </c>
      <c r="V797">
        <f>(AVERAGE(E797:F797)-1)/4</f>
        <v/>
      </c>
      <c r="W797">
        <f>(AVERAGE(G797:I797)-1)/4</f>
        <v/>
      </c>
      <c r="X797">
        <f>(AVERAGE(J797:L797)-1)/4</f>
        <v/>
      </c>
      <c r="Y797">
        <f>(AVERAGE(M797:O797)-1)/4</f>
        <v/>
      </c>
      <c r="Z797">
        <f>(AVERAGE(P797:R797)-1)/4</f>
        <v/>
      </c>
      <c r="AA797">
        <f>(AVERAGE(S797:T797)-1)/4</f>
        <v/>
      </c>
      <c r="AB797">
        <f>AVERAGE(U797:Y797)</f>
        <v/>
      </c>
      <c r="AC797">
        <f>MIN(U797:Y797)</f>
        <v/>
      </c>
      <c r="AD797">
        <f>1-alpha*MAX(0,delta-AC797)</f>
        <v/>
      </c>
      <c r="AE797">
        <f>AB797*AD797</f>
        <v/>
      </c>
      <c r="AF797">
        <f>1+COUNTIF(bounds,"&lt;"&amp;ROUND(AB797,12))</f>
        <v/>
      </c>
      <c r="AG797">
        <f>1+COUNTIF(bounds,"&lt;"&amp;ROUND(AE797,12))</f>
        <v/>
      </c>
      <c r="AH797">
        <f>IF(AD797&lt;1,1,0)</f>
        <v/>
      </c>
      <c r="AI797">
        <f>IF(AF797&lt;&gt;AG797,1,0)</f>
        <v/>
      </c>
      <c r="AJ797">
        <f>IF(AND(AG797&gt;=3,Z797&lt;=0.2),1,0)</f>
        <v/>
      </c>
      <c r="AK797">
        <f>AVERAGE(U797:Z797)</f>
        <v/>
      </c>
      <c r="AL797">
        <f>1+COUNTIF(bounds,"&lt;"&amp;ROUND(AK797,12))</f>
        <v/>
      </c>
      <c r="AM797">
        <f>IF(AI797=1,AB797,NA())</f>
        <v/>
      </c>
      <c r="AN797">
        <f>IF(AI797=0,AB797,NA())</f>
        <v/>
      </c>
    </row>
    <row r="798">
      <c r="A798" t="n">
        <v>790</v>
      </c>
      <c r="B798" t="n">
        <v>1</v>
      </c>
      <c r="C798" t="n">
        <v>4</v>
      </c>
      <c r="D798" t="n">
        <v>2</v>
      </c>
      <c r="E798" t="n">
        <v>3</v>
      </c>
      <c r="F798" t="n">
        <v>2</v>
      </c>
      <c r="G798" t="n">
        <v>3</v>
      </c>
      <c r="H798" t="n">
        <v>3</v>
      </c>
      <c r="I798" t="n">
        <v>2</v>
      </c>
      <c r="J798" t="n">
        <v>2</v>
      </c>
      <c r="K798" t="n">
        <v>2</v>
      </c>
      <c r="L798" t="n">
        <v>2</v>
      </c>
      <c r="M798" t="n">
        <v>2</v>
      </c>
      <c r="N798" t="n">
        <v>5</v>
      </c>
      <c r="O798" t="n">
        <v>1</v>
      </c>
      <c r="P798" t="n">
        <v>5</v>
      </c>
      <c r="Q798" t="n">
        <v>2</v>
      </c>
      <c r="R798" t="n">
        <v>3</v>
      </c>
      <c r="S798" t="n">
        <v>5</v>
      </c>
      <c r="T798" t="n">
        <v>2</v>
      </c>
      <c r="U798">
        <f>(AVERAGE(B798:D798)-1)/4</f>
        <v/>
      </c>
      <c r="V798">
        <f>(AVERAGE(E798:F798)-1)/4</f>
        <v/>
      </c>
      <c r="W798">
        <f>(AVERAGE(G798:I798)-1)/4</f>
        <v/>
      </c>
      <c r="X798">
        <f>(AVERAGE(J798:L798)-1)/4</f>
        <v/>
      </c>
      <c r="Y798">
        <f>(AVERAGE(M798:O798)-1)/4</f>
        <v/>
      </c>
      <c r="Z798">
        <f>(AVERAGE(P798:R798)-1)/4</f>
        <v/>
      </c>
      <c r="AA798">
        <f>(AVERAGE(S798:T798)-1)/4</f>
        <v/>
      </c>
      <c r="AB798">
        <f>AVERAGE(U798:Y798)</f>
        <v/>
      </c>
      <c r="AC798">
        <f>MIN(U798:Y798)</f>
        <v/>
      </c>
      <c r="AD798">
        <f>1-alpha*MAX(0,delta-AC798)</f>
        <v/>
      </c>
      <c r="AE798">
        <f>AB798*AD798</f>
        <v/>
      </c>
      <c r="AF798">
        <f>1+COUNTIF(bounds,"&lt;"&amp;ROUND(AB798,12))</f>
        <v/>
      </c>
      <c r="AG798">
        <f>1+COUNTIF(bounds,"&lt;"&amp;ROUND(AE798,12))</f>
        <v/>
      </c>
      <c r="AH798">
        <f>IF(AD798&lt;1,1,0)</f>
        <v/>
      </c>
      <c r="AI798">
        <f>IF(AF798&lt;&gt;AG798,1,0)</f>
        <v/>
      </c>
      <c r="AJ798">
        <f>IF(AND(AG798&gt;=3,Z798&lt;=0.2),1,0)</f>
        <v/>
      </c>
      <c r="AK798">
        <f>AVERAGE(U798:Z798)</f>
        <v/>
      </c>
      <c r="AL798">
        <f>1+COUNTIF(bounds,"&lt;"&amp;ROUND(AK798,12))</f>
        <v/>
      </c>
      <c r="AM798">
        <f>IF(AI798=1,AB798,NA())</f>
        <v/>
      </c>
      <c r="AN798">
        <f>IF(AI798=0,AB798,NA())</f>
        <v/>
      </c>
    </row>
    <row r="799">
      <c r="A799" t="n">
        <v>791</v>
      </c>
      <c r="B799" t="n">
        <v>3</v>
      </c>
      <c r="C799" t="n">
        <v>2</v>
      </c>
      <c r="D799" t="n">
        <v>1</v>
      </c>
      <c r="E799" t="n">
        <v>2</v>
      </c>
      <c r="F799" t="n">
        <v>4</v>
      </c>
      <c r="G799" t="n">
        <v>3</v>
      </c>
      <c r="H799" t="n">
        <v>2</v>
      </c>
      <c r="I799" t="n">
        <v>2</v>
      </c>
      <c r="J799" t="n">
        <v>4</v>
      </c>
      <c r="K799" t="n">
        <v>4</v>
      </c>
      <c r="L799" t="n">
        <v>5</v>
      </c>
      <c r="M799" t="n">
        <v>1</v>
      </c>
      <c r="N799" t="n">
        <v>3</v>
      </c>
      <c r="O799" t="n">
        <v>1</v>
      </c>
      <c r="P799" t="n">
        <v>5</v>
      </c>
      <c r="Q799" t="n">
        <v>3</v>
      </c>
      <c r="R799" t="n">
        <v>2</v>
      </c>
      <c r="S799" t="n">
        <v>1</v>
      </c>
      <c r="T799" t="n">
        <v>5</v>
      </c>
      <c r="U799">
        <f>(AVERAGE(B799:D799)-1)/4</f>
        <v/>
      </c>
      <c r="V799">
        <f>(AVERAGE(E799:F799)-1)/4</f>
        <v/>
      </c>
      <c r="W799">
        <f>(AVERAGE(G799:I799)-1)/4</f>
        <v/>
      </c>
      <c r="X799">
        <f>(AVERAGE(J799:L799)-1)/4</f>
        <v/>
      </c>
      <c r="Y799">
        <f>(AVERAGE(M799:O799)-1)/4</f>
        <v/>
      </c>
      <c r="Z799">
        <f>(AVERAGE(P799:R799)-1)/4</f>
        <v/>
      </c>
      <c r="AA799">
        <f>(AVERAGE(S799:T799)-1)/4</f>
        <v/>
      </c>
      <c r="AB799">
        <f>AVERAGE(U799:Y799)</f>
        <v/>
      </c>
      <c r="AC799">
        <f>MIN(U799:Y799)</f>
        <v/>
      </c>
      <c r="AD799">
        <f>1-alpha*MAX(0,delta-AC799)</f>
        <v/>
      </c>
      <c r="AE799">
        <f>AB799*AD799</f>
        <v/>
      </c>
      <c r="AF799">
        <f>1+COUNTIF(bounds,"&lt;"&amp;ROUND(AB799,12))</f>
        <v/>
      </c>
      <c r="AG799">
        <f>1+COUNTIF(bounds,"&lt;"&amp;ROUND(AE799,12))</f>
        <v/>
      </c>
      <c r="AH799">
        <f>IF(AD799&lt;1,1,0)</f>
        <v/>
      </c>
      <c r="AI799">
        <f>IF(AF799&lt;&gt;AG799,1,0)</f>
        <v/>
      </c>
      <c r="AJ799">
        <f>IF(AND(AG799&gt;=3,Z799&lt;=0.2),1,0)</f>
        <v/>
      </c>
      <c r="AK799">
        <f>AVERAGE(U799:Z799)</f>
        <v/>
      </c>
      <c r="AL799">
        <f>1+COUNTIF(bounds,"&lt;"&amp;ROUND(AK799,12))</f>
        <v/>
      </c>
      <c r="AM799">
        <f>IF(AI799=1,AB799,NA())</f>
        <v/>
      </c>
      <c r="AN799">
        <f>IF(AI799=0,AB799,NA())</f>
        <v/>
      </c>
    </row>
    <row r="800">
      <c r="A800" t="n">
        <v>792</v>
      </c>
      <c r="B800" t="n">
        <v>5</v>
      </c>
      <c r="C800" t="n">
        <v>5</v>
      </c>
      <c r="D800" t="n">
        <v>2</v>
      </c>
      <c r="E800" t="n">
        <v>2</v>
      </c>
      <c r="F800" t="n">
        <v>4</v>
      </c>
      <c r="G800" t="n">
        <v>5</v>
      </c>
      <c r="H800" t="n">
        <v>2</v>
      </c>
      <c r="I800" t="n">
        <v>1</v>
      </c>
      <c r="J800" t="n">
        <v>3</v>
      </c>
      <c r="K800" t="n">
        <v>1</v>
      </c>
      <c r="L800" t="n">
        <v>5</v>
      </c>
      <c r="M800" t="n">
        <v>4</v>
      </c>
      <c r="N800" t="n">
        <v>4</v>
      </c>
      <c r="O800" t="n">
        <v>3</v>
      </c>
      <c r="P800" t="n">
        <v>3</v>
      </c>
      <c r="Q800" t="n">
        <v>4</v>
      </c>
      <c r="R800" t="n">
        <v>5</v>
      </c>
      <c r="S800" t="n">
        <v>5</v>
      </c>
      <c r="T800" t="n">
        <v>1</v>
      </c>
      <c r="U800">
        <f>(AVERAGE(B800:D800)-1)/4</f>
        <v/>
      </c>
      <c r="V800">
        <f>(AVERAGE(E800:F800)-1)/4</f>
        <v/>
      </c>
      <c r="W800">
        <f>(AVERAGE(G800:I800)-1)/4</f>
        <v/>
      </c>
      <c r="X800">
        <f>(AVERAGE(J800:L800)-1)/4</f>
        <v/>
      </c>
      <c r="Y800">
        <f>(AVERAGE(M800:O800)-1)/4</f>
        <v/>
      </c>
      <c r="Z800">
        <f>(AVERAGE(P800:R800)-1)/4</f>
        <v/>
      </c>
      <c r="AA800">
        <f>(AVERAGE(S800:T800)-1)/4</f>
        <v/>
      </c>
      <c r="AB800">
        <f>AVERAGE(U800:Y800)</f>
        <v/>
      </c>
      <c r="AC800">
        <f>MIN(U800:Y800)</f>
        <v/>
      </c>
      <c r="AD800">
        <f>1-alpha*MAX(0,delta-AC800)</f>
        <v/>
      </c>
      <c r="AE800">
        <f>AB800*AD800</f>
        <v/>
      </c>
      <c r="AF800">
        <f>1+COUNTIF(bounds,"&lt;"&amp;ROUND(AB800,12))</f>
        <v/>
      </c>
      <c r="AG800">
        <f>1+COUNTIF(bounds,"&lt;"&amp;ROUND(AE800,12))</f>
        <v/>
      </c>
      <c r="AH800">
        <f>IF(AD800&lt;1,1,0)</f>
        <v/>
      </c>
      <c r="AI800">
        <f>IF(AF800&lt;&gt;AG800,1,0)</f>
        <v/>
      </c>
      <c r="AJ800">
        <f>IF(AND(AG800&gt;=3,Z800&lt;=0.2),1,0)</f>
        <v/>
      </c>
      <c r="AK800">
        <f>AVERAGE(U800:Z800)</f>
        <v/>
      </c>
      <c r="AL800">
        <f>1+COUNTIF(bounds,"&lt;"&amp;ROUND(AK800,12))</f>
        <v/>
      </c>
      <c r="AM800">
        <f>IF(AI800=1,AB800,NA())</f>
        <v/>
      </c>
      <c r="AN800">
        <f>IF(AI800=0,AB800,NA())</f>
        <v/>
      </c>
    </row>
    <row r="801">
      <c r="A801" t="n">
        <v>793</v>
      </c>
      <c r="B801" t="n">
        <v>2</v>
      </c>
      <c r="C801" t="n">
        <v>4</v>
      </c>
      <c r="D801" t="n">
        <v>3</v>
      </c>
      <c r="E801" t="n">
        <v>2</v>
      </c>
      <c r="F801" t="n">
        <v>4</v>
      </c>
      <c r="G801" t="n">
        <v>5</v>
      </c>
      <c r="H801" t="n">
        <v>3</v>
      </c>
      <c r="I801" t="n">
        <v>2</v>
      </c>
      <c r="J801" t="n">
        <v>2</v>
      </c>
      <c r="K801" t="n">
        <v>1</v>
      </c>
      <c r="L801" t="n">
        <v>5</v>
      </c>
      <c r="M801" t="n">
        <v>4</v>
      </c>
      <c r="N801" t="n">
        <v>5</v>
      </c>
      <c r="O801" t="n">
        <v>2</v>
      </c>
      <c r="P801" t="n">
        <v>3</v>
      </c>
      <c r="Q801" t="n">
        <v>3</v>
      </c>
      <c r="R801" t="n">
        <v>4</v>
      </c>
      <c r="S801" t="n">
        <v>1</v>
      </c>
      <c r="T801" t="n">
        <v>3</v>
      </c>
      <c r="U801">
        <f>(AVERAGE(B801:D801)-1)/4</f>
        <v/>
      </c>
      <c r="V801">
        <f>(AVERAGE(E801:F801)-1)/4</f>
        <v/>
      </c>
      <c r="W801">
        <f>(AVERAGE(G801:I801)-1)/4</f>
        <v/>
      </c>
      <c r="X801">
        <f>(AVERAGE(J801:L801)-1)/4</f>
        <v/>
      </c>
      <c r="Y801">
        <f>(AVERAGE(M801:O801)-1)/4</f>
        <v/>
      </c>
      <c r="Z801">
        <f>(AVERAGE(P801:R801)-1)/4</f>
        <v/>
      </c>
      <c r="AA801">
        <f>(AVERAGE(S801:T801)-1)/4</f>
        <v/>
      </c>
      <c r="AB801">
        <f>AVERAGE(U801:Y801)</f>
        <v/>
      </c>
      <c r="AC801">
        <f>MIN(U801:Y801)</f>
        <v/>
      </c>
      <c r="AD801">
        <f>1-alpha*MAX(0,delta-AC801)</f>
        <v/>
      </c>
      <c r="AE801">
        <f>AB801*AD801</f>
        <v/>
      </c>
      <c r="AF801">
        <f>1+COUNTIF(bounds,"&lt;"&amp;ROUND(AB801,12))</f>
        <v/>
      </c>
      <c r="AG801">
        <f>1+COUNTIF(bounds,"&lt;"&amp;ROUND(AE801,12))</f>
        <v/>
      </c>
      <c r="AH801">
        <f>IF(AD801&lt;1,1,0)</f>
        <v/>
      </c>
      <c r="AI801">
        <f>IF(AF801&lt;&gt;AG801,1,0)</f>
        <v/>
      </c>
      <c r="AJ801">
        <f>IF(AND(AG801&gt;=3,Z801&lt;=0.2),1,0)</f>
        <v/>
      </c>
      <c r="AK801">
        <f>AVERAGE(U801:Z801)</f>
        <v/>
      </c>
      <c r="AL801">
        <f>1+COUNTIF(bounds,"&lt;"&amp;ROUND(AK801,12))</f>
        <v/>
      </c>
      <c r="AM801">
        <f>IF(AI801=1,AB801,NA())</f>
        <v/>
      </c>
      <c r="AN801">
        <f>IF(AI801=0,AB801,NA())</f>
        <v/>
      </c>
    </row>
    <row r="802">
      <c r="A802" t="n">
        <v>794</v>
      </c>
      <c r="B802" t="n">
        <v>4</v>
      </c>
      <c r="C802" t="n">
        <v>5</v>
      </c>
      <c r="D802" t="n">
        <v>5</v>
      </c>
      <c r="E802" t="n">
        <v>2</v>
      </c>
      <c r="F802" t="n">
        <v>1</v>
      </c>
      <c r="G802" t="n">
        <v>2</v>
      </c>
      <c r="H802" t="n">
        <v>5</v>
      </c>
      <c r="I802" t="n">
        <v>2</v>
      </c>
      <c r="J802" t="n">
        <v>3</v>
      </c>
      <c r="K802" t="n">
        <v>3</v>
      </c>
      <c r="L802" t="n">
        <v>3</v>
      </c>
      <c r="M802" t="n">
        <v>4</v>
      </c>
      <c r="N802" t="n">
        <v>1</v>
      </c>
      <c r="O802" t="n">
        <v>5</v>
      </c>
      <c r="P802" t="n">
        <v>3</v>
      </c>
      <c r="Q802" t="n">
        <v>2</v>
      </c>
      <c r="R802" t="n">
        <v>3</v>
      </c>
      <c r="S802" t="n">
        <v>2</v>
      </c>
      <c r="T802" t="n">
        <v>1</v>
      </c>
      <c r="U802">
        <f>(AVERAGE(B802:D802)-1)/4</f>
        <v/>
      </c>
      <c r="V802">
        <f>(AVERAGE(E802:F802)-1)/4</f>
        <v/>
      </c>
      <c r="W802">
        <f>(AVERAGE(G802:I802)-1)/4</f>
        <v/>
      </c>
      <c r="X802">
        <f>(AVERAGE(J802:L802)-1)/4</f>
        <v/>
      </c>
      <c r="Y802">
        <f>(AVERAGE(M802:O802)-1)/4</f>
        <v/>
      </c>
      <c r="Z802">
        <f>(AVERAGE(P802:R802)-1)/4</f>
        <v/>
      </c>
      <c r="AA802">
        <f>(AVERAGE(S802:T802)-1)/4</f>
        <v/>
      </c>
      <c r="AB802">
        <f>AVERAGE(U802:Y802)</f>
        <v/>
      </c>
      <c r="AC802">
        <f>MIN(U802:Y802)</f>
        <v/>
      </c>
      <c r="AD802">
        <f>1-alpha*MAX(0,delta-AC802)</f>
        <v/>
      </c>
      <c r="AE802">
        <f>AB802*AD802</f>
        <v/>
      </c>
      <c r="AF802">
        <f>1+COUNTIF(bounds,"&lt;"&amp;ROUND(AB802,12))</f>
        <v/>
      </c>
      <c r="AG802">
        <f>1+COUNTIF(bounds,"&lt;"&amp;ROUND(AE802,12))</f>
        <v/>
      </c>
      <c r="AH802">
        <f>IF(AD802&lt;1,1,0)</f>
        <v/>
      </c>
      <c r="AI802">
        <f>IF(AF802&lt;&gt;AG802,1,0)</f>
        <v/>
      </c>
      <c r="AJ802">
        <f>IF(AND(AG802&gt;=3,Z802&lt;=0.2),1,0)</f>
        <v/>
      </c>
      <c r="AK802">
        <f>AVERAGE(U802:Z802)</f>
        <v/>
      </c>
      <c r="AL802">
        <f>1+COUNTIF(bounds,"&lt;"&amp;ROUND(AK802,12))</f>
        <v/>
      </c>
      <c r="AM802">
        <f>IF(AI802=1,AB802,NA())</f>
        <v/>
      </c>
      <c r="AN802">
        <f>IF(AI802=0,AB802,NA())</f>
        <v/>
      </c>
    </row>
    <row r="803">
      <c r="A803" t="n">
        <v>795</v>
      </c>
      <c r="B803" t="n">
        <v>3</v>
      </c>
      <c r="C803" t="n">
        <v>4</v>
      </c>
      <c r="D803" t="n">
        <v>1</v>
      </c>
      <c r="E803" t="n">
        <v>3</v>
      </c>
      <c r="F803" t="n">
        <v>4</v>
      </c>
      <c r="G803" t="n">
        <v>5</v>
      </c>
      <c r="H803" t="n">
        <v>5</v>
      </c>
      <c r="I803" t="n">
        <v>5</v>
      </c>
      <c r="J803" t="n">
        <v>5</v>
      </c>
      <c r="K803" t="n">
        <v>4</v>
      </c>
      <c r="L803" t="n">
        <v>3</v>
      </c>
      <c r="M803" t="n">
        <v>5</v>
      </c>
      <c r="N803" t="n">
        <v>2</v>
      </c>
      <c r="O803" t="n">
        <v>4</v>
      </c>
      <c r="P803" t="n">
        <v>3</v>
      </c>
      <c r="Q803" t="n">
        <v>2</v>
      </c>
      <c r="R803" t="n">
        <v>1</v>
      </c>
      <c r="S803" t="n">
        <v>2</v>
      </c>
      <c r="T803" t="n">
        <v>3</v>
      </c>
      <c r="U803">
        <f>(AVERAGE(B803:D803)-1)/4</f>
        <v/>
      </c>
      <c r="V803">
        <f>(AVERAGE(E803:F803)-1)/4</f>
        <v/>
      </c>
      <c r="W803">
        <f>(AVERAGE(G803:I803)-1)/4</f>
        <v/>
      </c>
      <c r="X803">
        <f>(AVERAGE(J803:L803)-1)/4</f>
        <v/>
      </c>
      <c r="Y803">
        <f>(AVERAGE(M803:O803)-1)/4</f>
        <v/>
      </c>
      <c r="Z803">
        <f>(AVERAGE(P803:R803)-1)/4</f>
        <v/>
      </c>
      <c r="AA803">
        <f>(AVERAGE(S803:T803)-1)/4</f>
        <v/>
      </c>
      <c r="AB803">
        <f>AVERAGE(U803:Y803)</f>
        <v/>
      </c>
      <c r="AC803">
        <f>MIN(U803:Y803)</f>
        <v/>
      </c>
      <c r="AD803">
        <f>1-alpha*MAX(0,delta-AC803)</f>
        <v/>
      </c>
      <c r="AE803">
        <f>AB803*AD803</f>
        <v/>
      </c>
      <c r="AF803">
        <f>1+COUNTIF(bounds,"&lt;"&amp;ROUND(AB803,12))</f>
        <v/>
      </c>
      <c r="AG803">
        <f>1+COUNTIF(bounds,"&lt;"&amp;ROUND(AE803,12))</f>
        <v/>
      </c>
      <c r="AH803">
        <f>IF(AD803&lt;1,1,0)</f>
        <v/>
      </c>
      <c r="AI803">
        <f>IF(AF803&lt;&gt;AG803,1,0)</f>
        <v/>
      </c>
      <c r="AJ803">
        <f>IF(AND(AG803&gt;=3,Z803&lt;=0.2),1,0)</f>
        <v/>
      </c>
      <c r="AK803">
        <f>AVERAGE(U803:Z803)</f>
        <v/>
      </c>
      <c r="AL803">
        <f>1+COUNTIF(bounds,"&lt;"&amp;ROUND(AK803,12))</f>
        <v/>
      </c>
      <c r="AM803">
        <f>IF(AI803=1,AB803,NA())</f>
        <v/>
      </c>
      <c r="AN803">
        <f>IF(AI803=0,AB803,NA())</f>
        <v/>
      </c>
    </row>
    <row r="804">
      <c r="A804" t="n">
        <v>796</v>
      </c>
      <c r="B804" t="n">
        <v>5</v>
      </c>
      <c r="C804" t="n">
        <v>2</v>
      </c>
      <c r="D804" t="n">
        <v>3</v>
      </c>
      <c r="E804" t="n">
        <v>3</v>
      </c>
      <c r="F804" t="n">
        <v>5</v>
      </c>
      <c r="G804" t="n">
        <v>2</v>
      </c>
      <c r="H804" t="n">
        <v>1</v>
      </c>
      <c r="I804" t="n">
        <v>2</v>
      </c>
      <c r="J804" t="n">
        <v>2</v>
      </c>
      <c r="K804" t="n">
        <v>4</v>
      </c>
      <c r="L804" t="n">
        <v>3</v>
      </c>
      <c r="M804" t="n">
        <v>5</v>
      </c>
      <c r="N804" t="n">
        <v>4</v>
      </c>
      <c r="O804" t="n">
        <v>4</v>
      </c>
      <c r="P804" t="n">
        <v>4</v>
      </c>
      <c r="Q804" t="n">
        <v>2</v>
      </c>
      <c r="R804" t="n">
        <v>4</v>
      </c>
      <c r="S804" t="n">
        <v>1</v>
      </c>
      <c r="T804" t="n">
        <v>5</v>
      </c>
      <c r="U804">
        <f>(AVERAGE(B804:D804)-1)/4</f>
        <v/>
      </c>
      <c r="V804">
        <f>(AVERAGE(E804:F804)-1)/4</f>
        <v/>
      </c>
      <c r="W804">
        <f>(AVERAGE(G804:I804)-1)/4</f>
        <v/>
      </c>
      <c r="X804">
        <f>(AVERAGE(J804:L804)-1)/4</f>
        <v/>
      </c>
      <c r="Y804">
        <f>(AVERAGE(M804:O804)-1)/4</f>
        <v/>
      </c>
      <c r="Z804">
        <f>(AVERAGE(P804:R804)-1)/4</f>
        <v/>
      </c>
      <c r="AA804">
        <f>(AVERAGE(S804:T804)-1)/4</f>
        <v/>
      </c>
      <c r="AB804">
        <f>AVERAGE(U804:Y804)</f>
        <v/>
      </c>
      <c r="AC804">
        <f>MIN(U804:Y804)</f>
        <v/>
      </c>
      <c r="AD804">
        <f>1-alpha*MAX(0,delta-AC804)</f>
        <v/>
      </c>
      <c r="AE804">
        <f>AB804*AD804</f>
        <v/>
      </c>
      <c r="AF804">
        <f>1+COUNTIF(bounds,"&lt;"&amp;ROUND(AB804,12))</f>
        <v/>
      </c>
      <c r="AG804">
        <f>1+COUNTIF(bounds,"&lt;"&amp;ROUND(AE804,12))</f>
        <v/>
      </c>
      <c r="AH804">
        <f>IF(AD804&lt;1,1,0)</f>
        <v/>
      </c>
      <c r="AI804">
        <f>IF(AF804&lt;&gt;AG804,1,0)</f>
        <v/>
      </c>
      <c r="AJ804">
        <f>IF(AND(AG804&gt;=3,Z804&lt;=0.2),1,0)</f>
        <v/>
      </c>
      <c r="AK804">
        <f>AVERAGE(U804:Z804)</f>
        <v/>
      </c>
      <c r="AL804">
        <f>1+COUNTIF(bounds,"&lt;"&amp;ROUND(AK804,12))</f>
        <v/>
      </c>
      <c r="AM804">
        <f>IF(AI804=1,AB804,NA())</f>
        <v/>
      </c>
      <c r="AN804">
        <f>IF(AI804=0,AB804,NA())</f>
        <v/>
      </c>
    </row>
    <row r="805">
      <c r="A805" t="n">
        <v>797</v>
      </c>
      <c r="B805" t="n">
        <v>4</v>
      </c>
      <c r="C805" t="n">
        <v>2</v>
      </c>
      <c r="D805" t="n">
        <v>5</v>
      </c>
      <c r="E805" t="n">
        <v>1</v>
      </c>
      <c r="F805" t="n">
        <v>2</v>
      </c>
      <c r="G805" t="n">
        <v>3</v>
      </c>
      <c r="H805" t="n">
        <v>1</v>
      </c>
      <c r="I805" t="n">
        <v>5</v>
      </c>
      <c r="J805" t="n">
        <v>4</v>
      </c>
      <c r="K805" t="n">
        <v>4</v>
      </c>
      <c r="L805" t="n">
        <v>4</v>
      </c>
      <c r="M805" t="n">
        <v>4</v>
      </c>
      <c r="N805" t="n">
        <v>3</v>
      </c>
      <c r="O805" t="n">
        <v>4</v>
      </c>
      <c r="P805" t="n">
        <v>5</v>
      </c>
      <c r="Q805" t="n">
        <v>5</v>
      </c>
      <c r="R805" t="n">
        <v>2</v>
      </c>
      <c r="S805" t="n">
        <v>5</v>
      </c>
      <c r="T805" t="n">
        <v>4</v>
      </c>
      <c r="U805">
        <f>(AVERAGE(B805:D805)-1)/4</f>
        <v/>
      </c>
      <c r="V805">
        <f>(AVERAGE(E805:F805)-1)/4</f>
        <v/>
      </c>
      <c r="W805">
        <f>(AVERAGE(G805:I805)-1)/4</f>
        <v/>
      </c>
      <c r="X805">
        <f>(AVERAGE(J805:L805)-1)/4</f>
        <v/>
      </c>
      <c r="Y805">
        <f>(AVERAGE(M805:O805)-1)/4</f>
        <v/>
      </c>
      <c r="Z805">
        <f>(AVERAGE(P805:R805)-1)/4</f>
        <v/>
      </c>
      <c r="AA805">
        <f>(AVERAGE(S805:T805)-1)/4</f>
        <v/>
      </c>
      <c r="AB805">
        <f>AVERAGE(U805:Y805)</f>
        <v/>
      </c>
      <c r="AC805">
        <f>MIN(U805:Y805)</f>
        <v/>
      </c>
      <c r="AD805">
        <f>1-alpha*MAX(0,delta-AC805)</f>
        <v/>
      </c>
      <c r="AE805">
        <f>AB805*AD805</f>
        <v/>
      </c>
      <c r="AF805">
        <f>1+COUNTIF(bounds,"&lt;"&amp;ROUND(AB805,12))</f>
        <v/>
      </c>
      <c r="AG805">
        <f>1+COUNTIF(bounds,"&lt;"&amp;ROUND(AE805,12))</f>
        <v/>
      </c>
      <c r="AH805">
        <f>IF(AD805&lt;1,1,0)</f>
        <v/>
      </c>
      <c r="AI805">
        <f>IF(AF805&lt;&gt;AG805,1,0)</f>
        <v/>
      </c>
      <c r="AJ805">
        <f>IF(AND(AG805&gt;=3,Z805&lt;=0.2),1,0)</f>
        <v/>
      </c>
      <c r="AK805">
        <f>AVERAGE(U805:Z805)</f>
        <v/>
      </c>
      <c r="AL805">
        <f>1+COUNTIF(bounds,"&lt;"&amp;ROUND(AK805,12))</f>
        <v/>
      </c>
      <c r="AM805">
        <f>IF(AI805=1,AB805,NA())</f>
        <v/>
      </c>
      <c r="AN805">
        <f>IF(AI805=0,AB805,NA())</f>
        <v/>
      </c>
    </row>
    <row r="806">
      <c r="A806" t="n">
        <v>798</v>
      </c>
      <c r="B806" t="n">
        <v>3</v>
      </c>
      <c r="C806" t="n">
        <v>5</v>
      </c>
      <c r="D806" t="n">
        <v>2</v>
      </c>
      <c r="E806" t="n">
        <v>3</v>
      </c>
      <c r="F806" t="n">
        <v>3</v>
      </c>
      <c r="G806" t="n">
        <v>1</v>
      </c>
      <c r="H806" t="n">
        <v>1</v>
      </c>
      <c r="I806" t="n">
        <v>2</v>
      </c>
      <c r="J806" t="n">
        <v>1</v>
      </c>
      <c r="K806" t="n">
        <v>1</v>
      </c>
      <c r="L806" t="n">
        <v>4</v>
      </c>
      <c r="M806" t="n">
        <v>2</v>
      </c>
      <c r="N806" t="n">
        <v>2</v>
      </c>
      <c r="O806" t="n">
        <v>5</v>
      </c>
      <c r="P806" t="n">
        <v>5</v>
      </c>
      <c r="Q806" t="n">
        <v>4</v>
      </c>
      <c r="R806" t="n">
        <v>1</v>
      </c>
      <c r="S806" t="n">
        <v>2</v>
      </c>
      <c r="T806" t="n">
        <v>5</v>
      </c>
      <c r="U806">
        <f>(AVERAGE(B806:D806)-1)/4</f>
        <v/>
      </c>
      <c r="V806">
        <f>(AVERAGE(E806:F806)-1)/4</f>
        <v/>
      </c>
      <c r="W806">
        <f>(AVERAGE(G806:I806)-1)/4</f>
        <v/>
      </c>
      <c r="X806">
        <f>(AVERAGE(J806:L806)-1)/4</f>
        <v/>
      </c>
      <c r="Y806">
        <f>(AVERAGE(M806:O806)-1)/4</f>
        <v/>
      </c>
      <c r="Z806">
        <f>(AVERAGE(P806:R806)-1)/4</f>
        <v/>
      </c>
      <c r="AA806">
        <f>(AVERAGE(S806:T806)-1)/4</f>
        <v/>
      </c>
      <c r="AB806">
        <f>AVERAGE(U806:Y806)</f>
        <v/>
      </c>
      <c r="AC806">
        <f>MIN(U806:Y806)</f>
        <v/>
      </c>
      <c r="AD806">
        <f>1-alpha*MAX(0,delta-AC806)</f>
        <v/>
      </c>
      <c r="AE806">
        <f>AB806*AD806</f>
        <v/>
      </c>
      <c r="AF806">
        <f>1+COUNTIF(bounds,"&lt;"&amp;ROUND(AB806,12))</f>
        <v/>
      </c>
      <c r="AG806">
        <f>1+COUNTIF(bounds,"&lt;"&amp;ROUND(AE806,12))</f>
        <v/>
      </c>
      <c r="AH806">
        <f>IF(AD806&lt;1,1,0)</f>
        <v/>
      </c>
      <c r="AI806">
        <f>IF(AF806&lt;&gt;AG806,1,0)</f>
        <v/>
      </c>
      <c r="AJ806">
        <f>IF(AND(AG806&gt;=3,Z806&lt;=0.2),1,0)</f>
        <v/>
      </c>
      <c r="AK806">
        <f>AVERAGE(U806:Z806)</f>
        <v/>
      </c>
      <c r="AL806">
        <f>1+COUNTIF(bounds,"&lt;"&amp;ROUND(AK806,12))</f>
        <v/>
      </c>
      <c r="AM806">
        <f>IF(AI806=1,AB806,NA())</f>
        <v/>
      </c>
      <c r="AN806">
        <f>IF(AI806=0,AB806,NA())</f>
        <v/>
      </c>
    </row>
    <row r="807">
      <c r="A807" t="n">
        <v>799</v>
      </c>
      <c r="B807" t="n">
        <v>4</v>
      </c>
      <c r="C807" t="n">
        <v>1</v>
      </c>
      <c r="D807" t="n">
        <v>1</v>
      </c>
      <c r="E807" t="n">
        <v>2</v>
      </c>
      <c r="F807" t="n">
        <v>2</v>
      </c>
      <c r="G807" t="n">
        <v>3</v>
      </c>
      <c r="H807" t="n">
        <v>3</v>
      </c>
      <c r="I807" t="n">
        <v>3</v>
      </c>
      <c r="J807" t="n">
        <v>1</v>
      </c>
      <c r="K807" t="n">
        <v>2</v>
      </c>
      <c r="L807" t="n">
        <v>1</v>
      </c>
      <c r="M807" t="n">
        <v>4</v>
      </c>
      <c r="N807" t="n">
        <v>2</v>
      </c>
      <c r="O807" t="n">
        <v>2</v>
      </c>
      <c r="P807" t="n">
        <v>2</v>
      </c>
      <c r="Q807" t="n">
        <v>3</v>
      </c>
      <c r="R807" t="n">
        <v>1</v>
      </c>
      <c r="S807" t="n">
        <v>2</v>
      </c>
      <c r="T807" t="n">
        <v>1</v>
      </c>
      <c r="U807">
        <f>(AVERAGE(B807:D807)-1)/4</f>
        <v/>
      </c>
      <c r="V807">
        <f>(AVERAGE(E807:F807)-1)/4</f>
        <v/>
      </c>
      <c r="W807">
        <f>(AVERAGE(G807:I807)-1)/4</f>
        <v/>
      </c>
      <c r="X807">
        <f>(AVERAGE(J807:L807)-1)/4</f>
        <v/>
      </c>
      <c r="Y807">
        <f>(AVERAGE(M807:O807)-1)/4</f>
        <v/>
      </c>
      <c r="Z807">
        <f>(AVERAGE(P807:R807)-1)/4</f>
        <v/>
      </c>
      <c r="AA807">
        <f>(AVERAGE(S807:T807)-1)/4</f>
        <v/>
      </c>
      <c r="AB807">
        <f>AVERAGE(U807:Y807)</f>
        <v/>
      </c>
      <c r="AC807">
        <f>MIN(U807:Y807)</f>
        <v/>
      </c>
      <c r="AD807">
        <f>1-alpha*MAX(0,delta-AC807)</f>
        <v/>
      </c>
      <c r="AE807">
        <f>AB807*AD807</f>
        <v/>
      </c>
      <c r="AF807">
        <f>1+COUNTIF(bounds,"&lt;"&amp;ROUND(AB807,12))</f>
        <v/>
      </c>
      <c r="AG807">
        <f>1+COUNTIF(bounds,"&lt;"&amp;ROUND(AE807,12))</f>
        <v/>
      </c>
      <c r="AH807">
        <f>IF(AD807&lt;1,1,0)</f>
        <v/>
      </c>
      <c r="AI807">
        <f>IF(AF807&lt;&gt;AG807,1,0)</f>
        <v/>
      </c>
      <c r="AJ807">
        <f>IF(AND(AG807&gt;=3,Z807&lt;=0.2),1,0)</f>
        <v/>
      </c>
      <c r="AK807">
        <f>AVERAGE(U807:Z807)</f>
        <v/>
      </c>
      <c r="AL807">
        <f>1+COUNTIF(bounds,"&lt;"&amp;ROUND(AK807,12))</f>
        <v/>
      </c>
      <c r="AM807">
        <f>IF(AI807=1,AB807,NA())</f>
        <v/>
      </c>
      <c r="AN807">
        <f>IF(AI807=0,AB807,NA())</f>
        <v/>
      </c>
    </row>
    <row r="808">
      <c r="A808" t="n">
        <v>800</v>
      </c>
      <c r="B808" t="n">
        <v>3</v>
      </c>
      <c r="C808" t="n">
        <v>5</v>
      </c>
      <c r="D808" t="n">
        <v>3</v>
      </c>
      <c r="E808" t="n">
        <v>3</v>
      </c>
      <c r="F808" t="n">
        <v>2</v>
      </c>
      <c r="G808" t="n">
        <v>1</v>
      </c>
      <c r="H808" t="n">
        <v>3</v>
      </c>
      <c r="I808" t="n">
        <v>4</v>
      </c>
      <c r="J808" t="n">
        <v>1</v>
      </c>
      <c r="K808" t="n">
        <v>1</v>
      </c>
      <c r="L808" t="n">
        <v>2</v>
      </c>
      <c r="M808" t="n">
        <v>4</v>
      </c>
      <c r="N808" t="n">
        <v>5</v>
      </c>
      <c r="O808" t="n">
        <v>4</v>
      </c>
      <c r="P808" t="n">
        <v>3</v>
      </c>
      <c r="Q808" t="n">
        <v>1</v>
      </c>
      <c r="R808" t="n">
        <v>5</v>
      </c>
      <c r="S808" t="n">
        <v>5</v>
      </c>
      <c r="T808" t="n">
        <v>5</v>
      </c>
      <c r="U808">
        <f>(AVERAGE(B808:D808)-1)/4</f>
        <v/>
      </c>
      <c r="V808">
        <f>(AVERAGE(E808:F808)-1)/4</f>
        <v/>
      </c>
      <c r="W808">
        <f>(AVERAGE(G808:I808)-1)/4</f>
        <v/>
      </c>
      <c r="X808">
        <f>(AVERAGE(J808:L808)-1)/4</f>
        <v/>
      </c>
      <c r="Y808">
        <f>(AVERAGE(M808:O808)-1)/4</f>
        <v/>
      </c>
      <c r="Z808">
        <f>(AVERAGE(P808:R808)-1)/4</f>
        <v/>
      </c>
      <c r="AA808">
        <f>(AVERAGE(S808:T808)-1)/4</f>
        <v/>
      </c>
      <c r="AB808">
        <f>AVERAGE(U808:Y808)</f>
        <v/>
      </c>
      <c r="AC808">
        <f>MIN(U808:Y808)</f>
        <v/>
      </c>
      <c r="AD808">
        <f>1-alpha*MAX(0,delta-AC808)</f>
        <v/>
      </c>
      <c r="AE808">
        <f>AB808*AD808</f>
        <v/>
      </c>
      <c r="AF808">
        <f>1+COUNTIF(bounds,"&lt;"&amp;ROUND(AB808,12))</f>
        <v/>
      </c>
      <c r="AG808">
        <f>1+COUNTIF(bounds,"&lt;"&amp;ROUND(AE808,12))</f>
        <v/>
      </c>
      <c r="AH808">
        <f>IF(AD808&lt;1,1,0)</f>
        <v/>
      </c>
      <c r="AI808">
        <f>IF(AF808&lt;&gt;AG808,1,0)</f>
        <v/>
      </c>
      <c r="AJ808">
        <f>IF(AND(AG808&gt;=3,Z808&lt;=0.2),1,0)</f>
        <v/>
      </c>
      <c r="AK808">
        <f>AVERAGE(U808:Z808)</f>
        <v/>
      </c>
      <c r="AL808">
        <f>1+COUNTIF(bounds,"&lt;"&amp;ROUND(AK808,12))</f>
        <v/>
      </c>
      <c r="AM808">
        <f>IF(AI808=1,AB808,NA())</f>
        <v/>
      </c>
      <c r="AN808">
        <f>IF(AI808=0,AB808,NA())</f>
        <v/>
      </c>
    </row>
    <row r="809">
      <c r="A809" t="n">
        <v>801</v>
      </c>
      <c r="B809" t="n">
        <v>3</v>
      </c>
      <c r="C809" t="n">
        <v>5</v>
      </c>
      <c r="D809" t="n">
        <v>2</v>
      </c>
      <c r="E809" t="n">
        <v>4</v>
      </c>
      <c r="F809" t="n">
        <v>2</v>
      </c>
      <c r="G809" t="n">
        <v>2</v>
      </c>
      <c r="H809" t="n">
        <v>5</v>
      </c>
      <c r="I809" t="n">
        <v>5</v>
      </c>
      <c r="J809" t="n">
        <v>5</v>
      </c>
      <c r="K809" t="n">
        <v>2</v>
      </c>
      <c r="L809" t="n">
        <v>1</v>
      </c>
      <c r="M809" t="n">
        <v>3</v>
      </c>
      <c r="N809" t="n">
        <v>4</v>
      </c>
      <c r="O809" t="n">
        <v>3</v>
      </c>
      <c r="P809" t="n">
        <v>3</v>
      </c>
      <c r="Q809" t="n">
        <v>4</v>
      </c>
      <c r="R809" t="n">
        <v>4</v>
      </c>
      <c r="S809" t="n">
        <v>5</v>
      </c>
      <c r="T809" t="n">
        <v>2</v>
      </c>
      <c r="U809">
        <f>(AVERAGE(B809:D809)-1)/4</f>
        <v/>
      </c>
      <c r="V809">
        <f>(AVERAGE(E809:F809)-1)/4</f>
        <v/>
      </c>
      <c r="W809">
        <f>(AVERAGE(G809:I809)-1)/4</f>
        <v/>
      </c>
      <c r="X809">
        <f>(AVERAGE(J809:L809)-1)/4</f>
        <v/>
      </c>
      <c r="Y809">
        <f>(AVERAGE(M809:O809)-1)/4</f>
        <v/>
      </c>
      <c r="Z809">
        <f>(AVERAGE(P809:R809)-1)/4</f>
        <v/>
      </c>
      <c r="AA809">
        <f>(AVERAGE(S809:T809)-1)/4</f>
        <v/>
      </c>
      <c r="AB809">
        <f>AVERAGE(U809:Y809)</f>
        <v/>
      </c>
      <c r="AC809">
        <f>MIN(U809:Y809)</f>
        <v/>
      </c>
      <c r="AD809">
        <f>1-alpha*MAX(0,delta-AC809)</f>
        <v/>
      </c>
      <c r="AE809">
        <f>AB809*AD809</f>
        <v/>
      </c>
      <c r="AF809">
        <f>1+COUNTIF(bounds,"&lt;"&amp;ROUND(AB809,12))</f>
        <v/>
      </c>
      <c r="AG809">
        <f>1+COUNTIF(bounds,"&lt;"&amp;ROUND(AE809,12))</f>
        <v/>
      </c>
      <c r="AH809">
        <f>IF(AD809&lt;1,1,0)</f>
        <v/>
      </c>
      <c r="AI809">
        <f>IF(AF809&lt;&gt;AG809,1,0)</f>
        <v/>
      </c>
      <c r="AJ809">
        <f>IF(AND(AG809&gt;=3,Z809&lt;=0.2),1,0)</f>
        <v/>
      </c>
      <c r="AK809">
        <f>AVERAGE(U809:Z809)</f>
        <v/>
      </c>
      <c r="AL809">
        <f>1+COUNTIF(bounds,"&lt;"&amp;ROUND(AK809,12))</f>
        <v/>
      </c>
      <c r="AM809">
        <f>IF(AI809=1,AB809,NA())</f>
        <v/>
      </c>
      <c r="AN809">
        <f>IF(AI809=0,AB809,NA())</f>
        <v/>
      </c>
    </row>
    <row r="810">
      <c r="A810" t="n">
        <v>802</v>
      </c>
      <c r="B810" t="n">
        <v>5</v>
      </c>
      <c r="C810" t="n">
        <v>4</v>
      </c>
      <c r="D810" t="n">
        <v>4</v>
      </c>
      <c r="E810" t="n">
        <v>2</v>
      </c>
      <c r="F810" t="n">
        <v>2</v>
      </c>
      <c r="G810" t="n">
        <v>3</v>
      </c>
      <c r="H810" t="n">
        <v>1</v>
      </c>
      <c r="I810" t="n">
        <v>1</v>
      </c>
      <c r="J810" t="n">
        <v>2</v>
      </c>
      <c r="K810" t="n">
        <v>1</v>
      </c>
      <c r="L810" t="n">
        <v>2</v>
      </c>
      <c r="M810" t="n">
        <v>3</v>
      </c>
      <c r="N810" t="n">
        <v>1</v>
      </c>
      <c r="O810" t="n">
        <v>5</v>
      </c>
      <c r="P810" t="n">
        <v>1</v>
      </c>
      <c r="Q810" t="n">
        <v>2</v>
      </c>
      <c r="R810" t="n">
        <v>5</v>
      </c>
      <c r="S810" t="n">
        <v>3</v>
      </c>
      <c r="T810" t="n">
        <v>5</v>
      </c>
      <c r="U810">
        <f>(AVERAGE(B810:D810)-1)/4</f>
        <v/>
      </c>
      <c r="V810">
        <f>(AVERAGE(E810:F810)-1)/4</f>
        <v/>
      </c>
      <c r="W810">
        <f>(AVERAGE(G810:I810)-1)/4</f>
        <v/>
      </c>
      <c r="X810">
        <f>(AVERAGE(J810:L810)-1)/4</f>
        <v/>
      </c>
      <c r="Y810">
        <f>(AVERAGE(M810:O810)-1)/4</f>
        <v/>
      </c>
      <c r="Z810">
        <f>(AVERAGE(P810:R810)-1)/4</f>
        <v/>
      </c>
      <c r="AA810">
        <f>(AVERAGE(S810:T810)-1)/4</f>
        <v/>
      </c>
      <c r="AB810">
        <f>AVERAGE(U810:Y810)</f>
        <v/>
      </c>
      <c r="AC810">
        <f>MIN(U810:Y810)</f>
        <v/>
      </c>
      <c r="AD810">
        <f>1-alpha*MAX(0,delta-AC810)</f>
        <v/>
      </c>
      <c r="AE810">
        <f>AB810*AD810</f>
        <v/>
      </c>
      <c r="AF810">
        <f>1+COUNTIF(bounds,"&lt;"&amp;ROUND(AB810,12))</f>
        <v/>
      </c>
      <c r="AG810">
        <f>1+COUNTIF(bounds,"&lt;"&amp;ROUND(AE810,12))</f>
        <v/>
      </c>
      <c r="AH810">
        <f>IF(AD810&lt;1,1,0)</f>
        <v/>
      </c>
      <c r="AI810">
        <f>IF(AF810&lt;&gt;AG810,1,0)</f>
        <v/>
      </c>
      <c r="AJ810">
        <f>IF(AND(AG810&gt;=3,Z810&lt;=0.2),1,0)</f>
        <v/>
      </c>
      <c r="AK810">
        <f>AVERAGE(U810:Z810)</f>
        <v/>
      </c>
      <c r="AL810">
        <f>1+COUNTIF(bounds,"&lt;"&amp;ROUND(AK810,12))</f>
        <v/>
      </c>
      <c r="AM810">
        <f>IF(AI810=1,AB810,NA())</f>
        <v/>
      </c>
      <c r="AN810">
        <f>IF(AI810=0,AB810,NA())</f>
        <v/>
      </c>
    </row>
    <row r="811">
      <c r="A811" t="n">
        <v>803</v>
      </c>
      <c r="B811" t="n">
        <v>2</v>
      </c>
      <c r="C811" t="n">
        <v>5</v>
      </c>
      <c r="D811" t="n">
        <v>5</v>
      </c>
      <c r="E811" t="n">
        <v>3</v>
      </c>
      <c r="F811" t="n">
        <v>3</v>
      </c>
      <c r="G811" t="n">
        <v>3</v>
      </c>
      <c r="H811" t="n">
        <v>1</v>
      </c>
      <c r="I811" t="n">
        <v>4</v>
      </c>
      <c r="J811" t="n">
        <v>3</v>
      </c>
      <c r="K811" t="n">
        <v>2</v>
      </c>
      <c r="L811" t="n">
        <v>4</v>
      </c>
      <c r="M811" t="n">
        <v>4</v>
      </c>
      <c r="N811" t="n">
        <v>2</v>
      </c>
      <c r="O811" t="n">
        <v>1</v>
      </c>
      <c r="P811" t="n">
        <v>5</v>
      </c>
      <c r="Q811" t="n">
        <v>4</v>
      </c>
      <c r="R811" t="n">
        <v>4</v>
      </c>
      <c r="S811" t="n">
        <v>5</v>
      </c>
      <c r="T811" t="n">
        <v>1</v>
      </c>
      <c r="U811">
        <f>(AVERAGE(B811:D811)-1)/4</f>
        <v/>
      </c>
      <c r="V811">
        <f>(AVERAGE(E811:F811)-1)/4</f>
        <v/>
      </c>
      <c r="W811">
        <f>(AVERAGE(G811:I811)-1)/4</f>
        <v/>
      </c>
      <c r="X811">
        <f>(AVERAGE(J811:L811)-1)/4</f>
        <v/>
      </c>
      <c r="Y811">
        <f>(AVERAGE(M811:O811)-1)/4</f>
        <v/>
      </c>
      <c r="Z811">
        <f>(AVERAGE(P811:R811)-1)/4</f>
        <v/>
      </c>
      <c r="AA811">
        <f>(AVERAGE(S811:T811)-1)/4</f>
        <v/>
      </c>
      <c r="AB811">
        <f>AVERAGE(U811:Y811)</f>
        <v/>
      </c>
      <c r="AC811">
        <f>MIN(U811:Y811)</f>
        <v/>
      </c>
      <c r="AD811">
        <f>1-alpha*MAX(0,delta-AC811)</f>
        <v/>
      </c>
      <c r="AE811">
        <f>AB811*AD811</f>
        <v/>
      </c>
      <c r="AF811">
        <f>1+COUNTIF(bounds,"&lt;"&amp;ROUND(AB811,12))</f>
        <v/>
      </c>
      <c r="AG811">
        <f>1+COUNTIF(bounds,"&lt;"&amp;ROUND(AE811,12))</f>
        <v/>
      </c>
      <c r="AH811">
        <f>IF(AD811&lt;1,1,0)</f>
        <v/>
      </c>
      <c r="AI811">
        <f>IF(AF811&lt;&gt;AG811,1,0)</f>
        <v/>
      </c>
      <c r="AJ811">
        <f>IF(AND(AG811&gt;=3,Z811&lt;=0.2),1,0)</f>
        <v/>
      </c>
      <c r="AK811">
        <f>AVERAGE(U811:Z811)</f>
        <v/>
      </c>
      <c r="AL811">
        <f>1+COUNTIF(bounds,"&lt;"&amp;ROUND(AK811,12))</f>
        <v/>
      </c>
      <c r="AM811">
        <f>IF(AI811=1,AB811,NA())</f>
        <v/>
      </c>
      <c r="AN811">
        <f>IF(AI811=0,AB811,NA())</f>
        <v/>
      </c>
    </row>
    <row r="812">
      <c r="A812" t="n">
        <v>804</v>
      </c>
      <c r="B812" t="n">
        <v>2</v>
      </c>
      <c r="C812" t="n">
        <v>3</v>
      </c>
      <c r="D812" t="n">
        <v>4</v>
      </c>
      <c r="E812" t="n">
        <v>2</v>
      </c>
      <c r="F812" t="n">
        <v>3</v>
      </c>
      <c r="G812" t="n">
        <v>5</v>
      </c>
      <c r="H812" t="n">
        <v>2</v>
      </c>
      <c r="I812" t="n">
        <v>4</v>
      </c>
      <c r="J812" t="n">
        <v>4</v>
      </c>
      <c r="K812" t="n">
        <v>2</v>
      </c>
      <c r="L812" t="n">
        <v>2</v>
      </c>
      <c r="M812" t="n">
        <v>1</v>
      </c>
      <c r="N812" t="n">
        <v>1</v>
      </c>
      <c r="O812" t="n">
        <v>4</v>
      </c>
      <c r="P812" t="n">
        <v>1</v>
      </c>
      <c r="Q812" t="n">
        <v>4</v>
      </c>
      <c r="R812" t="n">
        <v>1</v>
      </c>
      <c r="S812" t="n">
        <v>1</v>
      </c>
      <c r="T812" t="n">
        <v>5</v>
      </c>
      <c r="U812">
        <f>(AVERAGE(B812:D812)-1)/4</f>
        <v/>
      </c>
      <c r="V812">
        <f>(AVERAGE(E812:F812)-1)/4</f>
        <v/>
      </c>
      <c r="W812">
        <f>(AVERAGE(G812:I812)-1)/4</f>
        <v/>
      </c>
      <c r="X812">
        <f>(AVERAGE(J812:L812)-1)/4</f>
        <v/>
      </c>
      <c r="Y812">
        <f>(AVERAGE(M812:O812)-1)/4</f>
        <v/>
      </c>
      <c r="Z812">
        <f>(AVERAGE(P812:R812)-1)/4</f>
        <v/>
      </c>
      <c r="AA812">
        <f>(AVERAGE(S812:T812)-1)/4</f>
        <v/>
      </c>
      <c r="AB812">
        <f>AVERAGE(U812:Y812)</f>
        <v/>
      </c>
      <c r="AC812">
        <f>MIN(U812:Y812)</f>
        <v/>
      </c>
      <c r="AD812">
        <f>1-alpha*MAX(0,delta-AC812)</f>
        <v/>
      </c>
      <c r="AE812">
        <f>AB812*AD812</f>
        <v/>
      </c>
      <c r="AF812">
        <f>1+COUNTIF(bounds,"&lt;"&amp;ROUND(AB812,12))</f>
        <v/>
      </c>
      <c r="AG812">
        <f>1+COUNTIF(bounds,"&lt;"&amp;ROUND(AE812,12))</f>
        <v/>
      </c>
      <c r="AH812">
        <f>IF(AD812&lt;1,1,0)</f>
        <v/>
      </c>
      <c r="AI812">
        <f>IF(AF812&lt;&gt;AG812,1,0)</f>
        <v/>
      </c>
      <c r="AJ812">
        <f>IF(AND(AG812&gt;=3,Z812&lt;=0.2),1,0)</f>
        <v/>
      </c>
      <c r="AK812">
        <f>AVERAGE(U812:Z812)</f>
        <v/>
      </c>
      <c r="AL812">
        <f>1+COUNTIF(bounds,"&lt;"&amp;ROUND(AK812,12))</f>
        <v/>
      </c>
      <c r="AM812">
        <f>IF(AI812=1,AB812,NA())</f>
        <v/>
      </c>
      <c r="AN812">
        <f>IF(AI812=0,AB812,NA())</f>
        <v/>
      </c>
    </row>
    <row r="813">
      <c r="A813" t="n">
        <v>805</v>
      </c>
      <c r="B813" t="n">
        <v>3</v>
      </c>
      <c r="C813" t="n">
        <v>2</v>
      </c>
      <c r="D813" t="n">
        <v>5</v>
      </c>
      <c r="E813" t="n">
        <v>4</v>
      </c>
      <c r="F813" t="n">
        <v>5</v>
      </c>
      <c r="G813" t="n">
        <v>5</v>
      </c>
      <c r="H813" t="n">
        <v>5</v>
      </c>
      <c r="I813" t="n">
        <v>1</v>
      </c>
      <c r="J813" t="n">
        <v>1</v>
      </c>
      <c r="K813" t="n">
        <v>3</v>
      </c>
      <c r="L813" t="n">
        <v>3</v>
      </c>
      <c r="M813" t="n">
        <v>3</v>
      </c>
      <c r="N813" t="n">
        <v>3</v>
      </c>
      <c r="O813" t="n">
        <v>4</v>
      </c>
      <c r="P813" t="n">
        <v>1</v>
      </c>
      <c r="Q813" t="n">
        <v>5</v>
      </c>
      <c r="R813" t="n">
        <v>3</v>
      </c>
      <c r="S813" t="n">
        <v>2</v>
      </c>
      <c r="T813" t="n">
        <v>3</v>
      </c>
      <c r="U813">
        <f>(AVERAGE(B813:D813)-1)/4</f>
        <v/>
      </c>
      <c r="V813">
        <f>(AVERAGE(E813:F813)-1)/4</f>
        <v/>
      </c>
      <c r="W813">
        <f>(AVERAGE(G813:I813)-1)/4</f>
        <v/>
      </c>
      <c r="X813">
        <f>(AVERAGE(J813:L813)-1)/4</f>
        <v/>
      </c>
      <c r="Y813">
        <f>(AVERAGE(M813:O813)-1)/4</f>
        <v/>
      </c>
      <c r="Z813">
        <f>(AVERAGE(P813:R813)-1)/4</f>
        <v/>
      </c>
      <c r="AA813">
        <f>(AVERAGE(S813:T813)-1)/4</f>
        <v/>
      </c>
      <c r="AB813">
        <f>AVERAGE(U813:Y813)</f>
        <v/>
      </c>
      <c r="AC813">
        <f>MIN(U813:Y813)</f>
        <v/>
      </c>
      <c r="AD813">
        <f>1-alpha*MAX(0,delta-AC813)</f>
        <v/>
      </c>
      <c r="AE813">
        <f>AB813*AD813</f>
        <v/>
      </c>
      <c r="AF813">
        <f>1+COUNTIF(bounds,"&lt;"&amp;ROUND(AB813,12))</f>
        <v/>
      </c>
      <c r="AG813">
        <f>1+COUNTIF(bounds,"&lt;"&amp;ROUND(AE813,12))</f>
        <v/>
      </c>
      <c r="AH813">
        <f>IF(AD813&lt;1,1,0)</f>
        <v/>
      </c>
      <c r="AI813">
        <f>IF(AF813&lt;&gt;AG813,1,0)</f>
        <v/>
      </c>
      <c r="AJ813">
        <f>IF(AND(AG813&gt;=3,Z813&lt;=0.2),1,0)</f>
        <v/>
      </c>
      <c r="AK813">
        <f>AVERAGE(U813:Z813)</f>
        <v/>
      </c>
      <c r="AL813">
        <f>1+COUNTIF(bounds,"&lt;"&amp;ROUND(AK813,12))</f>
        <v/>
      </c>
      <c r="AM813">
        <f>IF(AI813=1,AB813,NA())</f>
        <v/>
      </c>
      <c r="AN813">
        <f>IF(AI813=0,AB813,NA())</f>
        <v/>
      </c>
    </row>
    <row r="814">
      <c r="A814" t="n">
        <v>806</v>
      </c>
      <c r="B814" t="n">
        <v>4</v>
      </c>
      <c r="C814" t="n">
        <v>3</v>
      </c>
      <c r="D814" t="n">
        <v>3</v>
      </c>
      <c r="E814" t="n">
        <v>1</v>
      </c>
      <c r="F814" t="n">
        <v>2</v>
      </c>
      <c r="G814" t="n">
        <v>5</v>
      </c>
      <c r="H814" t="n">
        <v>4</v>
      </c>
      <c r="I814" t="n">
        <v>4</v>
      </c>
      <c r="J814" t="n">
        <v>3</v>
      </c>
      <c r="K814" t="n">
        <v>3</v>
      </c>
      <c r="L814" t="n">
        <v>5</v>
      </c>
      <c r="M814" t="n">
        <v>2</v>
      </c>
      <c r="N814" t="n">
        <v>1</v>
      </c>
      <c r="O814" t="n">
        <v>5</v>
      </c>
      <c r="P814" t="n">
        <v>4</v>
      </c>
      <c r="Q814" t="n">
        <v>3</v>
      </c>
      <c r="R814" t="n">
        <v>2</v>
      </c>
      <c r="S814" t="n">
        <v>2</v>
      </c>
      <c r="T814" t="n">
        <v>2</v>
      </c>
      <c r="U814">
        <f>(AVERAGE(B814:D814)-1)/4</f>
        <v/>
      </c>
      <c r="V814">
        <f>(AVERAGE(E814:F814)-1)/4</f>
        <v/>
      </c>
      <c r="W814">
        <f>(AVERAGE(G814:I814)-1)/4</f>
        <v/>
      </c>
      <c r="X814">
        <f>(AVERAGE(J814:L814)-1)/4</f>
        <v/>
      </c>
      <c r="Y814">
        <f>(AVERAGE(M814:O814)-1)/4</f>
        <v/>
      </c>
      <c r="Z814">
        <f>(AVERAGE(P814:R814)-1)/4</f>
        <v/>
      </c>
      <c r="AA814">
        <f>(AVERAGE(S814:T814)-1)/4</f>
        <v/>
      </c>
      <c r="AB814">
        <f>AVERAGE(U814:Y814)</f>
        <v/>
      </c>
      <c r="AC814">
        <f>MIN(U814:Y814)</f>
        <v/>
      </c>
      <c r="AD814">
        <f>1-alpha*MAX(0,delta-AC814)</f>
        <v/>
      </c>
      <c r="AE814">
        <f>AB814*AD814</f>
        <v/>
      </c>
      <c r="AF814">
        <f>1+COUNTIF(bounds,"&lt;"&amp;ROUND(AB814,12))</f>
        <v/>
      </c>
      <c r="AG814">
        <f>1+COUNTIF(bounds,"&lt;"&amp;ROUND(AE814,12))</f>
        <v/>
      </c>
      <c r="AH814">
        <f>IF(AD814&lt;1,1,0)</f>
        <v/>
      </c>
      <c r="AI814">
        <f>IF(AF814&lt;&gt;AG814,1,0)</f>
        <v/>
      </c>
      <c r="AJ814">
        <f>IF(AND(AG814&gt;=3,Z814&lt;=0.2),1,0)</f>
        <v/>
      </c>
      <c r="AK814">
        <f>AVERAGE(U814:Z814)</f>
        <v/>
      </c>
      <c r="AL814">
        <f>1+COUNTIF(bounds,"&lt;"&amp;ROUND(AK814,12))</f>
        <v/>
      </c>
      <c r="AM814">
        <f>IF(AI814=1,AB814,NA())</f>
        <v/>
      </c>
      <c r="AN814">
        <f>IF(AI814=0,AB814,NA())</f>
        <v/>
      </c>
    </row>
    <row r="815">
      <c r="A815" t="n">
        <v>807</v>
      </c>
      <c r="B815" t="n">
        <v>4</v>
      </c>
      <c r="C815" t="n">
        <v>2</v>
      </c>
      <c r="D815" t="n">
        <v>4</v>
      </c>
      <c r="E815" t="n">
        <v>5</v>
      </c>
      <c r="F815" t="n">
        <v>3</v>
      </c>
      <c r="G815" t="n">
        <v>1</v>
      </c>
      <c r="H815" t="n">
        <v>4</v>
      </c>
      <c r="I815" t="n">
        <v>2</v>
      </c>
      <c r="J815" t="n">
        <v>5</v>
      </c>
      <c r="K815" t="n">
        <v>3</v>
      </c>
      <c r="L815" t="n">
        <v>1</v>
      </c>
      <c r="M815" t="n">
        <v>1</v>
      </c>
      <c r="N815" t="n">
        <v>1</v>
      </c>
      <c r="O815" t="n">
        <v>5</v>
      </c>
      <c r="P815" t="n">
        <v>1</v>
      </c>
      <c r="Q815" t="n">
        <v>3</v>
      </c>
      <c r="R815" t="n">
        <v>3</v>
      </c>
      <c r="S815" t="n">
        <v>3</v>
      </c>
      <c r="T815" t="n">
        <v>2</v>
      </c>
      <c r="U815">
        <f>(AVERAGE(B815:D815)-1)/4</f>
        <v/>
      </c>
      <c r="V815">
        <f>(AVERAGE(E815:F815)-1)/4</f>
        <v/>
      </c>
      <c r="W815">
        <f>(AVERAGE(G815:I815)-1)/4</f>
        <v/>
      </c>
      <c r="X815">
        <f>(AVERAGE(J815:L815)-1)/4</f>
        <v/>
      </c>
      <c r="Y815">
        <f>(AVERAGE(M815:O815)-1)/4</f>
        <v/>
      </c>
      <c r="Z815">
        <f>(AVERAGE(P815:R815)-1)/4</f>
        <v/>
      </c>
      <c r="AA815">
        <f>(AVERAGE(S815:T815)-1)/4</f>
        <v/>
      </c>
      <c r="AB815">
        <f>AVERAGE(U815:Y815)</f>
        <v/>
      </c>
      <c r="AC815">
        <f>MIN(U815:Y815)</f>
        <v/>
      </c>
      <c r="AD815">
        <f>1-alpha*MAX(0,delta-AC815)</f>
        <v/>
      </c>
      <c r="AE815">
        <f>AB815*AD815</f>
        <v/>
      </c>
      <c r="AF815">
        <f>1+COUNTIF(bounds,"&lt;"&amp;ROUND(AB815,12))</f>
        <v/>
      </c>
      <c r="AG815">
        <f>1+COUNTIF(bounds,"&lt;"&amp;ROUND(AE815,12))</f>
        <v/>
      </c>
      <c r="AH815">
        <f>IF(AD815&lt;1,1,0)</f>
        <v/>
      </c>
      <c r="AI815">
        <f>IF(AF815&lt;&gt;AG815,1,0)</f>
        <v/>
      </c>
      <c r="AJ815">
        <f>IF(AND(AG815&gt;=3,Z815&lt;=0.2),1,0)</f>
        <v/>
      </c>
      <c r="AK815">
        <f>AVERAGE(U815:Z815)</f>
        <v/>
      </c>
      <c r="AL815">
        <f>1+COUNTIF(bounds,"&lt;"&amp;ROUND(AK815,12))</f>
        <v/>
      </c>
      <c r="AM815">
        <f>IF(AI815=1,AB815,NA())</f>
        <v/>
      </c>
      <c r="AN815">
        <f>IF(AI815=0,AB815,NA())</f>
        <v/>
      </c>
    </row>
    <row r="816">
      <c r="A816" t="n">
        <v>808</v>
      </c>
      <c r="B816" t="n">
        <v>1</v>
      </c>
      <c r="C816" t="n">
        <v>2</v>
      </c>
      <c r="D816" t="n">
        <v>5</v>
      </c>
      <c r="E816" t="n">
        <v>5</v>
      </c>
      <c r="F816" t="n">
        <v>1</v>
      </c>
      <c r="G816" t="n">
        <v>4</v>
      </c>
      <c r="H816" t="n">
        <v>2</v>
      </c>
      <c r="I816" t="n">
        <v>5</v>
      </c>
      <c r="J816" t="n">
        <v>3</v>
      </c>
      <c r="K816" t="n">
        <v>4</v>
      </c>
      <c r="L816" t="n">
        <v>4</v>
      </c>
      <c r="M816" t="n">
        <v>2</v>
      </c>
      <c r="N816" t="n">
        <v>5</v>
      </c>
      <c r="O816" t="n">
        <v>5</v>
      </c>
      <c r="P816" t="n">
        <v>2</v>
      </c>
      <c r="Q816" t="n">
        <v>5</v>
      </c>
      <c r="R816" t="n">
        <v>5</v>
      </c>
      <c r="S816" t="n">
        <v>2</v>
      </c>
      <c r="T816" t="n">
        <v>4</v>
      </c>
      <c r="U816">
        <f>(AVERAGE(B816:D816)-1)/4</f>
        <v/>
      </c>
      <c r="V816">
        <f>(AVERAGE(E816:F816)-1)/4</f>
        <v/>
      </c>
      <c r="W816">
        <f>(AVERAGE(G816:I816)-1)/4</f>
        <v/>
      </c>
      <c r="X816">
        <f>(AVERAGE(J816:L816)-1)/4</f>
        <v/>
      </c>
      <c r="Y816">
        <f>(AVERAGE(M816:O816)-1)/4</f>
        <v/>
      </c>
      <c r="Z816">
        <f>(AVERAGE(P816:R816)-1)/4</f>
        <v/>
      </c>
      <c r="AA816">
        <f>(AVERAGE(S816:T816)-1)/4</f>
        <v/>
      </c>
      <c r="AB816">
        <f>AVERAGE(U816:Y816)</f>
        <v/>
      </c>
      <c r="AC816">
        <f>MIN(U816:Y816)</f>
        <v/>
      </c>
      <c r="AD816">
        <f>1-alpha*MAX(0,delta-AC816)</f>
        <v/>
      </c>
      <c r="AE816">
        <f>AB816*AD816</f>
        <v/>
      </c>
      <c r="AF816">
        <f>1+COUNTIF(bounds,"&lt;"&amp;ROUND(AB816,12))</f>
        <v/>
      </c>
      <c r="AG816">
        <f>1+COUNTIF(bounds,"&lt;"&amp;ROUND(AE816,12))</f>
        <v/>
      </c>
      <c r="AH816">
        <f>IF(AD816&lt;1,1,0)</f>
        <v/>
      </c>
      <c r="AI816">
        <f>IF(AF816&lt;&gt;AG816,1,0)</f>
        <v/>
      </c>
      <c r="AJ816">
        <f>IF(AND(AG816&gt;=3,Z816&lt;=0.2),1,0)</f>
        <v/>
      </c>
      <c r="AK816">
        <f>AVERAGE(U816:Z816)</f>
        <v/>
      </c>
      <c r="AL816">
        <f>1+COUNTIF(bounds,"&lt;"&amp;ROUND(AK816,12))</f>
        <v/>
      </c>
      <c r="AM816">
        <f>IF(AI816=1,AB816,NA())</f>
        <v/>
      </c>
      <c r="AN816">
        <f>IF(AI816=0,AB816,NA())</f>
        <v/>
      </c>
    </row>
    <row r="817">
      <c r="A817" t="n">
        <v>809</v>
      </c>
      <c r="B817" t="n">
        <v>1</v>
      </c>
      <c r="C817" t="n">
        <v>4</v>
      </c>
      <c r="D817" t="n">
        <v>4</v>
      </c>
      <c r="E817" t="n">
        <v>1</v>
      </c>
      <c r="F817" t="n">
        <v>3</v>
      </c>
      <c r="G817" t="n">
        <v>3</v>
      </c>
      <c r="H817" t="n">
        <v>4</v>
      </c>
      <c r="I817" t="n">
        <v>5</v>
      </c>
      <c r="J817" t="n">
        <v>1</v>
      </c>
      <c r="K817" t="n">
        <v>5</v>
      </c>
      <c r="L817" t="n">
        <v>1</v>
      </c>
      <c r="M817" t="n">
        <v>1</v>
      </c>
      <c r="N817" t="n">
        <v>3</v>
      </c>
      <c r="O817" t="n">
        <v>5</v>
      </c>
      <c r="P817" t="n">
        <v>2</v>
      </c>
      <c r="Q817" t="n">
        <v>1</v>
      </c>
      <c r="R817" t="n">
        <v>4</v>
      </c>
      <c r="S817" t="n">
        <v>1</v>
      </c>
      <c r="T817" t="n">
        <v>5</v>
      </c>
      <c r="U817">
        <f>(AVERAGE(B817:D817)-1)/4</f>
        <v/>
      </c>
      <c r="V817">
        <f>(AVERAGE(E817:F817)-1)/4</f>
        <v/>
      </c>
      <c r="W817">
        <f>(AVERAGE(G817:I817)-1)/4</f>
        <v/>
      </c>
      <c r="X817">
        <f>(AVERAGE(J817:L817)-1)/4</f>
        <v/>
      </c>
      <c r="Y817">
        <f>(AVERAGE(M817:O817)-1)/4</f>
        <v/>
      </c>
      <c r="Z817">
        <f>(AVERAGE(P817:R817)-1)/4</f>
        <v/>
      </c>
      <c r="AA817">
        <f>(AVERAGE(S817:T817)-1)/4</f>
        <v/>
      </c>
      <c r="AB817">
        <f>AVERAGE(U817:Y817)</f>
        <v/>
      </c>
      <c r="AC817">
        <f>MIN(U817:Y817)</f>
        <v/>
      </c>
      <c r="AD817">
        <f>1-alpha*MAX(0,delta-AC817)</f>
        <v/>
      </c>
      <c r="AE817">
        <f>AB817*AD817</f>
        <v/>
      </c>
      <c r="AF817">
        <f>1+COUNTIF(bounds,"&lt;"&amp;ROUND(AB817,12))</f>
        <v/>
      </c>
      <c r="AG817">
        <f>1+COUNTIF(bounds,"&lt;"&amp;ROUND(AE817,12))</f>
        <v/>
      </c>
      <c r="AH817">
        <f>IF(AD817&lt;1,1,0)</f>
        <v/>
      </c>
      <c r="AI817">
        <f>IF(AF817&lt;&gt;AG817,1,0)</f>
        <v/>
      </c>
      <c r="AJ817">
        <f>IF(AND(AG817&gt;=3,Z817&lt;=0.2),1,0)</f>
        <v/>
      </c>
      <c r="AK817">
        <f>AVERAGE(U817:Z817)</f>
        <v/>
      </c>
      <c r="AL817">
        <f>1+COUNTIF(bounds,"&lt;"&amp;ROUND(AK817,12))</f>
        <v/>
      </c>
      <c r="AM817">
        <f>IF(AI817=1,AB817,NA())</f>
        <v/>
      </c>
      <c r="AN817">
        <f>IF(AI817=0,AB817,NA())</f>
        <v/>
      </c>
    </row>
    <row r="818">
      <c r="A818" t="n">
        <v>810</v>
      </c>
      <c r="B818" t="n">
        <v>4</v>
      </c>
      <c r="C818" t="n">
        <v>1</v>
      </c>
      <c r="D818" t="n">
        <v>5</v>
      </c>
      <c r="E818" t="n">
        <v>1</v>
      </c>
      <c r="F818" t="n">
        <v>2</v>
      </c>
      <c r="G818" t="n">
        <v>1</v>
      </c>
      <c r="H818" t="n">
        <v>4</v>
      </c>
      <c r="I818" t="n">
        <v>3</v>
      </c>
      <c r="J818" t="n">
        <v>5</v>
      </c>
      <c r="K818" t="n">
        <v>2</v>
      </c>
      <c r="L818" t="n">
        <v>2</v>
      </c>
      <c r="M818" t="n">
        <v>5</v>
      </c>
      <c r="N818" t="n">
        <v>2</v>
      </c>
      <c r="O818" t="n">
        <v>3</v>
      </c>
      <c r="P818" t="n">
        <v>5</v>
      </c>
      <c r="Q818" t="n">
        <v>3</v>
      </c>
      <c r="R818" t="n">
        <v>2</v>
      </c>
      <c r="S818" t="n">
        <v>5</v>
      </c>
      <c r="T818" t="n">
        <v>5</v>
      </c>
      <c r="U818">
        <f>(AVERAGE(B818:D818)-1)/4</f>
        <v/>
      </c>
      <c r="V818">
        <f>(AVERAGE(E818:F818)-1)/4</f>
        <v/>
      </c>
      <c r="W818">
        <f>(AVERAGE(G818:I818)-1)/4</f>
        <v/>
      </c>
      <c r="X818">
        <f>(AVERAGE(J818:L818)-1)/4</f>
        <v/>
      </c>
      <c r="Y818">
        <f>(AVERAGE(M818:O818)-1)/4</f>
        <v/>
      </c>
      <c r="Z818">
        <f>(AVERAGE(P818:R818)-1)/4</f>
        <v/>
      </c>
      <c r="AA818">
        <f>(AVERAGE(S818:T818)-1)/4</f>
        <v/>
      </c>
      <c r="AB818">
        <f>AVERAGE(U818:Y818)</f>
        <v/>
      </c>
      <c r="AC818">
        <f>MIN(U818:Y818)</f>
        <v/>
      </c>
      <c r="AD818">
        <f>1-alpha*MAX(0,delta-AC818)</f>
        <v/>
      </c>
      <c r="AE818">
        <f>AB818*AD818</f>
        <v/>
      </c>
      <c r="AF818">
        <f>1+COUNTIF(bounds,"&lt;"&amp;ROUND(AB818,12))</f>
        <v/>
      </c>
      <c r="AG818">
        <f>1+COUNTIF(bounds,"&lt;"&amp;ROUND(AE818,12))</f>
        <v/>
      </c>
      <c r="AH818">
        <f>IF(AD818&lt;1,1,0)</f>
        <v/>
      </c>
      <c r="AI818">
        <f>IF(AF818&lt;&gt;AG818,1,0)</f>
        <v/>
      </c>
      <c r="AJ818">
        <f>IF(AND(AG818&gt;=3,Z818&lt;=0.2),1,0)</f>
        <v/>
      </c>
      <c r="AK818">
        <f>AVERAGE(U818:Z818)</f>
        <v/>
      </c>
      <c r="AL818">
        <f>1+COUNTIF(bounds,"&lt;"&amp;ROUND(AK818,12))</f>
        <v/>
      </c>
      <c r="AM818">
        <f>IF(AI818=1,AB818,NA())</f>
        <v/>
      </c>
      <c r="AN818">
        <f>IF(AI818=0,AB818,NA())</f>
        <v/>
      </c>
    </row>
    <row r="819">
      <c r="A819" t="n">
        <v>811</v>
      </c>
      <c r="B819" t="n">
        <v>2</v>
      </c>
      <c r="C819" t="n">
        <v>1</v>
      </c>
      <c r="D819" t="n">
        <v>1</v>
      </c>
      <c r="E819" t="n">
        <v>3</v>
      </c>
      <c r="F819" t="n">
        <v>5</v>
      </c>
      <c r="G819" t="n">
        <v>3</v>
      </c>
      <c r="H819" t="n">
        <v>1</v>
      </c>
      <c r="I819" t="n">
        <v>2</v>
      </c>
      <c r="J819" t="n">
        <v>5</v>
      </c>
      <c r="K819" t="n">
        <v>5</v>
      </c>
      <c r="L819" t="n">
        <v>3</v>
      </c>
      <c r="M819" t="n">
        <v>4</v>
      </c>
      <c r="N819" t="n">
        <v>5</v>
      </c>
      <c r="O819" t="n">
        <v>1</v>
      </c>
      <c r="P819" t="n">
        <v>1</v>
      </c>
      <c r="Q819" t="n">
        <v>3</v>
      </c>
      <c r="R819" t="n">
        <v>3</v>
      </c>
      <c r="S819" t="n">
        <v>1</v>
      </c>
      <c r="T819" t="n">
        <v>3</v>
      </c>
      <c r="U819">
        <f>(AVERAGE(B819:D819)-1)/4</f>
        <v/>
      </c>
      <c r="V819">
        <f>(AVERAGE(E819:F819)-1)/4</f>
        <v/>
      </c>
      <c r="W819">
        <f>(AVERAGE(G819:I819)-1)/4</f>
        <v/>
      </c>
      <c r="X819">
        <f>(AVERAGE(J819:L819)-1)/4</f>
        <v/>
      </c>
      <c r="Y819">
        <f>(AVERAGE(M819:O819)-1)/4</f>
        <v/>
      </c>
      <c r="Z819">
        <f>(AVERAGE(P819:R819)-1)/4</f>
        <v/>
      </c>
      <c r="AA819">
        <f>(AVERAGE(S819:T819)-1)/4</f>
        <v/>
      </c>
      <c r="AB819">
        <f>AVERAGE(U819:Y819)</f>
        <v/>
      </c>
      <c r="AC819">
        <f>MIN(U819:Y819)</f>
        <v/>
      </c>
      <c r="AD819">
        <f>1-alpha*MAX(0,delta-AC819)</f>
        <v/>
      </c>
      <c r="AE819">
        <f>AB819*AD819</f>
        <v/>
      </c>
      <c r="AF819">
        <f>1+COUNTIF(bounds,"&lt;"&amp;ROUND(AB819,12))</f>
        <v/>
      </c>
      <c r="AG819">
        <f>1+COUNTIF(bounds,"&lt;"&amp;ROUND(AE819,12))</f>
        <v/>
      </c>
      <c r="AH819">
        <f>IF(AD819&lt;1,1,0)</f>
        <v/>
      </c>
      <c r="AI819">
        <f>IF(AF819&lt;&gt;AG819,1,0)</f>
        <v/>
      </c>
      <c r="AJ819">
        <f>IF(AND(AG819&gt;=3,Z819&lt;=0.2),1,0)</f>
        <v/>
      </c>
      <c r="AK819">
        <f>AVERAGE(U819:Z819)</f>
        <v/>
      </c>
      <c r="AL819">
        <f>1+COUNTIF(bounds,"&lt;"&amp;ROUND(AK819,12))</f>
        <v/>
      </c>
      <c r="AM819">
        <f>IF(AI819=1,AB819,NA())</f>
        <v/>
      </c>
      <c r="AN819">
        <f>IF(AI819=0,AB819,NA())</f>
        <v/>
      </c>
    </row>
    <row r="820">
      <c r="A820" t="n">
        <v>812</v>
      </c>
      <c r="B820" t="n">
        <v>3</v>
      </c>
      <c r="C820" t="n">
        <v>4</v>
      </c>
      <c r="D820" t="n">
        <v>4</v>
      </c>
      <c r="E820" t="n">
        <v>1</v>
      </c>
      <c r="F820" t="n">
        <v>1</v>
      </c>
      <c r="G820" t="n">
        <v>2</v>
      </c>
      <c r="H820" t="n">
        <v>2</v>
      </c>
      <c r="I820" t="n">
        <v>4</v>
      </c>
      <c r="J820" t="n">
        <v>2</v>
      </c>
      <c r="K820" t="n">
        <v>2</v>
      </c>
      <c r="L820" t="n">
        <v>2</v>
      </c>
      <c r="M820" t="n">
        <v>2</v>
      </c>
      <c r="N820" t="n">
        <v>2</v>
      </c>
      <c r="O820" t="n">
        <v>1</v>
      </c>
      <c r="P820" t="n">
        <v>4</v>
      </c>
      <c r="Q820" t="n">
        <v>2</v>
      </c>
      <c r="R820" t="n">
        <v>3</v>
      </c>
      <c r="S820" t="n">
        <v>3</v>
      </c>
      <c r="T820" t="n">
        <v>1</v>
      </c>
      <c r="U820">
        <f>(AVERAGE(B820:D820)-1)/4</f>
        <v/>
      </c>
      <c r="V820">
        <f>(AVERAGE(E820:F820)-1)/4</f>
        <v/>
      </c>
      <c r="W820">
        <f>(AVERAGE(G820:I820)-1)/4</f>
        <v/>
      </c>
      <c r="X820">
        <f>(AVERAGE(J820:L820)-1)/4</f>
        <v/>
      </c>
      <c r="Y820">
        <f>(AVERAGE(M820:O820)-1)/4</f>
        <v/>
      </c>
      <c r="Z820">
        <f>(AVERAGE(P820:R820)-1)/4</f>
        <v/>
      </c>
      <c r="AA820">
        <f>(AVERAGE(S820:T820)-1)/4</f>
        <v/>
      </c>
      <c r="AB820">
        <f>AVERAGE(U820:Y820)</f>
        <v/>
      </c>
      <c r="AC820">
        <f>MIN(U820:Y820)</f>
        <v/>
      </c>
      <c r="AD820">
        <f>1-alpha*MAX(0,delta-AC820)</f>
        <v/>
      </c>
      <c r="AE820">
        <f>AB820*AD820</f>
        <v/>
      </c>
      <c r="AF820">
        <f>1+COUNTIF(bounds,"&lt;"&amp;ROUND(AB820,12))</f>
        <v/>
      </c>
      <c r="AG820">
        <f>1+COUNTIF(bounds,"&lt;"&amp;ROUND(AE820,12))</f>
        <v/>
      </c>
      <c r="AH820">
        <f>IF(AD820&lt;1,1,0)</f>
        <v/>
      </c>
      <c r="AI820">
        <f>IF(AF820&lt;&gt;AG820,1,0)</f>
        <v/>
      </c>
      <c r="AJ820">
        <f>IF(AND(AG820&gt;=3,Z820&lt;=0.2),1,0)</f>
        <v/>
      </c>
      <c r="AK820">
        <f>AVERAGE(U820:Z820)</f>
        <v/>
      </c>
      <c r="AL820">
        <f>1+COUNTIF(bounds,"&lt;"&amp;ROUND(AK820,12))</f>
        <v/>
      </c>
      <c r="AM820">
        <f>IF(AI820=1,AB820,NA())</f>
        <v/>
      </c>
      <c r="AN820">
        <f>IF(AI820=0,AB820,NA())</f>
        <v/>
      </c>
    </row>
    <row r="821">
      <c r="A821" t="n">
        <v>813</v>
      </c>
      <c r="B821" t="n">
        <v>5</v>
      </c>
      <c r="C821" t="n">
        <v>2</v>
      </c>
      <c r="D821" t="n">
        <v>1</v>
      </c>
      <c r="E821" t="n">
        <v>3</v>
      </c>
      <c r="F821" t="n">
        <v>5</v>
      </c>
      <c r="G821" t="n">
        <v>1</v>
      </c>
      <c r="H821" t="n">
        <v>4</v>
      </c>
      <c r="I821" t="n">
        <v>4</v>
      </c>
      <c r="J821" t="n">
        <v>5</v>
      </c>
      <c r="K821" t="n">
        <v>5</v>
      </c>
      <c r="L821" t="n">
        <v>4</v>
      </c>
      <c r="M821" t="n">
        <v>4</v>
      </c>
      <c r="N821" t="n">
        <v>5</v>
      </c>
      <c r="O821" t="n">
        <v>4</v>
      </c>
      <c r="P821" t="n">
        <v>5</v>
      </c>
      <c r="Q821" t="n">
        <v>4</v>
      </c>
      <c r="R821" t="n">
        <v>1</v>
      </c>
      <c r="S821" t="n">
        <v>4</v>
      </c>
      <c r="T821" t="n">
        <v>4</v>
      </c>
      <c r="U821">
        <f>(AVERAGE(B821:D821)-1)/4</f>
        <v/>
      </c>
      <c r="V821">
        <f>(AVERAGE(E821:F821)-1)/4</f>
        <v/>
      </c>
      <c r="W821">
        <f>(AVERAGE(G821:I821)-1)/4</f>
        <v/>
      </c>
      <c r="X821">
        <f>(AVERAGE(J821:L821)-1)/4</f>
        <v/>
      </c>
      <c r="Y821">
        <f>(AVERAGE(M821:O821)-1)/4</f>
        <v/>
      </c>
      <c r="Z821">
        <f>(AVERAGE(P821:R821)-1)/4</f>
        <v/>
      </c>
      <c r="AA821">
        <f>(AVERAGE(S821:T821)-1)/4</f>
        <v/>
      </c>
      <c r="AB821">
        <f>AVERAGE(U821:Y821)</f>
        <v/>
      </c>
      <c r="AC821">
        <f>MIN(U821:Y821)</f>
        <v/>
      </c>
      <c r="AD821">
        <f>1-alpha*MAX(0,delta-AC821)</f>
        <v/>
      </c>
      <c r="AE821">
        <f>AB821*AD821</f>
        <v/>
      </c>
      <c r="AF821">
        <f>1+COUNTIF(bounds,"&lt;"&amp;ROUND(AB821,12))</f>
        <v/>
      </c>
      <c r="AG821">
        <f>1+COUNTIF(bounds,"&lt;"&amp;ROUND(AE821,12))</f>
        <v/>
      </c>
      <c r="AH821">
        <f>IF(AD821&lt;1,1,0)</f>
        <v/>
      </c>
      <c r="AI821">
        <f>IF(AF821&lt;&gt;AG821,1,0)</f>
        <v/>
      </c>
      <c r="AJ821">
        <f>IF(AND(AG821&gt;=3,Z821&lt;=0.2),1,0)</f>
        <v/>
      </c>
      <c r="AK821">
        <f>AVERAGE(U821:Z821)</f>
        <v/>
      </c>
      <c r="AL821">
        <f>1+COUNTIF(bounds,"&lt;"&amp;ROUND(AK821,12))</f>
        <v/>
      </c>
      <c r="AM821">
        <f>IF(AI821=1,AB821,NA())</f>
        <v/>
      </c>
      <c r="AN821">
        <f>IF(AI821=0,AB821,NA())</f>
        <v/>
      </c>
    </row>
    <row r="822">
      <c r="A822" t="n">
        <v>814</v>
      </c>
      <c r="B822" t="n">
        <v>2</v>
      </c>
      <c r="C822" t="n">
        <v>1</v>
      </c>
      <c r="D822" t="n">
        <v>4</v>
      </c>
      <c r="E822" t="n">
        <v>5</v>
      </c>
      <c r="F822" t="n">
        <v>2</v>
      </c>
      <c r="G822" t="n">
        <v>4</v>
      </c>
      <c r="H822" t="n">
        <v>3</v>
      </c>
      <c r="I822" t="n">
        <v>1</v>
      </c>
      <c r="J822" t="n">
        <v>2</v>
      </c>
      <c r="K822" t="n">
        <v>4</v>
      </c>
      <c r="L822" t="n">
        <v>2</v>
      </c>
      <c r="M822" t="n">
        <v>4</v>
      </c>
      <c r="N822" t="n">
        <v>5</v>
      </c>
      <c r="O822" t="n">
        <v>2</v>
      </c>
      <c r="P822" t="n">
        <v>5</v>
      </c>
      <c r="Q822" t="n">
        <v>4</v>
      </c>
      <c r="R822" t="n">
        <v>4</v>
      </c>
      <c r="S822" t="n">
        <v>4</v>
      </c>
      <c r="T822" t="n">
        <v>2</v>
      </c>
      <c r="U822">
        <f>(AVERAGE(B822:D822)-1)/4</f>
        <v/>
      </c>
      <c r="V822">
        <f>(AVERAGE(E822:F822)-1)/4</f>
        <v/>
      </c>
      <c r="W822">
        <f>(AVERAGE(G822:I822)-1)/4</f>
        <v/>
      </c>
      <c r="X822">
        <f>(AVERAGE(J822:L822)-1)/4</f>
        <v/>
      </c>
      <c r="Y822">
        <f>(AVERAGE(M822:O822)-1)/4</f>
        <v/>
      </c>
      <c r="Z822">
        <f>(AVERAGE(P822:R822)-1)/4</f>
        <v/>
      </c>
      <c r="AA822">
        <f>(AVERAGE(S822:T822)-1)/4</f>
        <v/>
      </c>
      <c r="AB822">
        <f>AVERAGE(U822:Y822)</f>
        <v/>
      </c>
      <c r="AC822">
        <f>MIN(U822:Y822)</f>
        <v/>
      </c>
      <c r="AD822">
        <f>1-alpha*MAX(0,delta-AC822)</f>
        <v/>
      </c>
      <c r="AE822">
        <f>AB822*AD822</f>
        <v/>
      </c>
      <c r="AF822">
        <f>1+COUNTIF(bounds,"&lt;"&amp;ROUND(AB822,12))</f>
        <v/>
      </c>
      <c r="AG822">
        <f>1+COUNTIF(bounds,"&lt;"&amp;ROUND(AE822,12))</f>
        <v/>
      </c>
      <c r="AH822">
        <f>IF(AD822&lt;1,1,0)</f>
        <v/>
      </c>
      <c r="AI822">
        <f>IF(AF822&lt;&gt;AG822,1,0)</f>
        <v/>
      </c>
      <c r="AJ822">
        <f>IF(AND(AG822&gt;=3,Z822&lt;=0.2),1,0)</f>
        <v/>
      </c>
      <c r="AK822">
        <f>AVERAGE(U822:Z822)</f>
        <v/>
      </c>
      <c r="AL822">
        <f>1+COUNTIF(bounds,"&lt;"&amp;ROUND(AK822,12))</f>
        <v/>
      </c>
      <c r="AM822">
        <f>IF(AI822=1,AB822,NA())</f>
        <v/>
      </c>
      <c r="AN822">
        <f>IF(AI822=0,AB822,NA())</f>
        <v/>
      </c>
    </row>
    <row r="823">
      <c r="A823" t="n">
        <v>815</v>
      </c>
      <c r="B823" t="n">
        <v>4</v>
      </c>
      <c r="C823" t="n">
        <v>3</v>
      </c>
      <c r="D823" t="n">
        <v>2</v>
      </c>
      <c r="E823" t="n">
        <v>2</v>
      </c>
      <c r="F823" t="n">
        <v>4</v>
      </c>
      <c r="G823" t="n">
        <v>2</v>
      </c>
      <c r="H823" t="n">
        <v>2</v>
      </c>
      <c r="I823" t="n">
        <v>2</v>
      </c>
      <c r="J823" t="n">
        <v>3</v>
      </c>
      <c r="K823" t="n">
        <v>3</v>
      </c>
      <c r="L823" t="n">
        <v>5</v>
      </c>
      <c r="M823" t="n">
        <v>5</v>
      </c>
      <c r="N823" t="n">
        <v>4</v>
      </c>
      <c r="O823" t="n">
        <v>2</v>
      </c>
      <c r="P823" t="n">
        <v>1</v>
      </c>
      <c r="Q823" t="n">
        <v>2</v>
      </c>
      <c r="R823" t="n">
        <v>1</v>
      </c>
      <c r="S823" t="n">
        <v>3</v>
      </c>
      <c r="T823" t="n">
        <v>4</v>
      </c>
      <c r="U823">
        <f>(AVERAGE(B823:D823)-1)/4</f>
        <v/>
      </c>
      <c r="V823">
        <f>(AVERAGE(E823:F823)-1)/4</f>
        <v/>
      </c>
      <c r="W823">
        <f>(AVERAGE(G823:I823)-1)/4</f>
        <v/>
      </c>
      <c r="X823">
        <f>(AVERAGE(J823:L823)-1)/4</f>
        <v/>
      </c>
      <c r="Y823">
        <f>(AVERAGE(M823:O823)-1)/4</f>
        <v/>
      </c>
      <c r="Z823">
        <f>(AVERAGE(P823:R823)-1)/4</f>
        <v/>
      </c>
      <c r="AA823">
        <f>(AVERAGE(S823:T823)-1)/4</f>
        <v/>
      </c>
      <c r="AB823">
        <f>AVERAGE(U823:Y823)</f>
        <v/>
      </c>
      <c r="AC823">
        <f>MIN(U823:Y823)</f>
        <v/>
      </c>
      <c r="AD823">
        <f>1-alpha*MAX(0,delta-AC823)</f>
        <v/>
      </c>
      <c r="AE823">
        <f>AB823*AD823</f>
        <v/>
      </c>
      <c r="AF823">
        <f>1+COUNTIF(bounds,"&lt;"&amp;ROUND(AB823,12))</f>
        <v/>
      </c>
      <c r="AG823">
        <f>1+COUNTIF(bounds,"&lt;"&amp;ROUND(AE823,12))</f>
        <v/>
      </c>
      <c r="AH823">
        <f>IF(AD823&lt;1,1,0)</f>
        <v/>
      </c>
      <c r="AI823">
        <f>IF(AF823&lt;&gt;AG823,1,0)</f>
        <v/>
      </c>
      <c r="AJ823">
        <f>IF(AND(AG823&gt;=3,Z823&lt;=0.2),1,0)</f>
        <v/>
      </c>
      <c r="AK823">
        <f>AVERAGE(U823:Z823)</f>
        <v/>
      </c>
      <c r="AL823">
        <f>1+COUNTIF(bounds,"&lt;"&amp;ROUND(AK823,12))</f>
        <v/>
      </c>
      <c r="AM823">
        <f>IF(AI823=1,AB823,NA())</f>
        <v/>
      </c>
      <c r="AN823">
        <f>IF(AI823=0,AB823,NA())</f>
        <v/>
      </c>
    </row>
    <row r="824">
      <c r="A824" t="n">
        <v>816</v>
      </c>
      <c r="B824" t="n">
        <v>3</v>
      </c>
      <c r="C824" t="n">
        <v>4</v>
      </c>
      <c r="D824" t="n">
        <v>1</v>
      </c>
      <c r="E824" t="n">
        <v>1</v>
      </c>
      <c r="F824" t="n">
        <v>2</v>
      </c>
      <c r="G824" t="n">
        <v>4</v>
      </c>
      <c r="H824" t="n">
        <v>2</v>
      </c>
      <c r="I824" t="n">
        <v>2</v>
      </c>
      <c r="J824" t="n">
        <v>1</v>
      </c>
      <c r="K824" t="n">
        <v>1</v>
      </c>
      <c r="L824" t="n">
        <v>3</v>
      </c>
      <c r="M824" t="n">
        <v>1</v>
      </c>
      <c r="N824" t="n">
        <v>5</v>
      </c>
      <c r="O824" t="n">
        <v>5</v>
      </c>
      <c r="P824" t="n">
        <v>2</v>
      </c>
      <c r="Q824" t="n">
        <v>3</v>
      </c>
      <c r="R824" t="n">
        <v>3</v>
      </c>
      <c r="S824" t="n">
        <v>3</v>
      </c>
      <c r="T824" t="n">
        <v>1</v>
      </c>
      <c r="U824">
        <f>(AVERAGE(B824:D824)-1)/4</f>
        <v/>
      </c>
      <c r="V824">
        <f>(AVERAGE(E824:F824)-1)/4</f>
        <v/>
      </c>
      <c r="W824">
        <f>(AVERAGE(G824:I824)-1)/4</f>
        <v/>
      </c>
      <c r="X824">
        <f>(AVERAGE(J824:L824)-1)/4</f>
        <v/>
      </c>
      <c r="Y824">
        <f>(AVERAGE(M824:O824)-1)/4</f>
        <v/>
      </c>
      <c r="Z824">
        <f>(AVERAGE(P824:R824)-1)/4</f>
        <v/>
      </c>
      <c r="AA824">
        <f>(AVERAGE(S824:T824)-1)/4</f>
        <v/>
      </c>
      <c r="AB824">
        <f>AVERAGE(U824:Y824)</f>
        <v/>
      </c>
      <c r="AC824">
        <f>MIN(U824:Y824)</f>
        <v/>
      </c>
      <c r="AD824">
        <f>1-alpha*MAX(0,delta-AC824)</f>
        <v/>
      </c>
      <c r="AE824">
        <f>AB824*AD824</f>
        <v/>
      </c>
      <c r="AF824">
        <f>1+COUNTIF(bounds,"&lt;"&amp;ROUND(AB824,12))</f>
        <v/>
      </c>
      <c r="AG824">
        <f>1+COUNTIF(bounds,"&lt;"&amp;ROUND(AE824,12))</f>
        <v/>
      </c>
      <c r="AH824">
        <f>IF(AD824&lt;1,1,0)</f>
        <v/>
      </c>
      <c r="AI824">
        <f>IF(AF824&lt;&gt;AG824,1,0)</f>
        <v/>
      </c>
      <c r="AJ824">
        <f>IF(AND(AG824&gt;=3,Z824&lt;=0.2),1,0)</f>
        <v/>
      </c>
      <c r="AK824">
        <f>AVERAGE(U824:Z824)</f>
        <v/>
      </c>
      <c r="AL824">
        <f>1+COUNTIF(bounds,"&lt;"&amp;ROUND(AK824,12))</f>
        <v/>
      </c>
      <c r="AM824">
        <f>IF(AI824=1,AB824,NA())</f>
        <v/>
      </c>
      <c r="AN824">
        <f>IF(AI824=0,AB824,NA())</f>
        <v/>
      </c>
    </row>
    <row r="825">
      <c r="A825" t="n">
        <v>817</v>
      </c>
      <c r="B825" t="n">
        <v>3</v>
      </c>
      <c r="C825" t="n">
        <v>2</v>
      </c>
      <c r="D825" t="n">
        <v>4</v>
      </c>
      <c r="E825" t="n">
        <v>4</v>
      </c>
      <c r="F825" t="n">
        <v>3</v>
      </c>
      <c r="G825" t="n">
        <v>3</v>
      </c>
      <c r="H825" t="n">
        <v>3</v>
      </c>
      <c r="I825" t="n">
        <v>4</v>
      </c>
      <c r="J825" t="n">
        <v>4</v>
      </c>
      <c r="K825" t="n">
        <v>1</v>
      </c>
      <c r="L825" t="n">
        <v>5</v>
      </c>
      <c r="M825" t="n">
        <v>1</v>
      </c>
      <c r="N825" t="n">
        <v>4</v>
      </c>
      <c r="O825" t="n">
        <v>1</v>
      </c>
      <c r="P825" t="n">
        <v>2</v>
      </c>
      <c r="Q825" t="n">
        <v>2</v>
      </c>
      <c r="R825" t="n">
        <v>2</v>
      </c>
      <c r="S825" t="n">
        <v>3</v>
      </c>
      <c r="T825" t="n">
        <v>5</v>
      </c>
      <c r="U825">
        <f>(AVERAGE(B825:D825)-1)/4</f>
        <v/>
      </c>
      <c r="V825">
        <f>(AVERAGE(E825:F825)-1)/4</f>
        <v/>
      </c>
      <c r="W825">
        <f>(AVERAGE(G825:I825)-1)/4</f>
        <v/>
      </c>
      <c r="X825">
        <f>(AVERAGE(J825:L825)-1)/4</f>
        <v/>
      </c>
      <c r="Y825">
        <f>(AVERAGE(M825:O825)-1)/4</f>
        <v/>
      </c>
      <c r="Z825">
        <f>(AVERAGE(P825:R825)-1)/4</f>
        <v/>
      </c>
      <c r="AA825">
        <f>(AVERAGE(S825:T825)-1)/4</f>
        <v/>
      </c>
      <c r="AB825">
        <f>AVERAGE(U825:Y825)</f>
        <v/>
      </c>
      <c r="AC825">
        <f>MIN(U825:Y825)</f>
        <v/>
      </c>
      <c r="AD825">
        <f>1-alpha*MAX(0,delta-AC825)</f>
        <v/>
      </c>
      <c r="AE825">
        <f>AB825*AD825</f>
        <v/>
      </c>
      <c r="AF825">
        <f>1+COUNTIF(bounds,"&lt;"&amp;ROUND(AB825,12))</f>
        <v/>
      </c>
      <c r="AG825">
        <f>1+COUNTIF(bounds,"&lt;"&amp;ROUND(AE825,12))</f>
        <v/>
      </c>
      <c r="AH825">
        <f>IF(AD825&lt;1,1,0)</f>
        <v/>
      </c>
      <c r="AI825">
        <f>IF(AF825&lt;&gt;AG825,1,0)</f>
        <v/>
      </c>
      <c r="AJ825">
        <f>IF(AND(AG825&gt;=3,Z825&lt;=0.2),1,0)</f>
        <v/>
      </c>
      <c r="AK825">
        <f>AVERAGE(U825:Z825)</f>
        <v/>
      </c>
      <c r="AL825">
        <f>1+COUNTIF(bounds,"&lt;"&amp;ROUND(AK825,12))</f>
        <v/>
      </c>
      <c r="AM825">
        <f>IF(AI825=1,AB825,NA())</f>
        <v/>
      </c>
      <c r="AN825">
        <f>IF(AI825=0,AB825,NA())</f>
        <v/>
      </c>
    </row>
    <row r="826">
      <c r="A826" t="n">
        <v>818</v>
      </c>
      <c r="B826" t="n">
        <v>3</v>
      </c>
      <c r="C826" t="n">
        <v>3</v>
      </c>
      <c r="D826" t="n">
        <v>3</v>
      </c>
      <c r="E826" t="n">
        <v>5</v>
      </c>
      <c r="F826" t="n">
        <v>2</v>
      </c>
      <c r="G826" t="n">
        <v>4</v>
      </c>
      <c r="H826" t="n">
        <v>1</v>
      </c>
      <c r="I826" t="n">
        <v>3</v>
      </c>
      <c r="J826" t="n">
        <v>5</v>
      </c>
      <c r="K826" t="n">
        <v>5</v>
      </c>
      <c r="L826" t="n">
        <v>1</v>
      </c>
      <c r="M826" t="n">
        <v>3</v>
      </c>
      <c r="N826" t="n">
        <v>5</v>
      </c>
      <c r="O826" t="n">
        <v>2</v>
      </c>
      <c r="P826" t="n">
        <v>4</v>
      </c>
      <c r="Q826" t="n">
        <v>1</v>
      </c>
      <c r="R826" t="n">
        <v>3</v>
      </c>
      <c r="S826" t="n">
        <v>5</v>
      </c>
      <c r="T826" t="n">
        <v>5</v>
      </c>
      <c r="U826">
        <f>(AVERAGE(B826:D826)-1)/4</f>
        <v/>
      </c>
      <c r="V826">
        <f>(AVERAGE(E826:F826)-1)/4</f>
        <v/>
      </c>
      <c r="W826">
        <f>(AVERAGE(G826:I826)-1)/4</f>
        <v/>
      </c>
      <c r="X826">
        <f>(AVERAGE(J826:L826)-1)/4</f>
        <v/>
      </c>
      <c r="Y826">
        <f>(AVERAGE(M826:O826)-1)/4</f>
        <v/>
      </c>
      <c r="Z826">
        <f>(AVERAGE(P826:R826)-1)/4</f>
        <v/>
      </c>
      <c r="AA826">
        <f>(AVERAGE(S826:T826)-1)/4</f>
        <v/>
      </c>
      <c r="AB826">
        <f>AVERAGE(U826:Y826)</f>
        <v/>
      </c>
      <c r="AC826">
        <f>MIN(U826:Y826)</f>
        <v/>
      </c>
      <c r="AD826">
        <f>1-alpha*MAX(0,delta-AC826)</f>
        <v/>
      </c>
      <c r="AE826">
        <f>AB826*AD826</f>
        <v/>
      </c>
      <c r="AF826">
        <f>1+COUNTIF(bounds,"&lt;"&amp;ROUND(AB826,12))</f>
        <v/>
      </c>
      <c r="AG826">
        <f>1+COUNTIF(bounds,"&lt;"&amp;ROUND(AE826,12))</f>
        <v/>
      </c>
      <c r="AH826">
        <f>IF(AD826&lt;1,1,0)</f>
        <v/>
      </c>
      <c r="AI826">
        <f>IF(AF826&lt;&gt;AG826,1,0)</f>
        <v/>
      </c>
      <c r="AJ826">
        <f>IF(AND(AG826&gt;=3,Z826&lt;=0.2),1,0)</f>
        <v/>
      </c>
      <c r="AK826">
        <f>AVERAGE(U826:Z826)</f>
        <v/>
      </c>
      <c r="AL826">
        <f>1+COUNTIF(bounds,"&lt;"&amp;ROUND(AK826,12))</f>
        <v/>
      </c>
      <c r="AM826">
        <f>IF(AI826=1,AB826,NA())</f>
        <v/>
      </c>
      <c r="AN826">
        <f>IF(AI826=0,AB826,NA())</f>
        <v/>
      </c>
    </row>
    <row r="827">
      <c r="A827" t="n">
        <v>819</v>
      </c>
      <c r="B827" t="n">
        <v>2</v>
      </c>
      <c r="C827" t="n">
        <v>5</v>
      </c>
      <c r="D827" t="n">
        <v>1</v>
      </c>
      <c r="E827" t="n">
        <v>5</v>
      </c>
      <c r="F827" t="n">
        <v>3</v>
      </c>
      <c r="G827" t="n">
        <v>5</v>
      </c>
      <c r="H827" t="n">
        <v>2</v>
      </c>
      <c r="I827" t="n">
        <v>2</v>
      </c>
      <c r="J827" t="n">
        <v>1</v>
      </c>
      <c r="K827" t="n">
        <v>2</v>
      </c>
      <c r="L827" t="n">
        <v>1</v>
      </c>
      <c r="M827" t="n">
        <v>4</v>
      </c>
      <c r="N827" t="n">
        <v>5</v>
      </c>
      <c r="O827" t="n">
        <v>3</v>
      </c>
      <c r="P827" t="n">
        <v>1</v>
      </c>
      <c r="Q827" t="n">
        <v>5</v>
      </c>
      <c r="R827" t="n">
        <v>2</v>
      </c>
      <c r="S827" t="n">
        <v>3</v>
      </c>
      <c r="T827" t="n">
        <v>2</v>
      </c>
      <c r="U827">
        <f>(AVERAGE(B827:D827)-1)/4</f>
        <v/>
      </c>
      <c r="V827">
        <f>(AVERAGE(E827:F827)-1)/4</f>
        <v/>
      </c>
      <c r="W827">
        <f>(AVERAGE(G827:I827)-1)/4</f>
        <v/>
      </c>
      <c r="X827">
        <f>(AVERAGE(J827:L827)-1)/4</f>
        <v/>
      </c>
      <c r="Y827">
        <f>(AVERAGE(M827:O827)-1)/4</f>
        <v/>
      </c>
      <c r="Z827">
        <f>(AVERAGE(P827:R827)-1)/4</f>
        <v/>
      </c>
      <c r="AA827">
        <f>(AVERAGE(S827:T827)-1)/4</f>
        <v/>
      </c>
      <c r="AB827">
        <f>AVERAGE(U827:Y827)</f>
        <v/>
      </c>
      <c r="AC827">
        <f>MIN(U827:Y827)</f>
        <v/>
      </c>
      <c r="AD827">
        <f>1-alpha*MAX(0,delta-AC827)</f>
        <v/>
      </c>
      <c r="AE827">
        <f>AB827*AD827</f>
        <v/>
      </c>
      <c r="AF827">
        <f>1+COUNTIF(bounds,"&lt;"&amp;ROUND(AB827,12))</f>
        <v/>
      </c>
      <c r="AG827">
        <f>1+COUNTIF(bounds,"&lt;"&amp;ROUND(AE827,12))</f>
        <v/>
      </c>
      <c r="AH827">
        <f>IF(AD827&lt;1,1,0)</f>
        <v/>
      </c>
      <c r="AI827">
        <f>IF(AF827&lt;&gt;AG827,1,0)</f>
        <v/>
      </c>
      <c r="AJ827">
        <f>IF(AND(AG827&gt;=3,Z827&lt;=0.2),1,0)</f>
        <v/>
      </c>
      <c r="AK827">
        <f>AVERAGE(U827:Z827)</f>
        <v/>
      </c>
      <c r="AL827">
        <f>1+COUNTIF(bounds,"&lt;"&amp;ROUND(AK827,12))</f>
        <v/>
      </c>
      <c r="AM827">
        <f>IF(AI827=1,AB827,NA())</f>
        <v/>
      </c>
      <c r="AN827">
        <f>IF(AI827=0,AB827,NA())</f>
        <v/>
      </c>
    </row>
    <row r="828">
      <c r="A828" t="n">
        <v>820</v>
      </c>
      <c r="B828" t="n">
        <v>2</v>
      </c>
      <c r="C828" t="n">
        <v>2</v>
      </c>
      <c r="D828" t="n">
        <v>1</v>
      </c>
      <c r="E828" t="n">
        <v>4</v>
      </c>
      <c r="F828" t="n">
        <v>2</v>
      </c>
      <c r="G828" t="n">
        <v>3</v>
      </c>
      <c r="H828" t="n">
        <v>3</v>
      </c>
      <c r="I828" t="n">
        <v>5</v>
      </c>
      <c r="J828" t="n">
        <v>1</v>
      </c>
      <c r="K828" t="n">
        <v>1</v>
      </c>
      <c r="L828" t="n">
        <v>2</v>
      </c>
      <c r="M828" t="n">
        <v>3</v>
      </c>
      <c r="N828" t="n">
        <v>3</v>
      </c>
      <c r="O828" t="n">
        <v>5</v>
      </c>
      <c r="P828" t="n">
        <v>2</v>
      </c>
      <c r="Q828" t="n">
        <v>1</v>
      </c>
      <c r="R828" t="n">
        <v>2</v>
      </c>
      <c r="S828" t="n">
        <v>4</v>
      </c>
      <c r="T828" t="n">
        <v>2</v>
      </c>
      <c r="U828">
        <f>(AVERAGE(B828:D828)-1)/4</f>
        <v/>
      </c>
      <c r="V828">
        <f>(AVERAGE(E828:F828)-1)/4</f>
        <v/>
      </c>
      <c r="W828">
        <f>(AVERAGE(G828:I828)-1)/4</f>
        <v/>
      </c>
      <c r="X828">
        <f>(AVERAGE(J828:L828)-1)/4</f>
        <v/>
      </c>
      <c r="Y828">
        <f>(AVERAGE(M828:O828)-1)/4</f>
        <v/>
      </c>
      <c r="Z828">
        <f>(AVERAGE(P828:R828)-1)/4</f>
        <v/>
      </c>
      <c r="AA828">
        <f>(AVERAGE(S828:T828)-1)/4</f>
        <v/>
      </c>
      <c r="AB828">
        <f>AVERAGE(U828:Y828)</f>
        <v/>
      </c>
      <c r="AC828">
        <f>MIN(U828:Y828)</f>
        <v/>
      </c>
      <c r="AD828">
        <f>1-alpha*MAX(0,delta-AC828)</f>
        <v/>
      </c>
      <c r="AE828">
        <f>AB828*AD828</f>
        <v/>
      </c>
      <c r="AF828">
        <f>1+COUNTIF(bounds,"&lt;"&amp;ROUND(AB828,12))</f>
        <v/>
      </c>
      <c r="AG828">
        <f>1+COUNTIF(bounds,"&lt;"&amp;ROUND(AE828,12))</f>
        <v/>
      </c>
      <c r="AH828">
        <f>IF(AD828&lt;1,1,0)</f>
        <v/>
      </c>
      <c r="AI828">
        <f>IF(AF828&lt;&gt;AG828,1,0)</f>
        <v/>
      </c>
      <c r="AJ828">
        <f>IF(AND(AG828&gt;=3,Z828&lt;=0.2),1,0)</f>
        <v/>
      </c>
      <c r="AK828">
        <f>AVERAGE(U828:Z828)</f>
        <v/>
      </c>
      <c r="AL828">
        <f>1+COUNTIF(bounds,"&lt;"&amp;ROUND(AK828,12))</f>
        <v/>
      </c>
      <c r="AM828">
        <f>IF(AI828=1,AB828,NA())</f>
        <v/>
      </c>
      <c r="AN828">
        <f>IF(AI828=0,AB828,NA())</f>
        <v/>
      </c>
    </row>
    <row r="829">
      <c r="A829" t="n">
        <v>821</v>
      </c>
      <c r="B829" t="n">
        <v>4</v>
      </c>
      <c r="C829" t="n">
        <v>1</v>
      </c>
      <c r="D829" t="n">
        <v>4</v>
      </c>
      <c r="E829" t="n">
        <v>2</v>
      </c>
      <c r="F829" t="n">
        <v>2</v>
      </c>
      <c r="G829" t="n">
        <v>1</v>
      </c>
      <c r="H829" t="n">
        <v>1</v>
      </c>
      <c r="I829" t="n">
        <v>4</v>
      </c>
      <c r="J829" t="n">
        <v>3</v>
      </c>
      <c r="K829" t="n">
        <v>2</v>
      </c>
      <c r="L829" t="n">
        <v>2</v>
      </c>
      <c r="M829" t="n">
        <v>2</v>
      </c>
      <c r="N829" t="n">
        <v>1</v>
      </c>
      <c r="O829" t="n">
        <v>5</v>
      </c>
      <c r="P829" t="n">
        <v>4</v>
      </c>
      <c r="Q829" t="n">
        <v>5</v>
      </c>
      <c r="R829" t="n">
        <v>3</v>
      </c>
      <c r="S829" t="n">
        <v>1</v>
      </c>
      <c r="T829" t="n">
        <v>2</v>
      </c>
      <c r="U829">
        <f>(AVERAGE(B829:D829)-1)/4</f>
        <v/>
      </c>
      <c r="V829">
        <f>(AVERAGE(E829:F829)-1)/4</f>
        <v/>
      </c>
      <c r="W829">
        <f>(AVERAGE(G829:I829)-1)/4</f>
        <v/>
      </c>
      <c r="X829">
        <f>(AVERAGE(J829:L829)-1)/4</f>
        <v/>
      </c>
      <c r="Y829">
        <f>(AVERAGE(M829:O829)-1)/4</f>
        <v/>
      </c>
      <c r="Z829">
        <f>(AVERAGE(P829:R829)-1)/4</f>
        <v/>
      </c>
      <c r="AA829">
        <f>(AVERAGE(S829:T829)-1)/4</f>
        <v/>
      </c>
      <c r="AB829">
        <f>AVERAGE(U829:Y829)</f>
        <v/>
      </c>
      <c r="AC829">
        <f>MIN(U829:Y829)</f>
        <v/>
      </c>
      <c r="AD829">
        <f>1-alpha*MAX(0,delta-AC829)</f>
        <v/>
      </c>
      <c r="AE829">
        <f>AB829*AD829</f>
        <v/>
      </c>
      <c r="AF829">
        <f>1+COUNTIF(bounds,"&lt;"&amp;ROUND(AB829,12))</f>
        <v/>
      </c>
      <c r="AG829">
        <f>1+COUNTIF(bounds,"&lt;"&amp;ROUND(AE829,12))</f>
        <v/>
      </c>
      <c r="AH829">
        <f>IF(AD829&lt;1,1,0)</f>
        <v/>
      </c>
      <c r="AI829">
        <f>IF(AF829&lt;&gt;AG829,1,0)</f>
        <v/>
      </c>
      <c r="AJ829">
        <f>IF(AND(AG829&gt;=3,Z829&lt;=0.2),1,0)</f>
        <v/>
      </c>
      <c r="AK829">
        <f>AVERAGE(U829:Z829)</f>
        <v/>
      </c>
      <c r="AL829">
        <f>1+COUNTIF(bounds,"&lt;"&amp;ROUND(AK829,12))</f>
        <v/>
      </c>
      <c r="AM829">
        <f>IF(AI829=1,AB829,NA())</f>
        <v/>
      </c>
      <c r="AN829">
        <f>IF(AI829=0,AB829,NA())</f>
        <v/>
      </c>
    </row>
    <row r="830">
      <c r="A830" t="n">
        <v>822</v>
      </c>
      <c r="B830" t="n">
        <v>4</v>
      </c>
      <c r="C830" t="n">
        <v>2</v>
      </c>
      <c r="D830" t="n">
        <v>2</v>
      </c>
      <c r="E830" t="n">
        <v>3</v>
      </c>
      <c r="F830" t="n">
        <v>5</v>
      </c>
      <c r="G830" t="n">
        <v>3</v>
      </c>
      <c r="H830" t="n">
        <v>4</v>
      </c>
      <c r="I830" t="n">
        <v>3</v>
      </c>
      <c r="J830" t="n">
        <v>4</v>
      </c>
      <c r="K830" t="n">
        <v>5</v>
      </c>
      <c r="L830" t="n">
        <v>3</v>
      </c>
      <c r="M830" t="n">
        <v>3</v>
      </c>
      <c r="N830" t="n">
        <v>4</v>
      </c>
      <c r="O830" t="n">
        <v>2</v>
      </c>
      <c r="P830" t="n">
        <v>4</v>
      </c>
      <c r="Q830" t="n">
        <v>5</v>
      </c>
      <c r="R830" t="n">
        <v>5</v>
      </c>
      <c r="S830" t="n">
        <v>5</v>
      </c>
      <c r="T830" t="n">
        <v>5</v>
      </c>
      <c r="U830">
        <f>(AVERAGE(B830:D830)-1)/4</f>
        <v/>
      </c>
      <c r="V830">
        <f>(AVERAGE(E830:F830)-1)/4</f>
        <v/>
      </c>
      <c r="W830">
        <f>(AVERAGE(G830:I830)-1)/4</f>
        <v/>
      </c>
      <c r="X830">
        <f>(AVERAGE(J830:L830)-1)/4</f>
        <v/>
      </c>
      <c r="Y830">
        <f>(AVERAGE(M830:O830)-1)/4</f>
        <v/>
      </c>
      <c r="Z830">
        <f>(AVERAGE(P830:R830)-1)/4</f>
        <v/>
      </c>
      <c r="AA830">
        <f>(AVERAGE(S830:T830)-1)/4</f>
        <v/>
      </c>
      <c r="AB830">
        <f>AVERAGE(U830:Y830)</f>
        <v/>
      </c>
      <c r="AC830">
        <f>MIN(U830:Y830)</f>
        <v/>
      </c>
      <c r="AD830">
        <f>1-alpha*MAX(0,delta-AC830)</f>
        <v/>
      </c>
      <c r="AE830">
        <f>AB830*AD830</f>
        <v/>
      </c>
      <c r="AF830">
        <f>1+COUNTIF(bounds,"&lt;"&amp;ROUND(AB830,12))</f>
        <v/>
      </c>
      <c r="AG830">
        <f>1+COUNTIF(bounds,"&lt;"&amp;ROUND(AE830,12))</f>
        <v/>
      </c>
      <c r="AH830">
        <f>IF(AD830&lt;1,1,0)</f>
        <v/>
      </c>
      <c r="AI830">
        <f>IF(AF830&lt;&gt;AG830,1,0)</f>
        <v/>
      </c>
      <c r="AJ830">
        <f>IF(AND(AG830&gt;=3,Z830&lt;=0.2),1,0)</f>
        <v/>
      </c>
      <c r="AK830">
        <f>AVERAGE(U830:Z830)</f>
        <v/>
      </c>
      <c r="AL830">
        <f>1+COUNTIF(bounds,"&lt;"&amp;ROUND(AK830,12))</f>
        <v/>
      </c>
      <c r="AM830">
        <f>IF(AI830=1,AB830,NA())</f>
        <v/>
      </c>
      <c r="AN830">
        <f>IF(AI830=0,AB830,NA())</f>
        <v/>
      </c>
    </row>
    <row r="831">
      <c r="A831" t="n">
        <v>823</v>
      </c>
      <c r="B831" t="n">
        <v>3</v>
      </c>
      <c r="C831" t="n">
        <v>2</v>
      </c>
      <c r="D831" t="n">
        <v>2</v>
      </c>
      <c r="E831" t="n">
        <v>1</v>
      </c>
      <c r="F831" t="n">
        <v>1</v>
      </c>
      <c r="G831" t="n">
        <v>3</v>
      </c>
      <c r="H831" t="n">
        <v>3</v>
      </c>
      <c r="I831" t="n">
        <v>5</v>
      </c>
      <c r="J831" t="n">
        <v>3</v>
      </c>
      <c r="K831" t="n">
        <v>1</v>
      </c>
      <c r="L831" t="n">
        <v>5</v>
      </c>
      <c r="M831" t="n">
        <v>3</v>
      </c>
      <c r="N831" t="n">
        <v>3</v>
      </c>
      <c r="O831" t="n">
        <v>5</v>
      </c>
      <c r="P831" t="n">
        <v>2</v>
      </c>
      <c r="Q831" t="n">
        <v>3</v>
      </c>
      <c r="R831" t="n">
        <v>1</v>
      </c>
      <c r="S831" t="n">
        <v>1</v>
      </c>
      <c r="T831" t="n">
        <v>3</v>
      </c>
      <c r="U831">
        <f>(AVERAGE(B831:D831)-1)/4</f>
        <v/>
      </c>
      <c r="V831">
        <f>(AVERAGE(E831:F831)-1)/4</f>
        <v/>
      </c>
      <c r="W831">
        <f>(AVERAGE(G831:I831)-1)/4</f>
        <v/>
      </c>
      <c r="X831">
        <f>(AVERAGE(J831:L831)-1)/4</f>
        <v/>
      </c>
      <c r="Y831">
        <f>(AVERAGE(M831:O831)-1)/4</f>
        <v/>
      </c>
      <c r="Z831">
        <f>(AVERAGE(P831:R831)-1)/4</f>
        <v/>
      </c>
      <c r="AA831">
        <f>(AVERAGE(S831:T831)-1)/4</f>
        <v/>
      </c>
      <c r="AB831">
        <f>AVERAGE(U831:Y831)</f>
        <v/>
      </c>
      <c r="AC831">
        <f>MIN(U831:Y831)</f>
        <v/>
      </c>
      <c r="AD831">
        <f>1-alpha*MAX(0,delta-AC831)</f>
        <v/>
      </c>
      <c r="AE831">
        <f>AB831*AD831</f>
        <v/>
      </c>
      <c r="AF831">
        <f>1+COUNTIF(bounds,"&lt;"&amp;ROUND(AB831,12))</f>
        <v/>
      </c>
      <c r="AG831">
        <f>1+COUNTIF(bounds,"&lt;"&amp;ROUND(AE831,12))</f>
        <v/>
      </c>
      <c r="AH831">
        <f>IF(AD831&lt;1,1,0)</f>
        <v/>
      </c>
      <c r="AI831">
        <f>IF(AF831&lt;&gt;AG831,1,0)</f>
        <v/>
      </c>
      <c r="AJ831">
        <f>IF(AND(AG831&gt;=3,Z831&lt;=0.2),1,0)</f>
        <v/>
      </c>
      <c r="AK831">
        <f>AVERAGE(U831:Z831)</f>
        <v/>
      </c>
      <c r="AL831">
        <f>1+COUNTIF(bounds,"&lt;"&amp;ROUND(AK831,12))</f>
        <v/>
      </c>
      <c r="AM831">
        <f>IF(AI831=1,AB831,NA())</f>
        <v/>
      </c>
      <c r="AN831">
        <f>IF(AI831=0,AB831,NA())</f>
        <v/>
      </c>
    </row>
    <row r="832">
      <c r="A832" t="n">
        <v>824</v>
      </c>
      <c r="B832" t="n">
        <v>4</v>
      </c>
      <c r="C832" t="n">
        <v>2</v>
      </c>
      <c r="D832" t="n">
        <v>4</v>
      </c>
      <c r="E832" t="n">
        <v>4</v>
      </c>
      <c r="F832" t="n">
        <v>4</v>
      </c>
      <c r="G832" t="n">
        <v>4</v>
      </c>
      <c r="H832" t="n">
        <v>5</v>
      </c>
      <c r="I832" t="n">
        <v>2</v>
      </c>
      <c r="J832" t="n">
        <v>3</v>
      </c>
      <c r="K832" t="n">
        <v>3</v>
      </c>
      <c r="L832" t="n">
        <v>4</v>
      </c>
      <c r="M832" t="n">
        <v>2</v>
      </c>
      <c r="N832" t="n">
        <v>5</v>
      </c>
      <c r="O832" t="n">
        <v>5</v>
      </c>
      <c r="P832" t="n">
        <v>1</v>
      </c>
      <c r="Q832" t="n">
        <v>4</v>
      </c>
      <c r="R832" t="n">
        <v>5</v>
      </c>
      <c r="S832" t="n">
        <v>5</v>
      </c>
      <c r="T832" t="n">
        <v>3</v>
      </c>
      <c r="U832">
        <f>(AVERAGE(B832:D832)-1)/4</f>
        <v/>
      </c>
      <c r="V832">
        <f>(AVERAGE(E832:F832)-1)/4</f>
        <v/>
      </c>
      <c r="W832">
        <f>(AVERAGE(G832:I832)-1)/4</f>
        <v/>
      </c>
      <c r="X832">
        <f>(AVERAGE(J832:L832)-1)/4</f>
        <v/>
      </c>
      <c r="Y832">
        <f>(AVERAGE(M832:O832)-1)/4</f>
        <v/>
      </c>
      <c r="Z832">
        <f>(AVERAGE(P832:R832)-1)/4</f>
        <v/>
      </c>
      <c r="AA832">
        <f>(AVERAGE(S832:T832)-1)/4</f>
        <v/>
      </c>
      <c r="AB832">
        <f>AVERAGE(U832:Y832)</f>
        <v/>
      </c>
      <c r="AC832">
        <f>MIN(U832:Y832)</f>
        <v/>
      </c>
      <c r="AD832">
        <f>1-alpha*MAX(0,delta-AC832)</f>
        <v/>
      </c>
      <c r="AE832">
        <f>AB832*AD832</f>
        <v/>
      </c>
      <c r="AF832">
        <f>1+COUNTIF(bounds,"&lt;"&amp;ROUND(AB832,12))</f>
        <v/>
      </c>
      <c r="AG832">
        <f>1+COUNTIF(bounds,"&lt;"&amp;ROUND(AE832,12))</f>
        <v/>
      </c>
      <c r="AH832">
        <f>IF(AD832&lt;1,1,0)</f>
        <v/>
      </c>
      <c r="AI832">
        <f>IF(AF832&lt;&gt;AG832,1,0)</f>
        <v/>
      </c>
      <c r="AJ832">
        <f>IF(AND(AG832&gt;=3,Z832&lt;=0.2),1,0)</f>
        <v/>
      </c>
      <c r="AK832">
        <f>AVERAGE(U832:Z832)</f>
        <v/>
      </c>
      <c r="AL832">
        <f>1+COUNTIF(bounds,"&lt;"&amp;ROUND(AK832,12))</f>
        <v/>
      </c>
      <c r="AM832">
        <f>IF(AI832=1,AB832,NA())</f>
        <v/>
      </c>
      <c r="AN832">
        <f>IF(AI832=0,AB832,NA())</f>
        <v/>
      </c>
    </row>
    <row r="833">
      <c r="A833" t="n">
        <v>825</v>
      </c>
      <c r="B833" t="n">
        <v>2</v>
      </c>
      <c r="C833" t="n">
        <v>5</v>
      </c>
      <c r="D833" t="n">
        <v>5</v>
      </c>
      <c r="E833" t="n">
        <v>3</v>
      </c>
      <c r="F833" t="n">
        <v>1</v>
      </c>
      <c r="G833" t="n">
        <v>1</v>
      </c>
      <c r="H833" t="n">
        <v>1</v>
      </c>
      <c r="I833" t="n">
        <v>2</v>
      </c>
      <c r="J833" t="n">
        <v>4</v>
      </c>
      <c r="K833" t="n">
        <v>4</v>
      </c>
      <c r="L833" t="n">
        <v>3</v>
      </c>
      <c r="M833" t="n">
        <v>4</v>
      </c>
      <c r="N833" t="n">
        <v>1</v>
      </c>
      <c r="O833" t="n">
        <v>4</v>
      </c>
      <c r="P833" t="n">
        <v>4</v>
      </c>
      <c r="Q833" t="n">
        <v>4</v>
      </c>
      <c r="R833" t="n">
        <v>2</v>
      </c>
      <c r="S833" t="n">
        <v>1</v>
      </c>
      <c r="T833" t="n">
        <v>2</v>
      </c>
      <c r="U833">
        <f>(AVERAGE(B833:D833)-1)/4</f>
        <v/>
      </c>
      <c r="V833">
        <f>(AVERAGE(E833:F833)-1)/4</f>
        <v/>
      </c>
      <c r="W833">
        <f>(AVERAGE(G833:I833)-1)/4</f>
        <v/>
      </c>
      <c r="X833">
        <f>(AVERAGE(J833:L833)-1)/4</f>
        <v/>
      </c>
      <c r="Y833">
        <f>(AVERAGE(M833:O833)-1)/4</f>
        <v/>
      </c>
      <c r="Z833">
        <f>(AVERAGE(P833:R833)-1)/4</f>
        <v/>
      </c>
      <c r="AA833">
        <f>(AVERAGE(S833:T833)-1)/4</f>
        <v/>
      </c>
      <c r="AB833">
        <f>AVERAGE(U833:Y833)</f>
        <v/>
      </c>
      <c r="AC833">
        <f>MIN(U833:Y833)</f>
        <v/>
      </c>
      <c r="AD833">
        <f>1-alpha*MAX(0,delta-AC833)</f>
        <v/>
      </c>
      <c r="AE833">
        <f>AB833*AD833</f>
        <v/>
      </c>
      <c r="AF833">
        <f>1+COUNTIF(bounds,"&lt;"&amp;ROUND(AB833,12))</f>
        <v/>
      </c>
      <c r="AG833">
        <f>1+COUNTIF(bounds,"&lt;"&amp;ROUND(AE833,12))</f>
        <v/>
      </c>
      <c r="AH833">
        <f>IF(AD833&lt;1,1,0)</f>
        <v/>
      </c>
      <c r="AI833">
        <f>IF(AF833&lt;&gt;AG833,1,0)</f>
        <v/>
      </c>
      <c r="AJ833">
        <f>IF(AND(AG833&gt;=3,Z833&lt;=0.2),1,0)</f>
        <v/>
      </c>
      <c r="AK833">
        <f>AVERAGE(U833:Z833)</f>
        <v/>
      </c>
      <c r="AL833">
        <f>1+COUNTIF(bounds,"&lt;"&amp;ROUND(AK833,12))</f>
        <v/>
      </c>
      <c r="AM833">
        <f>IF(AI833=1,AB833,NA())</f>
        <v/>
      </c>
      <c r="AN833">
        <f>IF(AI833=0,AB833,NA())</f>
        <v/>
      </c>
    </row>
    <row r="834">
      <c r="A834" t="n">
        <v>826</v>
      </c>
      <c r="B834" t="n">
        <v>4</v>
      </c>
      <c r="C834" t="n">
        <v>2</v>
      </c>
      <c r="D834" t="n">
        <v>4</v>
      </c>
      <c r="E834" t="n">
        <v>1</v>
      </c>
      <c r="F834" t="n">
        <v>4</v>
      </c>
      <c r="G834" t="n">
        <v>1</v>
      </c>
      <c r="H834" t="n">
        <v>1</v>
      </c>
      <c r="I834" t="n">
        <v>5</v>
      </c>
      <c r="J834" t="n">
        <v>5</v>
      </c>
      <c r="K834" t="n">
        <v>2</v>
      </c>
      <c r="L834" t="n">
        <v>1</v>
      </c>
      <c r="M834" t="n">
        <v>1</v>
      </c>
      <c r="N834" t="n">
        <v>2</v>
      </c>
      <c r="O834" t="n">
        <v>2</v>
      </c>
      <c r="P834" t="n">
        <v>5</v>
      </c>
      <c r="Q834" t="n">
        <v>1</v>
      </c>
      <c r="R834" t="n">
        <v>5</v>
      </c>
      <c r="S834" t="n">
        <v>1</v>
      </c>
      <c r="T834" t="n">
        <v>3</v>
      </c>
      <c r="U834">
        <f>(AVERAGE(B834:D834)-1)/4</f>
        <v/>
      </c>
      <c r="V834">
        <f>(AVERAGE(E834:F834)-1)/4</f>
        <v/>
      </c>
      <c r="W834">
        <f>(AVERAGE(G834:I834)-1)/4</f>
        <v/>
      </c>
      <c r="X834">
        <f>(AVERAGE(J834:L834)-1)/4</f>
        <v/>
      </c>
      <c r="Y834">
        <f>(AVERAGE(M834:O834)-1)/4</f>
        <v/>
      </c>
      <c r="Z834">
        <f>(AVERAGE(P834:R834)-1)/4</f>
        <v/>
      </c>
      <c r="AA834">
        <f>(AVERAGE(S834:T834)-1)/4</f>
        <v/>
      </c>
      <c r="AB834">
        <f>AVERAGE(U834:Y834)</f>
        <v/>
      </c>
      <c r="AC834">
        <f>MIN(U834:Y834)</f>
        <v/>
      </c>
      <c r="AD834">
        <f>1-alpha*MAX(0,delta-AC834)</f>
        <v/>
      </c>
      <c r="AE834">
        <f>AB834*AD834</f>
        <v/>
      </c>
      <c r="AF834">
        <f>1+COUNTIF(bounds,"&lt;"&amp;ROUND(AB834,12))</f>
        <v/>
      </c>
      <c r="AG834">
        <f>1+COUNTIF(bounds,"&lt;"&amp;ROUND(AE834,12))</f>
        <v/>
      </c>
      <c r="AH834">
        <f>IF(AD834&lt;1,1,0)</f>
        <v/>
      </c>
      <c r="AI834">
        <f>IF(AF834&lt;&gt;AG834,1,0)</f>
        <v/>
      </c>
      <c r="AJ834">
        <f>IF(AND(AG834&gt;=3,Z834&lt;=0.2),1,0)</f>
        <v/>
      </c>
      <c r="AK834">
        <f>AVERAGE(U834:Z834)</f>
        <v/>
      </c>
      <c r="AL834">
        <f>1+COUNTIF(bounds,"&lt;"&amp;ROUND(AK834,12))</f>
        <v/>
      </c>
      <c r="AM834">
        <f>IF(AI834=1,AB834,NA())</f>
        <v/>
      </c>
      <c r="AN834">
        <f>IF(AI834=0,AB834,NA())</f>
        <v/>
      </c>
    </row>
    <row r="835">
      <c r="A835" t="n">
        <v>827</v>
      </c>
      <c r="B835" t="n">
        <v>4</v>
      </c>
      <c r="C835" t="n">
        <v>2</v>
      </c>
      <c r="D835" t="n">
        <v>3</v>
      </c>
      <c r="E835" t="n">
        <v>3</v>
      </c>
      <c r="F835" t="n">
        <v>4</v>
      </c>
      <c r="G835" t="n">
        <v>5</v>
      </c>
      <c r="H835" t="n">
        <v>3</v>
      </c>
      <c r="I835" t="n">
        <v>5</v>
      </c>
      <c r="J835" t="n">
        <v>4</v>
      </c>
      <c r="K835" t="n">
        <v>4</v>
      </c>
      <c r="L835" t="n">
        <v>2</v>
      </c>
      <c r="M835" t="n">
        <v>2</v>
      </c>
      <c r="N835" t="n">
        <v>1</v>
      </c>
      <c r="O835" t="n">
        <v>1</v>
      </c>
      <c r="P835" t="n">
        <v>3</v>
      </c>
      <c r="Q835" t="n">
        <v>2</v>
      </c>
      <c r="R835" t="n">
        <v>3</v>
      </c>
      <c r="S835" t="n">
        <v>4</v>
      </c>
      <c r="T835" t="n">
        <v>5</v>
      </c>
      <c r="U835">
        <f>(AVERAGE(B835:D835)-1)/4</f>
        <v/>
      </c>
      <c r="V835">
        <f>(AVERAGE(E835:F835)-1)/4</f>
        <v/>
      </c>
      <c r="W835">
        <f>(AVERAGE(G835:I835)-1)/4</f>
        <v/>
      </c>
      <c r="X835">
        <f>(AVERAGE(J835:L835)-1)/4</f>
        <v/>
      </c>
      <c r="Y835">
        <f>(AVERAGE(M835:O835)-1)/4</f>
        <v/>
      </c>
      <c r="Z835">
        <f>(AVERAGE(P835:R835)-1)/4</f>
        <v/>
      </c>
      <c r="AA835">
        <f>(AVERAGE(S835:T835)-1)/4</f>
        <v/>
      </c>
      <c r="AB835">
        <f>AVERAGE(U835:Y835)</f>
        <v/>
      </c>
      <c r="AC835">
        <f>MIN(U835:Y835)</f>
        <v/>
      </c>
      <c r="AD835">
        <f>1-alpha*MAX(0,delta-AC835)</f>
        <v/>
      </c>
      <c r="AE835">
        <f>AB835*AD835</f>
        <v/>
      </c>
      <c r="AF835">
        <f>1+COUNTIF(bounds,"&lt;"&amp;ROUND(AB835,12))</f>
        <v/>
      </c>
      <c r="AG835">
        <f>1+COUNTIF(bounds,"&lt;"&amp;ROUND(AE835,12))</f>
        <v/>
      </c>
      <c r="AH835">
        <f>IF(AD835&lt;1,1,0)</f>
        <v/>
      </c>
      <c r="AI835">
        <f>IF(AF835&lt;&gt;AG835,1,0)</f>
        <v/>
      </c>
      <c r="AJ835">
        <f>IF(AND(AG835&gt;=3,Z835&lt;=0.2),1,0)</f>
        <v/>
      </c>
      <c r="AK835">
        <f>AVERAGE(U835:Z835)</f>
        <v/>
      </c>
      <c r="AL835">
        <f>1+COUNTIF(bounds,"&lt;"&amp;ROUND(AK835,12))</f>
        <v/>
      </c>
      <c r="AM835">
        <f>IF(AI835=1,AB835,NA())</f>
        <v/>
      </c>
      <c r="AN835">
        <f>IF(AI835=0,AB835,NA())</f>
        <v/>
      </c>
    </row>
    <row r="836">
      <c r="A836" t="n">
        <v>828</v>
      </c>
      <c r="B836" t="n">
        <v>1</v>
      </c>
      <c r="C836" t="n">
        <v>3</v>
      </c>
      <c r="D836" t="n">
        <v>3</v>
      </c>
      <c r="E836" t="n">
        <v>4</v>
      </c>
      <c r="F836" t="n">
        <v>1</v>
      </c>
      <c r="G836" t="n">
        <v>5</v>
      </c>
      <c r="H836" t="n">
        <v>4</v>
      </c>
      <c r="I836" t="n">
        <v>4</v>
      </c>
      <c r="J836" t="n">
        <v>1</v>
      </c>
      <c r="K836" t="n">
        <v>5</v>
      </c>
      <c r="L836" t="n">
        <v>2</v>
      </c>
      <c r="M836" t="n">
        <v>1</v>
      </c>
      <c r="N836" t="n">
        <v>5</v>
      </c>
      <c r="O836" t="n">
        <v>5</v>
      </c>
      <c r="P836" t="n">
        <v>5</v>
      </c>
      <c r="Q836" t="n">
        <v>4</v>
      </c>
      <c r="R836" t="n">
        <v>3</v>
      </c>
      <c r="S836" t="n">
        <v>5</v>
      </c>
      <c r="T836" t="n">
        <v>1</v>
      </c>
      <c r="U836">
        <f>(AVERAGE(B836:D836)-1)/4</f>
        <v/>
      </c>
      <c r="V836">
        <f>(AVERAGE(E836:F836)-1)/4</f>
        <v/>
      </c>
      <c r="W836">
        <f>(AVERAGE(G836:I836)-1)/4</f>
        <v/>
      </c>
      <c r="X836">
        <f>(AVERAGE(J836:L836)-1)/4</f>
        <v/>
      </c>
      <c r="Y836">
        <f>(AVERAGE(M836:O836)-1)/4</f>
        <v/>
      </c>
      <c r="Z836">
        <f>(AVERAGE(P836:R836)-1)/4</f>
        <v/>
      </c>
      <c r="AA836">
        <f>(AVERAGE(S836:T836)-1)/4</f>
        <v/>
      </c>
      <c r="AB836">
        <f>AVERAGE(U836:Y836)</f>
        <v/>
      </c>
      <c r="AC836">
        <f>MIN(U836:Y836)</f>
        <v/>
      </c>
      <c r="AD836">
        <f>1-alpha*MAX(0,delta-AC836)</f>
        <v/>
      </c>
      <c r="AE836">
        <f>AB836*AD836</f>
        <v/>
      </c>
      <c r="AF836">
        <f>1+COUNTIF(bounds,"&lt;"&amp;ROUND(AB836,12))</f>
        <v/>
      </c>
      <c r="AG836">
        <f>1+COUNTIF(bounds,"&lt;"&amp;ROUND(AE836,12))</f>
        <v/>
      </c>
      <c r="AH836">
        <f>IF(AD836&lt;1,1,0)</f>
        <v/>
      </c>
      <c r="AI836">
        <f>IF(AF836&lt;&gt;AG836,1,0)</f>
        <v/>
      </c>
      <c r="AJ836">
        <f>IF(AND(AG836&gt;=3,Z836&lt;=0.2),1,0)</f>
        <v/>
      </c>
      <c r="AK836">
        <f>AVERAGE(U836:Z836)</f>
        <v/>
      </c>
      <c r="AL836">
        <f>1+COUNTIF(bounds,"&lt;"&amp;ROUND(AK836,12))</f>
        <v/>
      </c>
      <c r="AM836">
        <f>IF(AI836=1,AB836,NA())</f>
        <v/>
      </c>
      <c r="AN836">
        <f>IF(AI836=0,AB836,NA())</f>
        <v/>
      </c>
    </row>
    <row r="837">
      <c r="A837" t="n">
        <v>829</v>
      </c>
      <c r="B837" t="n">
        <v>2</v>
      </c>
      <c r="C837" t="n">
        <v>2</v>
      </c>
      <c r="D837" t="n">
        <v>1</v>
      </c>
      <c r="E837" t="n">
        <v>1</v>
      </c>
      <c r="F837" t="n">
        <v>4</v>
      </c>
      <c r="G837" t="n">
        <v>4</v>
      </c>
      <c r="H837" t="n">
        <v>4</v>
      </c>
      <c r="I837" t="n">
        <v>4</v>
      </c>
      <c r="J837" t="n">
        <v>1</v>
      </c>
      <c r="K837" t="n">
        <v>2</v>
      </c>
      <c r="L837" t="n">
        <v>5</v>
      </c>
      <c r="M837" t="n">
        <v>1</v>
      </c>
      <c r="N837" t="n">
        <v>5</v>
      </c>
      <c r="O837" t="n">
        <v>3</v>
      </c>
      <c r="P837" t="n">
        <v>4</v>
      </c>
      <c r="Q837" t="n">
        <v>4</v>
      </c>
      <c r="R837" t="n">
        <v>5</v>
      </c>
      <c r="S837" t="n">
        <v>2</v>
      </c>
      <c r="T837" t="n">
        <v>4</v>
      </c>
      <c r="U837">
        <f>(AVERAGE(B837:D837)-1)/4</f>
        <v/>
      </c>
      <c r="V837">
        <f>(AVERAGE(E837:F837)-1)/4</f>
        <v/>
      </c>
      <c r="W837">
        <f>(AVERAGE(G837:I837)-1)/4</f>
        <v/>
      </c>
      <c r="X837">
        <f>(AVERAGE(J837:L837)-1)/4</f>
        <v/>
      </c>
      <c r="Y837">
        <f>(AVERAGE(M837:O837)-1)/4</f>
        <v/>
      </c>
      <c r="Z837">
        <f>(AVERAGE(P837:R837)-1)/4</f>
        <v/>
      </c>
      <c r="AA837">
        <f>(AVERAGE(S837:T837)-1)/4</f>
        <v/>
      </c>
      <c r="AB837">
        <f>AVERAGE(U837:Y837)</f>
        <v/>
      </c>
      <c r="AC837">
        <f>MIN(U837:Y837)</f>
        <v/>
      </c>
      <c r="AD837">
        <f>1-alpha*MAX(0,delta-AC837)</f>
        <v/>
      </c>
      <c r="AE837">
        <f>AB837*AD837</f>
        <v/>
      </c>
      <c r="AF837">
        <f>1+COUNTIF(bounds,"&lt;"&amp;ROUND(AB837,12))</f>
        <v/>
      </c>
      <c r="AG837">
        <f>1+COUNTIF(bounds,"&lt;"&amp;ROUND(AE837,12))</f>
        <v/>
      </c>
      <c r="AH837">
        <f>IF(AD837&lt;1,1,0)</f>
        <v/>
      </c>
      <c r="AI837">
        <f>IF(AF837&lt;&gt;AG837,1,0)</f>
        <v/>
      </c>
      <c r="AJ837">
        <f>IF(AND(AG837&gt;=3,Z837&lt;=0.2),1,0)</f>
        <v/>
      </c>
      <c r="AK837">
        <f>AVERAGE(U837:Z837)</f>
        <v/>
      </c>
      <c r="AL837">
        <f>1+COUNTIF(bounds,"&lt;"&amp;ROUND(AK837,12))</f>
        <v/>
      </c>
      <c r="AM837">
        <f>IF(AI837=1,AB837,NA())</f>
        <v/>
      </c>
      <c r="AN837">
        <f>IF(AI837=0,AB837,NA())</f>
        <v/>
      </c>
    </row>
    <row r="838">
      <c r="A838" t="n">
        <v>830</v>
      </c>
      <c r="B838" t="n">
        <v>1</v>
      </c>
      <c r="C838" t="n">
        <v>1</v>
      </c>
      <c r="D838" t="n">
        <v>1</v>
      </c>
      <c r="E838" t="n">
        <v>3</v>
      </c>
      <c r="F838" t="n">
        <v>4</v>
      </c>
      <c r="G838" t="n">
        <v>4</v>
      </c>
      <c r="H838" t="n">
        <v>2</v>
      </c>
      <c r="I838" t="n">
        <v>3</v>
      </c>
      <c r="J838" t="n">
        <v>4</v>
      </c>
      <c r="K838" t="n">
        <v>1</v>
      </c>
      <c r="L838" t="n">
        <v>4</v>
      </c>
      <c r="M838" t="n">
        <v>2</v>
      </c>
      <c r="N838" t="n">
        <v>1</v>
      </c>
      <c r="O838" t="n">
        <v>5</v>
      </c>
      <c r="P838" t="n">
        <v>3</v>
      </c>
      <c r="Q838" t="n">
        <v>3</v>
      </c>
      <c r="R838" t="n">
        <v>2</v>
      </c>
      <c r="S838" t="n">
        <v>3</v>
      </c>
      <c r="T838" t="n">
        <v>5</v>
      </c>
      <c r="U838">
        <f>(AVERAGE(B838:D838)-1)/4</f>
        <v/>
      </c>
      <c r="V838">
        <f>(AVERAGE(E838:F838)-1)/4</f>
        <v/>
      </c>
      <c r="W838">
        <f>(AVERAGE(G838:I838)-1)/4</f>
        <v/>
      </c>
      <c r="X838">
        <f>(AVERAGE(J838:L838)-1)/4</f>
        <v/>
      </c>
      <c r="Y838">
        <f>(AVERAGE(M838:O838)-1)/4</f>
        <v/>
      </c>
      <c r="Z838">
        <f>(AVERAGE(P838:R838)-1)/4</f>
        <v/>
      </c>
      <c r="AA838">
        <f>(AVERAGE(S838:T838)-1)/4</f>
        <v/>
      </c>
      <c r="AB838">
        <f>AVERAGE(U838:Y838)</f>
        <v/>
      </c>
      <c r="AC838">
        <f>MIN(U838:Y838)</f>
        <v/>
      </c>
      <c r="AD838">
        <f>1-alpha*MAX(0,delta-AC838)</f>
        <v/>
      </c>
      <c r="AE838">
        <f>AB838*AD838</f>
        <v/>
      </c>
      <c r="AF838">
        <f>1+COUNTIF(bounds,"&lt;"&amp;ROUND(AB838,12))</f>
        <v/>
      </c>
      <c r="AG838">
        <f>1+COUNTIF(bounds,"&lt;"&amp;ROUND(AE838,12))</f>
        <v/>
      </c>
      <c r="AH838">
        <f>IF(AD838&lt;1,1,0)</f>
        <v/>
      </c>
      <c r="AI838">
        <f>IF(AF838&lt;&gt;AG838,1,0)</f>
        <v/>
      </c>
      <c r="AJ838">
        <f>IF(AND(AG838&gt;=3,Z838&lt;=0.2),1,0)</f>
        <v/>
      </c>
      <c r="AK838">
        <f>AVERAGE(U838:Z838)</f>
        <v/>
      </c>
      <c r="AL838">
        <f>1+COUNTIF(bounds,"&lt;"&amp;ROUND(AK838,12))</f>
        <v/>
      </c>
      <c r="AM838">
        <f>IF(AI838=1,AB838,NA())</f>
        <v/>
      </c>
      <c r="AN838">
        <f>IF(AI838=0,AB838,NA())</f>
        <v/>
      </c>
    </row>
    <row r="839">
      <c r="A839" t="n">
        <v>831</v>
      </c>
      <c r="B839" t="n">
        <v>5</v>
      </c>
      <c r="C839" t="n">
        <v>1</v>
      </c>
      <c r="D839" t="n">
        <v>2</v>
      </c>
      <c r="E839" t="n">
        <v>2</v>
      </c>
      <c r="F839" t="n">
        <v>3</v>
      </c>
      <c r="G839" t="n">
        <v>2</v>
      </c>
      <c r="H839" t="n">
        <v>5</v>
      </c>
      <c r="I839" t="n">
        <v>1</v>
      </c>
      <c r="J839" t="n">
        <v>1</v>
      </c>
      <c r="K839" t="n">
        <v>4</v>
      </c>
      <c r="L839" t="n">
        <v>2</v>
      </c>
      <c r="M839" t="n">
        <v>1</v>
      </c>
      <c r="N839" t="n">
        <v>1</v>
      </c>
      <c r="O839" t="n">
        <v>4</v>
      </c>
      <c r="P839" t="n">
        <v>4</v>
      </c>
      <c r="Q839" t="n">
        <v>4</v>
      </c>
      <c r="R839" t="n">
        <v>2</v>
      </c>
      <c r="S839" t="n">
        <v>2</v>
      </c>
      <c r="T839" t="n">
        <v>4</v>
      </c>
      <c r="U839">
        <f>(AVERAGE(B839:D839)-1)/4</f>
        <v/>
      </c>
      <c r="V839">
        <f>(AVERAGE(E839:F839)-1)/4</f>
        <v/>
      </c>
      <c r="W839">
        <f>(AVERAGE(G839:I839)-1)/4</f>
        <v/>
      </c>
      <c r="X839">
        <f>(AVERAGE(J839:L839)-1)/4</f>
        <v/>
      </c>
      <c r="Y839">
        <f>(AVERAGE(M839:O839)-1)/4</f>
        <v/>
      </c>
      <c r="Z839">
        <f>(AVERAGE(P839:R839)-1)/4</f>
        <v/>
      </c>
      <c r="AA839">
        <f>(AVERAGE(S839:T839)-1)/4</f>
        <v/>
      </c>
      <c r="AB839">
        <f>AVERAGE(U839:Y839)</f>
        <v/>
      </c>
      <c r="AC839">
        <f>MIN(U839:Y839)</f>
        <v/>
      </c>
      <c r="AD839">
        <f>1-alpha*MAX(0,delta-AC839)</f>
        <v/>
      </c>
      <c r="AE839">
        <f>AB839*AD839</f>
        <v/>
      </c>
      <c r="AF839">
        <f>1+COUNTIF(bounds,"&lt;"&amp;ROUND(AB839,12))</f>
        <v/>
      </c>
      <c r="AG839">
        <f>1+COUNTIF(bounds,"&lt;"&amp;ROUND(AE839,12))</f>
        <v/>
      </c>
      <c r="AH839">
        <f>IF(AD839&lt;1,1,0)</f>
        <v/>
      </c>
      <c r="AI839">
        <f>IF(AF839&lt;&gt;AG839,1,0)</f>
        <v/>
      </c>
      <c r="AJ839">
        <f>IF(AND(AG839&gt;=3,Z839&lt;=0.2),1,0)</f>
        <v/>
      </c>
      <c r="AK839">
        <f>AVERAGE(U839:Z839)</f>
        <v/>
      </c>
      <c r="AL839">
        <f>1+COUNTIF(bounds,"&lt;"&amp;ROUND(AK839,12))</f>
        <v/>
      </c>
      <c r="AM839">
        <f>IF(AI839=1,AB839,NA())</f>
        <v/>
      </c>
      <c r="AN839">
        <f>IF(AI839=0,AB839,NA())</f>
        <v/>
      </c>
    </row>
    <row r="840">
      <c r="A840" t="n">
        <v>832</v>
      </c>
      <c r="B840" t="n">
        <v>5</v>
      </c>
      <c r="C840" t="n">
        <v>3</v>
      </c>
      <c r="D840" t="n">
        <v>5</v>
      </c>
      <c r="E840" t="n">
        <v>4</v>
      </c>
      <c r="F840" t="n">
        <v>1</v>
      </c>
      <c r="G840" t="n">
        <v>1</v>
      </c>
      <c r="H840" t="n">
        <v>5</v>
      </c>
      <c r="I840" t="n">
        <v>3</v>
      </c>
      <c r="J840" t="n">
        <v>1</v>
      </c>
      <c r="K840" t="n">
        <v>3</v>
      </c>
      <c r="L840" t="n">
        <v>1</v>
      </c>
      <c r="M840" t="n">
        <v>3</v>
      </c>
      <c r="N840" t="n">
        <v>4</v>
      </c>
      <c r="O840" t="n">
        <v>4</v>
      </c>
      <c r="P840" t="n">
        <v>5</v>
      </c>
      <c r="Q840" t="n">
        <v>2</v>
      </c>
      <c r="R840" t="n">
        <v>4</v>
      </c>
      <c r="S840" t="n">
        <v>3</v>
      </c>
      <c r="T840" t="n">
        <v>2</v>
      </c>
      <c r="U840">
        <f>(AVERAGE(B840:D840)-1)/4</f>
        <v/>
      </c>
      <c r="V840">
        <f>(AVERAGE(E840:F840)-1)/4</f>
        <v/>
      </c>
      <c r="W840">
        <f>(AVERAGE(G840:I840)-1)/4</f>
        <v/>
      </c>
      <c r="X840">
        <f>(AVERAGE(J840:L840)-1)/4</f>
        <v/>
      </c>
      <c r="Y840">
        <f>(AVERAGE(M840:O840)-1)/4</f>
        <v/>
      </c>
      <c r="Z840">
        <f>(AVERAGE(P840:R840)-1)/4</f>
        <v/>
      </c>
      <c r="AA840">
        <f>(AVERAGE(S840:T840)-1)/4</f>
        <v/>
      </c>
      <c r="AB840">
        <f>AVERAGE(U840:Y840)</f>
        <v/>
      </c>
      <c r="AC840">
        <f>MIN(U840:Y840)</f>
        <v/>
      </c>
      <c r="AD840">
        <f>1-alpha*MAX(0,delta-AC840)</f>
        <v/>
      </c>
      <c r="AE840">
        <f>AB840*AD840</f>
        <v/>
      </c>
      <c r="AF840">
        <f>1+COUNTIF(bounds,"&lt;"&amp;ROUND(AB840,12))</f>
        <v/>
      </c>
      <c r="AG840">
        <f>1+COUNTIF(bounds,"&lt;"&amp;ROUND(AE840,12))</f>
        <v/>
      </c>
      <c r="AH840">
        <f>IF(AD840&lt;1,1,0)</f>
        <v/>
      </c>
      <c r="AI840">
        <f>IF(AF840&lt;&gt;AG840,1,0)</f>
        <v/>
      </c>
      <c r="AJ840">
        <f>IF(AND(AG840&gt;=3,Z840&lt;=0.2),1,0)</f>
        <v/>
      </c>
      <c r="AK840">
        <f>AVERAGE(U840:Z840)</f>
        <v/>
      </c>
      <c r="AL840">
        <f>1+COUNTIF(bounds,"&lt;"&amp;ROUND(AK840,12))</f>
        <v/>
      </c>
      <c r="AM840">
        <f>IF(AI840=1,AB840,NA())</f>
        <v/>
      </c>
      <c r="AN840">
        <f>IF(AI840=0,AB840,NA())</f>
        <v/>
      </c>
    </row>
    <row r="841">
      <c r="A841" t="n">
        <v>833</v>
      </c>
      <c r="B841" t="n">
        <v>2</v>
      </c>
      <c r="C841" t="n">
        <v>5</v>
      </c>
      <c r="D841" t="n">
        <v>3</v>
      </c>
      <c r="E841" t="n">
        <v>1</v>
      </c>
      <c r="F841" t="n">
        <v>2</v>
      </c>
      <c r="G841" t="n">
        <v>2</v>
      </c>
      <c r="H841" t="n">
        <v>1</v>
      </c>
      <c r="I841" t="n">
        <v>1</v>
      </c>
      <c r="J841" t="n">
        <v>3</v>
      </c>
      <c r="K841" t="n">
        <v>4</v>
      </c>
      <c r="L841" t="n">
        <v>2</v>
      </c>
      <c r="M841" t="n">
        <v>2</v>
      </c>
      <c r="N841" t="n">
        <v>3</v>
      </c>
      <c r="O841" t="n">
        <v>4</v>
      </c>
      <c r="P841" t="n">
        <v>2</v>
      </c>
      <c r="Q841" t="n">
        <v>5</v>
      </c>
      <c r="R841" t="n">
        <v>4</v>
      </c>
      <c r="S841" t="n">
        <v>3</v>
      </c>
      <c r="T841" t="n">
        <v>4</v>
      </c>
      <c r="U841">
        <f>(AVERAGE(B841:D841)-1)/4</f>
        <v/>
      </c>
      <c r="V841">
        <f>(AVERAGE(E841:F841)-1)/4</f>
        <v/>
      </c>
      <c r="W841">
        <f>(AVERAGE(G841:I841)-1)/4</f>
        <v/>
      </c>
      <c r="X841">
        <f>(AVERAGE(J841:L841)-1)/4</f>
        <v/>
      </c>
      <c r="Y841">
        <f>(AVERAGE(M841:O841)-1)/4</f>
        <v/>
      </c>
      <c r="Z841">
        <f>(AVERAGE(P841:R841)-1)/4</f>
        <v/>
      </c>
      <c r="AA841">
        <f>(AVERAGE(S841:T841)-1)/4</f>
        <v/>
      </c>
      <c r="AB841">
        <f>AVERAGE(U841:Y841)</f>
        <v/>
      </c>
      <c r="AC841">
        <f>MIN(U841:Y841)</f>
        <v/>
      </c>
      <c r="AD841">
        <f>1-alpha*MAX(0,delta-AC841)</f>
        <v/>
      </c>
      <c r="AE841">
        <f>AB841*AD841</f>
        <v/>
      </c>
      <c r="AF841">
        <f>1+COUNTIF(bounds,"&lt;"&amp;ROUND(AB841,12))</f>
        <v/>
      </c>
      <c r="AG841">
        <f>1+COUNTIF(bounds,"&lt;"&amp;ROUND(AE841,12))</f>
        <v/>
      </c>
      <c r="AH841">
        <f>IF(AD841&lt;1,1,0)</f>
        <v/>
      </c>
      <c r="AI841">
        <f>IF(AF841&lt;&gt;AG841,1,0)</f>
        <v/>
      </c>
      <c r="AJ841">
        <f>IF(AND(AG841&gt;=3,Z841&lt;=0.2),1,0)</f>
        <v/>
      </c>
      <c r="AK841">
        <f>AVERAGE(U841:Z841)</f>
        <v/>
      </c>
      <c r="AL841">
        <f>1+COUNTIF(bounds,"&lt;"&amp;ROUND(AK841,12))</f>
        <v/>
      </c>
      <c r="AM841">
        <f>IF(AI841=1,AB841,NA())</f>
        <v/>
      </c>
      <c r="AN841">
        <f>IF(AI841=0,AB841,NA())</f>
        <v/>
      </c>
    </row>
    <row r="842">
      <c r="A842" t="n">
        <v>834</v>
      </c>
      <c r="B842" t="n">
        <v>4</v>
      </c>
      <c r="C842" t="n">
        <v>2</v>
      </c>
      <c r="D842" t="n">
        <v>2</v>
      </c>
      <c r="E842" t="n">
        <v>3</v>
      </c>
      <c r="F842" t="n">
        <v>2</v>
      </c>
      <c r="G842" t="n">
        <v>1</v>
      </c>
      <c r="H842" t="n">
        <v>2</v>
      </c>
      <c r="I842" t="n">
        <v>4</v>
      </c>
      <c r="J842" t="n">
        <v>1</v>
      </c>
      <c r="K842" t="n">
        <v>5</v>
      </c>
      <c r="L842" t="n">
        <v>3</v>
      </c>
      <c r="M842" t="n">
        <v>2</v>
      </c>
      <c r="N842" t="n">
        <v>2</v>
      </c>
      <c r="O842" t="n">
        <v>4</v>
      </c>
      <c r="P842" t="n">
        <v>3</v>
      </c>
      <c r="Q842" t="n">
        <v>3</v>
      </c>
      <c r="R842" t="n">
        <v>3</v>
      </c>
      <c r="S842" t="n">
        <v>3</v>
      </c>
      <c r="T842" t="n">
        <v>1</v>
      </c>
      <c r="U842">
        <f>(AVERAGE(B842:D842)-1)/4</f>
        <v/>
      </c>
      <c r="V842">
        <f>(AVERAGE(E842:F842)-1)/4</f>
        <v/>
      </c>
      <c r="W842">
        <f>(AVERAGE(G842:I842)-1)/4</f>
        <v/>
      </c>
      <c r="X842">
        <f>(AVERAGE(J842:L842)-1)/4</f>
        <v/>
      </c>
      <c r="Y842">
        <f>(AVERAGE(M842:O842)-1)/4</f>
        <v/>
      </c>
      <c r="Z842">
        <f>(AVERAGE(P842:R842)-1)/4</f>
        <v/>
      </c>
      <c r="AA842">
        <f>(AVERAGE(S842:T842)-1)/4</f>
        <v/>
      </c>
      <c r="AB842">
        <f>AVERAGE(U842:Y842)</f>
        <v/>
      </c>
      <c r="AC842">
        <f>MIN(U842:Y842)</f>
        <v/>
      </c>
      <c r="AD842">
        <f>1-alpha*MAX(0,delta-AC842)</f>
        <v/>
      </c>
      <c r="AE842">
        <f>AB842*AD842</f>
        <v/>
      </c>
      <c r="AF842">
        <f>1+COUNTIF(bounds,"&lt;"&amp;ROUND(AB842,12))</f>
        <v/>
      </c>
      <c r="AG842">
        <f>1+COUNTIF(bounds,"&lt;"&amp;ROUND(AE842,12))</f>
        <v/>
      </c>
      <c r="AH842">
        <f>IF(AD842&lt;1,1,0)</f>
        <v/>
      </c>
      <c r="AI842">
        <f>IF(AF842&lt;&gt;AG842,1,0)</f>
        <v/>
      </c>
      <c r="AJ842">
        <f>IF(AND(AG842&gt;=3,Z842&lt;=0.2),1,0)</f>
        <v/>
      </c>
      <c r="AK842">
        <f>AVERAGE(U842:Z842)</f>
        <v/>
      </c>
      <c r="AL842">
        <f>1+COUNTIF(bounds,"&lt;"&amp;ROUND(AK842,12))</f>
        <v/>
      </c>
      <c r="AM842">
        <f>IF(AI842=1,AB842,NA())</f>
        <v/>
      </c>
      <c r="AN842">
        <f>IF(AI842=0,AB842,NA())</f>
        <v/>
      </c>
    </row>
    <row r="843">
      <c r="A843" t="n">
        <v>835</v>
      </c>
      <c r="B843" t="n">
        <v>1</v>
      </c>
      <c r="C843" t="n">
        <v>2</v>
      </c>
      <c r="D843" t="n">
        <v>3</v>
      </c>
      <c r="E843" t="n">
        <v>5</v>
      </c>
      <c r="F843" t="n">
        <v>2</v>
      </c>
      <c r="G843" t="n">
        <v>1</v>
      </c>
      <c r="H843" t="n">
        <v>4</v>
      </c>
      <c r="I843" t="n">
        <v>2</v>
      </c>
      <c r="J843" t="n">
        <v>1</v>
      </c>
      <c r="K843" t="n">
        <v>5</v>
      </c>
      <c r="L843" t="n">
        <v>5</v>
      </c>
      <c r="M843" t="n">
        <v>1</v>
      </c>
      <c r="N843" t="n">
        <v>4</v>
      </c>
      <c r="O843" t="n">
        <v>3</v>
      </c>
      <c r="P843" t="n">
        <v>2</v>
      </c>
      <c r="Q843" t="n">
        <v>5</v>
      </c>
      <c r="R843" t="n">
        <v>2</v>
      </c>
      <c r="S843" t="n">
        <v>3</v>
      </c>
      <c r="T843" t="n">
        <v>1</v>
      </c>
      <c r="U843">
        <f>(AVERAGE(B843:D843)-1)/4</f>
        <v/>
      </c>
      <c r="V843">
        <f>(AVERAGE(E843:F843)-1)/4</f>
        <v/>
      </c>
      <c r="W843">
        <f>(AVERAGE(G843:I843)-1)/4</f>
        <v/>
      </c>
      <c r="X843">
        <f>(AVERAGE(J843:L843)-1)/4</f>
        <v/>
      </c>
      <c r="Y843">
        <f>(AVERAGE(M843:O843)-1)/4</f>
        <v/>
      </c>
      <c r="Z843">
        <f>(AVERAGE(P843:R843)-1)/4</f>
        <v/>
      </c>
      <c r="AA843">
        <f>(AVERAGE(S843:T843)-1)/4</f>
        <v/>
      </c>
      <c r="AB843">
        <f>AVERAGE(U843:Y843)</f>
        <v/>
      </c>
      <c r="AC843">
        <f>MIN(U843:Y843)</f>
        <v/>
      </c>
      <c r="AD843">
        <f>1-alpha*MAX(0,delta-AC843)</f>
        <v/>
      </c>
      <c r="AE843">
        <f>AB843*AD843</f>
        <v/>
      </c>
      <c r="AF843">
        <f>1+COUNTIF(bounds,"&lt;"&amp;ROUND(AB843,12))</f>
        <v/>
      </c>
      <c r="AG843">
        <f>1+COUNTIF(bounds,"&lt;"&amp;ROUND(AE843,12))</f>
        <v/>
      </c>
      <c r="AH843">
        <f>IF(AD843&lt;1,1,0)</f>
        <v/>
      </c>
      <c r="AI843">
        <f>IF(AF843&lt;&gt;AG843,1,0)</f>
        <v/>
      </c>
      <c r="AJ843">
        <f>IF(AND(AG843&gt;=3,Z843&lt;=0.2),1,0)</f>
        <v/>
      </c>
      <c r="AK843">
        <f>AVERAGE(U843:Z843)</f>
        <v/>
      </c>
      <c r="AL843">
        <f>1+COUNTIF(bounds,"&lt;"&amp;ROUND(AK843,12))</f>
        <v/>
      </c>
      <c r="AM843">
        <f>IF(AI843=1,AB843,NA())</f>
        <v/>
      </c>
      <c r="AN843">
        <f>IF(AI843=0,AB843,NA())</f>
        <v/>
      </c>
    </row>
    <row r="844">
      <c r="A844" t="n">
        <v>836</v>
      </c>
      <c r="B844" t="n">
        <v>3</v>
      </c>
      <c r="C844" t="n">
        <v>4</v>
      </c>
      <c r="D844" t="n">
        <v>2</v>
      </c>
      <c r="E844" t="n">
        <v>3</v>
      </c>
      <c r="F844" t="n">
        <v>4</v>
      </c>
      <c r="G844" t="n">
        <v>4</v>
      </c>
      <c r="H844" t="n">
        <v>3</v>
      </c>
      <c r="I844" t="n">
        <v>3</v>
      </c>
      <c r="J844" t="n">
        <v>3</v>
      </c>
      <c r="K844" t="n">
        <v>4</v>
      </c>
      <c r="L844" t="n">
        <v>4</v>
      </c>
      <c r="M844" t="n">
        <v>1</v>
      </c>
      <c r="N844" t="n">
        <v>1</v>
      </c>
      <c r="O844" t="n">
        <v>4</v>
      </c>
      <c r="P844" t="n">
        <v>3</v>
      </c>
      <c r="Q844" t="n">
        <v>3</v>
      </c>
      <c r="R844" t="n">
        <v>2</v>
      </c>
      <c r="S844" t="n">
        <v>1</v>
      </c>
      <c r="T844" t="n">
        <v>3</v>
      </c>
      <c r="U844">
        <f>(AVERAGE(B844:D844)-1)/4</f>
        <v/>
      </c>
      <c r="V844">
        <f>(AVERAGE(E844:F844)-1)/4</f>
        <v/>
      </c>
      <c r="W844">
        <f>(AVERAGE(G844:I844)-1)/4</f>
        <v/>
      </c>
      <c r="X844">
        <f>(AVERAGE(J844:L844)-1)/4</f>
        <v/>
      </c>
      <c r="Y844">
        <f>(AVERAGE(M844:O844)-1)/4</f>
        <v/>
      </c>
      <c r="Z844">
        <f>(AVERAGE(P844:R844)-1)/4</f>
        <v/>
      </c>
      <c r="AA844">
        <f>(AVERAGE(S844:T844)-1)/4</f>
        <v/>
      </c>
      <c r="AB844">
        <f>AVERAGE(U844:Y844)</f>
        <v/>
      </c>
      <c r="AC844">
        <f>MIN(U844:Y844)</f>
        <v/>
      </c>
      <c r="AD844">
        <f>1-alpha*MAX(0,delta-AC844)</f>
        <v/>
      </c>
      <c r="AE844">
        <f>AB844*AD844</f>
        <v/>
      </c>
      <c r="AF844">
        <f>1+COUNTIF(bounds,"&lt;"&amp;ROUND(AB844,12))</f>
        <v/>
      </c>
      <c r="AG844">
        <f>1+COUNTIF(bounds,"&lt;"&amp;ROUND(AE844,12))</f>
        <v/>
      </c>
      <c r="AH844">
        <f>IF(AD844&lt;1,1,0)</f>
        <v/>
      </c>
      <c r="AI844">
        <f>IF(AF844&lt;&gt;AG844,1,0)</f>
        <v/>
      </c>
      <c r="AJ844">
        <f>IF(AND(AG844&gt;=3,Z844&lt;=0.2),1,0)</f>
        <v/>
      </c>
      <c r="AK844">
        <f>AVERAGE(U844:Z844)</f>
        <v/>
      </c>
      <c r="AL844">
        <f>1+COUNTIF(bounds,"&lt;"&amp;ROUND(AK844,12))</f>
        <v/>
      </c>
      <c r="AM844">
        <f>IF(AI844=1,AB844,NA())</f>
        <v/>
      </c>
      <c r="AN844">
        <f>IF(AI844=0,AB844,NA())</f>
        <v/>
      </c>
    </row>
    <row r="845">
      <c r="A845" t="n">
        <v>837</v>
      </c>
      <c r="B845" t="n">
        <v>1</v>
      </c>
      <c r="C845" t="n">
        <v>4</v>
      </c>
      <c r="D845" t="n">
        <v>1</v>
      </c>
      <c r="E845" t="n">
        <v>1</v>
      </c>
      <c r="F845" t="n">
        <v>3</v>
      </c>
      <c r="G845" t="n">
        <v>5</v>
      </c>
      <c r="H845" t="n">
        <v>2</v>
      </c>
      <c r="I845" t="n">
        <v>3</v>
      </c>
      <c r="J845" t="n">
        <v>1</v>
      </c>
      <c r="K845" t="n">
        <v>4</v>
      </c>
      <c r="L845" t="n">
        <v>3</v>
      </c>
      <c r="M845" t="n">
        <v>5</v>
      </c>
      <c r="N845" t="n">
        <v>2</v>
      </c>
      <c r="O845" t="n">
        <v>1</v>
      </c>
      <c r="P845" t="n">
        <v>1</v>
      </c>
      <c r="Q845" t="n">
        <v>2</v>
      </c>
      <c r="R845" t="n">
        <v>5</v>
      </c>
      <c r="S845" t="n">
        <v>1</v>
      </c>
      <c r="T845" t="n">
        <v>5</v>
      </c>
      <c r="U845">
        <f>(AVERAGE(B845:D845)-1)/4</f>
        <v/>
      </c>
      <c r="V845">
        <f>(AVERAGE(E845:F845)-1)/4</f>
        <v/>
      </c>
      <c r="W845">
        <f>(AVERAGE(G845:I845)-1)/4</f>
        <v/>
      </c>
      <c r="X845">
        <f>(AVERAGE(J845:L845)-1)/4</f>
        <v/>
      </c>
      <c r="Y845">
        <f>(AVERAGE(M845:O845)-1)/4</f>
        <v/>
      </c>
      <c r="Z845">
        <f>(AVERAGE(P845:R845)-1)/4</f>
        <v/>
      </c>
      <c r="AA845">
        <f>(AVERAGE(S845:T845)-1)/4</f>
        <v/>
      </c>
      <c r="AB845">
        <f>AVERAGE(U845:Y845)</f>
        <v/>
      </c>
      <c r="AC845">
        <f>MIN(U845:Y845)</f>
        <v/>
      </c>
      <c r="AD845">
        <f>1-alpha*MAX(0,delta-AC845)</f>
        <v/>
      </c>
      <c r="AE845">
        <f>AB845*AD845</f>
        <v/>
      </c>
      <c r="AF845">
        <f>1+COUNTIF(bounds,"&lt;"&amp;ROUND(AB845,12))</f>
        <v/>
      </c>
      <c r="AG845">
        <f>1+COUNTIF(bounds,"&lt;"&amp;ROUND(AE845,12))</f>
        <v/>
      </c>
      <c r="AH845">
        <f>IF(AD845&lt;1,1,0)</f>
        <v/>
      </c>
      <c r="AI845">
        <f>IF(AF845&lt;&gt;AG845,1,0)</f>
        <v/>
      </c>
      <c r="AJ845">
        <f>IF(AND(AG845&gt;=3,Z845&lt;=0.2),1,0)</f>
        <v/>
      </c>
      <c r="AK845">
        <f>AVERAGE(U845:Z845)</f>
        <v/>
      </c>
      <c r="AL845">
        <f>1+COUNTIF(bounds,"&lt;"&amp;ROUND(AK845,12))</f>
        <v/>
      </c>
      <c r="AM845">
        <f>IF(AI845=1,AB845,NA())</f>
        <v/>
      </c>
      <c r="AN845">
        <f>IF(AI845=0,AB845,NA())</f>
        <v/>
      </c>
    </row>
    <row r="846">
      <c r="A846" t="n">
        <v>838</v>
      </c>
      <c r="B846" t="n">
        <v>5</v>
      </c>
      <c r="C846" t="n">
        <v>4</v>
      </c>
      <c r="D846" t="n">
        <v>3</v>
      </c>
      <c r="E846" t="n">
        <v>2</v>
      </c>
      <c r="F846" t="n">
        <v>1</v>
      </c>
      <c r="G846" t="n">
        <v>1</v>
      </c>
      <c r="H846" t="n">
        <v>1</v>
      </c>
      <c r="I846" t="n">
        <v>5</v>
      </c>
      <c r="J846" t="n">
        <v>2</v>
      </c>
      <c r="K846" t="n">
        <v>4</v>
      </c>
      <c r="L846" t="n">
        <v>1</v>
      </c>
      <c r="M846" t="n">
        <v>2</v>
      </c>
      <c r="N846" t="n">
        <v>5</v>
      </c>
      <c r="O846" t="n">
        <v>3</v>
      </c>
      <c r="P846" t="n">
        <v>2</v>
      </c>
      <c r="Q846" t="n">
        <v>4</v>
      </c>
      <c r="R846" t="n">
        <v>4</v>
      </c>
      <c r="S846" t="n">
        <v>3</v>
      </c>
      <c r="T846" t="n">
        <v>2</v>
      </c>
      <c r="U846">
        <f>(AVERAGE(B846:D846)-1)/4</f>
        <v/>
      </c>
      <c r="V846">
        <f>(AVERAGE(E846:F846)-1)/4</f>
        <v/>
      </c>
      <c r="W846">
        <f>(AVERAGE(G846:I846)-1)/4</f>
        <v/>
      </c>
      <c r="X846">
        <f>(AVERAGE(J846:L846)-1)/4</f>
        <v/>
      </c>
      <c r="Y846">
        <f>(AVERAGE(M846:O846)-1)/4</f>
        <v/>
      </c>
      <c r="Z846">
        <f>(AVERAGE(P846:R846)-1)/4</f>
        <v/>
      </c>
      <c r="AA846">
        <f>(AVERAGE(S846:T846)-1)/4</f>
        <v/>
      </c>
      <c r="AB846">
        <f>AVERAGE(U846:Y846)</f>
        <v/>
      </c>
      <c r="AC846">
        <f>MIN(U846:Y846)</f>
        <v/>
      </c>
      <c r="AD846">
        <f>1-alpha*MAX(0,delta-AC846)</f>
        <v/>
      </c>
      <c r="AE846">
        <f>AB846*AD846</f>
        <v/>
      </c>
      <c r="AF846">
        <f>1+COUNTIF(bounds,"&lt;"&amp;ROUND(AB846,12))</f>
        <v/>
      </c>
      <c r="AG846">
        <f>1+COUNTIF(bounds,"&lt;"&amp;ROUND(AE846,12))</f>
        <v/>
      </c>
      <c r="AH846">
        <f>IF(AD846&lt;1,1,0)</f>
        <v/>
      </c>
      <c r="AI846">
        <f>IF(AF846&lt;&gt;AG846,1,0)</f>
        <v/>
      </c>
      <c r="AJ846">
        <f>IF(AND(AG846&gt;=3,Z846&lt;=0.2),1,0)</f>
        <v/>
      </c>
      <c r="AK846">
        <f>AVERAGE(U846:Z846)</f>
        <v/>
      </c>
      <c r="AL846">
        <f>1+COUNTIF(bounds,"&lt;"&amp;ROUND(AK846,12))</f>
        <v/>
      </c>
      <c r="AM846">
        <f>IF(AI846=1,AB846,NA())</f>
        <v/>
      </c>
      <c r="AN846">
        <f>IF(AI846=0,AB846,NA())</f>
        <v/>
      </c>
    </row>
    <row r="847">
      <c r="A847" t="n">
        <v>839</v>
      </c>
      <c r="B847" t="n">
        <v>1</v>
      </c>
      <c r="C847" t="n">
        <v>3</v>
      </c>
      <c r="D847" t="n">
        <v>1</v>
      </c>
      <c r="E847" t="n">
        <v>2</v>
      </c>
      <c r="F847" t="n">
        <v>2</v>
      </c>
      <c r="G847" t="n">
        <v>3</v>
      </c>
      <c r="H847" t="n">
        <v>5</v>
      </c>
      <c r="I847" t="n">
        <v>2</v>
      </c>
      <c r="J847" t="n">
        <v>3</v>
      </c>
      <c r="K847" t="n">
        <v>3</v>
      </c>
      <c r="L847" t="n">
        <v>1</v>
      </c>
      <c r="M847" t="n">
        <v>1</v>
      </c>
      <c r="N847" t="n">
        <v>4</v>
      </c>
      <c r="O847" t="n">
        <v>3</v>
      </c>
      <c r="P847" t="n">
        <v>5</v>
      </c>
      <c r="Q847" t="n">
        <v>3</v>
      </c>
      <c r="R847" t="n">
        <v>4</v>
      </c>
      <c r="S847" t="n">
        <v>4</v>
      </c>
      <c r="T847" t="n">
        <v>4</v>
      </c>
      <c r="U847">
        <f>(AVERAGE(B847:D847)-1)/4</f>
        <v/>
      </c>
      <c r="V847">
        <f>(AVERAGE(E847:F847)-1)/4</f>
        <v/>
      </c>
      <c r="W847">
        <f>(AVERAGE(G847:I847)-1)/4</f>
        <v/>
      </c>
      <c r="X847">
        <f>(AVERAGE(J847:L847)-1)/4</f>
        <v/>
      </c>
      <c r="Y847">
        <f>(AVERAGE(M847:O847)-1)/4</f>
        <v/>
      </c>
      <c r="Z847">
        <f>(AVERAGE(P847:R847)-1)/4</f>
        <v/>
      </c>
      <c r="AA847">
        <f>(AVERAGE(S847:T847)-1)/4</f>
        <v/>
      </c>
      <c r="AB847">
        <f>AVERAGE(U847:Y847)</f>
        <v/>
      </c>
      <c r="AC847">
        <f>MIN(U847:Y847)</f>
        <v/>
      </c>
      <c r="AD847">
        <f>1-alpha*MAX(0,delta-AC847)</f>
        <v/>
      </c>
      <c r="AE847">
        <f>AB847*AD847</f>
        <v/>
      </c>
      <c r="AF847">
        <f>1+COUNTIF(bounds,"&lt;"&amp;ROUND(AB847,12))</f>
        <v/>
      </c>
      <c r="AG847">
        <f>1+COUNTIF(bounds,"&lt;"&amp;ROUND(AE847,12))</f>
        <v/>
      </c>
      <c r="AH847">
        <f>IF(AD847&lt;1,1,0)</f>
        <v/>
      </c>
      <c r="AI847">
        <f>IF(AF847&lt;&gt;AG847,1,0)</f>
        <v/>
      </c>
      <c r="AJ847">
        <f>IF(AND(AG847&gt;=3,Z847&lt;=0.2),1,0)</f>
        <v/>
      </c>
      <c r="AK847">
        <f>AVERAGE(U847:Z847)</f>
        <v/>
      </c>
      <c r="AL847">
        <f>1+COUNTIF(bounds,"&lt;"&amp;ROUND(AK847,12))</f>
        <v/>
      </c>
      <c r="AM847">
        <f>IF(AI847=1,AB847,NA())</f>
        <v/>
      </c>
      <c r="AN847">
        <f>IF(AI847=0,AB847,NA())</f>
        <v/>
      </c>
    </row>
    <row r="848">
      <c r="A848" t="n">
        <v>840</v>
      </c>
      <c r="B848" t="n">
        <v>5</v>
      </c>
      <c r="C848" t="n">
        <v>3</v>
      </c>
      <c r="D848" t="n">
        <v>4</v>
      </c>
      <c r="E848" t="n">
        <v>1</v>
      </c>
      <c r="F848" t="n">
        <v>1</v>
      </c>
      <c r="G848" t="n">
        <v>4</v>
      </c>
      <c r="H848" t="n">
        <v>5</v>
      </c>
      <c r="I848" t="n">
        <v>2</v>
      </c>
      <c r="J848" t="n">
        <v>4</v>
      </c>
      <c r="K848" t="n">
        <v>3</v>
      </c>
      <c r="L848" t="n">
        <v>4</v>
      </c>
      <c r="M848" t="n">
        <v>5</v>
      </c>
      <c r="N848" t="n">
        <v>5</v>
      </c>
      <c r="O848" t="n">
        <v>3</v>
      </c>
      <c r="P848" t="n">
        <v>4</v>
      </c>
      <c r="Q848" t="n">
        <v>4</v>
      </c>
      <c r="R848" t="n">
        <v>1</v>
      </c>
      <c r="S848" t="n">
        <v>1</v>
      </c>
      <c r="T848" t="n">
        <v>1</v>
      </c>
      <c r="U848">
        <f>(AVERAGE(B848:D848)-1)/4</f>
        <v/>
      </c>
      <c r="V848">
        <f>(AVERAGE(E848:F848)-1)/4</f>
        <v/>
      </c>
      <c r="W848">
        <f>(AVERAGE(G848:I848)-1)/4</f>
        <v/>
      </c>
      <c r="X848">
        <f>(AVERAGE(J848:L848)-1)/4</f>
        <v/>
      </c>
      <c r="Y848">
        <f>(AVERAGE(M848:O848)-1)/4</f>
        <v/>
      </c>
      <c r="Z848">
        <f>(AVERAGE(P848:R848)-1)/4</f>
        <v/>
      </c>
      <c r="AA848">
        <f>(AVERAGE(S848:T848)-1)/4</f>
        <v/>
      </c>
      <c r="AB848">
        <f>AVERAGE(U848:Y848)</f>
        <v/>
      </c>
      <c r="AC848">
        <f>MIN(U848:Y848)</f>
        <v/>
      </c>
      <c r="AD848">
        <f>1-alpha*MAX(0,delta-AC848)</f>
        <v/>
      </c>
      <c r="AE848">
        <f>AB848*AD848</f>
        <v/>
      </c>
      <c r="AF848">
        <f>1+COUNTIF(bounds,"&lt;"&amp;ROUND(AB848,12))</f>
        <v/>
      </c>
      <c r="AG848">
        <f>1+COUNTIF(bounds,"&lt;"&amp;ROUND(AE848,12))</f>
        <v/>
      </c>
      <c r="AH848">
        <f>IF(AD848&lt;1,1,0)</f>
        <v/>
      </c>
      <c r="AI848">
        <f>IF(AF848&lt;&gt;AG848,1,0)</f>
        <v/>
      </c>
      <c r="AJ848">
        <f>IF(AND(AG848&gt;=3,Z848&lt;=0.2),1,0)</f>
        <v/>
      </c>
      <c r="AK848">
        <f>AVERAGE(U848:Z848)</f>
        <v/>
      </c>
      <c r="AL848">
        <f>1+COUNTIF(bounds,"&lt;"&amp;ROUND(AK848,12))</f>
        <v/>
      </c>
      <c r="AM848">
        <f>IF(AI848=1,AB848,NA())</f>
        <v/>
      </c>
      <c r="AN848">
        <f>IF(AI848=0,AB848,NA())</f>
        <v/>
      </c>
    </row>
    <row r="849">
      <c r="A849" t="n">
        <v>841</v>
      </c>
      <c r="B849" t="n">
        <v>1</v>
      </c>
      <c r="C849" t="n">
        <v>3</v>
      </c>
      <c r="D849" t="n">
        <v>1</v>
      </c>
      <c r="E849" t="n">
        <v>4</v>
      </c>
      <c r="F849" t="n">
        <v>2</v>
      </c>
      <c r="G849" t="n">
        <v>1</v>
      </c>
      <c r="H849" t="n">
        <v>4</v>
      </c>
      <c r="I849" t="n">
        <v>3</v>
      </c>
      <c r="J849" t="n">
        <v>5</v>
      </c>
      <c r="K849" t="n">
        <v>5</v>
      </c>
      <c r="L849" t="n">
        <v>4</v>
      </c>
      <c r="M849" t="n">
        <v>1</v>
      </c>
      <c r="N849" t="n">
        <v>4</v>
      </c>
      <c r="O849" t="n">
        <v>5</v>
      </c>
      <c r="P849" t="n">
        <v>4</v>
      </c>
      <c r="Q849" t="n">
        <v>3</v>
      </c>
      <c r="R849" t="n">
        <v>2</v>
      </c>
      <c r="S849" t="n">
        <v>3</v>
      </c>
      <c r="T849" t="n">
        <v>5</v>
      </c>
      <c r="U849">
        <f>(AVERAGE(B849:D849)-1)/4</f>
        <v/>
      </c>
      <c r="V849">
        <f>(AVERAGE(E849:F849)-1)/4</f>
        <v/>
      </c>
      <c r="W849">
        <f>(AVERAGE(G849:I849)-1)/4</f>
        <v/>
      </c>
      <c r="X849">
        <f>(AVERAGE(J849:L849)-1)/4</f>
        <v/>
      </c>
      <c r="Y849">
        <f>(AVERAGE(M849:O849)-1)/4</f>
        <v/>
      </c>
      <c r="Z849">
        <f>(AVERAGE(P849:R849)-1)/4</f>
        <v/>
      </c>
      <c r="AA849">
        <f>(AVERAGE(S849:T849)-1)/4</f>
        <v/>
      </c>
      <c r="AB849">
        <f>AVERAGE(U849:Y849)</f>
        <v/>
      </c>
      <c r="AC849">
        <f>MIN(U849:Y849)</f>
        <v/>
      </c>
      <c r="AD849">
        <f>1-alpha*MAX(0,delta-AC849)</f>
        <v/>
      </c>
      <c r="AE849">
        <f>AB849*AD849</f>
        <v/>
      </c>
      <c r="AF849">
        <f>1+COUNTIF(bounds,"&lt;"&amp;ROUND(AB849,12))</f>
        <v/>
      </c>
      <c r="AG849">
        <f>1+COUNTIF(bounds,"&lt;"&amp;ROUND(AE849,12))</f>
        <v/>
      </c>
      <c r="AH849">
        <f>IF(AD849&lt;1,1,0)</f>
        <v/>
      </c>
      <c r="AI849">
        <f>IF(AF849&lt;&gt;AG849,1,0)</f>
        <v/>
      </c>
      <c r="AJ849">
        <f>IF(AND(AG849&gt;=3,Z849&lt;=0.2),1,0)</f>
        <v/>
      </c>
      <c r="AK849">
        <f>AVERAGE(U849:Z849)</f>
        <v/>
      </c>
      <c r="AL849">
        <f>1+COUNTIF(bounds,"&lt;"&amp;ROUND(AK849,12))</f>
        <v/>
      </c>
      <c r="AM849">
        <f>IF(AI849=1,AB849,NA())</f>
        <v/>
      </c>
      <c r="AN849">
        <f>IF(AI849=0,AB849,NA())</f>
        <v/>
      </c>
    </row>
    <row r="850">
      <c r="A850" t="n">
        <v>842</v>
      </c>
      <c r="B850" t="n">
        <v>3</v>
      </c>
      <c r="C850" t="n">
        <v>5</v>
      </c>
      <c r="D850" t="n">
        <v>3</v>
      </c>
      <c r="E850" t="n">
        <v>2</v>
      </c>
      <c r="F850" t="n">
        <v>3</v>
      </c>
      <c r="G850" t="n">
        <v>1</v>
      </c>
      <c r="H850" t="n">
        <v>4</v>
      </c>
      <c r="I850" t="n">
        <v>3</v>
      </c>
      <c r="J850" t="n">
        <v>1</v>
      </c>
      <c r="K850" t="n">
        <v>4</v>
      </c>
      <c r="L850" t="n">
        <v>4</v>
      </c>
      <c r="M850" t="n">
        <v>3</v>
      </c>
      <c r="N850" t="n">
        <v>1</v>
      </c>
      <c r="O850" t="n">
        <v>1</v>
      </c>
      <c r="P850" t="n">
        <v>2</v>
      </c>
      <c r="Q850" t="n">
        <v>4</v>
      </c>
      <c r="R850" t="n">
        <v>1</v>
      </c>
      <c r="S850" t="n">
        <v>1</v>
      </c>
      <c r="T850" t="n">
        <v>2</v>
      </c>
      <c r="U850">
        <f>(AVERAGE(B850:D850)-1)/4</f>
        <v/>
      </c>
      <c r="V850">
        <f>(AVERAGE(E850:F850)-1)/4</f>
        <v/>
      </c>
      <c r="W850">
        <f>(AVERAGE(G850:I850)-1)/4</f>
        <v/>
      </c>
      <c r="X850">
        <f>(AVERAGE(J850:L850)-1)/4</f>
        <v/>
      </c>
      <c r="Y850">
        <f>(AVERAGE(M850:O850)-1)/4</f>
        <v/>
      </c>
      <c r="Z850">
        <f>(AVERAGE(P850:R850)-1)/4</f>
        <v/>
      </c>
      <c r="AA850">
        <f>(AVERAGE(S850:T850)-1)/4</f>
        <v/>
      </c>
      <c r="AB850">
        <f>AVERAGE(U850:Y850)</f>
        <v/>
      </c>
      <c r="AC850">
        <f>MIN(U850:Y850)</f>
        <v/>
      </c>
      <c r="AD850">
        <f>1-alpha*MAX(0,delta-AC850)</f>
        <v/>
      </c>
      <c r="AE850">
        <f>AB850*AD850</f>
        <v/>
      </c>
      <c r="AF850">
        <f>1+COUNTIF(bounds,"&lt;"&amp;ROUND(AB850,12))</f>
        <v/>
      </c>
      <c r="AG850">
        <f>1+COUNTIF(bounds,"&lt;"&amp;ROUND(AE850,12))</f>
        <v/>
      </c>
      <c r="AH850">
        <f>IF(AD850&lt;1,1,0)</f>
        <v/>
      </c>
      <c r="AI850">
        <f>IF(AF850&lt;&gt;AG850,1,0)</f>
        <v/>
      </c>
      <c r="AJ850">
        <f>IF(AND(AG850&gt;=3,Z850&lt;=0.2),1,0)</f>
        <v/>
      </c>
      <c r="AK850">
        <f>AVERAGE(U850:Z850)</f>
        <v/>
      </c>
      <c r="AL850">
        <f>1+COUNTIF(bounds,"&lt;"&amp;ROUND(AK850,12))</f>
        <v/>
      </c>
      <c r="AM850">
        <f>IF(AI850=1,AB850,NA())</f>
        <v/>
      </c>
      <c r="AN850">
        <f>IF(AI850=0,AB850,NA())</f>
        <v/>
      </c>
    </row>
    <row r="851">
      <c r="A851" t="n">
        <v>843</v>
      </c>
      <c r="B851" t="n">
        <v>4</v>
      </c>
      <c r="C851" t="n">
        <v>1</v>
      </c>
      <c r="D851" t="n">
        <v>2</v>
      </c>
      <c r="E851" t="n">
        <v>2</v>
      </c>
      <c r="F851" t="n">
        <v>4</v>
      </c>
      <c r="G851" t="n">
        <v>2</v>
      </c>
      <c r="H851" t="n">
        <v>4</v>
      </c>
      <c r="I851" t="n">
        <v>5</v>
      </c>
      <c r="J851" t="n">
        <v>4</v>
      </c>
      <c r="K851" t="n">
        <v>5</v>
      </c>
      <c r="L851" t="n">
        <v>1</v>
      </c>
      <c r="M851" t="n">
        <v>4</v>
      </c>
      <c r="N851" t="n">
        <v>4</v>
      </c>
      <c r="O851" t="n">
        <v>2</v>
      </c>
      <c r="P851" t="n">
        <v>3</v>
      </c>
      <c r="Q851" t="n">
        <v>3</v>
      </c>
      <c r="R851" t="n">
        <v>4</v>
      </c>
      <c r="S851" t="n">
        <v>2</v>
      </c>
      <c r="T851" t="n">
        <v>5</v>
      </c>
      <c r="U851">
        <f>(AVERAGE(B851:D851)-1)/4</f>
        <v/>
      </c>
      <c r="V851">
        <f>(AVERAGE(E851:F851)-1)/4</f>
        <v/>
      </c>
      <c r="W851">
        <f>(AVERAGE(G851:I851)-1)/4</f>
        <v/>
      </c>
      <c r="X851">
        <f>(AVERAGE(J851:L851)-1)/4</f>
        <v/>
      </c>
      <c r="Y851">
        <f>(AVERAGE(M851:O851)-1)/4</f>
        <v/>
      </c>
      <c r="Z851">
        <f>(AVERAGE(P851:R851)-1)/4</f>
        <v/>
      </c>
      <c r="AA851">
        <f>(AVERAGE(S851:T851)-1)/4</f>
        <v/>
      </c>
      <c r="AB851">
        <f>AVERAGE(U851:Y851)</f>
        <v/>
      </c>
      <c r="AC851">
        <f>MIN(U851:Y851)</f>
        <v/>
      </c>
      <c r="AD851">
        <f>1-alpha*MAX(0,delta-AC851)</f>
        <v/>
      </c>
      <c r="AE851">
        <f>AB851*AD851</f>
        <v/>
      </c>
      <c r="AF851">
        <f>1+COUNTIF(bounds,"&lt;"&amp;ROUND(AB851,12))</f>
        <v/>
      </c>
      <c r="AG851">
        <f>1+COUNTIF(bounds,"&lt;"&amp;ROUND(AE851,12))</f>
        <v/>
      </c>
      <c r="AH851">
        <f>IF(AD851&lt;1,1,0)</f>
        <v/>
      </c>
      <c r="AI851">
        <f>IF(AF851&lt;&gt;AG851,1,0)</f>
        <v/>
      </c>
      <c r="AJ851">
        <f>IF(AND(AG851&gt;=3,Z851&lt;=0.2),1,0)</f>
        <v/>
      </c>
      <c r="AK851">
        <f>AVERAGE(U851:Z851)</f>
        <v/>
      </c>
      <c r="AL851">
        <f>1+COUNTIF(bounds,"&lt;"&amp;ROUND(AK851,12))</f>
        <v/>
      </c>
      <c r="AM851">
        <f>IF(AI851=1,AB851,NA())</f>
        <v/>
      </c>
      <c r="AN851">
        <f>IF(AI851=0,AB851,NA())</f>
        <v/>
      </c>
    </row>
    <row r="852">
      <c r="A852" t="n">
        <v>844</v>
      </c>
      <c r="B852" t="n">
        <v>1</v>
      </c>
      <c r="C852" t="n">
        <v>1</v>
      </c>
      <c r="D852" t="n">
        <v>1</v>
      </c>
      <c r="E852" t="n">
        <v>1</v>
      </c>
      <c r="F852" t="n">
        <v>4</v>
      </c>
      <c r="G852" t="n">
        <v>5</v>
      </c>
      <c r="H852" t="n">
        <v>2</v>
      </c>
      <c r="I852" t="n">
        <v>3</v>
      </c>
      <c r="J852" t="n">
        <v>1</v>
      </c>
      <c r="K852" t="n">
        <v>1</v>
      </c>
      <c r="L852" t="n">
        <v>3</v>
      </c>
      <c r="M852" t="n">
        <v>2</v>
      </c>
      <c r="N852" t="n">
        <v>1</v>
      </c>
      <c r="O852" t="n">
        <v>3</v>
      </c>
      <c r="P852" t="n">
        <v>1</v>
      </c>
      <c r="Q852" t="n">
        <v>5</v>
      </c>
      <c r="R852" t="n">
        <v>4</v>
      </c>
      <c r="S852" t="n">
        <v>4</v>
      </c>
      <c r="T852" t="n">
        <v>1</v>
      </c>
      <c r="U852">
        <f>(AVERAGE(B852:D852)-1)/4</f>
        <v/>
      </c>
      <c r="V852">
        <f>(AVERAGE(E852:F852)-1)/4</f>
        <v/>
      </c>
      <c r="W852">
        <f>(AVERAGE(G852:I852)-1)/4</f>
        <v/>
      </c>
      <c r="X852">
        <f>(AVERAGE(J852:L852)-1)/4</f>
        <v/>
      </c>
      <c r="Y852">
        <f>(AVERAGE(M852:O852)-1)/4</f>
        <v/>
      </c>
      <c r="Z852">
        <f>(AVERAGE(P852:R852)-1)/4</f>
        <v/>
      </c>
      <c r="AA852">
        <f>(AVERAGE(S852:T852)-1)/4</f>
        <v/>
      </c>
      <c r="AB852">
        <f>AVERAGE(U852:Y852)</f>
        <v/>
      </c>
      <c r="AC852">
        <f>MIN(U852:Y852)</f>
        <v/>
      </c>
      <c r="AD852">
        <f>1-alpha*MAX(0,delta-AC852)</f>
        <v/>
      </c>
      <c r="AE852">
        <f>AB852*AD852</f>
        <v/>
      </c>
      <c r="AF852">
        <f>1+COUNTIF(bounds,"&lt;"&amp;ROUND(AB852,12))</f>
        <v/>
      </c>
      <c r="AG852">
        <f>1+COUNTIF(bounds,"&lt;"&amp;ROUND(AE852,12))</f>
        <v/>
      </c>
      <c r="AH852">
        <f>IF(AD852&lt;1,1,0)</f>
        <v/>
      </c>
      <c r="AI852">
        <f>IF(AF852&lt;&gt;AG852,1,0)</f>
        <v/>
      </c>
      <c r="AJ852">
        <f>IF(AND(AG852&gt;=3,Z852&lt;=0.2),1,0)</f>
        <v/>
      </c>
      <c r="AK852">
        <f>AVERAGE(U852:Z852)</f>
        <v/>
      </c>
      <c r="AL852">
        <f>1+COUNTIF(bounds,"&lt;"&amp;ROUND(AK852,12))</f>
        <v/>
      </c>
      <c r="AM852">
        <f>IF(AI852=1,AB852,NA())</f>
        <v/>
      </c>
      <c r="AN852">
        <f>IF(AI852=0,AB852,NA())</f>
        <v/>
      </c>
    </row>
    <row r="853">
      <c r="A853" t="n">
        <v>845</v>
      </c>
      <c r="B853" t="n">
        <v>4</v>
      </c>
      <c r="C853" t="n">
        <v>3</v>
      </c>
      <c r="D853" t="n">
        <v>3</v>
      </c>
      <c r="E853" t="n">
        <v>2</v>
      </c>
      <c r="F853" t="n">
        <v>1</v>
      </c>
      <c r="G853" t="n">
        <v>4</v>
      </c>
      <c r="H853" t="n">
        <v>3</v>
      </c>
      <c r="I853" t="n">
        <v>5</v>
      </c>
      <c r="J853" t="n">
        <v>3</v>
      </c>
      <c r="K853" t="n">
        <v>1</v>
      </c>
      <c r="L853" t="n">
        <v>1</v>
      </c>
      <c r="M853" t="n">
        <v>4</v>
      </c>
      <c r="N853" t="n">
        <v>1</v>
      </c>
      <c r="O853" t="n">
        <v>1</v>
      </c>
      <c r="P853" t="n">
        <v>2</v>
      </c>
      <c r="Q853" t="n">
        <v>5</v>
      </c>
      <c r="R853" t="n">
        <v>1</v>
      </c>
      <c r="S853" t="n">
        <v>3</v>
      </c>
      <c r="T853" t="n">
        <v>3</v>
      </c>
      <c r="U853">
        <f>(AVERAGE(B853:D853)-1)/4</f>
        <v/>
      </c>
      <c r="V853">
        <f>(AVERAGE(E853:F853)-1)/4</f>
        <v/>
      </c>
      <c r="W853">
        <f>(AVERAGE(G853:I853)-1)/4</f>
        <v/>
      </c>
      <c r="X853">
        <f>(AVERAGE(J853:L853)-1)/4</f>
        <v/>
      </c>
      <c r="Y853">
        <f>(AVERAGE(M853:O853)-1)/4</f>
        <v/>
      </c>
      <c r="Z853">
        <f>(AVERAGE(P853:R853)-1)/4</f>
        <v/>
      </c>
      <c r="AA853">
        <f>(AVERAGE(S853:T853)-1)/4</f>
        <v/>
      </c>
      <c r="AB853">
        <f>AVERAGE(U853:Y853)</f>
        <v/>
      </c>
      <c r="AC853">
        <f>MIN(U853:Y853)</f>
        <v/>
      </c>
      <c r="AD853">
        <f>1-alpha*MAX(0,delta-AC853)</f>
        <v/>
      </c>
      <c r="AE853">
        <f>AB853*AD853</f>
        <v/>
      </c>
      <c r="AF853">
        <f>1+COUNTIF(bounds,"&lt;"&amp;ROUND(AB853,12))</f>
        <v/>
      </c>
      <c r="AG853">
        <f>1+COUNTIF(bounds,"&lt;"&amp;ROUND(AE853,12))</f>
        <v/>
      </c>
      <c r="AH853">
        <f>IF(AD853&lt;1,1,0)</f>
        <v/>
      </c>
      <c r="AI853">
        <f>IF(AF853&lt;&gt;AG853,1,0)</f>
        <v/>
      </c>
      <c r="AJ853">
        <f>IF(AND(AG853&gt;=3,Z853&lt;=0.2),1,0)</f>
        <v/>
      </c>
      <c r="AK853">
        <f>AVERAGE(U853:Z853)</f>
        <v/>
      </c>
      <c r="AL853">
        <f>1+COUNTIF(bounds,"&lt;"&amp;ROUND(AK853,12))</f>
        <v/>
      </c>
      <c r="AM853">
        <f>IF(AI853=1,AB853,NA())</f>
        <v/>
      </c>
      <c r="AN853">
        <f>IF(AI853=0,AB853,NA())</f>
        <v/>
      </c>
    </row>
    <row r="854">
      <c r="A854" t="n">
        <v>846</v>
      </c>
      <c r="B854" t="n">
        <v>4</v>
      </c>
      <c r="C854" t="n">
        <v>2</v>
      </c>
      <c r="D854" t="n">
        <v>5</v>
      </c>
      <c r="E854" t="n">
        <v>3</v>
      </c>
      <c r="F854" t="n">
        <v>3</v>
      </c>
      <c r="G854" t="n">
        <v>2</v>
      </c>
      <c r="H854" t="n">
        <v>5</v>
      </c>
      <c r="I854" t="n">
        <v>2</v>
      </c>
      <c r="J854" t="n">
        <v>3</v>
      </c>
      <c r="K854" t="n">
        <v>2</v>
      </c>
      <c r="L854" t="n">
        <v>3</v>
      </c>
      <c r="M854" t="n">
        <v>1</v>
      </c>
      <c r="N854" t="n">
        <v>2</v>
      </c>
      <c r="O854" t="n">
        <v>5</v>
      </c>
      <c r="P854" t="n">
        <v>4</v>
      </c>
      <c r="Q854" t="n">
        <v>4</v>
      </c>
      <c r="R854" t="n">
        <v>2</v>
      </c>
      <c r="S854" t="n">
        <v>5</v>
      </c>
      <c r="T854" t="n">
        <v>3</v>
      </c>
      <c r="U854">
        <f>(AVERAGE(B854:D854)-1)/4</f>
        <v/>
      </c>
      <c r="V854">
        <f>(AVERAGE(E854:F854)-1)/4</f>
        <v/>
      </c>
      <c r="W854">
        <f>(AVERAGE(G854:I854)-1)/4</f>
        <v/>
      </c>
      <c r="X854">
        <f>(AVERAGE(J854:L854)-1)/4</f>
        <v/>
      </c>
      <c r="Y854">
        <f>(AVERAGE(M854:O854)-1)/4</f>
        <v/>
      </c>
      <c r="Z854">
        <f>(AVERAGE(P854:R854)-1)/4</f>
        <v/>
      </c>
      <c r="AA854">
        <f>(AVERAGE(S854:T854)-1)/4</f>
        <v/>
      </c>
      <c r="AB854">
        <f>AVERAGE(U854:Y854)</f>
        <v/>
      </c>
      <c r="AC854">
        <f>MIN(U854:Y854)</f>
        <v/>
      </c>
      <c r="AD854">
        <f>1-alpha*MAX(0,delta-AC854)</f>
        <v/>
      </c>
      <c r="AE854">
        <f>AB854*AD854</f>
        <v/>
      </c>
      <c r="AF854">
        <f>1+COUNTIF(bounds,"&lt;"&amp;ROUND(AB854,12))</f>
        <v/>
      </c>
      <c r="AG854">
        <f>1+COUNTIF(bounds,"&lt;"&amp;ROUND(AE854,12))</f>
        <v/>
      </c>
      <c r="AH854">
        <f>IF(AD854&lt;1,1,0)</f>
        <v/>
      </c>
      <c r="AI854">
        <f>IF(AF854&lt;&gt;AG854,1,0)</f>
        <v/>
      </c>
      <c r="AJ854">
        <f>IF(AND(AG854&gt;=3,Z854&lt;=0.2),1,0)</f>
        <v/>
      </c>
      <c r="AK854">
        <f>AVERAGE(U854:Z854)</f>
        <v/>
      </c>
      <c r="AL854">
        <f>1+COUNTIF(bounds,"&lt;"&amp;ROUND(AK854,12))</f>
        <v/>
      </c>
      <c r="AM854">
        <f>IF(AI854=1,AB854,NA())</f>
        <v/>
      </c>
      <c r="AN854">
        <f>IF(AI854=0,AB854,NA())</f>
        <v/>
      </c>
    </row>
    <row r="855">
      <c r="A855" t="n">
        <v>847</v>
      </c>
      <c r="B855" t="n">
        <v>3</v>
      </c>
      <c r="C855" t="n">
        <v>5</v>
      </c>
      <c r="D855" t="n">
        <v>4</v>
      </c>
      <c r="E855" t="n">
        <v>5</v>
      </c>
      <c r="F855" t="n">
        <v>1</v>
      </c>
      <c r="G855" t="n">
        <v>2</v>
      </c>
      <c r="H855" t="n">
        <v>2</v>
      </c>
      <c r="I855" t="n">
        <v>1</v>
      </c>
      <c r="J855" t="n">
        <v>5</v>
      </c>
      <c r="K855" t="n">
        <v>1</v>
      </c>
      <c r="L855" t="n">
        <v>5</v>
      </c>
      <c r="M855" t="n">
        <v>4</v>
      </c>
      <c r="N855" t="n">
        <v>3</v>
      </c>
      <c r="O855" t="n">
        <v>2</v>
      </c>
      <c r="P855" t="n">
        <v>3</v>
      </c>
      <c r="Q855" t="n">
        <v>3</v>
      </c>
      <c r="R855" t="n">
        <v>2</v>
      </c>
      <c r="S855" t="n">
        <v>2</v>
      </c>
      <c r="T855" t="n">
        <v>5</v>
      </c>
      <c r="U855">
        <f>(AVERAGE(B855:D855)-1)/4</f>
        <v/>
      </c>
      <c r="V855">
        <f>(AVERAGE(E855:F855)-1)/4</f>
        <v/>
      </c>
      <c r="W855">
        <f>(AVERAGE(G855:I855)-1)/4</f>
        <v/>
      </c>
      <c r="X855">
        <f>(AVERAGE(J855:L855)-1)/4</f>
        <v/>
      </c>
      <c r="Y855">
        <f>(AVERAGE(M855:O855)-1)/4</f>
        <v/>
      </c>
      <c r="Z855">
        <f>(AVERAGE(P855:R855)-1)/4</f>
        <v/>
      </c>
      <c r="AA855">
        <f>(AVERAGE(S855:T855)-1)/4</f>
        <v/>
      </c>
      <c r="AB855">
        <f>AVERAGE(U855:Y855)</f>
        <v/>
      </c>
      <c r="AC855">
        <f>MIN(U855:Y855)</f>
        <v/>
      </c>
      <c r="AD855">
        <f>1-alpha*MAX(0,delta-AC855)</f>
        <v/>
      </c>
      <c r="AE855">
        <f>AB855*AD855</f>
        <v/>
      </c>
      <c r="AF855">
        <f>1+COUNTIF(bounds,"&lt;"&amp;ROUND(AB855,12))</f>
        <v/>
      </c>
      <c r="AG855">
        <f>1+COUNTIF(bounds,"&lt;"&amp;ROUND(AE855,12))</f>
        <v/>
      </c>
      <c r="AH855">
        <f>IF(AD855&lt;1,1,0)</f>
        <v/>
      </c>
      <c r="AI855">
        <f>IF(AF855&lt;&gt;AG855,1,0)</f>
        <v/>
      </c>
      <c r="AJ855">
        <f>IF(AND(AG855&gt;=3,Z855&lt;=0.2),1,0)</f>
        <v/>
      </c>
      <c r="AK855">
        <f>AVERAGE(U855:Z855)</f>
        <v/>
      </c>
      <c r="AL855">
        <f>1+COUNTIF(bounds,"&lt;"&amp;ROUND(AK855,12))</f>
        <v/>
      </c>
      <c r="AM855">
        <f>IF(AI855=1,AB855,NA())</f>
        <v/>
      </c>
      <c r="AN855">
        <f>IF(AI855=0,AB855,NA())</f>
        <v/>
      </c>
    </row>
    <row r="856">
      <c r="A856" t="n">
        <v>848</v>
      </c>
      <c r="B856" t="n">
        <v>4</v>
      </c>
      <c r="C856" t="n">
        <v>3</v>
      </c>
      <c r="D856" t="n">
        <v>5</v>
      </c>
      <c r="E856" t="n">
        <v>4</v>
      </c>
      <c r="F856" t="n">
        <v>1</v>
      </c>
      <c r="G856" t="n">
        <v>5</v>
      </c>
      <c r="H856" t="n">
        <v>3</v>
      </c>
      <c r="I856" t="n">
        <v>5</v>
      </c>
      <c r="J856" t="n">
        <v>2</v>
      </c>
      <c r="K856" t="n">
        <v>4</v>
      </c>
      <c r="L856" t="n">
        <v>3</v>
      </c>
      <c r="M856" t="n">
        <v>4</v>
      </c>
      <c r="N856" t="n">
        <v>3</v>
      </c>
      <c r="O856" t="n">
        <v>5</v>
      </c>
      <c r="P856" t="n">
        <v>5</v>
      </c>
      <c r="Q856" t="n">
        <v>4</v>
      </c>
      <c r="R856" t="n">
        <v>4</v>
      </c>
      <c r="S856" t="n">
        <v>4</v>
      </c>
      <c r="T856" t="n">
        <v>1</v>
      </c>
      <c r="U856">
        <f>(AVERAGE(B856:D856)-1)/4</f>
        <v/>
      </c>
      <c r="V856">
        <f>(AVERAGE(E856:F856)-1)/4</f>
        <v/>
      </c>
      <c r="W856">
        <f>(AVERAGE(G856:I856)-1)/4</f>
        <v/>
      </c>
      <c r="X856">
        <f>(AVERAGE(J856:L856)-1)/4</f>
        <v/>
      </c>
      <c r="Y856">
        <f>(AVERAGE(M856:O856)-1)/4</f>
        <v/>
      </c>
      <c r="Z856">
        <f>(AVERAGE(P856:R856)-1)/4</f>
        <v/>
      </c>
      <c r="AA856">
        <f>(AVERAGE(S856:T856)-1)/4</f>
        <v/>
      </c>
      <c r="AB856">
        <f>AVERAGE(U856:Y856)</f>
        <v/>
      </c>
      <c r="AC856">
        <f>MIN(U856:Y856)</f>
        <v/>
      </c>
      <c r="AD856">
        <f>1-alpha*MAX(0,delta-AC856)</f>
        <v/>
      </c>
      <c r="AE856">
        <f>AB856*AD856</f>
        <v/>
      </c>
      <c r="AF856">
        <f>1+COUNTIF(bounds,"&lt;"&amp;ROUND(AB856,12))</f>
        <v/>
      </c>
      <c r="AG856">
        <f>1+COUNTIF(bounds,"&lt;"&amp;ROUND(AE856,12))</f>
        <v/>
      </c>
      <c r="AH856">
        <f>IF(AD856&lt;1,1,0)</f>
        <v/>
      </c>
      <c r="AI856">
        <f>IF(AF856&lt;&gt;AG856,1,0)</f>
        <v/>
      </c>
      <c r="AJ856">
        <f>IF(AND(AG856&gt;=3,Z856&lt;=0.2),1,0)</f>
        <v/>
      </c>
      <c r="AK856">
        <f>AVERAGE(U856:Z856)</f>
        <v/>
      </c>
      <c r="AL856">
        <f>1+COUNTIF(bounds,"&lt;"&amp;ROUND(AK856,12))</f>
        <v/>
      </c>
      <c r="AM856">
        <f>IF(AI856=1,AB856,NA())</f>
        <v/>
      </c>
      <c r="AN856">
        <f>IF(AI856=0,AB856,NA())</f>
        <v/>
      </c>
    </row>
    <row r="857">
      <c r="A857" t="n">
        <v>849</v>
      </c>
      <c r="B857" t="n">
        <v>4</v>
      </c>
      <c r="C857" t="n">
        <v>4</v>
      </c>
      <c r="D857" t="n">
        <v>1</v>
      </c>
      <c r="E857" t="n">
        <v>4</v>
      </c>
      <c r="F857" t="n">
        <v>3</v>
      </c>
      <c r="G857" t="n">
        <v>1</v>
      </c>
      <c r="H857" t="n">
        <v>3</v>
      </c>
      <c r="I857" t="n">
        <v>4</v>
      </c>
      <c r="J857" t="n">
        <v>1</v>
      </c>
      <c r="K857" t="n">
        <v>1</v>
      </c>
      <c r="L857" t="n">
        <v>1</v>
      </c>
      <c r="M857" t="n">
        <v>4</v>
      </c>
      <c r="N857" t="n">
        <v>5</v>
      </c>
      <c r="O857" t="n">
        <v>4</v>
      </c>
      <c r="P857" t="n">
        <v>5</v>
      </c>
      <c r="Q857" t="n">
        <v>4</v>
      </c>
      <c r="R857" t="n">
        <v>4</v>
      </c>
      <c r="S857" t="n">
        <v>1</v>
      </c>
      <c r="T857" t="n">
        <v>4</v>
      </c>
      <c r="U857">
        <f>(AVERAGE(B857:D857)-1)/4</f>
        <v/>
      </c>
      <c r="V857">
        <f>(AVERAGE(E857:F857)-1)/4</f>
        <v/>
      </c>
      <c r="W857">
        <f>(AVERAGE(G857:I857)-1)/4</f>
        <v/>
      </c>
      <c r="X857">
        <f>(AVERAGE(J857:L857)-1)/4</f>
        <v/>
      </c>
      <c r="Y857">
        <f>(AVERAGE(M857:O857)-1)/4</f>
        <v/>
      </c>
      <c r="Z857">
        <f>(AVERAGE(P857:R857)-1)/4</f>
        <v/>
      </c>
      <c r="AA857">
        <f>(AVERAGE(S857:T857)-1)/4</f>
        <v/>
      </c>
      <c r="AB857">
        <f>AVERAGE(U857:Y857)</f>
        <v/>
      </c>
      <c r="AC857">
        <f>MIN(U857:Y857)</f>
        <v/>
      </c>
      <c r="AD857">
        <f>1-alpha*MAX(0,delta-AC857)</f>
        <v/>
      </c>
      <c r="AE857">
        <f>AB857*AD857</f>
        <v/>
      </c>
      <c r="AF857">
        <f>1+COUNTIF(bounds,"&lt;"&amp;ROUND(AB857,12))</f>
        <v/>
      </c>
      <c r="AG857">
        <f>1+COUNTIF(bounds,"&lt;"&amp;ROUND(AE857,12))</f>
        <v/>
      </c>
      <c r="AH857">
        <f>IF(AD857&lt;1,1,0)</f>
        <v/>
      </c>
      <c r="AI857">
        <f>IF(AF857&lt;&gt;AG857,1,0)</f>
        <v/>
      </c>
      <c r="AJ857">
        <f>IF(AND(AG857&gt;=3,Z857&lt;=0.2),1,0)</f>
        <v/>
      </c>
      <c r="AK857">
        <f>AVERAGE(U857:Z857)</f>
        <v/>
      </c>
      <c r="AL857">
        <f>1+COUNTIF(bounds,"&lt;"&amp;ROUND(AK857,12))</f>
        <v/>
      </c>
      <c r="AM857">
        <f>IF(AI857=1,AB857,NA())</f>
        <v/>
      </c>
      <c r="AN857">
        <f>IF(AI857=0,AB857,NA())</f>
        <v/>
      </c>
    </row>
    <row r="858">
      <c r="A858" t="n">
        <v>850</v>
      </c>
      <c r="B858" t="n">
        <v>2</v>
      </c>
      <c r="C858" t="n">
        <v>4</v>
      </c>
      <c r="D858" t="n">
        <v>1</v>
      </c>
      <c r="E858" t="n">
        <v>1</v>
      </c>
      <c r="F858" t="n">
        <v>3</v>
      </c>
      <c r="G858" t="n">
        <v>1</v>
      </c>
      <c r="H858" t="n">
        <v>2</v>
      </c>
      <c r="I858" t="n">
        <v>5</v>
      </c>
      <c r="J858" t="n">
        <v>1</v>
      </c>
      <c r="K858" t="n">
        <v>1</v>
      </c>
      <c r="L858" t="n">
        <v>1</v>
      </c>
      <c r="M858" t="n">
        <v>4</v>
      </c>
      <c r="N858" t="n">
        <v>2</v>
      </c>
      <c r="O858" t="n">
        <v>1</v>
      </c>
      <c r="P858" t="n">
        <v>3</v>
      </c>
      <c r="Q858" t="n">
        <v>3</v>
      </c>
      <c r="R858" t="n">
        <v>5</v>
      </c>
      <c r="S858" t="n">
        <v>1</v>
      </c>
      <c r="T858" t="n">
        <v>5</v>
      </c>
      <c r="U858">
        <f>(AVERAGE(B858:D858)-1)/4</f>
        <v/>
      </c>
      <c r="V858">
        <f>(AVERAGE(E858:F858)-1)/4</f>
        <v/>
      </c>
      <c r="W858">
        <f>(AVERAGE(G858:I858)-1)/4</f>
        <v/>
      </c>
      <c r="X858">
        <f>(AVERAGE(J858:L858)-1)/4</f>
        <v/>
      </c>
      <c r="Y858">
        <f>(AVERAGE(M858:O858)-1)/4</f>
        <v/>
      </c>
      <c r="Z858">
        <f>(AVERAGE(P858:R858)-1)/4</f>
        <v/>
      </c>
      <c r="AA858">
        <f>(AVERAGE(S858:T858)-1)/4</f>
        <v/>
      </c>
      <c r="AB858">
        <f>AVERAGE(U858:Y858)</f>
        <v/>
      </c>
      <c r="AC858">
        <f>MIN(U858:Y858)</f>
        <v/>
      </c>
      <c r="AD858">
        <f>1-alpha*MAX(0,delta-AC858)</f>
        <v/>
      </c>
      <c r="AE858">
        <f>AB858*AD858</f>
        <v/>
      </c>
      <c r="AF858">
        <f>1+COUNTIF(bounds,"&lt;"&amp;ROUND(AB858,12))</f>
        <v/>
      </c>
      <c r="AG858">
        <f>1+COUNTIF(bounds,"&lt;"&amp;ROUND(AE858,12))</f>
        <v/>
      </c>
      <c r="AH858">
        <f>IF(AD858&lt;1,1,0)</f>
        <v/>
      </c>
      <c r="AI858">
        <f>IF(AF858&lt;&gt;AG858,1,0)</f>
        <v/>
      </c>
      <c r="AJ858">
        <f>IF(AND(AG858&gt;=3,Z858&lt;=0.2),1,0)</f>
        <v/>
      </c>
      <c r="AK858">
        <f>AVERAGE(U858:Z858)</f>
        <v/>
      </c>
      <c r="AL858">
        <f>1+COUNTIF(bounds,"&lt;"&amp;ROUND(AK858,12))</f>
        <v/>
      </c>
      <c r="AM858">
        <f>IF(AI858=1,AB858,NA())</f>
        <v/>
      </c>
      <c r="AN858">
        <f>IF(AI858=0,AB858,NA())</f>
        <v/>
      </c>
    </row>
    <row r="859">
      <c r="A859" t="n">
        <v>851</v>
      </c>
      <c r="B859" t="n">
        <v>3</v>
      </c>
      <c r="C859" t="n">
        <v>3</v>
      </c>
      <c r="D859" t="n">
        <v>2</v>
      </c>
      <c r="E859" t="n">
        <v>3</v>
      </c>
      <c r="F859" t="n">
        <v>1</v>
      </c>
      <c r="G859" t="n">
        <v>4</v>
      </c>
      <c r="H859" t="n">
        <v>4</v>
      </c>
      <c r="I859" t="n">
        <v>2</v>
      </c>
      <c r="J859" t="n">
        <v>1</v>
      </c>
      <c r="K859" t="n">
        <v>1</v>
      </c>
      <c r="L859" t="n">
        <v>2</v>
      </c>
      <c r="M859" t="n">
        <v>3</v>
      </c>
      <c r="N859" t="n">
        <v>2</v>
      </c>
      <c r="O859" t="n">
        <v>4</v>
      </c>
      <c r="P859" t="n">
        <v>3</v>
      </c>
      <c r="Q859" t="n">
        <v>2</v>
      </c>
      <c r="R859" t="n">
        <v>1</v>
      </c>
      <c r="S859" t="n">
        <v>5</v>
      </c>
      <c r="T859" t="n">
        <v>4</v>
      </c>
      <c r="U859">
        <f>(AVERAGE(B859:D859)-1)/4</f>
        <v/>
      </c>
      <c r="V859">
        <f>(AVERAGE(E859:F859)-1)/4</f>
        <v/>
      </c>
      <c r="W859">
        <f>(AVERAGE(G859:I859)-1)/4</f>
        <v/>
      </c>
      <c r="X859">
        <f>(AVERAGE(J859:L859)-1)/4</f>
        <v/>
      </c>
      <c r="Y859">
        <f>(AVERAGE(M859:O859)-1)/4</f>
        <v/>
      </c>
      <c r="Z859">
        <f>(AVERAGE(P859:R859)-1)/4</f>
        <v/>
      </c>
      <c r="AA859">
        <f>(AVERAGE(S859:T859)-1)/4</f>
        <v/>
      </c>
      <c r="AB859">
        <f>AVERAGE(U859:Y859)</f>
        <v/>
      </c>
      <c r="AC859">
        <f>MIN(U859:Y859)</f>
        <v/>
      </c>
      <c r="AD859">
        <f>1-alpha*MAX(0,delta-AC859)</f>
        <v/>
      </c>
      <c r="AE859">
        <f>AB859*AD859</f>
        <v/>
      </c>
      <c r="AF859">
        <f>1+COUNTIF(bounds,"&lt;"&amp;ROUND(AB859,12))</f>
        <v/>
      </c>
      <c r="AG859">
        <f>1+COUNTIF(bounds,"&lt;"&amp;ROUND(AE859,12))</f>
        <v/>
      </c>
      <c r="AH859">
        <f>IF(AD859&lt;1,1,0)</f>
        <v/>
      </c>
      <c r="AI859">
        <f>IF(AF859&lt;&gt;AG859,1,0)</f>
        <v/>
      </c>
      <c r="AJ859">
        <f>IF(AND(AG859&gt;=3,Z859&lt;=0.2),1,0)</f>
        <v/>
      </c>
      <c r="AK859">
        <f>AVERAGE(U859:Z859)</f>
        <v/>
      </c>
      <c r="AL859">
        <f>1+COUNTIF(bounds,"&lt;"&amp;ROUND(AK859,12))</f>
        <v/>
      </c>
      <c r="AM859">
        <f>IF(AI859=1,AB859,NA())</f>
        <v/>
      </c>
      <c r="AN859">
        <f>IF(AI859=0,AB859,NA())</f>
        <v/>
      </c>
    </row>
    <row r="860">
      <c r="A860" t="n">
        <v>852</v>
      </c>
      <c r="B860" t="n">
        <v>2</v>
      </c>
      <c r="C860" t="n">
        <v>4</v>
      </c>
      <c r="D860" t="n">
        <v>1</v>
      </c>
      <c r="E860" t="n">
        <v>2</v>
      </c>
      <c r="F860" t="n">
        <v>1</v>
      </c>
      <c r="G860" t="n">
        <v>2</v>
      </c>
      <c r="H860" t="n">
        <v>1</v>
      </c>
      <c r="I860" t="n">
        <v>4</v>
      </c>
      <c r="J860" t="n">
        <v>5</v>
      </c>
      <c r="K860" t="n">
        <v>5</v>
      </c>
      <c r="L860" t="n">
        <v>3</v>
      </c>
      <c r="M860" t="n">
        <v>3</v>
      </c>
      <c r="N860" t="n">
        <v>5</v>
      </c>
      <c r="O860" t="n">
        <v>5</v>
      </c>
      <c r="P860" t="n">
        <v>5</v>
      </c>
      <c r="Q860" t="n">
        <v>2</v>
      </c>
      <c r="R860" t="n">
        <v>1</v>
      </c>
      <c r="S860" t="n">
        <v>3</v>
      </c>
      <c r="T860" t="n">
        <v>3</v>
      </c>
      <c r="U860">
        <f>(AVERAGE(B860:D860)-1)/4</f>
        <v/>
      </c>
      <c r="V860">
        <f>(AVERAGE(E860:F860)-1)/4</f>
        <v/>
      </c>
      <c r="W860">
        <f>(AVERAGE(G860:I860)-1)/4</f>
        <v/>
      </c>
      <c r="X860">
        <f>(AVERAGE(J860:L860)-1)/4</f>
        <v/>
      </c>
      <c r="Y860">
        <f>(AVERAGE(M860:O860)-1)/4</f>
        <v/>
      </c>
      <c r="Z860">
        <f>(AVERAGE(P860:R860)-1)/4</f>
        <v/>
      </c>
      <c r="AA860">
        <f>(AVERAGE(S860:T860)-1)/4</f>
        <v/>
      </c>
      <c r="AB860">
        <f>AVERAGE(U860:Y860)</f>
        <v/>
      </c>
      <c r="AC860">
        <f>MIN(U860:Y860)</f>
        <v/>
      </c>
      <c r="AD860">
        <f>1-alpha*MAX(0,delta-AC860)</f>
        <v/>
      </c>
      <c r="AE860">
        <f>AB860*AD860</f>
        <v/>
      </c>
      <c r="AF860">
        <f>1+COUNTIF(bounds,"&lt;"&amp;ROUND(AB860,12))</f>
        <v/>
      </c>
      <c r="AG860">
        <f>1+COUNTIF(bounds,"&lt;"&amp;ROUND(AE860,12))</f>
        <v/>
      </c>
      <c r="AH860">
        <f>IF(AD860&lt;1,1,0)</f>
        <v/>
      </c>
      <c r="AI860">
        <f>IF(AF860&lt;&gt;AG860,1,0)</f>
        <v/>
      </c>
      <c r="AJ860">
        <f>IF(AND(AG860&gt;=3,Z860&lt;=0.2),1,0)</f>
        <v/>
      </c>
      <c r="AK860">
        <f>AVERAGE(U860:Z860)</f>
        <v/>
      </c>
      <c r="AL860">
        <f>1+COUNTIF(bounds,"&lt;"&amp;ROUND(AK860,12))</f>
        <v/>
      </c>
      <c r="AM860">
        <f>IF(AI860=1,AB860,NA())</f>
        <v/>
      </c>
      <c r="AN860">
        <f>IF(AI860=0,AB860,NA())</f>
        <v/>
      </c>
    </row>
    <row r="861">
      <c r="A861" t="n">
        <v>853</v>
      </c>
      <c r="B861" t="n">
        <v>1</v>
      </c>
      <c r="C861" t="n">
        <v>5</v>
      </c>
      <c r="D861" t="n">
        <v>4</v>
      </c>
      <c r="E861" t="n">
        <v>4</v>
      </c>
      <c r="F861" t="n">
        <v>5</v>
      </c>
      <c r="G861" t="n">
        <v>2</v>
      </c>
      <c r="H861" t="n">
        <v>4</v>
      </c>
      <c r="I861" t="n">
        <v>3</v>
      </c>
      <c r="J861" t="n">
        <v>5</v>
      </c>
      <c r="K861" t="n">
        <v>1</v>
      </c>
      <c r="L861" t="n">
        <v>3</v>
      </c>
      <c r="M861" t="n">
        <v>3</v>
      </c>
      <c r="N861" t="n">
        <v>5</v>
      </c>
      <c r="O861" t="n">
        <v>5</v>
      </c>
      <c r="P861" t="n">
        <v>4</v>
      </c>
      <c r="Q861" t="n">
        <v>5</v>
      </c>
      <c r="R861" t="n">
        <v>4</v>
      </c>
      <c r="S861" t="n">
        <v>5</v>
      </c>
      <c r="T861" t="n">
        <v>4</v>
      </c>
      <c r="U861">
        <f>(AVERAGE(B861:D861)-1)/4</f>
        <v/>
      </c>
      <c r="V861">
        <f>(AVERAGE(E861:F861)-1)/4</f>
        <v/>
      </c>
      <c r="W861">
        <f>(AVERAGE(G861:I861)-1)/4</f>
        <v/>
      </c>
      <c r="X861">
        <f>(AVERAGE(J861:L861)-1)/4</f>
        <v/>
      </c>
      <c r="Y861">
        <f>(AVERAGE(M861:O861)-1)/4</f>
        <v/>
      </c>
      <c r="Z861">
        <f>(AVERAGE(P861:R861)-1)/4</f>
        <v/>
      </c>
      <c r="AA861">
        <f>(AVERAGE(S861:T861)-1)/4</f>
        <v/>
      </c>
      <c r="AB861">
        <f>AVERAGE(U861:Y861)</f>
        <v/>
      </c>
      <c r="AC861">
        <f>MIN(U861:Y861)</f>
        <v/>
      </c>
      <c r="AD861">
        <f>1-alpha*MAX(0,delta-AC861)</f>
        <v/>
      </c>
      <c r="AE861">
        <f>AB861*AD861</f>
        <v/>
      </c>
      <c r="AF861">
        <f>1+COUNTIF(bounds,"&lt;"&amp;ROUND(AB861,12))</f>
        <v/>
      </c>
      <c r="AG861">
        <f>1+COUNTIF(bounds,"&lt;"&amp;ROUND(AE861,12))</f>
        <v/>
      </c>
      <c r="AH861">
        <f>IF(AD861&lt;1,1,0)</f>
        <v/>
      </c>
      <c r="AI861">
        <f>IF(AF861&lt;&gt;AG861,1,0)</f>
        <v/>
      </c>
      <c r="AJ861">
        <f>IF(AND(AG861&gt;=3,Z861&lt;=0.2),1,0)</f>
        <v/>
      </c>
      <c r="AK861">
        <f>AVERAGE(U861:Z861)</f>
        <v/>
      </c>
      <c r="AL861">
        <f>1+COUNTIF(bounds,"&lt;"&amp;ROUND(AK861,12))</f>
        <v/>
      </c>
      <c r="AM861">
        <f>IF(AI861=1,AB861,NA())</f>
        <v/>
      </c>
      <c r="AN861">
        <f>IF(AI861=0,AB861,NA())</f>
        <v/>
      </c>
    </row>
    <row r="862">
      <c r="A862" t="n">
        <v>854</v>
      </c>
      <c r="B862" t="n">
        <v>3</v>
      </c>
      <c r="C862" t="n">
        <v>4</v>
      </c>
      <c r="D862" t="n">
        <v>2</v>
      </c>
      <c r="E862" t="n">
        <v>5</v>
      </c>
      <c r="F862" t="n">
        <v>2</v>
      </c>
      <c r="G862" t="n">
        <v>5</v>
      </c>
      <c r="H862" t="n">
        <v>4</v>
      </c>
      <c r="I862" t="n">
        <v>4</v>
      </c>
      <c r="J862" t="n">
        <v>5</v>
      </c>
      <c r="K862" t="n">
        <v>4</v>
      </c>
      <c r="L862" t="n">
        <v>4</v>
      </c>
      <c r="M862" t="n">
        <v>4</v>
      </c>
      <c r="N862" t="n">
        <v>1</v>
      </c>
      <c r="O862" t="n">
        <v>3</v>
      </c>
      <c r="P862" t="n">
        <v>4</v>
      </c>
      <c r="Q862" t="n">
        <v>4</v>
      </c>
      <c r="R862" t="n">
        <v>2</v>
      </c>
      <c r="S862" t="n">
        <v>1</v>
      </c>
      <c r="T862" t="n">
        <v>4</v>
      </c>
      <c r="U862">
        <f>(AVERAGE(B862:D862)-1)/4</f>
        <v/>
      </c>
      <c r="V862">
        <f>(AVERAGE(E862:F862)-1)/4</f>
        <v/>
      </c>
      <c r="W862">
        <f>(AVERAGE(G862:I862)-1)/4</f>
        <v/>
      </c>
      <c r="X862">
        <f>(AVERAGE(J862:L862)-1)/4</f>
        <v/>
      </c>
      <c r="Y862">
        <f>(AVERAGE(M862:O862)-1)/4</f>
        <v/>
      </c>
      <c r="Z862">
        <f>(AVERAGE(P862:R862)-1)/4</f>
        <v/>
      </c>
      <c r="AA862">
        <f>(AVERAGE(S862:T862)-1)/4</f>
        <v/>
      </c>
      <c r="AB862">
        <f>AVERAGE(U862:Y862)</f>
        <v/>
      </c>
      <c r="AC862">
        <f>MIN(U862:Y862)</f>
        <v/>
      </c>
      <c r="AD862">
        <f>1-alpha*MAX(0,delta-AC862)</f>
        <v/>
      </c>
      <c r="AE862">
        <f>AB862*AD862</f>
        <v/>
      </c>
      <c r="AF862">
        <f>1+COUNTIF(bounds,"&lt;"&amp;ROUND(AB862,12))</f>
        <v/>
      </c>
      <c r="AG862">
        <f>1+COUNTIF(bounds,"&lt;"&amp;ROUND(AE862,12))</f>
        <v/>
      </c>
      <c r="AH862">
        <f>IF(AD862&lt;1,1,0)</f>
        <v/>
      </c>
      <c r="AI862">
        <f>IF(AF862&lt;&gt;AG862,1,0)</f>
        <v/>
      </c>
      <c r="AJ862">
        <f>IF(AND(AG862&gt;=3,Z862&lt;=0.2),1,0)</f>
        <v/>
      </c>
      <c r="AK862">
        <f>AVERAGE(U862:Z862)</f>
        <v/>
      </c>
      <c r="AL862">
        <f>1+COUNTIF(bounds,"&lt;"&amp;ROUND(AK862,12))</f>
        <v/>
      </c>
      <c r="AM862">
        <f>IF(AI862=1,AB862,NA())</f>
        <v/>
      </c>
      <c r="AN862">
        <f>IF(AI862=0,AB862,NA())</f>
        <v/>
      </c>
    </row>
    <row r="863">
      <c r="A863" t="n">
        <v>855</v>
      </c>
      <c r="B863" t="n">
        <v>4</v>
      </c>
      <c r="C863" t="n">
        <v>3</v>
      </c>
      <c r="D863" t="n">
        <v>2</v>
      </c>
      <c r="E863" t="n">
        <v>4</v>
      </c>
      <c r="F863" t="n">
        <v>2</v>
      </c>
      <c r="G863" t="n">
        <v>5</v>
      </c>
      <c r="H863" t="n">
        <v>3</v>
      </c>
      <c r="I863" t="n">
        <v>1</v>
      </c>
      <c r="J863" t="n">
        <v>1</v>
      </c>
      <c r="K863" t="n">
        <v>3</v>
      </c>
      <c r="L863" t="n">
        <v>4</v>
      </c>
      <c r="M863" t="n">
        <v>5</v>
      </c>
      <c r="N863" t="n">
        <v>4</v>
      </c>
      <c r="O863" t="n">
        <v>4</v>
      </c>
      <c r="P863" t="n">
        <v>2</v>
      </c>
      <c r="Q863" t="n">
        <v>1</v>
      </c>
      <c r="R863" t="n">
        <v>5</v>
      </c>
      <c r="S863" t="n">
        <v>5</v>
      </c>
      <c r="T863" t="n">
        <v>2</v>
      </c>
      <c r="U863">
        <f>(AVERAGE(B863:D863)-1)/4</f>
        <v/>
      </c>
      <c r="V863">
        <f>(AVERAGE(E863:F863)-1)/4</f>
        <v/>
      </c>
      <c r="W863">
        <f>(AVERAGE(G863:I863)-1)/4</f>
        <v/>
      </c>
      <c r="X863">
        <f>(AVERAGE(J863:L863)-1)/4</f>
        <v/>
      </c>
      <c r="Y863">
        <f>(AVERAGE(M863:O863)-1)/4</f>
        <v/>
      </c>
      <c r="Z863">
        <f>(AVERAGE(P863:R863)-1)/4</f>
        <v/>
      </c>
      <c r="AA863">
        <f>(AVERAGE(S863:T863)-1)/4</f>
        <v/>
      </c>
      <c r="AB863">
        <f>AVERAGE(U863:Y863)</f>
        <v/>
      </c>
      <c r="AC863">
        <f>MIN(U863:Y863)</f>
        <v/>
      </c>
      <c r="AD863">
        <f>1-alpha*MAX(0,delta-AC863)</f>
        <v/>
      </c>
      <c r="AE863">
        <f>AB863*AD863</f>
        <v/>
      </c>
      <c r="AF863">
        <f>1+COUNTIF(bounds,"&lt;"&amp;ROUND(AB863,12))</f>
        <v/>
      </c>
      <c r="AG863">
        <f>1+COUNTIF(bounds,"&lt;"&amp;ROUND(AE863,12))</f>
        <v/>
      </c>
      <c r="AH863">
        <f>IF(AD863&lt;1,1,0)</f>
        <v/>
      </c>
      <c r="AI863">
        <f>IF(AF863&lt;&gt;AG863,1,0)</f>
        <v/>
      </c>
      <c r="AJ863">
        <f>IF(AND(AG863&gt;=3,Z863&lt;=0.2),1,0)</f>
        <v/>
      </c>
      <c r="AK863">
        <f>AVERAGE(U863:Z863)</f>
        <v/>
      </c>
      <c r="AL863">
        <f>1+COUNTIF(bounds,"&lt;"&amp;ROUND(AK863,12))</f>
        <v/>
      </c>
      <c r="AM863">
        <f>IF(AI863=1,AB863,NA())</f>
        <v/>
      </c>
      <c r="AN863">
        <f>IF(AI863=0,AB863,NA())</f>
        <v/>
      </c>
    </row>
    <row r="864">
      <c r="A864" t="n">
        <v>856</v>
      </c>
      <c r="B864" t="n">
        <v>2</v>
      </c>
      <c r="C864" t="n">
        <v>3</v>
      </c>
      <c r="D864" t="n">
        <v>1</v>
      </c>
      <c r="E864" t="n">
        <v>5</v>
      </c>
      <c r="F864" t="n">
        <v>2</v>
      </c>
      <c r="G864" t="n">
        <v>2</v>
      </c>
      <c r="H864" t="n">
        <v>4</v>
      </c>
      <c r="I864" t="n">
        <v>1</v>
      </c>
      <c r="J864" t="n">
        <v>4</v>
      </c>
      <c r="K864" t="n">
        <v>5</v>
      </c>
      <c r="L864" t="n">
        <v>3</v>
      </c>
      <c r="M864" t="n">
        <v>5</v>
      </c>
      <c r="N864" t="n">
        <v>3</v>
      </c>
      <c r="O864" t="n">
        <v>4</v>
      </c>
      <c r="P864" t="n">
        <v>3</v>
      </c>
      <c r="Q864" t="n">
        <v>1</v>
      </c>
      <c r="R864" t="n">
        <v>1</v>
      </c>
      <c r="S864" t="n">
        <v>4</v>
      </c>
      <c r="T864" t="n">
        <v>5</v>
      </c>
      <c r="U864">
        <f>(AVERAGE(B864:D864)-1)/4</f>
        <v/>
      </c>
      <c r="V864">
        <f>(AVERAGE(E864:F864)-1)/4</f>
        <v/>
      </c>
      <c r="W864">
        <f>(AVERAGE(G864:I864)-1)/4</f>
        <v/>
      </c>
      <c r="X864">
        <f>(AVERAGE(J864:L864)-1)/4</f>
        <v/>
      </c>
      <c r="Y864">
        <f>(AVERAGE(M864:O864)-1)/4</f>
        <v/>
      </c>
      <c r="Z864">
        <f>(AVERAGE(P864:R864)-1)/4</f>
        <v/>
      </c>
      <c r="AA864">
        <f>(AVERAGE(S864:T864)-1)/4</f>
        <v/>
      </c>
      <c r="AB864">
        <f>AVERAGE(U864:Y864)</f>
        <v/>
      </c>
      <c r="AC864">
        <f>MIN(U864:Y864)</f>
        <v/>
      </c>
      <c r="AD864">
        <f>1-alpha*MAX(0,delta-AC864)</f>
        <v/>
      </c>
      <c r="AE864">
        <f>AB864*AD864</f>
        <v/>
      </c>
      <c r="AF864">
        <f>1+COUNTIF(bounds,"&lt;"&amp;ROUND(AB864,12))</f>
        <v/>
      </c>
      <c r="AG864">
        <f>1+COUNTIF(bounds,"&lt;"&amp;ROUND(AE864,12))</f>
        <v/>
      </c>
      <c r="AH864">
        <f>IF(AD864&lt;1,1,0)</f>
        <v/>
      </c>
      <c r="AI864">
        <f>IF(AF864&lt;&gt;AG864,1,0)</f>
        <v/>
      </c>
      <c r="AJ864">
        <f>IF(AND(AG864&gt;=3,Z864&lt;=0.2),1,0)</f>
        <v/>
      </c>
      <c r="AK864">
        <f>AVERAGE(U864:Z864)</f>
        <v/>
      </c>
      <c r="AL864">
        <f>1+COUNTIF(bounds,"&lt;"&amp;ROUND(AK864,12))</f>
        <v/>
      </c>
      <c r="AM864">
        <f>IF(AI864=1,AB864,NA())</f>
        <v/>
      </c>
      <c r="AN864">
        <f>IF(AI864=0,AB864,NA())</f>
        <v/>
      </c>
    </row>
    <row r="865">
      <c r="A865" t="n">
        <v>857</v>
      </c>
      <c r="B865" t="n">
        <v>4</v>
      </c>
      <c r="C865" t="n">
        <v>5</v>
      </c>
      <c r="D865" t="n">
        <v>5</v>
      </c>
      <c r="E865" t="n">
        <v>2</v>
      </c>
      <c r="F865" t="n">
        <v>2</v>
      </c>
      <c r="G865" t="n">
        <v>2</v>
      </c>
      <c r="H865" t="n">
        <v>1</v>
      </c>
      <c r="I865" t="n">
        <v>3</v>
      </c>
      <c r="J865" t="n">
        <v>3</v>
      </c>
      <c r="K865" t="n">
        <v>1</v>
      </c>
      <c r="L865" t="n">
        <v>2</v>
      </c>
      <c r="M865" t="n">
        <v>3</v>
      </c>
      <c r="N865" t="n">
        <v>4</v>
      </c>
      <c r="O865" t="n">
        <v>2</v>
      </c>
      <c r="P865" t="n">
        <v>3</v>
      </c>
      <c r="Q865" t="n">
        <v>2</v>
      </c>
      <c r="R865" t="n">
        <v>2</v>
      </c>
      <c r="S865" t="n">
        <v>5</v>
      </c>
      <c r="T865" t="n">
        <v>3</v>
      </c>
      <c r="U865">
        <f>(AVERAGE(B865:D865)-1)/4</f>
        <v/>
      </c>
      <c r="V865">
        <f>(AVERAGE(E865:F865)-1)/4</f>
        <v/>
      </c>
      <c r="W865">
        <f>(AVERAGE(G865:I865)-1)/4</f>
        <v/>
      </c>
      <c r="X865">
        <f>(AVERAGE(J865:L865)-1)/4</f>
        <v/>
      </c>
      <c r="Y865">
        <f>(AVERAGE(M865:O865)-1)/4</f>
        <v/>
      </c>
      <c r="Z865">
        <f>(AVERAGE(P865:R865)-1)/4</f>
        <v/>
      </c>
      <c r="AA865">
        <f>(AVERAGE(S865:T865)-1)/4</f>
        <v/>
      </c>
      <c r="AB865">
        <f>AVERAGE(U865:Y865)</f>
        <v/>
      </c>
      <c r="AC865">
        <f>MIN(U865:Y865)</f>
        <v/>
      </c>
      <c r="AD865">
        <f>1-alpha*MAX(0,delta-AC865)</f>
        <v/>
      </c>
      <c r="AE865">
        <f>AB865*AD865</f>
        <v/>
      </c>
      <c r="AF865">
        <f>1+COUNTIF(bounds,"&lt;"&amp;ROUND(AB865,12))</f>
        <v/>
      </c>
      <c r="AG865">
        <f>1+COUNTIF(bounds,"&lt;"&amp;ROUND(AE865,12))</f>
        <v/>
      </c>
      <c r="AH865">
        <f>IF(AD865&lt;1,1,0)</f>
        <v/>
      </c>
      <c r="AI865">
        <f>IF(AF865&lt;&gt;AG865,1,0)</f>
        <v/>
      </c>
      <c r="AJ865">
        <f>IF(AND(AG865&gt;=3,Z865&lt;=0.2),1,0)</f>
        <v/>
      </c>
      <c r="AK865">
        <f>AVERAGE(U865:Z865)</f>
        <v/>
      </c>
      <c r="AL865">
        <f>1+COUNTIF(bounds,"&lt;"&amp;ROUND(AK865,12))</f>
        <v/>
      </c>
      <c r="AM865">
        <f>IF(AI865=1,AB865,NA())</f>
        <v/>
      </c>
      <c r="AN865">
        <f>IF(AI865=0,AB865,NA())</f>
        <v/>
      </c>
    </row>
    <row r="866">
      <c r="A866" t="n">
        <v>858</v>
      </c>
      <c r="B866" t="n">
        <v>3</v>
      </c>
      <c r="C866" t="n">
        <v>2</v>
      </c>
      <c r="D866" t="n">
        <v>1</v>
      </c>
      <c r="E866" t="n">
        <v>4</v>
      </c>
      <c r="F866" t="n">
        <v>3</v>
      </c>
      <c r="G866" t="n">
        <v>4</v>
      </c>
      <c r="H866" t="n">
        <v>1</v>
      </c>
      <c r="I866" t="n">
        <v>3</v>
      </c>
      <c r="J866" t="n">
        <v>2</v>
      </c>
      <c r="K866" t="n">
        <v>3</v>
      </c>
      <c r="L866" t="n">
        <v>5</v>
      </c>
      <c r="M866" t="n">
        <v>5</v>
      </c>
      <c r="N866" t="n">
        <v>5</v>
      </c>
      <c r="O866" t="n">
        <v>1</v>
      </c>
      <c r="P866" t="n">
        <v>5</v>
      </c>
      <c r="Q866" t="n">
        <v>4</v>
      </c>
      <c r="R866" t="n">
        <v>2</v>
      </c>
      <c r="S866" t="n">
        <v>2</v>
      </c>
      <c r="T866" t="n">
        <v>5</v>
      </c>
      <c r="U866">
        <f>(AVERAGE(B866:D866)-1)/4</f>
        <v/>
      </c>
      <c r="V866">
        <f>(AVERAGE(E866:F866)-1)/4</f>
        <v/>
      </c>
      <c r="W866">
        <f>(AVERAGE(G866:I866)-1)/4</f>
        <v/>
      </c>
      <c r="X866">
        <f>(AVERAGE(J866:L866)-1)/4</f>
        <v/>
      </c>
      <c r="Y866">
        <f>(AVERAGE(M866:O866)-1)/4</f>
        <v/>
      </c>
      <c r="Z866">
        <f>(AVERAGE(P866:R866)-1)/4</f>
        <v/>
      </c>
      <c r="AA866">
        <f>(AVERAGE(S866:T866)-1)/4</f>
        <v/>
      </c>
      <c r="AB866">
        <f>AVERAGE(U866:Y866)</f>
        <v/>
      </c>
      <c r="AC866">
        <f>MIN(U866:Y866)</f>
        <v/>
      </c>
      <c r="AD866">
        <f>1-alpha*MAX(0,delta-AC866)</f>
        <v/>
      </c>
      <c r="AE866">
        <f>AB866*AD866</f>
        <v/>
      </c>
      <c r="AF866">
        <f>1+COUNTIF(bounds,"&lt;"&amp;ROUND(AB866,12))</f>
        <v/>
      </c>
      <c r="AG866">
        <f>1+COUNTIF(bounds,"&lt;"&amp;ROUND(AE866,12))</f>
        <v/>
      </c>
      <c r="AH866">
        <f>IF(AD866&lt;1,1,0)</f>
        <v/>
      </c>
      <c r="AI866">
        <f>IF(AF866&lt;&gt;AG866,1,0)</f>
        <v/>
      </c>
      <c r="AJ866">
        <f>IF(AND(AG866&gt;=3,Z866&lt;=0.2),1,0)</f>
        <v/>
      </c>
      <c r="AK866">
        <f>AVERAGE(U866:Z866)</f>
        <v/>
      </c>
      <c r="AL866">
        <f>1+COUNTIF(bounds,"&lt;"&amp;ROUND(AK866,12))</f>
        <v/>
      </c>
      <c r="AM866">
        <f>IF(AI866=1,AB866,NA())</f>
        <v/>
      </c>
      <c r="AN866">
        <f>IF(AI866=0,AB866,NA())</f>
        <v/>
      </c>
    </row>
    <row r="867">
      <c r="A867" t="n">
        <v>859</v>
      </c>
      <c r="B867" t="n">
        <v>3</v>
      </c>
      <c r="C867" t="n">
        <v>2</v>
      </c>
      <c r="D867" t="n">
        <v>2</v>
      </c>
      <c r="E867" t="n">
        <v>4</v>
      </c>
      <c r="F867" t="n">
        <v>3</v>
      </c>
      <c r="G867" t="n">
        <v>2</v>
      </c>
      <c r="H867" t="n">
        <v>1</v>
      </c>
      <c r="I867" t="n">
        <v>3</v>
      </c>
      <c r="J867" t="n">
        <v>1</v>
      </c>
      <c r="K867" t="n">
        <v>4</v>
      </c>
      <c r="L867" t="n">
        <v>5</v>
      </c>
      <c r="M867" t="n">
        <v>1</v>
      </c>
      <c r="N867" t="n">
        <v>2</v>
      </c>
      <c r="O867" t="n">
        <v>3</v>
      </c>
      <c r="P867" t="n">
        <v>3</v>
      </c>
      <c r="Q867" t="n">
        <v>3</v>
      </c>
      <c r="R867" t="n">
        <v>5</v>
      </c>
      <c r="S867" t="n">
        <v>2</v>
      </c>
      <c r="T867" t="n">
        <v>3</v>
      </c>
      <c r="U867">
        <f>(AVERAGE(B867:D867)-1)/4</f>
        <v/>
      </c>
      <c r="V867">
        <f>(AVERAGE(E867:F867)-1)/4</f>
        <v/>
      </c>
      <c r="W867">
        <f>(AVERAGE(G867:I867)-1)/4</f>
        <v/>
      </c>
      <c r="X867">
        <f>(AVERAGE(J867:L867)-1)/4</f>
        <v/>
      </c>
      <c r="Y867">
        <f>(AVERAGE(M867:O867)-1)/4</f>
        <v/>
      </c>
      <c r="Z867">
        <f>(AVERAGE(P867:R867)-1)/4</f>
        <v/>
      </c>
      <c r="AA867">
        <f>(AVERAGE(S867:T867)-1)/4</f>
        <v/>
      </c>
      <c r="AB867">
        <f>AVERAGE(U867:Y867)</f>
        <v/>
      </c>
      <c r="AC867">
        <f>MIN(U867:Y867)</f>
        <v/>
      </c>
      <c r="AD867">
        <f>1-alpha*MAX(0,delta-AC867)</f>
        <v/>
      </c>
      <c r="AE867">
        <f>AB867*AD867</f>
        <v/>
      </c>
      <c r="AF867">
        <f>1+COUNTIF(bounds,"&lt;"&amp;ROUND(AB867,12))</f>
        <v/>
      </c>
      <c r="AG867">
        <f>1+COUNTIF(bounds,"&lt;"&amp;ROUND(AE867,12))</f>
        <v/>
      </c>
      <c r="AH867">
        <f>IF(AD867&lt;1,1,0)</f>
        <v/>
      </c>
      <c r="AI867">
        <f>IF(AF867&lt;&gt;AG867,1,0)</f>
        <v/>
      </c>
      <c r="AJ867">
        <f>IF(AND(AG867&gt;=3,Z867&lt;=0.2),1,0)</f>
        <v/>
      </c>
      <c r="AK867">
        <f>AVERAGE(U867:Z867)</f>
        <v/>
      </c>
      <c r="AL867">
        <f>1+COUNTIF(bounds,"&lt;"&amp;ROUND(AK867,12))</f>
        <v/>
      </c>
      <c r="AM867">
        <f>IF(AI867=1,AB867,NA())</f>
        <v/>
      </c>
      <c r="AN867">
        <f>IF(AI867=0,AB867,NA())</f>
        <v/>
      </c>
    </row>
    <row r="868">
      <c r="A868" t="n">
        <v>860</v>
      </c>
      <c r="B868" t="n">
        <v>4</v>
      </c>
      <c r="C868" t="n">
        <v>1</v>
      </c>
      <c r="D868" t="n">
        <v>4</v>
      </c>
      <c r="E868" t="n">
        <v>2</v>
      </c>
      <c r="F868" t="n">
        <v>4</v>
      </c>
      <c r="G868" t="n">
        <v>3</v>
      </c>
      <c r="H868" t="n">
        <v>5</v>
      </c>
      <c r="I868" t="n">
        <v>3</v>
      </c>
      <c r="J868" t="n">
        <v>2</v>
      </c>
      <c r="K868" t="n">
        <v>4</v>
      </c>
      <c r="L868" t="n">
        <v>1</v>
      </c>
      <c r="M868" t="n">
        <v>3</v>
      </c>
      <c r="N868" t="n">
        <v>2</v>
      </c>
      <c r="O868" t="n">
        <v>4</v>
      </c>
      <c r="P868" t="n">
        <v>1</v>
      </c>
      <c r="Q868" t="n">
        <v>3</v>
      </c>
      <c r="R868" t="n">
        <v>5</v>
      </c>
      <c r="S868" t="n">
        <v>4</v>
      </c>
      <c r="T868" t="n">
        <v>1</v>
      </c>
      <c r="U868">
        <f>(AVERAGE(B868:D868)-1)/4</f>
        <v/>
      </c>
      <c r="V868">
        <f>(AVERAGE(E868:F868)-1)/4</f>
        <v/>
      </c>
      <c r="W868">
        <f>(AVERAGE(G868:I868)-1)/4</f>
        <v/>
      </c>
      <c r="X868">
        <f>(AVERAGE(J868:L868)-1)/4</f>
        <v/>
      </c>
      <c r="Y868">
        <f>(AVERAGE(M868:O868)-1)/4</f>
        <v/>
      </c>
      <c r="Z868">
        <f>(AVERAGE(P868:R868)-1)/4</f>
        <v/>
      </c>
      <c r="AA868">
        <f>(AVERAGE(S868:T868)-1)/4</f>
        <v/>
      </c>
      <c r="AB868">
        <f>AVERAGE(U868:Y868)</f>
        <v/>
      </c>
      <c r="AC868">
        <f>MIN(U868:Y868)</f>
        <v/>
      </c>
      <c r="AD868">
        <f>1-alpha*MAX(0,delta-AC868)</f>
        <v/>
      </c>
      <c r="AE868">
        <f>AB868*AD868</f>
        <v/>
      </c>
      <c r="AF868">
        <f>1+COUNTIF(bounds,"&lt;"&amp;ROUND(AB868,12))</f>
        <v/>
      </c>
      <c r="AG868">
        <f>1+COUNTIF(bounds,"&lt;"&amp;ROUND(AE868,12))</f>
        <v/>
      </c>
      <c r="AH868">
        <f>IF(AD868&lt;1,1,0)</f>
        <v/>
      </c>
      <c r="AI868">
        <f>IF(AF868&lt;&gt;AG868,1,0)</f>
        <v/>
      </c>
      <c r="AJ868">
        <f>IF(AND(AG868&gt;=3,Z868&lt;=0.2),1,0)</f>
        <v/>
      </c>
      <c r="AK868">
        <f>AVERAGE(U868:Z868)</f>
        <v/>
      </c>
      <c r="AL868">
        <f>1+COUNTIF(bounds,"&lt;"&amp;ROUND(AK868,12))</f>
        <v/>
      </c>
      <c r="AM868">
        <f>IF(AI868=1,AB868,NA())</f>
        <v/>
      </c>
      <c r="AN868">
        <f>IF(AI868=0,AB868,NA())</f>
        <v/>
      </c>
    </row>
    <row r="869">
      <c r="A869" t="n">
        <v>861</v>
      </c>
      <c r="B869" t="n">
        <v>4</v>
      </c>
      <c r="C869" t="n">
        <v>1</v>
      </c>
      <c r="D869" t="n">
        <v>3</v>
      </c>
      <c r="E869" t="n">
        <v>3</v>
      </c>
      <c r="F869" t="n">
        <v>2</v>
      </c>
      <c r="G869" t="n">
        <v>1</v>
      </c>
      <c r="H869" t="n">
        <v>5</v>
      </c>
      <c r="I869" t="n">
        <v>4</v>
      </c>
      <c r="J869" t="n">
        <v>5</v>
      </c>
      <c r="K869" t="n">
        <v>2</v>
      </c>
      <c r="L869" t="n">
        <v>5</v>
      </c>
      <c r="M869" t="n">
        <v>3</v>
      </c>
      <c r="N869" t="n">
        <v>1</v>
      </c>
      <c r="O869" t="n">
        <v>3</v>
      </c>
      <c r="P869" t="n">
        <v>5</v>
      </c>
      <c r="Q869" t="n">
        <v>5</v>
      </c>
      <c r="R869" t="n">
        <v>2</v>
      </c>
      <c r="S869" t="n">
        <v>3</v>
      </c>
      <c r="T869" t="n">
        <v>1</v>
      </c>
      <c r="U869">
        <f>(AVERAGE(B869:D869)-1)/4</f>
        <v/>
      </c>
      <c r="V869">
        <f>(AVERAGE(E869:F869)-1)/4</f>
        <v/>
      </c>
      <c r="W869">
        <f>(AVERAGE(G869:I869)-1)/4</f>
        <v/>
      </c>
      <c r="X869">
        <f>(AVERAGE(J869:L869)-1)/4</f>
        <v/>
      </c>
      <c r="Y869">
        <f>(AVERAGE(M869:O869)-1)/4</f>
        <v/>
      </c>
      <c r="Z869">
        <f>(AVERAGE(P869:R869)-1)/4</f>
        <v/>
      </c>
      <c r="AA869">
        <f>(AVERAGE(S869:T869)-1)/4</f>
        <v/>
      </c>
      <c r="AB869">
        <f>AVERAGE(U869:Y869)</f>
        <v/>
      </c>
      <c r="AC869">
        <f>MIN(U869:Y869)</f>
        <v/>
      </c>
      <c r="AD869">
        <f>1-alpha*MAX(0,delta-AC869)</f>
        <v/>
      </c>
      <c r="AE869">
        <f>AB869*AD869</f>
        <v/>
      </c>
      <c r="AF869">
        <f>1+COUNTIF(bounds,"&lt;"&amp;ROUND(AB869,12))</f>
        <v/>
      </c>
      <c r="AG869">
        <f>1+COUNTIF(bounds,"&lt;"&amp;ROUND(AE869,12))</f>
        <v/>
      </c>
      <c r="AH869">
        <f>IF(AD869&lt;1,1,0)</f>
        <v/>
      </c>
      <c r="AI869">
        <f>IF(AF869&lt;&gt;AG869,1,0)</f>
        <v/>
      </c>
      <c r="AJ869">
        <f>IF(AND(AG869&gt;=3,Z869&lt;=0.2),1,0)</f>
        <v/>
      </c>
      <c r="AK869">
        <f>AVERAGE(U869:Z869)</f>
        <v/>
      </c>
      <c r="AL869">
        <f>1+COUNTIF(bounds,"&lt;"&amp;ROUND(AK869,12))</f>
        <v/>
      </c>
      <c r="AM869">
        <f>IF(AI869=1,AB869,NA())</f>
        <v/>
      </c>
      <c r="AN869">
        <f>IF(AI869=0,AB869,NA())</f>
        <v/>
      </c>
    </row>
    <row r="870">
      <c r="A870" t="n">
        <v>862</v>
      </c>
      <c r="B870" t="n">
        <v>4</v>
      </c>
      <c r="C870" t="n">
        <v>3</v>
      </c>
      <c r="D870" t="n">
        <v>2</v>
      </c>
      <c r="E870" t="n">
        <v>2</v>
      </c>
      <c r="F870" t="n">
        <v>5</v>
      </c>
      <c r="G870" t="n">
        <v>2</v>
      </c>
      <c r="H870" t="n">
        <v>5</v>
      </c>
      <c r="I870" t="n">
        <v>4</v>
      </c>
      <c r="J870" t="n">
        <v>1</v>
      </c>
      <c r="K870" t="n">
        <v>4</v>
      </c>
      <c r="L870" t="n">
        <v>1</v>
      </c>
      <c r="M870" t="n">
        <v>2</v>
      </c>
      <c r="N870" t="n">
        <v>3</v>
      </c>
      <c r="O870" t="n">
        <v>2</v>
      </c>
      <c r="P870" t="n">
        <v>3</v>
      </c>
      <c r="Q870" t="n">
        <v>3</v>
      </c>
      <c r="R870" t="n">
        <v>3</v>
      </c>
      <c r="S870" t="n">
        <v>4</v>
      </c>
      <c r="T870" t="n">
        <v>3</v>
      </c>
      <c r="U870">
        <f>(AVERAGE(B870:D870)-1)/4</f>
        <v/>
      </c>
      <c r="V870">
        <f>(AVERAGE(E870:F870)-1)/4</f>
        <v/>
      </c>
      <c r="W870">
        <f>(AVERAGE(G870:I870)-1)/4</f>
        <v/>
      </c>
      <c r="X870">
        <f>(AVERAGE(J870:L870)-1)/4</f>
        <v/>
      </c>
      <c r="Y870">
        <f>(AVERAGE(M870:O870)-1)/4</f>
        <v/>
      </c>
      <c r="Z870">
        <f>(AVERAGE(P870:R870)-1)/4</f>
        <v/>
      </c>
      <c r="AA870">
        <f>(AVERAGE(S870:T870)-1)/4</f>
        <v/>
      </c>
      <c r="AB870">
        <f>AVERAGE(U870:Y870)</f>
        <v/>
      </c>
      <c r="AC870">
        <f>MIN(U870:Y870)</f>
        <v/>
      </c>
      <c r="AD870">
        <f>1-alpha*MAX(0,delta-AC870)</f>
        <v/>
      </c>
      <c r="AE870">
        <f>AB870*AD870</f>
        <v/>
      </c>
      <c r="AF870">
        <f>1+COUNTIF(bounds,"&lt;"&amp;ROUND(AB870,12))</f>
        <v/>
      </c>
      <c r="AG870">
        <f>1+COUNTIF(bounds,"&lt;"&amp;ROUND(AE870,12))</f>
        <v/>
      </c>
      <c r="AH870">
        <f>IF(AD870&lt;1,1,0)</f>
        <v/>
      </c>
      <c r="AI870">
        <f>IF(AF870&lt;&gt;AG870,1,0)</f>
        <v/>
      </c>
      <c r="AJ870">
        <f>IF(AND(AG870&gt;=3,Z870&lt;=0.2),1,0)</f>
        <v/>
      </c>
      <c r="AK870">
        <f>AVERAGE(U870:Z870)</f>
        <v/>
      </c>
      <c r="AL870">
        <f>1+COUNTIF(bounds,"&lt;"&amp;ROUND(AK870,12))</f>
        <v/>
      </c>
      <c r="AM870">
        <f>IF(AI870=1,AB870,NA())</f>
        <v/>
      </c>
      <c r="AN870">
        <f>IF(AI870=0,AB870,NA())</f>
        <v/>
      </c>
    </row>
    <row r="871">
      <c r="A871" t="n">
        <v>863</v>
      </c>
      <c r="B871" t="n">
        <v>1</v>
      </c>
      <c r="C871" t="n">
        <v>5</v>
      </c>
      <c r="D871" t="n">
        <v>3</v>
      </c>
      <c r="E871" t="n">
        <v>3</v>
      </c>
      <c r="F871" t="n">
        <v>3</v>
      </c>
      <c r="G871" t="n">
        <v>4</v>
      </c>
      <c r="H871" t="n">
        <v>4</v>
      </c>
      <c r="I871" t="n">
        <v>5</v>
      </c>
      <c r="J871" t="n">
        <v>5</v>
      </c>
      <c r="K871" t="n">
        <v>1</v>
      </c>
      <c r="L871" t="n">
        <v>4</v>
      </c>
      <c r="M871" t="n">
        <v>1</v>
      </c>
      <c r="N871" t="n">
        <v>5</v>
      </c>
      <c r="O871" t="n">
        <v>3</v>
      </c>
      <c r="P871" t="n">
        <v>5</v>
      </c>
      <c r="Q871" t="n">
        <v>4</v>
      </c>
      <c r="R871" t="n">
        <v>2</v>
      </c>
      <c r="S871" t="n">
        <v>2</v>
      </c>
      <c r="T871" t="n">
        <v>1</v>
      </c>
      <c r="U871">
        <f>(AVERAGE(B871:D871)-1)/4</f>
        <v/>
      </c>
      <c r="V871">
        <f>(AVERAGE(E871:F871)-1)/4</f>
        <v/>
      </c>
      <c r="W871">
        <f>(AVERAGE(G871:I871)-1)/4</f>
        <v/>
      </c>
      <c r="X871">
        <f>(AVERAGE(J871:L871)-1)/4</f>
        <v/>
      </c>
      <c r="Y871">
        <f>(AVERAGE(M871:O871)-1)/4</f>
        <v/>
      </c>
      <c r="Z871">
        <f>(AVERAGE(P871:R871)-1)/4</f>
        <v/>
      </c>
      <c r="AA871">
        <f>(AVERAGE(S871:T871)-1)/4</f>
        <v/>
      </c>
      <c r="AB871">
        <f>AVERAGE(U871:Y871)</f>
        <v/>
      </c>
      <c r="AC871">
        <f>MIN(U871:Y871)</f>
        <v/>
      </c>
      <c r="AD871">
        <f>1-alpha*MAX(0,delta-AC871)</f>
        <v/>
      </c>
      <c r="AE871">
        <f>AB871*AD871</f>
        <v/>
      </c>
      <c r="AF871">
        <f>1+COUNTIF(bounds,"&lt;"&amp;ROUND(AB871,12))</f>
        <v/>
      </c>
      <c r="AG871">
        <f>1+COUNTIF(bounds,"&lt;"&amp;ROUND(AE871,12))</f>
        <v/>
      </c>
      <c r="AH871">
        <f>IF(AD871&lt;1,1,0)</f>
        <v/>
      </c>
      <c r="AI871">
        <f>IF(AF871&lt;&gt;AG871,1,0)</f>
        <v/>
      </c>
      <c r="AJ871">
        <f>IF(AND(AG871&gt;=3,Z871&lt;=0.2),1,0)</f>
        <v/>
      </c>
      <c r="AK871">
        <f>AVERAGE(U871:Z871)</f>
        <v/>
      </c>
      <c r="AL871">
        <f>1+COUNTIF(bounds,"&lt;"&amp;ROUND(AK871,12))</f>
        <v/>
      </c>
      <c r="AM871">
        <f>IF(AI871=1,AB871,NA())</f>
        <v/>
      </c>
      <c r="AN871">
        <f>IF(AI871=0,AB871,NA())</f>
        <v/>
      </c>
    </row>
    <row r="872">
      <c r="A872" t="n">
        <v>864</v>
      </c>
      <c r="B872" t="n">
        <v>1</v>
      </c>
      <c r="C872" t="n">
        <v>1</v>
      </c>
      <c r="D872" t="n">
        <v>2</v>
      </c>
      <c r="E872" t="n">
        <v>2</v>
      </c>
      <c r="F872" t="n">
        <v>4</v>
      </c>
      <c r="G872" t="n">
        <v>4</v>
      </c>
      <c r="H872" t="n">
        <v>3</v>
      </c>
      <c r="I872" t="n">
        <v>4</v>
      </c>
      <c r="J872" t="n">
        <v>2</v>
      </c>
      <c r="K872" t="n">
        <v>5</v>
      </c>
      <c r="L872" t="n">
        <v>3</v>
      </c>
      <c r="M872" t="n">
        <v>2</v>
      </c>
      <c r="N872" t="n">
        <v>4</v>
      </c>
      <c r="O872" t="n">
        <v>3</v>
      </c>
      <c r="P872" t="n">
        <v>1</v>
      </c>
      <c r="Q872" t="n">
        <v>4</v>
      </c>
      <c r="R872" t="n">
        <v>5</v>
      </c>
      <c r="S872" t="n">
        <v>1</v>
      </c>
      <c r="T872" t="n">
        <v>3</v>
      </c>
      <c r="U872">
        <f>(AVERAGE(B872:D872)-1)/4</f>
        <v/>
      </c>
      <c r="V872">
        <f>(AVERAGE(E872:F872)-1)/4</f>
        <v/>
      </c>
      <c r="W872">
        <f>(AVERAGE(G872:I872)-1)/4</f>
        <v/>
      </c>
      <c r="X872">
        <f>(AVERAGE(J872:L872)-1)/4</f>
        <v/>
      </c>
      <c r="Y872">
        <f>(AVERAGE(M872:O872)-1)/4</f>
        <v/>
      </c>
      <c r="Z872">
        <f>(AVERAGE(P872:R872)-1)/4</f>
        <v/>
      </c>
      <c r="AA872">
        <f>(AVERAGE(S872:T872)-1)/4</f>
        <v/>
      </c>
      <c r="AB872">
        <f>AVERAGE(U872:Y872)</f>
        <v/>
      </c>
      <c r="AC872">
        <f>MIN(U872:Y872)</f>
        <v/>
      </c>
      <c r="AD872">
        <f>1-alpha*MAX(0,delta-AC872)</f>
        <v/>
      </c>
      <c r="AE872">
        <f>AB872*AD872</f>
        <v/>
      </c>
      <c r="AF872">
        <f>1+COUNTIF(bounds,"&lt;"&amp;ROUND(AB872,12))</f>
        <v/>
      </c>
      <c r="AG872">
        <f>1+COUNTIF(bounds,"&lt;"&amp;ROUND(AE872,12))</f>
        <v/>
      </c>
      <c r="AH872">
        <f>IF(AD872&lt;1,1,0)</f>
        <v/>
      </c>
      <c r="AI872">
        <f>IF(AF872&lt;&gt;AG872,1,0)</f>
        <v/>
      </c>
      <c r="AJ872">
        <f>IF(AND(AG872&gt;=3,Z872&lt;=0.2),1,0)</f>
        <v/>
      </c>
      <c r="AK872">
        <f>AVERAGE(U872:Z872)</f>
        <v/>
      </c>
      <c r="AL872">
        <f>1+COUNTIF(bounds,"&lt;"&amp;ROUND(AK872,12))</f>
        <v/>
      </c>
      <c r="AM872">
        <f>IF(AI872=1,AB872,NA())</f>
        <v/>
      </c>
      <c r="AN872">
        <f>IF(AI872=0,AB872,NA())</f>
        <v/>
      </c>
    </row>
    <row r="873">
      <c r="A873" t="n">
        <v>865</v>
      </c>
      <c r="B873" t="n">
        <v>5</v>
      </c>
      <c r="C873" t="n">
        <v>1</v>
      </c>
      <c r="D873" t="n">
        <v>4</v>
      </c>
      <c r="E873" t="n">
        <v>5</v>
      </c>
      <c r="F873" t="n">
        <v>5</v>
      </c>
      <c r="G873" t="n">
        <v>2</v>
      </c>
      <c r="H873" t="n">
        <v>3</v>
      </c>
      <c r="I873" t="n">
        <v>2</v>
      </c>
      <c r="J873" t="n">
        <v>5</v>
      </c>
      <c r="K873" t="n">
        <v>2</v>
      </c>
      <c r="L873" t="n">
        <v>1</v>
      </c>
      <c r="M873" t="n">
        <v>4</v>
      </c>
      <c r="N873" t="n">
        <v>5</v>
      </c>
      <c r="O873" t="n">
        <v>1</v>
      </c>
      <c r="P873" t="n">
        <v>3</v>
      </c>
      <c r="Q873" t="n">
        <v>3</v>
      </c>
      <c r="R873" t="n">
        <v>1</v>
      </c>
      <c r="S873" t="n">
        <v>5</v>
      </c>
      <c r="T873" t="n">
        <v>1</v>
      </c>
      <c r="U873">
        <f>(AVERAGE(B873:D873)-1)/4</f>
        <v/>
      </c>
      <c r="V873">
        <f>(AVERAGE(E873:F873)-1)/4</f>
        <v/>
      </c>
      <c r="W873">
        <f>(AVERAGE(G873:I873)-1)/4</f>
        <v/>
      </c>
      <c r="X873">
        <f>(AVERAGE(J873:L873)-1)/4</f>
        <v/>
      </c>
      <c r="Y873">
        <f>(AVERAGE(M873:O873)-1)/4</f>
        <v/>
      </c>
      <c r="Z873">
        <f>(AVERAGE(P873:R873)-1)/4</f>
        <v/>
      </c>
      <c r="AA873">
        <f>(AVERAGE(S873:T873)-1)/4</f>
        <v/>
      </c>
      <c r="AB873">
        <f>AVERAGE(U873:Y873)</f>
        <v/>
      </c>
      <c r="AC873">
        <f>MIN(U873:Y873)</f>
        <v/>
      </c>
      <c r="AD873">
        <f>1-alpha*MAX(0,delta-AC873)</f>
        <v/>
      </c>
      <c r="AE873">
        <f>AB873*AD873</f>
        <v/>
      </c>
      <c r="AF873">
        <f>1+COUNTIF(bounds,"&lt;"&amp;ROUND(AB873,12))</f>
        <v/>
      </c>
      <c r="AG873">
        <f>1+COUNTIF(bounds,"&lt;"&amp;ROUND(AE873,12))</f>
        <v/>
      </c>
      <c r="AH873">
        <f>IF(AD873&lt;1,1,0)</f>
        <v/>
      </c>
      <c r="AI873">
        <f>IF(AF873&lt;&gt;AG873,1,0)</f>
        <v/>
      </c>
      <c r="AJ873">
        <f>IF(AND(AG873&gt;=3,Z873&lt;=0.2),1,0)</f>
        <v/>
      </c>
      <c r="AK873">
        <f>AVERAGE(U873:Z873)</f>
        <v/>
      </c>
      <c r="AL873">
        <f>1+COUNTIF(bounds,"&lt;"&amp;ROUND(AK873,12))</f>
        <v/>
      </c>
      <c r="AM873">
        <f>IF(AI873=1,AB873,NA())</f>
        <v/>
      </c>
      <c r="AN873">
        <f>IF(AI873=0,AB873,NA())</f>
        <v/>
      </c>
    </row>
    <row r="874">
      <c r="A874" t="n">
        <v>866</v>
      </c>
      <c r="B874" t="n">
        <v>5</v>
      </c>
      <c r="C874" t="n">
        <v>2</v>
      </c>
      <c r="D874" t="n">
        <v>3</v>
      </c>
      <c r="E874" t="n">
        <v>1</v>
      </c>
      <c r="F874" t="n">
        <v>3</v>
      </c>
      <c r="G874" t="n">
        <v>5</v>
      </c>
      <c r="H874" t="n">
        <v>1</v>
      </c>
      <c r="I874" t="n">
        <v>5</v>
      </c>
      <c r="J874" t="n">
        <v>5</v>
      </c>
      <c r="K874" t="n">
        <v>5</v>
      </c>
      <c r="L874" t="n">
        <v>3</v>
      </c>
      <c r="M874" t="n">
        <v>3</v>
      </c>
      <c r="N874" t="n">
        <v>2</v>
      </c>
      <c r="O874" t="n">
        <v>5</v>
      </c>
      <c r="P874" t="n">
        <v>4</v>
      </c>
      <c r="Q874" t="n">
        <v>4</v>
      </c>
      <c r="R874" t="n">
        <v>4</v>
      </c>
      <c r="S874" t="n">
        <v>5</v>
      </c>
      <c r="T874" t="n">
        <v>1</v>
      </c>
      <c r="U874">
        <f>(AVERAGE(B874:D874)-1)/4</f>
        <v/>
      </c>
      <c r="V874">
        <f>(AVERAGE(E874:F874)-1)/4</f>
        <v/>
      </c>
      <c r="W874">
        <f>(AVERAGE(G874:I874)-1)/4</f>
        <v/>
      </c>
      <c r="X874">
        <f>(AVERAGE(J874:L874)-1)/4</f>
        <v/>
      </c>
      <c r="Y874">
        <f>(AVERAGE(M874:O874)-1)/4</f>
        <v/>
      </c>
      <c r="Z874">
        <f>(AVERAGE(P874:R874)-1)/4</f>
        <v/>
      </c>
      <c r="AA874">
        <f>(AVERAGE(S874:T874)-1)/4</f>
        <v/>
      </c>
      <c r="AB874">
        <f>AVERAGE(U874:Y874)</f>
        <v/>
      </c>
      <c r="AC874">
        <f>MIN(U874:Y874)</f>
        <v/>
      </c>
      <c r="AD874">
        <f>1-alpha*MAX(0,delta-AC874)</f>
        <v/>
      </c>
      <c r="AE874">
        <f>AB874*AD874</f>
        <v/>
      </c>
      <c r="AF874">
        <f>1+COUNTIF(bounds,"&lt;"&amp;ROUND(AB874,12))</f>
        <v/>
      </c>
      <c r="AG874">
        <f>1+COUNTIF(bounds,"&lt;"&amp;ROUND(AE874,12))</f>
        <v/>
      </c>
      <c r="AH874">
        <f>IF(AD874&lt;1,1,0)</f>
        <v/>
      </c>
      <c r="AI874">
        <f>IF(AF874&lt;&gt;AG874,1,0)</f>
        <v/>
      </c>
      <c r="AJ874">
        <f>IF(AND(AG874&gt;=3,Z874&lt;=0.2),1,0)</f>
        <v/>
      </c>
      <c r="AK874">
        <f>AVERAGE(U874:Z874)</f>
        <v/>
      </c>
      <c r="AL874">
        <f>1+COUNTIF(bounds,"&lt;"&amp;ROUND(AK874,12))</f>
        <v/>
      </c>
      <c r="AM874">
        <f>IF(AI874=1,AB874,NA())</f>
        <v/>
      </c>
      <c r="AN874">
        <f>IF(AI874=0,AB874,NA())</f>
        <v/>
      </c>
    </row>
    <row r="875">
      <c r="A875" t="n">
        <v>867</v>
      </c>
      <c r="B875" t="n">
        <v>1</v>
      </c>
      <c r="C875" t="n">
        <v>2</v>
      </c>
      <c r="D875" t="n">
        <v>2</v>
      </c>
      <c r="E875" t="n">
        <v>1</v>
      </c>
      <c r="F875" t="n">
        <v>4</v>
      </c>
      <c r="G875" t="n">
        <v>5</v>
      </c>
      <c r="H875" t="n">
        <v>5</v>
      </c>
      <c r="I875" t="n">
        <v>3</v>
      </c>
      <c r="J875" t="n">
        <v>1</v>
      </c>
      <c r="K875" t="n">
        <v>3</v>
      </c>
      <c r="L875" t="n">
        <v>3</v>
      </c>
      <c r="M875" t="n">
        <v>4</v>
      </c>
      <c r="N875" t="n">
        <v>4</v>
      </c>
      <c r="O875" t="n">
        <v>2</v>
      </c>
      <c r="P875" t="n">
        <v>1</v>
      </c>
      <c r="Q875" t="n">
        <v>1</v>
      </c>
      <c r="R875" t="n">
        <v>1</v>
      </c>
      <c r="S875" t="n">
        <v>1</v>
      </c>
      <c r="T875" t="n">
        <v>5</v>
      </c>
      <c r="U875">
        <f>(AVERAGE(B875:D875)-1)/4</f>
        <v/>
      </c>
      <c r="V875">
        <f>(AVERAGE(E875:F875)-1)/4</f>
        <v/>
      </c>
      <c r="W875">
        <f>(AVERAGE(G875:I875)-1)/4</f>
        <v/>
      </c>
      <c r="X875">
        <f>(AVERAGE(J875:L875)-1)/4</f>
        <v/>
      </c>
      <c r="Y875">
        <f>(AVERAGE(M875:O875)-1)/4</f>
        <v/>
      </c>
      <c r="Z875">
        <f>(AVERAGE(P875:R875)-1)/4</f>
        <v/>
      </c>
      <c r="AA875">
        <f>(AVERAGE(S875:T875)-1)/4</f>
        <v/>
      </c>
      <c r="AB875">
        <f>AVERAGE(U875:Y875)</f>
        <v/>
      </c>
      <c r="AC875">
        <f>MIN(U875:Y875)</f>
        <v/>
      </c>
      <c r="AD875">
        <f>1-alpha*MAX(0,delta-AC875)</f>
        <v/>
      </c>
      <c r="AE875">
        <f>AB875*AD875</f>
        <v/>
      </c>
      <c r="AF875">
        <f>1+COUNTIF(bounds,"&lt;"&amp;ROUND(AB875,12))</f>
        <v/>
      </c>
      <c r="AG875">
        <f>1+COUNTIF(bounds,"&lt;"&amp;ROUND(AE875,12))</f>
        <v/>
      </c>
      <c r="AH875">
        <f>IF(AD875&lt;1,1,0)</f>
        <v/>
      </c>
      <c r="AI875">
        <f>IF(AF875&lt;&gt;AG875,1,0)</f>
        <v/>
      </c>
      <c r="AJ875">
        <f>IF(AND(AG875&gt;=3,Z875&lt;=0.2),1,0)</f>
        <v/>
      </c>
      <c r="AK875">
        <f>AVERAGE(U875:Z875)</f>
        <v/>
      </c>
      <c r="AL875">
        <f>1+COUNTIF(bounds,"&lt;"&amp;ROUND(AK875,12))</f>
        <v/>
      </c>
      <c r="AM875">
        <f>IF(AI875=1,AB875,NA())</f>
        <v/>
      </c>
      <c r="AN875">
        <f>IF(AI875=0,AB875,NA())</f>
        <v/>
      </c>
    </row>
    <row r="876">
      <c r="A876" t="n">
        <v>868</v>
      </c>
      <c r="B876" t="n">
        <v>4</v>
      </c>
      <c r="C876" t="n">
        <v>3</v>
      </c>
      <c r="D876" t="n">
        <v>5</v>
      </c>
      <c r="E876" t="n">
        <v>5</v>
      </c>
      <c r="F876" t="n">
        <v>1</v>
      </c>
      <c r="G876" t="n">
        <v>2</v>
      </c>
      <c r="H876" t="n">
        <v>5</v>
      </c>
      <c r="I876" t="n">
        <v>4</v>
      </c>
      <c r="J876" t="n">
        <v>1</v>
      </c>
      <c r="K876" t="n">
        <v>3</v>
      </c>
      <c r="L876" t="n">
        <v>2</v>
      </c>
      <c r="M876" t="n">
        <v>2</v>
      </c>
      <c r="N876" t="n">
        <v>5</v>
      </c>
      <c r="O876" t="n">
        <v>5</v>
      </c>
      <c r="P876" t="n">
        <v>2</v>
      </c>
      <c r="Q876" t="n">
        <v>2</v>
      </c>
      <c r="R876" t="n">
        <v>5</v>
      </c>
      <c r="S876" t="n">
        <v>3</v>
      </c>
      <c r="T876" t="n">
        <v>5</v>
      </c>
      <c r="U876">
        <f>(AVERAGE(B876:D876)-1)/4</f>
        <v/>
      </c>
      <c r="V876">
        <f>(AVERAGE(E876:F876)-1)/4</f>
        <v/>
      </c>
      <c r="W876">
        <f>(AVERAGE(G876:I876)-1)/4</f>
        <v/>
      </c>
      <c r="X876">
        <f>(AVERAGE(J876:L876)-1)/4</f>
        <v/>
      </c>
      <c r="Y876">
        <f>(AVERAGE(M876:O876)-1)/4</f>
        <v/>
      </c>
      <c r="Z876">
        <f>(AVERAGE(P876:R876)-1)/4</f>
        <v/>
      </c>
      <c r="AA876">
        <f>(AVERAGE(S876:T876)-1)/4</f>
        <v/>
      </c>
      <c r="AB876">
        <f>AVERAGE(U876:Y876)</f>
        <v/>
      </c>
      <c r="AC876">
        <f>MIN(U876:Y876)</f>
        <v/>
      </c>
      <c r="AD876">
        <f>1-alpha*MAX(0,delta-AC876)</f>
        <v/>
      </c>
      <c r="AE876">
        <f>AB876*AD876</f>
        <v/>
      </c>
      <c r="AF876">
        <f>1+COUNTIF(bounds,"&lt;"&amp;ROUND(AB876,12))</f>
        <v/>
      </c>
      <c r="AG876">
        <f>1+COUNTIF(bounds,"&lt;"&amp;ROUND(AE876,12))</f>
        <v/>
      </c>
      <c r="AH876">
        <f>IF(AD876&lt;1,1,0)</f>
        <v/>
      </c>
      <c r="AI876">
        <f>IF(AF876&lt;&gt;AG876,1,0)</f>
        <v/>
      </c>
      <c r="AJ876">
        <f>IF(AND(AG876&gt;=3,Z876&lt;=0.2),1,0)</f>
        <v/>
      </c>
      <c r="AK876">
        <f>AVERAGE(U876:Z876)</f>
        <v/>
      </c>
      <c r="AL876">
        <f>1+COUNTIF(bounds,"&lt;"&amp;ROUND(AK876,12))</f>
        <v/>
      </c>
      <c r="AM876">
        <f>IF(AI876=1,AB876,NA())</f>
        <v/>
      </c>
      <c r="AN876">
        <f>IF(AI876=0,AB876,NA())</f>
        <v/>
      </c>
    </row>
    <row r="877">
      <c r="A877" t="n">
        <v>869</v>
      </c>
      <c r="B877" t="n">
        <v>4</v>
      </c>
      <c r="C877" t="n">
        <v>3</v>
      </c>
      <c r="D877" t="n">
        <v>3</v>
      </c>
      <c r="E877" t="n">
        <v>5</v>
      </c>
      <c r="F877" t="n">
        <v>1</v>
      </c>
      <c r="G877" t="n">
        <v>2</v>
      </c>
      <c r="H877" t="n">
        <v>4</v>
      </c>
      <c r="I877" t="n">
        <v>2</v>
      </c>
      <c r="J877" t="n">
        <v>1</v>
      </c>
      <c r="K877" t="n">
        <v>4</v>
      </c>
      <c r="L877" t="n">
        <v>1</v>
      </c>
      <c r="M877" t="n">
        <v>1</v>
      </c>
      <c r="N877" t="n">
        <v>5</v>
      </c>
      <c r="O877" t="n">
        <v>4</v>
      </c>
      <c r="P877" t="n">
        <v>4</v>
      </c>
      <c r="Q877" t="n">
        <v>5</v>
      </c>
      <c r="R877" t="n">
        <v>3</v>
      </c>
      <c r="S877" t="n">
        <v>1</v>
      </c>
      <c r="T877" t="n">
        <v>3</v>
      </c>
      <c r="U877">
        <f>(AVERAGE(B877:D877)-1)/4</f>
        <v/>
      </c>
      <c r="V877">
        <f>(AVERAGE(E877:F877)-1)/4</f>
        <v/>
      </c>
      <c r="W877">
        <f>(AVERAGE(G877:I877)-1)/4</f>
        <v/>
      </c>
      <c r="X877">
        <f>(AVERAGE(J877:L877)-1)/4</f>
        <v/>
      </c>
      <c r="Y877">
        <f>(AVERAGE(M877:O877)-1)/4</f>
        <v/>
      </c>
      <c r="Z877">
        <f>(AVERAGE(P877:R877)-1)/4</f>
        <v/>
      </c>
      <c r="AA877">
        <f>(AVERAGE(S877:T877)-1)/4</f>
        <v/>
      </c>
      <c r="AB877">
        <f>AVERAGE(U877:Y877)</f>
        <v/>
      </c>
      <c r="AC877">
        <f>MIN(U877:Y877)</f>
        <v/>
      </c>
      <c r="AD877">
        <f>1-alpha*MAX(0,delta-AC877)</f>
        <v/>
      </c>
      <c r="AE877">
        <f>AB877*AD877</f>
        <v/>
      </c>
      <c r="AF877">
        <f>1+COUNTIF(bounds,"&lt;"&amp;ROUND(AB877,12))</f>
        <v/>
      </c>
      <c r="AG877">
        <f>1+COUNTIF(bounds,"&lt;"&amp;ROUND(AE877,12))</f>
        <v/>
      </c>
      <c r="AH877">
        <f>IF(AD877&lt;1,1,0)</f>
        <v/>
      </c>
      <c r="AI877">
        <f>IF(AF877&lt;&gt;AG877,1,0)</f>
        <v/>
      </c>
      <c r="AJ877">
        <f>IF(AND(AG877&gt;=3,Z877&lt;=0.2),1,0)</f>
        <v/>
      </c>
      <c r="AK877">
        <f>AVERAGE(U877:Z877)</f>
        <v/>
      </c>
      <c r="AL877">
        <f>1+COUNTIF(bounds,"&lt;"&amp;ROUND(AK877,12))</f>
        <v/>
      </c>
      <c r="AM877">
        <f>IF(AI877=1,AB877,NA())</f>
        <v/>
      </c>
      <c r="AN877">
        <f>IF(AI877=0,AB877,NA())</f>
        <v/>
      </c>
    </row>
    <row r="878">
      <c r="A878" t="n">
        <v>870</v>
      </c>
      <c r="B878" t="n">
        <v>3</v>
      </c>
      <c r="C878" t="n">
        <v>3</v>
      </c>
      <c r="D878" t="n">
        <v>3</v>
      </c>
      <c r="E878" t="n">
        <v>1</v>
      </c>
      <c r="F878" t="n">
        <v>5</v>
      </c>
      <c r="G878" t="n">
        <v>3</v>
      </c>
      <c r="H878" t="n">
        <v>3</v>
      </c>
      <c r="I878" t="n">
        <v>1</v>
      </c>
      <c r="J878" t="n">
        <v>5</v>
      </c>
      <c r="K878" t="n">
        <v>5</v>
      </c>
      <c r="L878" t="n">
        <v>5</v>
      </c>
      <c r="M878" t="n">
        <v>5</v>
      </c>
      <c r="N878" t="n">
        <v>5</v>
      </c>
      <c r="O878" t="n">
        <v>3</v>
      </c>
      <c r="P878" t="n">
        <v>4</v>
      </c>
      <c r="Q878" t="n">
        <v>4</v>
      </c>
      <c r="R878" t="n">
        <v>1</v>
      </c>
      <c r="S878" t="n">
        <v>1</v>
      </c>
      <c r="T878" t="n">
        <v>3</v>
      </c>
      <c r="U878">
        <f>(AVERAGE(B878:D878)-1)/4</f>
        <v/>
      </c>
      <c r="V878">
        <f>(AVERAGE(E878:F878)-1)/4</f>
        <v/>
      </c>
      <c r="W878">
        <f>(AVERAGE(G878:I878)-1)/4</f>
        <v/>
      </c>
      <c r="X878">
        <f>(AVERAGE(J878:L878)-1)/4</f>
        <v/>
      </c>
      <c r="Y878">
        <f>(AVERAGE(M878:O878)-1)/4</f>
        <v/>
      </c>
      <c r="Z878">
        <f>(AVERAGE(P878:R878)-1)/4</f>
        <v/>
      </c>
      <c r="AA878">
        <f>(AVERAGE(S878:T878)-1)/4</f>
        <v/>
      </c>
      <c r="AB878">
        <f>AVERAGE(U878:Y878)</f>
        <v/>
      </c>
      <c r="AC878">
        <f>MIN(U878:Y878)</f>
        <v/>
      </c>
      <c r="AD878">
        <f>1-alpha*MAX(0,delta-AC878)</f>
        <v/>
      </c>
      <c r="AE878">
        <f>AB878*AD878</f>
        <v/>
      </c>
      <c r="AF878">
        <f>1+COUNTIF(bounds,"&lt;"&amp;ROUND(AB878,12))</f>
        <v/>
      </c>
      <c r="AG878">
        <f>1+COUNTIF(bounds,"&lt;"&amp;ROUND(AE878,12))</f>
        <v/>
      </c>
      <c r="AH878">
        <f>IF(AD878&lt;1,1,0)</f>
        <v/>
      </c>
      <c r="AI878">
        <f>IF(AF878&lt;&gt;AG878,1,0)</f>
        <v/>
      </c>
      <c r="AJ878">
        <f>IF(AND(AG878&gt;=3,Z878&lt;=0.2),1,0)</f>
        <v/>
      </c>
      <c r="AK878">
        <f>AVERAGE(U878:Z878)</f>
        <v/>
      </c>
      <c r="AL878">
        <f>1+COUNTIF(bounds,"&lt;"&amp;ROUND(AK878,12))</f>
        <v/>
      </c>
      <c r="AM878">
        <f>IF(AI878=1,AB878,NA())</f>
        <v/>
      </c>
      <c r="AN878">
        <f>IF(AI878=0,AB878,NA())</f>
        <v/>
      </c>
    </row>
    <row r="879">
      <c r="A879" t="n">
        <v>871</v>
      </c>
      <c r="B879" t="n">
        <v>2</v>
      </c>
      <c r="C879" t="n">
        <v>1</v>
      </c>
      <c r="D879" t="n">
        <v>5</v>
      </c>
      <c r="E879" t="n">
        <v>3</v>
      </c>
      <c r="F879" t="n">
        <v>4</v>
      </c>
      <c r="G879" t="n">
        <v>2</v>
      </c>
      <c r="H879" t="n">
        <v>5</v>
      </c>
      <c r="I879" t="n">
        <v>5</v>
      </c>
      <c r="J879" t="n">
        <v>2</v>
      </c>
      <c r="K879" t="n">
        <v>2</v>
      </c>
      <c r="L879" t="n">
        <v>1</v>
      </c>
      <c r="M879" t="n">
        <v>5</v>
      </c>
      <c r="N879" t="n">
        <v>4</v>
      </c>
      <c r="O879" t="n">
        <v>5</v>
      </c>
      <c r="P879" t="n">
        <v>4</v>
      </c>
      <c r="Q879" t="n">
        <v>1</v>
      </c>
      <c r="R879" t="n">
        <v>4</v>
      </c>
      <c r="S879" t="n">
        <v>5</v>
      </c>
      <c r="T879" t="n">
        <v>2</v>
      </c>
      <c r="U879">
        <f>(AVERAGE(B879:D879)-1)/4</f>
        <v/>
      </c>
      <c r="V879">
        <f>(AVERAGE(E879:F879)-1)/4</f>
        <v/>
      </c>
      <c r="W879">
        <f>(AVERAGE(G879:I879)-1)/4</f>
        <v/>
      </c>
      <c r="X879">
        <f>(AVERAGE(J879:L879)-1)/4</f>
        <v/>
      </c>
      <c r="Y879">
        <f>(AVERAGE(M879:O879)-1)/4</f>
        <v/>
      </c>
      <c r="Z879">
        <f>(AVERAGE(P879:R879)-1)/4</f>
        <v/>
      </c>
      <c r="AA879">
        <f>(AVERAGE(S879:T879)-1)/4</f>
        <v/>
      </c>
      <c r="AB879">
        <f>AVERAGE(U879:Y879)</f>
        <v/>
      </c>
      <c r="AC879">
        <f>MIN(U879:Y879)</f>
        <v/>
      </c>
      <c r="AD879">
        <f>1-alpha*MAX(0,delta-AC879)</f>
        <v/>
      </c>
      <c r="AE879">
        <f>AB879*AD879</f>
        <v/>
      </c>
      <c r="AF879">
        <f>1+COUNTIF(bounds,"&lt;"&amp;ROUND(AB879,12))</f>
        <v/>
      </c>
      <c r="AG879">
        <f>1+COUNTIF(bounds,"&lt;"&amp;ROUND(AE879,12))</f>
        <v/>
      </c>
      <c r="AH879">
        <f>IF(AD879&lt;1,1,0)</f>
        <v/>
      </c>
      <c r="AI879">
        <f>IF(AF879&lt;&gt;AG879,1,0)</f>
        <v/>
      </c>
      <c r="AJ879">
        <f>IF(AND(AG879&gt;=3,Z879&lt;=0.2),1,0)</f>
        <v/>
      </c>
      <c r="AK879">
        <f>AVERAGE(U879:Z879)</f>
        <v/>
      </c>
      <c r="AL879">
        <f>1+COUNTIF(bounds,"&lt;"&amp;ROUND(AK879,12))</f>
        <v/>
      </c>
      <c r="AM879">
        <f>IF(AI879=1,AB879,NA())</f>
        <v/>
      </c>
      <c r="AN879">
        <f>IF(AI879=0,AB879,NA())</f>
        <v/>
      </c>
    </row>
    <row r="880">
      <c r="A880" t="n">
        <v>872</v>
      </c>
      <c r="B880" t="n">
        <v>1</v>
      </c>
      <c r="C880" t="n">
        <v>1</v>
      </c>
      <c r="D880" t="n">
        <v>1</v>
      </c>
      <c r="E880" t="n">
        <v>1</v>
      </c>
      <c r="F880" t="n">
        <v>1</v>
      </c>
      <c r="G880" t="n">
        <v>4</v>
      </c>
      <c r="H880" t="n">
        <v>2</v>
      </c>
      <c r="I880" t="n">
        <v>5</v>
      </c>
      <c r="J880" t="n">
        <v>5</v>
      </c>
      <c r="K880" t="n">
        <v>1</v>
      </c>
      <c r="L880" t="n">
        <v>2</v>
      </c>
      <c r="M880" t="n">
        <v>3</v>
      </c>
      <c r="N880" t="n">
        <v>2</v>
      </c>
      <c r="O880" t="n">
        <v>1</v>
      </c>
      <c r="P880" t="n">
        <v>4</v>
      </c>
      <c r="Q880" t="n">
        <v>4</v>
      </c>
      <c r="R880" t="n">
        <v>1</v>
      </c>
      <c r="S880" t="n">
        <v>4</v>
      </c>
      <c r="T880" t="n">
        <v>5</v>
      </c>
      <c r="U880">
        <f>(AVERAGE(B880:D880)-1)/4</f>
        <v/>
      </c>
      <c r="V880">
        <f>(AVERAGE(E880:F880)-1)/4</f>
        <v/>
      </c>
      <c r="W880">
        <f>(AVERAGE(G880:I880)-1)/4</f>
        <v/>
      </c>
      <c r="X880">
        <f>(AVERAGE(J880:L880)-1)/4</f>
        <v/>
      </c>
      <c r="Y880">
        <f>(AVERAGE(M880:O880)-1)/4</f>
        <v/>
      </c>
      <c r="Z880">
        <f>(AVERAGE(P880:R880)-1)/4</f>
        <v/>
      </c>
      <c r="AA880">
        <f>(AVERAGE(S880:T880)-1)/4</f>
        <v/>
      </c>
      <c r="AB880">
        <f>AVERAGE(U880:Y880)</f>
        <v/>
      </c>
      <c r="AC880">
        <f>MIN(U880:Y880)</f>
        <v/>
      </c>
      <c r="AD880">
        <f>1-alpha*MAX(0,delta-AC880)</f>
        <v/>
      </c>
      <c r="AE880">
        <f>AB880*AD880</f>
        <v/>
      </c>
      <c r="AF880">
        <f>1+COUNTIF(bounds,"&lt;"&amp;ROUND(AB880,12))</f>
        <v/>
      </c>
      <c r="AG880">
        <f>1+COUNTIF(bounds,"&lt;"&amp;ROUND(AE880,12))</f>
        <v/>
      </c>
      <c r="AH880">
        <f>IF(AD880&lt;1,1,0)</f>
        <v/>
      </c>
      <c r="AI880">
        <f>IF(AF880&lt;&gt;AG880,1,0)</f>
        <v/>
      </c>
      <c r="AJ880">
        <f>IF(AND(AG880&gt;=3,Z880&lt;=0.2),1,0)</f>
        <v/>
      </c>
      <c r="AK880">
        <f>AVERAGE(U880:Z880)</f>
        <v/>
      </c>
      <c r="AL880">
        <f>1+COUNTIF(bounds,"&lt;"&amp;ROUND(AK880,12))</f>
        <v/>
      </c>
      <c r="AM880">
        <f>IF(AI880=1,AB880,NA())</f>
        <v/>
      </c>
      <c r="AN880">
        <f>IF(AI880=0,AB880,NA())</f>
        <v/>
      </c>
    </row>
    <row r="881">
      <c r="A881" t="n">
        <v>873</v>
      </c>
      <c r="B881" t="n">
        <v>2</v>
      </c>
      <c r="C881" t="n">
        <v>3</v>
      </c>
      <c r="D881" t="n">
        <v>2</v>
      </c>
      <c r="E881" t="n">
        <v>3</v>
      </c>
      <c r="F881" t="n">
        <v>3</v>
      </c>
      <c r="G881" t="n">
        <v>2</v>
      </c>
      <c r="H881" t="n">
        <v>5</v>
      </c>
      <c r="I881" t="n">
        <v>5</v>
      </c>
      <c r="J881" t="n">
        <v>4</v>
      </c>
      <c r="K881" t="n">
        <v>5</v>
      </c>
      <c r="L881" t="n">
        <v>5</v>
      </c>
      <c r="M881" t="n">
        <v>5</v>
      </c>
      <c r="N881" t="n">
        <v>1</v>
      </c>
      <c r="O881" t="n">
        <v>5</v>
      </c>
      <c r="P881" t="n">
        <v>1</v>
      </c>
      <c r="Q881" t="n">
        <v>4</v>
      </c>
      <c r="R881" t="n">
        <v>1</v>
      </c>
      <c r="S881" t="n">
        <v>2</v>
      </c>
      <c r="T881" t="n">
        <v>2</v>
      </c>
      <c r="U881">
        <f>(AVERAGE(B881:D881)-1)/4</f>
        <v/>
      </c>
      <c r="V881">
        <f>(AVERAGE(E881:F881)-1)/4</f>
        <v/>
      </c>
      <c r="W881">
        <f>(AVERAGE(G881:I881)-1)/4</f>
        <v/>
      </c>
      <c r="X881">
        <f>(AVERAGE(J881:L881)-1)/4</f>
        <v/>
      </c>
      <c r="Y881">
        <f>(AVERAGE(M881:O881)-1)/4</f>
        <v/>
      </c>
      <c r="Z881">
        <f>(AVERAGE(P881:R881)-1)/4</f>
        <v/>
      </c>
      <c r="AA881">
        <f>(AVERAGE(S881:T881)-1)/4</f>
        <v/>
      </c>
      <c r="AB881">
        <f>AVERAGE(U881:Y881)</f>
        <v/>
      </c>
      <c r="AC881">
        <f>MIN(U881:Y881)</f>
        <v/>
      </c>
      <c r="AD881">
        <f>1-alpha*MAX(0,delta-AC881)</f>
        <v/>
      </c>
      <c r="AE881">
        <f>AB881*AD881</f>
        <v/>
      </c>
      <c r="AF881">
        <f>1+COUNTIF(bounds,"&lt;"&amp;ROUND(AB881,12))</f>
        <v/>
      </c>
      <c r="AG881">
        <f>1+COUNTIF(bounds,"&lt;"&amp;ROUND(AE881,12))</f>
        <v/>
      </c>
      <c r="AH881">
        <f>IF(AD881&lt;1,1,0)</f>
        <v/>
      </c>
      <c r="AI881">
        <f>IF(AF881&lt;&gt;AG881,1,0)</f>
        <v/>
      </c>
      <c r="AJ881">
        <f>IF(AND(AG881&gt;=3,Z881&lt;=0.2),1,0)</f>
        <v/>
      </c>
      <c r="AK881">
        <f>AVERAGE(U881:Z881)</f>
        <v/>
      </c>
      <c r="AL881">
        <f>1+COUNTIF(bounds,"&lt;"&amp;ROUND(AK881,12))</f>
        <v/>
      </c>
      <c r="AM881">
        <f>IF(AI881=1,AB881,NA())</f>
        <v/>
      </c>
      <c r="AN881">
        <f>IF(AI881=0,AB881,NA())</f>
        <v/>
      </c>
    </row>
    <row r="882">
      <c r="A882" t="n">
        <v>874</v>
      </c>
      <c r="B882" t="n">
        <v>4</v>
      </c>
      <c r="C882" t="n">
        <v>2</v>
      </c>
      <c r="D882" t="n">
        <v>1</v>
      </c>
      <c r="E882" t="n">
        <v>1</v>
      </c>
      <c r="F882" t="n">
        <v>5</v>
      </c>
      <c r="G882" t="n">
        <v>2</v>
      </c>
      <c r="H882" t="n">
        <v>4</v>
      </c>
      <c r="I882" t="n">
        <v>2</v>
      </c>
      <c r="J882" t="n">
        <v>3</v>
      </c>
      <c r="K882" t="n">
        <v>3</v>
      </c>
      <c r="L882" t="n">
        <v>5</v>
      </c>
      <c r="M882" t="n">
        <v>1</v>
      </c>
      <c r="N882" t="n">
        <v>4</v>
      </c>
      <c r="O882" t="n">
        <v>4</v>
      </c>
      <c r="P882" t="n">
        <v>1</v>
      </c>
      <c r="Q882" t="n">
        <v>1</v>
      </c>
      <c r="R882" t="n">
        <v>4</v>
      </c>
      <c r="S882" t="n">
        <v>3</v>
      </c>
      <c r="T882" t="n">
        <v>3</v>
      </c>
      <c r="U882">
        <f>(AVERAGE(B882:D882)-1)/4</f>
        <v/>
      </c>
      <c r="V882">
        <f>(AVERAGE(E882:F882)-1)/4</f>
        <v/>
      </c>
      <c r="W882">
        <f>(AVERAGE(G882:I882)-1)/4</f>
        <v/>
      </c>
      <c r="X882">
        <f>(AVERAGE(J882:L882)-1)/4</f>
        <v/>
      </c>
      <c r="Y882">
        <f>(AVERAGE(M882:O882)-1)/4</f>
        <v/>
      </c>
      <c r="Z882">
        <f>(AVERAGE(P882:R882)-1)/4</f>
        <v/>
      </c>
      <c r="AA882">
        <f>(AVERAGE(S882:T882)-1)/4</f>
        <v/>
      </c>
      <c r="AB882">
        <f>AVERAGE(U882:Y882)</f>
        <v/>
      </c>
      <c r="AC882">
        <f>MIN(U882:Y882)</f>
        <v/>
      </c>
      <c r="AD882">
        <f>1-alpha*MAX(0,delta-AC882)</f>
        <v/>
      </c>
      <c r="AE882">
        <f>AB882*AD882</f>
        <v/>
      </c>
      <c r="AF882">
        <f>1+COUNTIF(bounds,"&lt;"&amp;ROUND(AB882,12))</f>
        <v/>
      </c>
      <c r="AG882">
        <f>1+COUNTIF(bounds,"&lt;"&amp;ROUND(AE882,12))</f>
        <v/>
      </c>
      <c r="AH882">
        <f>IF(AD882&lt;1,1,0)</f>
        <v/>
      </c>
      <c r="AI882">
        <f>IF(AF882&lt;&gt;AG882,1,0)</f>
        <v/>
      </c>
      <c r="AJ882">
        <f>IF(AND(AG882&gt;=3,Z882&lt;=0.2),1,0)</f>
        <v/>
      </c>
      <c r="AK882">
        <f>AVERAGE(U882:Z882)</f>
        <v/>
      </c>
      <c r="AL882">
        <f>1+COUNTIF(bounds,"&lt;"&amp;ROUND(AK882,12))</f>
        <v/>
      </c>
      <c r="AM882">
        <f>IF(AI882=1,AB882,NA())</f>
        <v/>
      </c>
      <c r="AN882">
        <f>IF(AI882=0,AB882,NA())</f>
        <v/>
      </c>
    </row>
    <row r="883">
      <c r="A883" t="n">
        <v>875</v>
      </c>
      <c r="B883" t="n">
        <v>3</v>
      </c>
      <c r="C883" t="n">
        <v>3</v>
      </c>
      <c r="D883" t="n">
        <v>3</v>
      </c>
      <c r="E883" t="n">
        <v>2</v>
      </c>
      <c r="F883" t="n">
        <v>5</v>
      </c>
      <c r="G883" t="n">
        <v>2</v>
      </c>
      <c r="H883" t="n">
        <v>1</v>
      </c>
      <c r="I883" t="n">
        <v>4</v>
      </c>
      <c r="J883" t="n">
        <v>4</v>
      </c>
      <c r="K883" t="n">
        <v>5</v>
      </c>
      <c r="L883" t="n">
        <v>1</v>
      </c>
      <c r="M883" t="n">
        <v>2</v>
      </c>
      <c r="N883" t="n">
        <v>2</v>
      </c>
      <c r="O883" t="n">
        <v>2</v>
      </c>
      <c r="P883" t="n">
        <v>3</v>
      </c>
      <c r="Q883" t="n">
        <v>4</v>
      </c>
      <c r="R883" t="n">
        <v>3</v>
      </c>
      <c r="S883" t="n">
        <v>5</v>
      </c>
      <c r="T883" t="n">
        <v>3</v>
      </c>
      <c r="U883">
        <f>(AVERAGE(B883:D883)-1)/4</f>
        <v/>
      </c>
      <c r="V883">
        <f>(AVERAGE(E883:F883)-1)/4</f>
        <v/>
      </c>
      <c r="W883">
        <f>(AVERAGE(G883:I883)-1)/4</f>
        <v/>
      </c>
      <c r="X883">
        <f>(AVERAGE(J883:L883)-1)/4</f>
        <v/>
      </c>
      <c r="Y883">
        <f>(AVERAGE(M883:O883)-1)/4</f>
        <v/>
      </c>
      <c r="Z883">
        <f>(AVERAGE(P883:R883)-1)/4</f>
        <v/>
      </c>
      <c r="AA883">
        <f>(AVERAGE(S883:T883)-1)/4</f>
        <v/>
      </c>
      <c r="AB883">
        <f>AVERAGE(U883:Y883)</f>
        <v/>
      </c>
      <c r="AC883">
        <f>MIN(U883:Y883)</f>
        <v/>
      </c>
      <c r="AD883">
        <f>1-alpha*MAX(0,delta-AC883)</f>
        <v/>
      </c>
      <c r="AE883">
        <f>AB883*AD883</f>
        <v/>
      </c>
      <c r="AF883">
        <f>1+COUNTIF(bounds,"&lt;"&amp;ROUND(AB883,12))</f>
        <v/>
      </c>
      <c r="AG883">
        <f>1+COUNTIF(bounds,"&lt;"&amp;ROUND(AE883,12))</f>
        <v/>
      </c>
      <c r="AH883">
        <f>IF(AD883&lt;1,1,0)</f>
        <v/>
      </c>
      <c r="AI883">
        <f>IF(AF883&lt;&gt;AG883,1,0)</f>
        <v/>
      </c>
      <c r="AJ883">
        <f>IF(AND(AG883&gt;=3,Z883&lt;=0.2),1,0)</f>
        <v/>
      </c>
      <c r="AK883">
        <f>AVERAGE(U883:Z883)</f>
        <v/>
      </c>
      <c r="AL883">
        <f>1+COUNTIF(bounds,"&lt;"&amp;ROUND(AK883,12))</f>
        <v/>
      </c>
      <c r="AM883">
        <f>IF(AI883=1,AB883,NA())</f>
        <v/>
      </c>
      <c r="AN883">
        <f>IF(AI883=0,AB883,NA())</f>
        <v/>
      </c>
    </row>
    <row r="884">
      <c r="A884" t="n">
        <v>876</v>
      </c>
      <c r="B884" t="n">
        <v>2</v>
      </c>
      <c r="C884" t="n">
        <v>3</v>
      </c>
      <c r="D884" t="n">
        <v>2</v>
      </c>
      <c r="E884" t="n">
        <v>2</v>
      </c>
      <c r="F884" t="n">
        <v>1</v>
      </c>
      <c r="G884" t="n">
        <v>4</v>
      </c>
      <c r="H884" t="n">
        <v>3</v>
      </c>
      <c r="I884" t="n">
        <v>3</v>
      </c>
      <c r="J884" t="n">
        <v>2</v>
      </c>
      <c r="K884" t="n">
        <v>1</v>
      </c>
      <c r="L884" t="n">
        <v>1</v>
      </c>
      <c r="M884" t="n">
        <v>2</v>
      </c>
      <c r="N884" t="n">
        <v>2</v>
      </c>
      <c r="O884" t="n">
        <v>5</v>
      </c>
      <c r="P884" t="n">
        <v>3</v>
      </c>
      <c r="Q884" t="n">
        <v>4</v>
      </c>
      <c r="R884" t="n">
        <v>4</v>
      </c>
      <c r="S884" t="n">
        <v>2</v>
      </c>
      <c r="T884" t="n">
        <v>3</v>
      </c>
      <c r="U884">
        <f>(AVERAGE(B884:D884)-1)/4</f>
        <v/>
      </c>
      <c r="V884">
        <f>(AVERAGE(E884:F884)-1)/4</f>
        <v/>
      </c>
      <c r="W884">
        <f>(AVERAGE(G884:I884)-1)/4</f>
        <v/>
      </c>
      <c r="X884">
        <f>(AVERAGE(J884:L884)-1)/4</f>
        <v/>
      </c>
      <c r="Y884">
        <f>(AVERAGE(M884:O884)-1)/4</f>
        <v/>
      </c>
      <c r="Z884">
        <f>(AVERAGE(P884:R884)-1)/4</f>
        <v/>
      </c>
      <c r="AA884">
        <f>(AVERAGE(S884:T884)-1)/4</f>
        <v/>
      </c>
      <c r="AB884">
        <f>AVERAGE(U884:Y884)</f>
        <v/>
      </c>
      <c r="AC884">
        <f>MIN(U884:Y884)</f>
        <v/>
      </c>
      <c r="AD884">
        <f>1-alpha*MAX(0,delta-AC884)</f>
        <v/>
      </c>
      <c r="AE884">
        <f>AB884*AD884</f>
        <v/>
      </c>
      <c r="AF884">
        <f>1+COUNTIF(bounds,"&lt;"&amp;ROUND(AB884,12))</f>
        <v/>
      </c>
      <c r="AG884">
        <f>1+COUNTIF(bounds,"&lt;"&amp;ROUND(AE884,12))</f>
        <v/>
      </c>
      <c r="AH884">
        <f>IF(AD884&lt;1,1,0)</f>
        <v/>
      </c>
      <c r="AI884">
        <f>IF(AF884&lt;&gt;AG884,1,0)</f>
        <v/>
      </c>
      <c r="AJ884">
        <f>IF(AND(AG884&gt;=3,Z884&lt;=0.2),1,0)</f>
        <v/>
      </c>
      <c r="AK884">
        <f>AVERAGE(U884:Z884)</f>
        <v/>
      </c>
      <c r="AL884">
        <f>1+COUNTIF(bounds,"&lt;"&amp;ROUND(AK884,12))</f>
        <v/>
      </c>
      <c r="AM884">
        <f>IF(AI884=1,AB884,NA())</f>
        <v/>
      </c>
      <c r="AN884">
        <f>IF(AI884=0,AB884,NA())</f>
        <v/>
      </c>
    </row>
    <row r="885">
      <c r="A885" t="n">
        <v>877</v>
      </c>
      <c r="B885" t="n">
        <v>1</v>
      </c>
      <c r="C885" t="n">
        <v>2</v>
      </c>
      <c r="D885" t="n">
        <v>4</v>
      </c>
      <c r="E885" t="n">
        <v>4</v>
      </c>
      <c r="F885" t="n">
        <v>5</v>
      </c>
      <c r="G885" t="n">
        <v>4</v>
      </c>
      <c r="H885" t="n">
        <v>5</v>
      </c>
      <c r="I885" t="n">
        <v>3</v>
      </c>
      <c r="J885" t="n">
        <v>4</v>
      </c>
      <c r="K885" t="n">
        <v>5</v>
      </c>
      <c r="L885" t="n">
        <v>3</v>
      </c>
      <c r="M885" t="n">
        <v>4</v>
      </c>
      <c r="N885" t="n">
        <v>2</v>
      </c>
      <c r="O885" t="n">
        <v>2</v>
      </c>
      <c r="P885" t="n">
        <v>1</v>
      </c>
      <c r="Q885" t="n">
        <v>1</v>
      </c>
      <c r="R885" t="n">
        <v>3</v>
      </c>
      <c r="S885" t="n">
        <v>3</v>
      </c>
      <c r="T885" t="n">
        <v>1</v>
      </c>
      <c r="U885">
        <f>(AVERAGE(B885:D885)-1)/4</f>
        <v/>
      </c>
      <c r="V885">
        <f>(AVERAGE(E885:F885)-1)/4</f>
        <v/>
      </c>
      <c r="W885">
        <f>(AVERAGE(G885:I885)-1)/4</f>
        <v/>
      </c>
      <c r="X885">
        <f>(AVERAGE(J885:L885)-1)/4</f>
        <v/>
      </c>
      <c r="Y885">
        <f>(AVERAGE(M885:O885)-1)/4</f>
        <v/>
      </c>
      <c r="Z885">
        <f>(AVERAGE(P885:R885)-1)/4</f>
        <v/>
      </c>
      <c r="AA885">
        <f>(AVERAGE(S885:T885)-1)/4</f>
        <v/>
      </c>
      <c r="AB885">
        <f>AVERAGE(U885:Y885)</f>
        <v/>
      </c>
      <c r="AC885">
        <f>MIN(U885:Y885)</f>
        <v/>
      </c>
      <c r="AD885">
        <f>1-alpha*MAX(0,delta-AC885)</f>
        <v/>
      </c>
      <c r="AE885">
        <f>AB885*AD885</f>
        <v/>
      </c>
      <c r="AF885">
        <f>1+COUNTIF(bounds,"&lt;"&amp;ROUND(AB885,12))</f>
        <v/>
      </c>
      <c r="AG885">
        <f>1+COUNTIF(bounds,"&lt;"&amp;ROUND(AE885,12))</f>
        <v/>
      </c>
      <c r="AH885">
        <f>IF(AD885&lt;1,1,0)</f>
        <v/>
      </c>
      <c r="AI885">
        <f>IF(AF885&lt;&gt;AG885,1,0)</f>
        <v/>
      </c>
      <c r="AJ885">
        <f>IF(AND(AG885&gt;=3,Z885&lt;=0.2),1,0)</f>
        <v/>
      </c>
      <c r="AK885">
        <f>AVERAGE(U885:Z885)</f>
        <v/>
      </c>
      <c r="AL885">
        <f>1+COUNTIF(bounds,"&lt;"&amp;ROUND(AK885,12))</f>
        <v/>
      </c>
      <c r="AM885">
        <f>IF(AI885=1,AB885,NA())</f>
        <v/>
      </c>
      <c r="AN885">
        <f>IF(AI885=0,AB885,NA())</f>
        <v/>
      </c>
    </row>
    <row r="886">
      <c r="A886" t="n">
        <v>878</v>
      </c>
      <c r="B886" t="n">
        <v>5</v>
      </c>
      <c r="C886" t="n">
        <v>3</v>
      </c>
      <c r="D886" t="n">
        <v>3</v>
      </c>
      <c r="E886" t="n">
        <v>1</v>
      </c>
      <c r="F886" t="n">
        <v>5</v>
      </c>
      <c r="G886" t="n">
        <v>3</v>
      </c>
      <c r="H886" t="n">
        <v>5</v>
      </c>
      <c r="I886" t="n">
        <v>2</v>
      </c>
      <c r="J886" t="n">
        <v>2</v>
      </c>
      <c r="K886" t="n">
        <v>3</v>
      </c>
      <c r="L886" t="n">
        <v>5</v>
      </c>
      <c r="M886" t="n">
        <v>4</v>
      </c>
      <c r="N886" t="n">
        <v>4</v>
      </c>
      <c r="O886" t="n">
        <v>1</v>
      </c>
      <c r="P886" t="n">
        <v>1</v>
      </c>
      <c r="Q886" t="n">
        <v>3</v>
      </c>
      <c r="R886" t="n">
        <v>3</v>
      </c>
      <c r="S886" t="n">
        <v>3</v>
      </c>
      <c r="T886" t="n">
        <v>3</v>
      </c>
      <c r="U886">
        <f>(AVERAGE(B886:D886)-1)/4</f>
        <v/>
      </c>
      <c r="V886">
        <f>(AVERAGE(E886:F886)-1)/4</f>
        <v/>
      </c>
      <c r="W886">
        <f>(AVERAGE(G886:I886)-1)/4</f>
        <v/>
      </c>
      <c r="X886">
        <f>(AVERAGE(J886:L886)-1)/4</f>
        <v/>
      </c>
      <c r="Y886">
        <f>(AVERAGE(M886:O886)-1)/4</f>
        <v/>
      </c>
      <c r="Z886">
        <f>(AVERAGE(P886:R886)-1)/4</f>
        <v/>
      </c>
      <c r="AA886">
        <f>(AVERAGE(S886:T886)-1)/4</f>
        <v/>
      </c>
      <c r="AB886">
        <f>AVERAGE(U886:Y886)</f>
        <v/>
      </c>
      <c r="AC886">
        <f>MIN(U886:Y886)</f>
        <v/>
      </c>
      <c r="AD886">
        <f>1-alpha*MAX(0,delta-AC886)</f>
        <v/>
      </c>
      <c r="AE886">
        <f>AB886*AD886</f>
        <v/>
      </c>
      <c r="AF886">
        <f>1+COUNTIF(bounds,"&lt;"&amp;ROUND(AB886,12))</f>
        <v/>
      </c>
      <c r="AG886">
        <f>1+COUNTIF(bounds,"&lt;"&amp;ROUND(AE886,12))</f>
        <v/>
      </c>
      <c r="AH886">
        <f>IF(AD886&lt;1,1,0)</f>
        <v/>
      </c>
      <c r="AI886">
        <f>IF(AF886&lt;&gt;AG886,1,0)</f>
        <v/>
      </c>
      <c r="AJ886">
        <f>IF(AND(AG886&gt;=3,Z886&lt;=0.2),1,0)</f>
        <v/>
      </c>
      <c r="AK886">
        <f>AVERAGE(U886:Z886)</f>
        <v/>
      </c>
      <c r="AL886">
        <f>1+COUNTIF(bounds,"&lt;"&amp;ROUND(AK886,12))</f>
        <v/>
      </c>
      <c r="AM886">
        <f>IF(AI886=1,AB886,NA())</f>
        <v/>
      </c>
      <c r="AN886">
        <f>IF(AI886=0,AB886,NA())</f>
        <v/>
      </c>
    </row>
    <row r="887">
      <c r="A887" t="n">
        <v>879</v>
      </c>
      <c r="B887" t="n">
        <v>2</v>
      </c>
      <c r="C887" t="n">
        <v>3</v>
      </c>
      <c r="D887" t="n">
        <v>5</v>
      </c>
      <c r="E887" t="n">
        <v>5</v>
      </c>
      <c r="F887" t="n">
        <v>3</v>
      </c>
      <c r="G887" t="n">
        <v>2</v>
      </c>
      <c r="H887" t="n">
        <v>3</v>
      </c>
      <c r="I887" t="n">
        <v>1</v>
      </c>
      <c r="J887" t="n">
        <v>5</v>
      </c>
      <c r="K887" t="n">
        <v>5</v>
      </c>
      <c r="L887" t="n">
        <v>4</v>
      </c>
      <c r="M887" t="n">
        <v>2</v>
      </c>
      <c r="N887" t="n">
        <v>1</v>
      </c>
      <c r="O887" t="n">
        <v>2</v>
      </c>
      <c r="P887" t="n">
        <v>1</v>
      </c>
      <c r="Q887" t="n">
        <v>3</v>
      </c>
      <c r="R887" t="n">
        <v>5</v>
      </c>
      <c r="S887" t="n">
        <v>1</v>
      </c>
      <c r="T887" t="n">
        <v>4</v>
      </c>
      <c r="U887">
        <f>(AVERAGE(B887:D887)-1)/4</f>
        <v/>
      </c>
      <c r="V887">
        <f>(AVERAGE(E887:F887)-1)/4</f>
        <v/>
      </c>
      <c r="W887">
        <f>(AVERAGE(G887:I887)-1)/4</f>
        <v/>
      </c>
      <c r="X887">
        <f>(AVERAGE(J887:L887)-1)/4</f>
        <v/>
      </c>
      <c r="Y887">
        <f>(AVERAGE(M887:O887)-1)/4</f>
        <v/>
      </c>
      <c r="Z887">
        <f>(AVERAGE(P887:R887)-1)/4</f>
        <v/>
      </c>
      <c r="AA887">
        <f>(AVERAGE(S887:T887)-1)/4</f>
        <v/>
      </c>
      <c r="AB887">
        <f>AVERAGE(U887:Y887)</f>
        <v/>
      </c>
      <c r="AC887">
        <f>MIN(U887:Y887)</f>
        <v/>
      </c>
      <c r="AD887">
        <f>1-alpha*MAX(0,delta-AC887)</f>
        <v/>
      </c>
      <c r="AE887">
        <f>AB887*AD887</f>
        <v/>
      </c>
      <c r="AF887">
        <f>1+COUNTIF(bounds,"&lt;"&amp;ROUND(AB887,12))</f>
        <v/>
      </c>
      <c r="AG887">
        <f>1+COUNTIF(bounds,"&lt;"&amp;ROUND(AE887,12))</f>
        <v/>
      </c>
      <c r="AH887">
        <f>IF(AD887&lt;1,1,0)</f>
        <v/>
      </c>
      <c r="AI887">
        <f>IF(AF887&lt;&gt;AG887,1,0)</f>
        <v/>
      </c>
      <c r="AJ887">
        <f>IF(AND(AG887&gt;=3,Z887&lt;=0.2),1,0)</f>
        <v/>
      </c>
      <c r="AK887">
        <f>AVERAGE(U887:Z887)</f>
        <v/>
      </c>
      <c r="AL887">
        <f>1+COUNTIF(bounds,"&lt;"&amp;ROUND(AK887,12))</f>
        <v/>
      </c>
      <c r="AM887">
        <f>IF(AI887=1,AB887,NA())</f>
        <v/>
      </c>
      <c r="AN887">
        <f>IF(AI887=0,AB887,NA())</f>
        <v/>
      </c>
    </row>
    <row r="888">
      <c r="A888" t="n">
        <v>880</v>
      </c>
      <c r="B888" t="n">
        <v>1</v>
      </c>
      <c r="C888" t="n">
        <v>3</v>
      </c>
      <c r="D888" t="n">
        <v>5</v>
      </c>
      <c r="E888" t="n">
        <v>5</v>
      </c>
      <c r="F888" t="n">
        <v>3</v>
      </c>
      <c r="G888" t="n">
        <v>4</v>
      </c>
      <c r="H888" t="n">
        <v>2</v>
      </c>
      <c r="I888" t="n">
        <v>2</v>
      </c>
      <c r="J888" t="n">
        <v>1</v>
      </c>
      <c r="K888" t="n">
        <v>5</v>
      </c>
      <c r="L888" t="n">
        <v>5</v>
      </c>
      <c r="M888" t="n">
        <v>1</v>
      </c>
      <c r="N888" t="n">
        <v>1</v>
      </c>
      <c r="O888" t="n">
        <v>5</v>
      </c>
      <c r="P888" t="n">
        <v>2</v>
      </c>
      <c r="Q888" t="n">
        <v>2</v>
      </c>
      <c r="R888" t="n">
        <v>1</v>
      </c>
      <c r="S888" t="n">
        <v>3</v>
      </c>
      <c r="T888" t="n">
        <v>2</v>
      </c>
      <c r="U888">
        <f>(AVERAGE(B888:D888)-1)/4</f>
        <v/>
      </c>
      <c r="V888">
        <f>(AVERAGE(E888:F888)-1)/4</f>
        <v/>
      </c>
      <c r="W888">
        <f>(AVERAGE(G888:I888)-1)/4</f>
        <v/>
      </c>
      <c r="X888">
        <f>(AVERAGE(J888:L888)-1)/4</f>
        <v/>
      </c>
      <c r="Y888">
        <f>(AVERAGE(M888:O888)-1)/4</f>
        <v/>
      </c>
      <c r="Z888">
        <f>(AVERAGE(P888:R888)-1)/4</f>
        <v/>
      </c>
      <c r="AA888">
        <f>(AVERAGE(S888:T888)-1)/4</f>
        <v/>
      </c>
      <c r="AB888">
        <f>AVERAGE(U888:Y888)</f>
        <v/>
      </c>
      <c r="AC888">
        <f>MIN(U888:Y888)</f>
        <v/>
      </c>
      <c r="AD888">
        <f>1-alpha*MAX(0,delta-AC888)</f>
        <v/>
      </c>
      <c r="AE888">
        <f>AB888*AD888</f>
        <v/>
      </c>
      <c r="AF888">
        <f>1+COUNTIF(bounds,"&lt;"&amp;ROUND(AB888,12))</f>
        <v/>
      </c>
      <c r="AG888">
        <f>1+COUNTIF(bounds,"&lt;"&amp;ROUND(AE888,12))</f>
        <v/>
      </c>
      <c r="AH888">
        <f>IF(AD888&lt;1,1,0)</f>
        <v/>
      </c>
      <c r="AI888">
        <f>IF(AF888&lt;&gt;AG888,1,0)</f>
        <v/>
      </c>
      <c r="AJ888">
        <f>IF(AND(AG888&gt;=3,Z888&lt;=0.2),1,0)</f>
        <v/>
      </c>
      <c r="AK888">
        <f>AVERAGE(U888:Z888)</f>
        <v/>
      </c>
      <c r="AL888">
        <f>1+COUNTIF(bounds,"&lt;"&amp;ROUND(AK888,12))</f>
        <v/>
      </c>
      <c r="AM888">
        <f>IF(AI888=1,AB888,NA())</f>
        <v/>
      </c>
      <c r="AN888">
        <f>IF(AI888=0,AB888,NA())</f>
        <v/>
      </c>
    </row>
    <row r="889">
      <c r="A889" t="n">
        <v>881</v>
      </c>
      <c r="B889" t="n">
        <v>4</v>
      </c>
      <c r="C889" t="n">
        <v>4</v>
      </c>
      <c r="D889" t="n">
        <v>3</v>
      </c>
      <c r="E889" t="n">
        <v>1</v>
      </c>
      <c r="F889" t="n">
        <v>4</v>
      </c>
      <c r="G889" t="n">
        <v>4</v>
      </c>
      <c r="H889" t="n">
        <v>3</v>
      </c>
      <c r="I889" t="n">
        <v>1</v>
      </c>
      <c r="J889" t="n">
        <v>4</v>
      </c>
      <c r="K889" t="n">
        <v>5</v>
      </c>
      <c r="L889" t="n">
        <v>3</v>
      </c>
      <c r="M889" t="n">
        <v>3</v>
      </c>
      <c r="N889" t="n">
        <v>5</v>
      </c>
      <c r="O889" t="n">
        <v>3</v>
      </c>
      <c r="P889" t="n">
        <v>5</v>
      </c>
      <c r="Q889" t="n">
        <v>3</v>
      </c>
      <c r="R889" t="n">
        <v>2</v>
      </c>
      <c r="S889" t="n">
        <v>5</v>
      </c>
      <c r="T889" t="n">
        <v>3</v>
      </c>
      <c r="U889">
        <f>(AVERAGE(B889:D889)-1)/4</f>
        <v/>
      </c>
      <c r="V889">
        <f>(AVERAGE(E889:F889)-1)/4</f>
        <v/>
      </c>
      <c r="W889">
        <f>(AVERAGE(G889:I889)-1)/4</f>
        <v/>
      </c>
      <c r="X889">
        <f>(AVERAGE(J889:L889)-1)/4</f>
        <v/>
      </c>
      <c r="Y889">
        <f>(AVERAGE(M889:O889)-1)/4</f>
        <v/>
      </c>
      <c r="Z889">
        <f>(AVERAGE(P889:R889)-1)/4</f>
        <v/>
      </c>
      <c r="AA889">
        <f>(AVERAGE(S889:T889)-1)/4</f>
        <v/>
      </c>
      <c r="AB889">
        <f>AVERAGE(U889:Y889)</f>
        <v/>
      </c>
      <c r="AC889">
        <f>MIN(U889:Y889)</f>
        <v/>
      </c>
      <c r="AD889">
        <f>1-alpha*MAX(0,delta-AC889)</f>
        <v/>
      </c>
      <c r="AE889">
        <f>AB889*AD889</f>
        <v/>
      </c>
      <c r="AF889">
        <f>1+COUNTIF(bounds,"&lt;"&amp;ROUND(AB889,12))</f>
        <v/>
      </c>
      <c r="AG889">
        <f>1+COUNTIF(bounds,"&lt;"&amp;ROUND(AE889,12))</f>
        <v/>
      </c>
      <c r="AH889">
        <f>IF(AD889&lt;1,1,0)</f>
        <v/>
      </c>
      <c r="AI889">
        <f>IF(AF889&lt;&gt;AG889,1,0)</f>
        <v/>
      </c>
      <c r="AJ889">
        <f>IF(AND(AG889&gt;=3,Z889&lt;=0.2),1,0)</f>
        <v/>
      </c>
      <c r="AK889">
        <f>AVERAGE(U889:Z889)</f>
        <v/>
      </c>
      <c r="AL889">
        <f>1+COUNTIF(bounds,"&lt;"&amp;ROUND(AK889,12))</f>
        <v/>
      </c>
      <c r="AM889">
        <f>IF(AI889=1,AB889,NA())</f>
        <v/>
      </c>
      <c r="AN889">
        <f>IF(AI889=0,AB889,NA())</f>
        <v/>
      </c>
    </row>
    <row r="890">
      <c r="A890" t="n">
        <v>882</v>
      </c>
      <c r="B890" t="n">
        <v>1</v>
      </c>
      <c r="C890" t="n">
        <v>3</v>
      </c>
      <c r="D890" t="n">
        <v>2</v>
      </c>
      <c r="E890" t="n">
        <v>3</v>
      </c>
      <c r="F890" t="n">
        <v>5</v>
      </c>
      <c r="G890" t="n">
        <v>1</v>
      </c>
      <c r="H890" t="n">
        <v>3</v>
      </c>
      <c r="I890" t="n">
        <v>3</v>
      </c>
      <c r="J890" t="n">
        <v>3</v>
      </c>
      <c r="K890" t="n">
        <v>3</v>
      </c>
      <c r="L890" t="n">
        <v>3</v>
      </c>
      <c r="M890" t="n">
        <v>2</v>
      </c>
      <c r="N890" t="n">
        <v>1</v>
      </c>
      <c r="O890" t="n">
        <v>4</v>
      </c>
      <c r="P890" t="n">
        <v>3</v>
      </c>
      <c r="Q890" t="n">
        <v>3</v>
      </c>
      <c r="R890" t="n">
        <v>3</v>
      </c>
      <c r="S890" t="n">
        <v>5</v>
      </c>
      <c r="T890" t="n">
        <v>4</v>
      </c>
      <c r="U890">
        <f>(AVERAGE(B890:D890)-1)/4</f>
        <v/>
      </c>
      <c r="V890">
        <f>(AVERAGE(E890:F890)-1)/4</f>
        <v/>
      </c>
      <c r="W890">
        <f>(AVERAGE(G890:I890)-1)/4</f>
        <v/>
      </c>
      <c r="X890">
        <f>(AVERAGE(J890:L890)-1)/4</f>
        <v/>
      </c>
      <c r="Y890">
        <f>(AVERAGE(M890:O890)-1)/4</f>
        <v/>
      </c>
      <c r="Z890">
        <f>(AVERAGE(P890:R890)-1)/4</f>
        <v/>
      </c>
      <c r="AA890">
        <f>(AVERAGE(S890:T890)-1)/4</f>
        <v/>
      </c>
      <c r="AB890">
        <f>AVERAGE(U890:Y890)</f>
        <v/>
      </c>
      <c r="AC890">
        <f>MIN(U890:Y890)</f>
        <v/>
      </c>
      <c r="AD890">
        <f>1-alpha*MAX(0,delta-AC890)</f>
        <v/>
      </c>
      <c r="AE890">
        <f>AB890*AD890</f>
        <v/>
      </c>
      <c r="AF890">
        <f>1+COUNTIF(bounds,"&lt;"&amp;ROUND(AB890,12))</f>
        <v/>
      </c>
      <c r="AG890">
        <f>1+COUNTIF(bounds,"&lt;"&amp;ROUND(AE890,12))</f>
        <v/>
      </c>
      <c r="AH890">
        <f>IF(AD890&lt;1,1,0)</f>
        <v/>
      </c>
      <c r="AI890">
        <f>IF(AF890&lt;&gt;AG890,1,0)</f>
        <v/>
      </c>
      <c r="AJ890">
        <f>IF(AND(AG890&gt;=3,Z890&lt;=0.2),1,0)</f>
        <v/>
      </c>
      <c r="AK890">
        <f>AVERAGE(U890:Z890)</f>
        <v/>
      </c>
      <c r="AL890">
        <f>1+COUNTIF(bounds,"&lt;"&amp;ROUND(AK890,12))</f>
        <v/>
      </c>
      <c r="AM890">
        <f>IF(AI890=1,AB890,NA())</f>
        <v/>
      </c>
      <c r="AN890">
        <f>IF(AI890=0,AB890,NA())</f>
        <v/>
      </c>
    </row>
    <row r="891">
      <c r="A891" t="n">
        <v>883</v>
      </c>
      <c r="B891" t="n">
        <v>1</v>
      </c>
      <c r="C891" t="n">
        <v>3</v>
      </c>
      <c r="D891" t="n">
        <v>3</v>
      </c>
      <c r="E891" t="n">
        <v>3</v>
      </c>
      <c r="F891" t="n">
        <v>1</v>
      </c>
      <c r="G891" t="n">
        <v>4</v>
      </c>
      <c r="H891" t="n">
        <v>1</v>
      </c>
      <c r="I891" t="n">
        <v>4</v>
      </c>
      <c r="J891" t="n">
        <v>3</v>
      </c>
      <c r="K891" t="n">
        <v>1</v>
      </c>
      <c r="L891" t="n">
        <v>4</v>
      </c>
      <c r="M891" t="n">
        <v>3</v>
      </c>
      <c r="N891" t="n">
        <v>1</v>
      </c>
      <c r="O891" t="n">
        <v>4</v>
      </c>
      <c r="P891" t="n">
        <v>3</v>
      </c>
      <c r="Q891" t="n">
        <v>2</v>
      </c>
      <c r="R891" t="n">
        <v>2</v>
      </c>
      <c r="S891" t="n">
        <v>1</v>
      </c>
      <c r="T891" t="n">
        <v>5</v>
      </c>
      <c r="U891">
        <f>(AVERAGE(B891:D891)-1)/4</f>
        <v/>
      </c>
      <c r="V891">
        <f>(AVERAGE(E891:F891)-1)/4</f>
        <v/>
      </c>
      <c r="W891">
        <f>(AVERAGE(G891:I891)-1)/4</f>
        <v/>
      </c>
      <c r="X891">
        <f>(AVERAGE(J891:L891)-1)/4</f>
        <v/>
      </c>
      <c r="Y891">
        <f>(AVERAGE(M891:O891)-1)/4</f>
        <v/>
      </c>
      <c r="Z891">
        <f>(AVERAGE(P891:R891)-1)/4</f>
        <v/>
      </c>
      <c r="AA891">
        <f>(AVERAGE(S891:T891)-1)/4</f>
        <v/>
      </c>
      <c r="AB891">
        <f>AVERAGE(U891:Y891)</f>
        <v/>
      </c>
      <c r="AC891">
        <f>MIN(U891:Y891)</f>
        <v/>
      </c>
      <c r="AD891">
        <f>1-alpha*MAX(0,delta-AC891)</f>
        <v/>
      </c>
      <c r="AE891">
        <f>AB891*AD891</f>
        <v/>
      </c>
      <c r="AF891">
        <f>1+COUNTIF(bounds,"&lt;"&amp;ROUND(AB891,12))</f>
        <v/>
      </c>
      <c r="AG891">
        <f>1+COUNTIF(bounds,"&lt;"&amp;ROUND(AE891,12))</f>
        <v/>
      </c>
      <c r="AH891">
        <f>IF(AD891&lt;1,1,0)</f>
        <v/>
      </c>
      <c r="AI891">
        <f>IF(AF891&lt;&gt;AG891,1,0)</f>
        <v/>
      </c>
      <c r="AJ891">
        <f>IF(AND(AG891&gt;=3,Z891&lt;=0.2),1,0)</f>
        <v/>
      </c>
      <c r="AK891">
        <f>AVERAGE(U891:Z891)</f>
        <v/>
      </c>
      <c r="AL891">
        <f>1+COUNTIF(bounds,"&lt;"&amp;ROUND(AK891,12))</f>
        <v/>
      </c>
      <c r="AM891">
        <f>IF(AI891=1,AB891,NA())</f>
        <v/>
      </c>
      <c r="AN891">
        <f>IF(AI891=0,AB891,NA())</f>
        <v/>
      </c>
    </row>
    <row r="892">
      <c r="A892" t="n">
        <v>884</v>
      </c>
      <c r="B892" t="n">
        <v>4</v>
      </c>
      <c r="C892" t="n">
        <v>4</v>
      </c>
      <c r="D892" t="n">
        <v>2</v>
      </c>
      <c r="E892" t="n">
        <v>3</v>
      </c>
      <c r="F892" t="n">
        <v>2</v>
      </c>
      <c r="G892" t="n">
        <v>3</v>
      </c>
      <c r="H892" t="n">
        <v>4</v>
      </c>
      <c r="I892" t="n">
        <v>4</v>
      </c>
      <c r="J892" t="n">
        <v>4</v>
      </c>
      <c r="K892" t="n">
        <v>2</v>
      </c>
      <c r="L892" t="n">
        <v>5</v>
      </c>
      <c r="M892" t="n">
        <v>5</v>
      </c>
      <c r="N892" t="n">
        <v>3</v>
      </c>
      <c r="O892" t="n">
        <v>1</v>
      </c>
      <c r="P892" t="n">
        <v>4</v>
      </c>
      <c r="Q892" t="n">
        <v>4</v>
      </c>
      <c r="R892" t="n">
        <v>3</v>
      </c>
      <c r="S892" t="n">
        <v>3</v>
      </c>
      <c r="T892" t="n">
        <v>5</v>
      </c>
      <c r="U892">
        <f>(AVERAGE(B892:D892)-1)/4</f>
        <v/>
      </c>
      <c r="V892">
        <f>(AVERAGE(E892:F892)-1)/4</f>
        <v/>
      </c>
      <c r="W892">
        <f>(AVERAGE(G892:I892)-1)/4</f>
        <v/>
      </c>
      <c r="X892">
        <f>(AVERAGE(J892:L892)-1)/4</f>
        <v/>
      </c>
      <c r="Y892">
        <f>(AVERAGE(M892:O892)-1)/4</f>
        <v/>
      </c>
      <c r="Z892">
        <f>(AVERAGE(P892:R892)-1)/4</f>
        <v/>
      </c>
      <c r="AA892">
        <f>(AVERAGE(S892:T892)-1)/4</f>
        <v/>
      </c>
      <c r="AB892">
        <f>AVERAGE(U892:Y892)</f>
        <v/>
      </c>
      <c r="AC892">
        <f>MIN(U892:Y892)</f>
        <v/>
      </c>
      <c r="AD892">
        <f>1-alpha*MAX(0,delta-AC892)</f>
        <v/>
      </c>
      <c r="AE892">
        <f>AB892*AD892</f>
        <v/>
      </c>
      <c r="AF892">
        <f>1+COUNTIF(bounds,"&lt;"&amp;ROUND(AB892,12))</f>
        <v/>
      </c>
      <c r="AG892">
        <f>1+COUNTIF(bounds,"&lt;"&amp;ROUND(AE892,12))</f>
        <v/>
      </c>
      <c r="AH892">
        <f>IF(AD892&lt;1,1,0)</f>
        <v/>
      </c>
      <c r="AI892">
        <f>IF(AF892&lt;&gt;AG892,1,0)</f>
        <v/>
      </c>
      <c r="AJ892">
        <f>IF(AND(AG892&gt;=3,Z892&lt;=0.2),1,0)</f>
        <v/>
      </c>
      <c r="AK892">
        <f>AVERAGE(U892:Z892)</f>
        <v/>
      </c>
      <c r="AL892">
        <f>1+COUNTIF(bounds,"&lt;"&amp;ROUND(AK892,12))</f>
        <v/>
      </c>
      <c r="AM892">
        <f>IF(AI892=1,AB892,NA())</f>
        <v/>
      </c>
      <c r="AN892">
        <f>IF(AI892=0,AB892,NA())</f>
        <v/>
      </c>
    </row>
    <row r="893">
      <c r="A893" t="n">
        <v>885</v>
      </c>
      <c r="B893" t="n">
        <v>4</v>
      </c>
      <c r="C893" t="n">
        <v>3</v>
      </c>
      <c r="D893" t="n">
        <v>3</v>
      </c>
      <c r="E893" t="n">
        <v>5</v>
      </c>
      <c r="F893" t="n">
        <v>2</v>
      </c>
      <c r="G893" t="n">
        <v>2</v>
      </c>
      <c r="H893" t="n">
        <v>5</v>
      </c>
      <c r="I893" t="n">
        <v>2</v>
      </c>
      <c r="J893" t="n">
        <v>3</v>
      </c>
      <c r="K893" t="n">
        <v>4</v>
      </c>
      <c r="L893" t="n">
        <v>3</v>
      </c>
      <c r="M893" t="n">
        <v>3</v>
      </c>
      <c r="N893" t="n">
        <v>5</v>
      </c>
      <c r="O893" t="n">
        <v>3</v>
      </c>
      <c r="P893" t="n">
        <v>5</v>
      </c>
      <c r="Q893" t="n">
        <v>4</v>
      </c>
      <c r="R893" t="n">
        <v>1</v>
      </c>
      <c r="S893" t="n">
        <v>4</v>
      </c>
      <c r="T893" t="n">
        <v>3</v>
      </c>
      <c r="U893">
        <f>(AVERAGE(B893:D893)-1)/4</f>
        <v/>
      </c>
      <c r="V893">
        <f>(AVERAGE(E893:F893)-1)/4</f>
        <v/>
      </c>
      <c r="W893">
        <f>(AVERAGE(G893:I893)-1)/4</f>
        <v/>
      </c>
      <c r="X893">
        <f>(AVERAGE(J893:L893)-1)/4</f>
        <v/>
      </c>
      <c r="Y893">
        <f>(AVERAGE(M893:O893)-1)/4</f>
        <v/>
      </c>
      <c r="Z893">
        <f>(AVERAGE(P893:R893)-1)/4</f>
        <v/>
      </c>
      <c r="AA893">
        <f>(AVERAGE(S893:T893)-1)/4</f>
        <v/>
      </c>
      <c r="AB893">
        <f>AVERAGE(U893:Y893)</f>
        <v/>
      </c>
      <c r="AC893">
        <f>MIN(U893:Y893)</f>
        <v/>
      </c>
      <c r="AD893">
        <f>1-alpha*MAX(0,delta-AC893)</f>
        <v/>
      </c>
      <c r="AE893">
        <f>AB893*AD893</f>
        <v/>
      </c>
      <c r="AF893">
        <f>1+COUNTIF(bounds,"&lt;"&amp;ROUND(AB893,12))</f>
        <v/>
      </c>
      <c r="AG893">
        <f>1+COUNTIF(bounds,"&lt;"&amp;ROUND(AE893,12))</f>
        <v/>
      </c>
      <c r="AH893">
        <f>IF(AD893&lt;1,1,0)</f>
        <v/>
      </c>
      <c r="AI893">
        <f>IF(AF893&lt;&gt;AG893,1,0)</f>
        <v/>
      </c>
      <c r="AJ893">
        <f>IF(AND(AG893&gt;=3,Z893&lt;=0.2),1,0)</f>
        <v/>
      </c>
      <c r="AK893">
        <f>AVERAGE(U893:Z893)</f>
        <v/>
      </c>
      <c r="AL893">
        <f>1+COUNTIF(bounds,"&lt;"&amp;ROUND(AK893,12))</f>
        <v/>
      </c>
      <c r="AM893">
        <f>IF(AI893=1,AB893,NA())</f>
        <v/>
      </c>
      <c r="AN893">
        <f>IF(AI893=0,AB893,NA())</f>
        <v/>
      </c>
    </row>
    <row r="894">
      <c r="A894" t="n">
        <v>886</v>
      </c>
      <c r="B894" t="n">
        <v>4</v>
      </c>
      <c r="C894" t="n">
        <v>3</v>
      </c>
      <c r="D894" t="n">
        <v>4</v>
      </c>
      <c r="E894" t="n">
        <v>5</v>
      </c>
      <c r="F894" t="n">
        <v>2</v>
      </c>
      <c r="G894" t="n">
        <v>4</v>
      </c>
      <c r="H894" t="n">
        <v>3</v>
      </c>
      <c r="I894" t="n">
        <v>3</v>
      </c>
      <c r="J894" t="n">
        <v>5</v>
      </c>
      <c r="K894" t="n">
        <v>1</v>
      </c>
      <c r="L894" t="n">
        <v>4</v>
      </c>
      <c r="M894" t="n">
        <v>2</v>
      </c>
      <c r="N894" t="n">
        <v>1</v>
      </c>
      <c r="O894" t="n">
        <v>4</v>
      </c>
      <c r="P894" t="n">
        <v>4</v>
      </c>
      <c r="Q894" t="n">
        <v>1</v>
      </c>
      <c r="R894" t="n">
        <v>2</v>
      </c>
      <c r="S894" t="n">
        <v>4</v>
      </c>
      <c r="T894" t="n">
        <v>1</v>
      </c>
      <c r="U894">
        <f>(AVERAGE(B894:D894)-1)/4</f>
        <v/>
      </c>
      <c r="V894">
        <f>(AVERAGE(E894:F894)-1)/4</f>
        <v/>
      </c>
      <c r="W894">
        <f>(AVERAGE(G894:I894)-1)/4</f>
        <v/>
      </c>
      <c r="X894">
        <f>(AVERAGE(J894:L894)-1)/4</f>
        <v/>
      </c>
      <c r="Y894">
        <f>(AVERAGE(M894:O894)-1)/4</f>
        <v/>
      </c>
      <c r="Z894">
        <f>(AVERAGE(P894:R894)-1)/4</f>
        <v/>
      </c>
      <c r="AA894">
        <f>(AVERAGE(S894:T894)-1)/4</f>
        <v/>
      </c>
      <c r="AB894">
        <f>AVERAGE(U894:Y894)</f>
        <v/>
      </c>
      <c r="AC894">
        <f>MIN(U894:Y894)</f>
        <v/>
      </c>
      <c r="AD894">
        <f>1-alpha*MAX(0,delta-AC894)</f>
        <v/>
      </c>
      <c r="AE894">
        <f>AB894*AD894</f>
        <v/>
      </c>
      <c r="AF894">
        <f>1+COUNTIF(bounds,"&lt;"&amp;ROUND(AB894,12))</f>
        <v/>
      </c>
      <c r="AG894">
        <f>1+COUNTIF(bounds,"&lt;"&amp;ROUND(AE894,12))</f>
        <v/>
      </c>
      <c r="AH894">
        <f>IF(AD894&lt;1,1,0)</f>
        <v/>
      </c>
      <c r="AI894">
        <f>IF(AF894&lt;&gt;AG894,1,0)</f>
        <v/>
      </c>
      <c r="AJ894">
        <f>IF(AND(AG894&gt;=3,Z894&lt;=0.2),1,0)</f>
        <v/>
      </c>
      <c r="AK894">
        <f>AVERAGE(U894:Z894)</f>
        <v/>
      </c>
      <c r="AL894">
        <f>1+COUNTIF(bounds,"&lt;"&amp;ROUND(AK894,12))</f>
        <v/>
      </c>
      <c r="AM894">
        <f>IF(AI894=1,AB894,NA())</f>
        <v/>
      </c>
      <c r="AN894">
        <f>IF(AI894=0,AB894,NA())</f>
        <v/>
      </c>
    </row>
    <row r="895">
      <c r="A895" t="n">
        <v>887</v>
      </c>
      <c r="B895" t="n">
        <v>5</v>
      </c>
      <c r="C895" t="n">
        <v>3</v>
      </c>
      <c r="D895" t="n">
        <v>4</v>
      </c>
      <c r="E895" t="n">
        <v>4</v>
      </c>
      <c r="F895" t="n">
        <v>4</v>
      </c>
      <c r="G895" t="n">
        <v>5</v>
      </c>
      <c r="H895" t="n">
        <v>1</v>
      </c>
      <c r="I895" t="n">
        <v>3</v>
      </c>
      <c r="J895" t="n">
        <v>3</v>
      </c>
      <c r="K895" t="n">
        <v>2</v>
      </c>
      <c r="L895" t="n">
        <v>3</v>
      </c>
      <c r="M895" t="n">
        <v>2</v>
      </c>
      <c r="N895" t="n">
        <v>5</v>
      </c>
      <c r="O895" t="n">
        <v>1</v>
      </c>
      <c r="P895" t="n">
        <v>5</v>
      </c>
      <c r="Q895" t="n">
        <v>2</v>
      </c>
      <c r="R895" t="n">
        <v>2</v>
      </c>
      <c r="S895" t="n">
        <v>1</v>
      </c>
      <c r="T895" t="n">
        <v>4</v>
      </c>
      <c r="U895">
        <f>(AVERAGE(B895:D895)-1)/4</f>
        <v/>
      </c>
      <c r="V895">
        <f>(AVERAGE(E895:F895)-1)/4</f>
        <v/>
      </c>
      <c r="W895">
        <f>(AVERAGE(G895:I895)-1)/4</f>
        <v/>
      </c>
      <c r="X895">
        <f>(AVERAGE(J895:L895)-1)/4</f>
        <v/>
      </c>
      <c r="Y895">
        <f>(AVERAGE(M895:O895)-1)/4</f>
        <v/>
      </c>
      <c r="Z895">
        <f>(AVERAGE(P895:R895)-1)/4</f>
        <v/>
      </c>
      <c r="AA895">
        <f>(AVERAGE(S895:T895)-1)/4</f>
        <v/>
      </c>
      <c r="AB895">
        <f>AVERAGE(U895:Y895)</f>
        <v/>
      </c>
      <c r="AC895">
        <f>MIN(U895:Y895)</f>
        <v/>
      </c>
      <c r="AD895">
        <f>1-alpha*MAX(0,delta-AC895)</f>
        <v/>
      </c>
      <c r="AE895">
        <f>AB895*AD895</f>
        <v/>
      </c>
      <c r="AF895">
        <f>1+COUNTIF(bounds,"&lt;"&amp;ROUND(AB895,12))</f>
        <v/>
      </c>
      <c r="AG895">
        <f>1+COUNTIF(bounds,"&lt;"&amp;ROUND(AE895,12))</f>
        <v/>
      </c>
      <c r="AH895">
        <f>IF(AD895&lt;1,1,0)</f>
        <v/>
      </c>
      <c r="AI895">
        <f>IF(AF895&lt;&gt;AG895,1,0)</f>
        <v/>
      </c>
      <c r="AJ895">
        <f>IF(AND(AG895&gt;=3,Z895&lt;=0.2),1,0)</f>
        <v/>
      </c>
      <c r="AK895">
        <f>AVERAGE(U895:Z895)</f>
        <v/>
      </c>
      <c r="AL895">
        <f>1+COUNTIF(bounds,"&lt;"&amp;ROUND(AK895,12))</f>
        <v/>
      </c>
      <c r="AM895">
        <f>IF(AI895=1,AB895,NA())</f>
        <v/>
      </c>
      <c r="AN895">
        <f>IF(AI895=0,AB895,NA())</f>
        <v/>
      </c>
    </row>
    <row r="896">
      <c r="A896" t="n">
        <v>888</v>
      </c>
      <c r="B896" t="n">
        <v>2</v>
      </c>
      <c r="C896" t="n">
        <v>2</v>
      </c>
      <c r="D896" t="n">
        <v>1</v>
      </c>
      <c r="E896" t="n">
        <v>4</v>
      </c>
      <c r="F896" t="n">
        <v>1</v>
      </c>
      <c r="G896" t="n">
        <v>5</v>
      </c>
      <c r="H896" t="n">
        <v>5</v>
      </c>
      <c r="I896" t="n">
        <v>4</v>
      </c>
      <c r="J896" t="n">
        <v>4</v>
      </c>
      <c r="K896" t="n">
        <v>5</v>
      </c>
      <c r="L896" t="n">
        <v>2</v>
      </c>
      <c r="M896" t="n">
        <v>3</v>
      </c>
      <c r="N896" t="n">
        <v>2</v>
      </c>
      <c r="O896" t="n">
        <v>4</v>
      </c>
      <c r="P896" t="n">
        <v>2</v>
      </c>
      <c r="Q896" t="n">
        <v>4</v>
      </c>
      <c r="R896" t="n">
        <v>2</v>
      </c>
      <c r="S896" t="n">
        <v>1</v>
      </c>
      <c r="T896" t="n">
        <v>3</v>
      </c>
      <c r="U896">
        <f>(AVERAGE(B896:D896)-1)/4</f>
        <v/>
      </c>
      <c r="V896">
        <f>(AVERAGE(E896:F896)-1)/4</f>
        <v/>
      </c>
      <c r="W896">
        <f>(AVERAGE(G896:I896)-1)/4</f>
        <v/>
      </c>
      <c r="X896">
        <f>(AVERAGE(J896:L896)-1)/4</f>
        <v/>
      </c>
      <c r="Y896">
        <f>(AVERAGE(M896:O896)-1)/4</f>
        <v/>
      </c>
      <c r="Z896">
        <f>(AVERAGE(P896:R896)-1)/4</f>
        <v/>
      </c>
      <c r="AA896">
        <f>(AVERAGE(S896:T896)-1)/4</f>
        <v/>
      </c>
      <c r="AB896">
        <f>AVERAGE(U896:Y896)</f>
        <v/>
      </c>
      <c r="AC896">
        <f>MIN(U896:Y896)</f>
        <v/>
      </c>
      <c r="AD896">
        <f>1-alpha*MAX(0,delta-AC896)</f>
        <v/>
      </c>
      <c r="AE896">
        <f>AB896*AD896</f>
        <v/>
      </c>
      <c r="AF896">
        <f>1+COUNTIF(bounds,"&lt;"&amp;ROUND(AB896,12))</f>
        <v/>
      </c>
      <c r="AG896">
        <f>1+COUNTIF(bounds,"&lt;"&amp;ROUND(AE896,12))</f>
        <v/>
      </c>
      <c r="AH896">
        <f>IF(AD896&lt;1,1,0)</f>
        <v/>
      </c>
      <c r="AI896">
        <f>IF(AF896&lt;&gt;AG896,1,0)</f>
        <v/>
      </c>
      <c r="AJ896">
        <f>IF(AND(AG896&gt;=3,Z896&lt;=0.2),1,0)</f>
        <v/>
      </c>
      <c r="AK896">
        <f>AVERAGE(U896:Z896)</f>
        <v/>
      </c>
      <c r="AL896">
        <f>1+COUNTIF(bounds,"&lt;"&amp;ROUND(AK896,12))</f>
        <v/>
      </c>
      <c r="AM896">
        <f>IF(AI896=1,AB896,NA())</f>
        <v/>
      </c>
      <c r="AN896">
        <f>IF(AI896=0,AB896,NA())</f>
        <v/>
      </c>
    </row>
    <row r="897">
      <c r="A897" t="n">
        <v>889</v>
      </c>
      <c r="B897" t="n">
        <v>4</v>
      </c>
      <c r="C897" t="n">
        <v>2</v>
      </c>
      <c r="D897" t="n">
        <v>2</v>
      </c>
      <c r="E897" t="n">
        <v>4</v>
      </c>
      <c r="F897" t="n">
        <v>1</v>
      </c>
      <c r="G897" t="n">
        <v>1</v>
      </c>
      <c r="H897" t="n">
        <v>5</v>
      </c>
      <c r="I897" t="n">
        <v>1</v>
      </c>
      <c r="J897" t="n">
        <v>1</v>
      </c>
      <c r="K897" t="n">
        <v>5</v>
      </c>
      <c r="L897" t="n">
        <v>5</v>
      </c>
      <c r="M897" t="n">
        <v>1</v>
      </c>
      <c r="N897" t="n">
        <v>2</v>
      </c>
      <c r="O897" t="n">
        <v>1</v>
      </c>
      <c r="P897" t="n">
        <v>3</v>
      </c>
      <c r="Q897" t="n">
        <v>5</v>
      </c>
      <c r="R897" t="n">
        <v>2</v>
      </c>
      <c r="S897" t="n">
        <v>1</v>
      </c>
      <c r="T897" t="n">
        <v>1</v>
      </c>
      <c r="U897">
        <f>(AVERAGE(B897:D897)-1)/4</f>
        <v/>
      </c>
      <c r="V897">
        <f>(AVERAGE(E897:F897)-1)/4</f>
        <v/>
      </c>
      <c r="W897">
        <f>(AVERAGE(G897:I897)-1)/4</f>
        <v/>
      </c>
      <c r="X897">
        <f>(AVERAGE(J897:L897)-1)/4</f>
        <v/>
      </c>
      <c r="Y897">
        <f>(AVERAGE(M897:O897)-1)/4</f>
        <v/>
      </c>
      <c r="Z897">
        <f>(AVERAGE(P897:R897)-1)/4</f>
        <v/>
      </c>
      <c r="AA897">
        <f>(AVERAGE(S897:T897)-1)/4</f>
        <v/>
      </c>
      <c r="AB897">
        <f>AVERAGE(U897:Y897)</f>
        <v/>
      </c>
      <c r="AC897">
        <f>MIN(U897:Y897)</f>
        <v/>
      </c>
      <c r="AD897">
        <f>1-alpha*MAX(0,delta-AC897)</f>
        <v/>
      </c>
      <c r="AE897">
        <f>AB897*AD897</f>
        <v/>
      </c>
      <c r="AF897">
        <f>1+COUNTIF(bounds,"&lt;"&amp;ROUND(AB897,12))</f>
        <v/>
      </c>
      <c r="AG897">
        <f>1+COUNTIF(bounds,"&lt;"&amp;ROUND(AE897,12))</f>
        <v/>
      </c>
      <c r="AH897">
        <f>IF(AD897&lt;1,1,0)</f>
        <v/>
      </c>
      <c r="AI897">
        <f>IF(AF897&lt;&gt;AG897,1,0)</f>
        <v/>
      </c>
      <c r="AJ897">
        <f>IF(AND(AG897&gt;=3,Z897&lt;=0.2),1,0)</f>
        <v/>
      </c>
      <c r="AK897">
        <f>AVERAGE(U897:Z897)</f>
        <v/>
      </c>
      <c r="AL897">
        <f>1+COUNTIF(bounds,"&lt;"&amp;ROUND(AK897,12))</f>
        <v/>
      </c>
      <c r="AM897">
        <f>IF(AI897=1,AB897,NA())</f>
        <v/>
      </c>
      <c r="AN897">
        <f>IF(AI897=0,AB897,NA())</f>
        <v/>
      </c>
    </row>
    <row r="898">
      <c r="A898" t="n">
        <v>890</v>
      </c>
      <c r="B898" t="n">
        <v>5</v>
      </c>
      <c r="C898" t="n">
        <v>2</v>
      </c>
      <c r="D898" t="n">
        <v>2</v>
      </c>
      <c r="E898" t="n">
        <v>3</v>
      </c>
      <c r="F898" t="n">
        <v>2</v>
      </c>
      <c r="G898" t="n">
        <v>3</v>
      </c>
      <c r="H898" t="n">
        <v>5</v>
      </c>
      <c r="I898" t="n">
        <v>3</v>
      </c>
      <c r="J898" t="n">
        <v>5</v>
      </c>
      <c r="K898" t="n">
        <v>4</v>
      </c>
      <c r="L898" t="n">
        <v>4</v>
      </c>
      <c r="M898" t="n">
        <v>3</v>
      </c>
      <c r="N898" t="n">
        <v>3</v>
      </c>
      <c r="O898" t="n">
        <v>1</v>
      </c>
      <c r="P898" t="n">
        <v>4</v>
      </c>
      <c r="Q898" t="n">
        <v>1</v>
      </c>
      <c r="R898" t="n">
        <v>1</v>
      </c>
      <c r="S898" t="n">
        <v>4</v>
      </c>
      <c r="T898" t="n">
        <v>2</v>
      </c>
      <c r="U898">
        <f>(AVERAGE(B898:D898)-1)/4</f>
        <v/>
      </c>
      <c r="V898">
        <f>(AVERAGE(E898:F898)-1)/4</f>
        <v/>
      </c>
      <c r="W898">
        <f>(AVERAGE(G898:I898)-1)/4</f>
        <v/>
      </c>
      <c r="X898">
        <f>(AVERAGE(J898:L898)-1)/4</f>
        <v/>
      </c>
      <c r="Y898">
        <f>(AVERAGE(M898:O898)-1)/4</f>
        <v/>
      </c>
      <c r="Z898">
        <f>(AVERAGE(P898:R898)-1)/4</f>
        <v/>
      </c>
      <c r="AA898">
        <f>(AVERAGE(S898:T898)-1)/4</f>
        <v/>
      </c>
      <c r="AB898">
        <f>AVERAGE(U898:Y898)</f>
        <v/>
      </c>
      <c r="AC898">
        <f>MIN(U898:Y898)</f>
        <v/>
      </c>
      <c r="AD898">
        <f>1-alpha*MAX(0,delta-AC898)</f>
        <v/>
      </c>
      <c r="AE898">
        <f>AB898*AD898</f>
        <v/>
      </c>
      <c r="AF898">
        <f>1+COUNTIF(bounds,"&lt;"&amp;ROUND(AB898,12))</f>
        <v/>
      </c>
      <c r="AG898">
        <f>1+COUNTIF(bounds,"&lt;"&amp;ROUND(AE898,12))</f>
        <v/>
      </c>
      <c r="AH898">
        <f>IF(AD898&lt;1,1,0)</f>
        <v/>
      </c>
      <c r="AI898">
        <f>IF(AF898&lt;&gt;AG898,1,0)</f>
        <v/>
      </c>
      <c r="AJ898">
        <f>IF(AND(AG898&gt;=3,Z898&lt;=0.2),1,0)</f>
        <v/>
      </c>
      <c r="AK898">
        <f>AVERAGE(U898:Z898)</f>
        <v/>
      </c>
      <c r="AL898">
        <f>1+COUNTIF(bounds,"&lt;"&amp;ROUND(AK898,12))</f>
        <v/>
      </c>
      <c r="AM898">
        <f>IF(AI898=1,AB898,NA())</f>
        <v/>
      </c>
      <c r="AN898">
        <f>IF(AI898=0,AB898,NA())</f>
        <v/>
      </c>
    </row>
    <row r="899">
      <c r="A899" t="n">
        <v>891</v>
      </c>
      <c r="B899" t="n">
        <v>2</v>
      </c>
      <c r="C899" t="n">
        <v>4</v>
      </c>
      <c r="D899" t="n">
        <v>3</v>
      </c>
      <c r="E899" t="n">
        <v>2</v>
      </c>
      <c r="F899" t="n">
        <v>3</v>
      </c>
      <c r="G899" t="n">
        <v>1</v>
      </c>
      <c r="H899" t="n">
        <v>3</v>
      </c>
      <c r="I899" t="n">
        <v>5</v>
      </c>
      <c r="J899" t="n">
        <v>3</v>
      </c>
      <c r="K899" t="n">
        <v>3</v>
      </c>
      <c r="L899" t="n">
        <v>5</v>
      </c>
      <c r="M899" t="n">
        <v>4</v>
      </c>
      <c r="N899" t="n">
        <v>4</v>
      </c>
      <c r="O899" t="n">
        <v>2</v>
      </c>
      <c r="P899" t="n">
        <v>4</v>
      </c>
      <c r="Q899" t="n">
        <v>4</v>
      </c>
      <c r="R899" t="n">
        <v>5</v>
      </c>
      <c r="S899" t="n">
        <v>3</v>
      </c>
      <c r="T899" t="n">
        <v>4</v>
      </c>
      <c r="U899">
        <f>(AVERAGE(B899:D899)-1)/4</f>
        <v/>
      </c>
      <c r="V899">
        <f>(AVERAGE(E899:F899)-1)/4</f>
        <v/>
      </c>
      <c r="W899">
        <f>(AVERAGE(G899:I899)-1)/4</f>
        <v/>
      </c>
      <c r="X899">
        <f>(AVERAGE(J899:L899)-1)/4</f>
        <v/>
      </c>
      <c r="Y899">
        <f>(AVERAGE(M899:O899)-1)/4</f>
        <v/>
      </c>
      <c r="Z899">
        <f>(AVERAGE(P899:R899)-1)/4</f>
        <v/>
      </c>
      <c r="AA899">
        <f>(AVERAGE(S899:T899)-1)/4</f>
        <v/>
      </c>
      <c r="AB899">
        <f>AVERAGE(U899:Y899)</f>
        <v/>
      </c>
      <c r="AC899">
        <f>MIN(U899:Y899)</f>
        <v/>
      </c>
      <c r="AD899">
        <f>1-alpha*MAX(0,delta-AC899)</f>
        <v/>
      </c>
      <c r="AE899">
        <f>AB899*AD899</f>
        <v/>
      </c>
      <c r="AF899">
        <f>1+COUNTIF(bounds,"&lt;"&amp;ROUND(AB899,12))</f>
        <v/>
      </c>
      <c r="AG899">
        <f>1+COUNTIF(bounds,"&lt;"&amp;ROUND(AE899,12))</f>
        <v/>
      </c>
      <c r="AH899">
        <f>IF(AD899&lt;1,1,0)</f>
        <v/>
      </c>
      <c r="AI899">
        <f>IF(AF899&lt;&gt;AG899,1,0)</f>
        <v/>
      </c>
      <c r="AJ899">
        <f>IF(AND(AG899&gt;=3,Z899&lt;=0.2),1,0)</f>
        <v/>
      </c>
      <c r="AK899">
        <f>AVERAGE(U899:Z899)</f>
        <v/>
      </c>
      <c r="AL899">
        <f>1+COUNTIF(bounds,"&lt;"&amp;ROUND(AK899,12))</f>
        <v/>
      </c>
      <c r="AM899">
        <f>IF(AI899=1,AB899,NA())</f>
        <v/>
      </c>
      <c r="AN899">
        <f>IF(AI899=0,AB899,NA())</f>
        <v/>
      </c>
    </row>
    <row r="900">
      <c r="A900" t="n">
        <v>892</v>
      </c>
      <c r="B900" t="n">
        <v>3</v>
      </c>
      <c r="C900" t="n">
        <v>2</v>
      </c>
      <c r="D900" t="n">
        <v>5</v>
      </c>
      <c r="E900" t="n">
        <v>4</v>
      </c>
      <c r="F900" t="n">
        <v>2</v>
      </c>
      <c r="G900" t="n">
        <v>2</v>
      </c>
      <c r="H900" t="n">
        <v>4</v>
      </c>
      <c r="I900" t="n">
        <v>1</v>
      </c>
      <c r="J900" t="n">
        <v>4</v>
      </c>
      <c r="K900" t="n">
        <v>4</v>
      </c>
      <c r="L900" t="n">
        <v>3</v>
      </c>
      <c r="M900" t="n">
        <v>3</v>
      </c>
      <c r="N900" t="n">
        <v>4</v>
      </c>
      <c r="O900" t="n">
        <v>5</v>
      </c>
      <c r="P900" t="n">
        <v>5</v>
      </c>
      <c r="Q900" t="n">
        <v>1</v>
      </c>
      <c r="R900" t="n">
        <v>3</v>
      </c>
      <c r="S900" t="n">
        <v>1</v>
      </c>
      <c r="T900" t="n">
        <v>1</v>
      </c>
      <c r="U900">
        <f>(AVERAGE(B900:D900)-1)/4</f>
        <v/>
      </c>
      <c r="V900">
        <f>(AVERAGE(E900:F900)-1)/4</f>
        <v/>
      </c>
      <c r="W900">
        <f>(AVERAGE(G900:I900)-1)/4</f>
        <v/>
      </c>
      <c r="X900">
        <f>(AVERAGE(J900:L900)-1)/4</f>
        <v/>
      </c>
      <c r="Y900">
        <f>(AVERAGE(M900:O900)-1)/4</f>
        <v/>
      </c>
      <c r="Z900">
        <f>(AVERAGE(P900:R900)-1)/4</f>
        <v/>
      </c>
      <c r="AA900">
        <f>(AVERAGE(S900:T900)-1)/4</f>
        <v/>
      </c>
      <c r="AB900">
        <f>AVERAGE(U900:Y900)</f>
        <v/>
      </c>
      <c r="AC900">
        <f>MIN(U900:Y900)</f>
        <v/>
      </c>
      <c r="AD900">
        <f>1-alpha*MAX(0,delta-AC900)</f>
        <v/>
      </c>
      <c r="AE900">
        <f>AB900*AD900</f>
        <v/>
      </c>
      <c r="AF900">
        <f>1+COUNTIF(bounds,"&lt;"&amp;ROUND(AB900,12))</f>
        <v/>
      </c>
      <c r="AG900">
        <f>1+COUNTIF(bounds,"&lt;"&amp;ROUND(AE900,12))</f>
        <v/>
      </c>
      <c r="AH900">
        <f>IF(AD900&lt;1,1,0)</f>
        <v/>
      </c>
      <c r="AI900">
        <f>IF(AF900&lt;&gt;AG900,1,0)</f>
        <v/>
      </c>
      <c r="AJ900">
        <f>IF(AND(AG900&gt;=3,Z900&lt;=0.2),1,0)</f>
        <v/>
      </c>
      <c r="AK900">
        <f>AVERAGE(U900:Z900)</f>
        <v/>
      </c>
      <c r="AL900">
        <f>1+COUNTIF(bounds,"&lt;"&amp;ROUND(AK900,12))</f>
        <v/>
      </c>
      <c r="AM900">
        <f>IF(AI900=1,AB900,NA())</f>
        <v/>
      </c>
      <c r="AN900">
        <f>IF(AI900=0,AB900,NA())</f>
        <v/>
      </c>
    </row>
    <row r="901">
      <c r="A901" t="n">
        <v>893</v>
      </c>
      <c r="B901" t="n">
        <v>2</v>
      </c>
      <c r="C901" t="n">
        <v>1</v>
      </c>
      <c r="D901" t="n">
        <v>3</v>
      </c>
      <c r="E901" t="n">
        <v>3</v>
      </c>
      <c r="F901" t="n">
        <v>5</v>
      </c>
      <c r="G901" t="n">
        <v>3</v>
      </c>
      <c r="H901" t="n">
        <v>4</v>
      </c>
      <c r="I901" t="n">
        <v>5</v>
      </c>
      <c r="J901" t="n">
        <v>3</v>
      </c>
      <c r="K901" t="n">
        <v>1</v>
      </c>
      <c r="L901" t="n">
        <v>3</v>
      </c>
      <c r="M901" t="n">
        <v>3</v>
      </c>
      <c r="N901" t="n">
        <v>2</v>
      </c>
      <c r="O901" t="n">
        <v>1</v>
      </c>
      <c r="P901" t="n">
        <v>1</v>
      </c>
      <c r="Q901" t="n">
        <v>5</v>
      </c>
      <c r="R901" t="n">
        <v>4</v>
      </c>
      <c r="S901" t="n">
        <v>3</v>
      </c>
      <c r="T901" t="n">
        <v>3</v>
      </c>
      <c r="U901">
        <f>(AVERAGE(B901:D901)-1)/4</f>
        <v/>
      </c>
      <c r="V901">
        <f>(AVERAGE(E901:F901)-1)/4</f>
        <v/>
      </c>
      <c r="W901">
        <f>(AVERAGE(G901:I901)-1)/4</f>
        <v/>
      </c>
      <c r="X901">
        <f>(AVERAGE(J901:L901)-1)/4</f>
        <v/>
      </c>
      <c r="Y901">
        <f>(AVERAGE(M901:O901)-1)/4</f>
        <v/>
      </c>
      <c r="Z901">
        <f>(AVERAGE(P901:R901)-1)/4</f>
        <v/>
      </c>
      <c r="AA901">
        <f>(AVERAGE(S901:T901)-1)/4</f>
        <v/>
      </c>
      <c r="AB901">
        <f>AVERAGE(U901:Y901)</f>
        <v/>
      </c>
      <c r="AC901">
        <f>MIN(U901:Y901)</f>
        <v/>
      </c>
      <c r="AD901">
        <f>1-alpha*MAX(0,delta-AC901)</f>
        <v/>
      </c>
      <c r="AE901">
        <f>AB901*AD901</f>
        <v/>
      </c>
      <c r="AF901">
        <f>1+COUNTIF(bounds,"&lt;"&amp;ROUND(AB901,12))</f>
        <v/>
      </c>
      <c r="AG901">
        <f>1+COUNTIF(bounds,"&lt;"&amp;ROUND(AE901,12))</f>
        <v/>
      </c>
      <c r="AH901">
        <f>IF(AD901&lt;1,1,0)</f>
        <v/>
      </c>
      <c r="AI901">
        <f>IF(AF901&lt;&gt;AG901,1,0)</f>
        <v/>
      </c>
      <c r="AJ901">
        <f>IF(AND(AG901&gt;=3,Z901&lt;=0.2),1,0)</f>
        <v/>
      </c>
      <c r="AK901">
        <f>AVERAGE(U901:Z901)</f>
        <v/>
      </c>
      <c r="AL901">
        <f>1+COUNTIF(bounds,"&lt;"&amp;ROUND(AK901,12))</f>
        <v/>
      </c>
      <c r="AM901">
        <f>IF(AI901=1,AB901,NA())</f>
        <v/>
      </c>
      <c r="AN901">
        <f>IF(AI901=0,AB901,NA())</f>
        <v/>
      </c>
    </row>
    <row r="902">
      <c r="A902" t="n">
        <v>894</v>
      </c>
      <c r="B902" t="n">
        <v>5</v>
      </c>
      <c r="C902" t="n">
        <v>1</v>
      </c>
      <c r="D902" t="n">
        <v>1</v>
      </c>
      <c r="E902" t="n">
        <v>1</v>
      </c>
      <c r="F902" t="n">
        <v>4</v>
      </c>
      <c r="G902" t="n">
        <v>2</v>
      </c>
      <c r="H902" t="n">
        <v>3</v>
      </c>
      <c r="I902" t="n">
        <v>3</v>
      </c>
      <c r="J902" t="n">
        <v>3</v>
      </c>
      <c r="K902" t="n">
        <v>2</v>
      </c>
      <c r="L902" t="n">
        <v>1</v>
      </c>
      <c r="M902" t="n">
        <v>1</v>
      </c>
      <c r="N902" t="n">
        <v>5</v>
      </c>
      <c r="O902" t="n">
        <v>4</v>
      </c>
      <c r="P902" t="n">
        <v>1</v>
      </c>
      <c r="Q902" t="n">
        <v>3</v>
      </c>
      <c r="R902" t="n">
        <v>3</v>
      </c>
      <c r="S902" t="n">
        <v>3</v>
      </c>
      <c r="T902" t="n">
        <v>4</v>
      </c>
      <c r="U902">
        <f>(AVERAGE(B902:D902)-1)/4</f>
        <v/>
      </c>
      <c r="V902">
        <f>(AVERAGE(E902:F902)-1)/4</f>
        <v/>
      </c>
      <c r="W902">
        <f>(AVERAGE(G902:I902)-1)/4</f>
        <v/>
      </c>
      <c r="X902">
        <f>(AVERAGE(J902:L902)-1)/4</f>
        <v/>
      </c>
      <c r="Y902">
        <f>(AVERAGE(M902:O902)-1)/4</f>
        <v/>
      </c>
      <c r="Z902">
        <f>(AVERAGE(P902:R902)-1)/4</f>
        <v/>
      </c>
      <c r="AA902">
        <f>(AVERAGE(S902:T902)-1)/4</f>
        <v/>
      </c>
      <c r="AB902">
        <f>AVERAGE(U902:Y902)</f>
        <v/>
      </c>
      <c r="AC902">
        <f>MIN(U902:Y902)</f>
        <v/>
      </c>
      <c r="AD902">
        <f>1-alpha*MAX(0,delta-AC902)</f>
        <v/>
      </c>
      <c r="AE902">
        <f>AB902*AD902</f>
        <v/>
      </c>
      <c r="AF902">
        <f>1+COUNTIF(bounds,"&lt;"&amp;ROUND(AB902,12))</f>
        <v/>
      </c>
      <c r="AG902">
        <f>1+COUNTIF(bounds,"&lt;"&amp;ROUND(AE902,12))</f>
        <v/>
      </c>
      <c r="AH902">
        <f>IF(AD902&lt;1,1,0)</f>
        <v/>
      </c>
      <c r="AI902">
        <f>IF(AF902&lt;&gt;AG902,1,0)</f>
        <v/>
      </c>
      <c r="AJ902">
        <f>IF(AND(AG902&gt;=3,Z902&lt;=0.2),1,0)</f>
        <v/>
      </c>
      <c r="AK902">
        <f>AVERAGE(U902:Z902)</f>
        <v/>
      </c>
      <c r="AL902">
        <f>1+COUNTIF(bounds,"&lt;"&amp;ROUND(AK902,12))</f>
        <v/>
      </c>
      <c r="AM902">
        <f>IF(AI902=1,AB902,NA())</f>
        <v/>
      </c>
      <c r="AN902">
        <f>IF(AI902=0,AB902,NA())</f>
        <v/>
      </c>
    </row>
    <row r="903">
      <c r="A903" t="n">
        <v>895</v>
      </c>
      <c r="B903" t="n">
        <v>1</v>
      </c>
      <c r="C903" t="n">
        <v>5</v>
      </c>
      <c r="D903" t="n">
        <v>3</v>
      </c>
      <c r="E903" t="n">
        <v>3</v>
      </c>
      <c r="F903" t="n">
        <v>3</v>
      </c>
      <c r="G903" t="n">
        <v>5</v>
      </c>
      <c r="H903" t="n">
        <v>4</v>
      </c>
      <c r="I903" t="n">
        <v>4</v>
      </c>
      <c r="J903" t="n">
        <v>4</v>
      </c>
      <c r="K903" t="n">
        <v>3</v>
      </c>
      <c r="L903" t="n">
        <v>4</v>
      </c>
      <c r="M903" t="n">
        <v>2</v>
      </c>
      <c r="N903" t="n">
        <v>2</v>
      </c>
      <c r="O903" t="n">
        <v>3</v>
      </c>
      <c r="P903" t="n">
        <v>3</v>
      </c>
      <c r="Q903" t="n">
        <v>4</v>
      </c>
      <c r="R903" t="n">
        <v>4</v>
      </c>
      <c r="S903" t="n">
        <v>3</v>
      </c>
      <c r="T903" t="n">
        <v>4</v>
      </c>
      <c r="U903">
        <f>(AVERAGE(B903:D903)-1)/4</f>
        <v/>
      </c>
      <c r="V903">
        <f>(AVERAGE(E903:F903)-1)/4</f>
        <v/>
      </c>
      <c r="W903">
        <f>(AVERAGE(G903:I903)-1)/4</f>
        <v/>
      </c>
      <c r="X903">
        <f>(AVERAGE(J903:L903)-1)/4</f>
        <v/>
      </c>
      <c r="Y903">
        <f>(AVERAGE(M903:O903)-1)/4</f>
        <v/>
      </c>
      <c r="Z903">
        <f>(AVERAGE(P903:R903)-1)/4</f>
        <v/>
      </c>
      <c r="AA903">
        <f>(AVERAGE(S903:T903)-1)/4</f>
        <v/>
      </c>
      <c r="AB903">
        <f>AVERAGE(U903:Y903)</f>
        <v/>
      </c>
      <c r="AC903">
        <f>MIN(U903:Y903)</f>
        <v/>
      </c>
      <c r="AD903">
        <f>1-alpha*MAX(0,delta-AC903)</f>
        <v/>
      </c>
      <c r="AE903">
        <f>AB903*AD903</f>
        <v/>
      </c>
      <c r="AF903">
        <f>1+COUNTIF(bounds,"&lt;"&amp;ROUND(AB903,12))</f>
        <v/>
      </c>
      <c r="AG903">
        <f>1+COUNTIF(bounds,"&lt;"&amp;ROUND(AE903,12))</f>
        <v/>
      </c>
      <c r="AH903">
        <f>IF(AD903&lt;1,1,0)</f>
        <v/>
      </c>
      <c r="AI903">
        <f>IF(AF903&lt;&gt;AG903,1,0)</f>
        <v/>
      </c>
      <c r="AJ903">
        <f>IF(AND(AG903&gt;=3,Z903&lt;=0.2),1,0)</f>
        <v/>
      </c>
      <c r="AK903">
        <f>AVERAGE(U903:Z903)</f>
        <v/>
      </c>
      <c r="AL903">
        <f>1+COUNTIF(bounds,"&lt;"&amp;ROUND(AK903,12))</f>
        <v/>
      </c>
      <c r="AM903">
        <f>IF(AI903=1,AB903,NA())</f>
        <v/>
      </c>
      <c r="AN903">
        <f>IF(AI903=0,AB903,NA())</f>
        <v/>
      </c>
    </row>
    <row r="904">
      <c r="A904" t="n">
        <v>896</v>
      </c>
      <c r="B904" t="n">
        <v>4</v>
      </c>
      <c r="C904" t="n">
        <v>5</v>
      </c>
      <c r="D904" t="n">
        <v>4</v>
      </c>
      <c r="E904" t="n">
        <v>2</v>
      </c>
      <c r="F904" t="n">
        <v>1</v>
      </c>
      <c r="G904" t="n">
        <v>5</v>
      </c>
      <c r="H904" t="n">
        <v>5</v>
      </c>
      <c r="I904" t="n">
        <v>4</v>
      </c>
      <c r="J904" t="n">
        <v>5</v>
      </c>
      <c r="K904" t="n">
        <v>4</v>
      </c>
      <c r="L904" t="n">
        <v>1</v>
      </c>
      <c r="M904" t="n">
        <v>4</v>
      </c>
      <c r="N904" t="n">
        <v>1</v>
      </c>
      <c r="O904" t="n">
        <v>5</v>
      </c>
      <c r="P904" t="n">
        <v>5</v>
      </c>
      <c r="Q904" t="n">
        <v>5</v>
      </c>
      <c r="R904" t="n">
        <v>3</v>
      </c>
      <c r="S904" t="n">
        <v>1</v>
      </c>
      <c r="T904" t="n">
        <v>2</v>
      </c>
      <c r="U904">
        <f>(AVERAGE(B904:D904)-1)/4</f>
        <v/>
      </c>
      <c r="V904">
        <f>(AVERAGE(E904:F904)-1)/4</f>
        <v/>
      </c>
      <c r="W904">
        <f>(AVERAGE(G904:I904)-1)/4</f>
        <v/>
      </c>
      <c r="X904">
        <f>(AVERAGE(J904:L904)-1)/4</f>
        <v/>
      </c>
      <c r="Y904">
        <f>(AVERAGE(M904:O904)-1)/4</f>
        <v/>
      </c>
      <c r="Z904">
        <f>(AVERAGE(P904:R904)-1)/4</f>
        <v/>
      </c>
      <c r="AA904">
        <f>(AVERAGE(S904:T904)-1)/4</f>
        <v/>
      </c>
      <c r="AB904">
        <f>AVERAGE(U904:Y904)</f>
        <v/>
      </c>
      <c r="AC904">
        <f>MIN(U904:Y904)</f>
        <v/>
      </c>
      <c r="AD904">
        <f>1-alpha*MAX(0,delta-AC904)</f>
        <v/>
      </c>
      <c r="AE904">
        <f>AB904*AD904</f>
        <v/>
      </c>
      <c r="AF904">
        <f>1+COUNTIF(bounds,"&lt;"&amp;ROUND(AB904,12))</f>
        <v/>
      </c>
      <c r="AG904">
        <f>1+COUNTIF(bounds,"&lt;"&amp;ROUND(AE904,12))</f>
        <v/>
      </c>
      <c r="AH904">
        <f>IF(AD904&lt;1,1,0)</f>
        <v/>
      </c>
      <c r="AI904">
        <f>IF(AF904&lt;&gt;AG904,1,0)</f>
        <v/>
      </c>
      <c r="AJ904">
        <f>IF(AND(AG904&gt;=3,Z904&lt;=0.2),1,0)</f>
        <v/>
      </c>
      <c r="AK904">
        <f>AVERAGE(U904:Z904)</f>
        <v/>
      </c>
      <c r="AL904">
        <f>1+COUNTIF(bounds,"&lt;"&amp;ROUND(AK904,12))</f>
        <v/>
      </c>
      <c r="AM904">
        <f>IF(AI904=1,AB904,NA())</f>
        <v/>
      </c>
      <c r="AN904">
        <f>IF(AI904=0,AB904,NA())</f>
        <v/>
      </c>
    </row>
    <row r="905">
      <c r="A905" t="n">
        <v>897</v>
      </c>
      <c r="B905" t="n">
        <v>4</v>
      </c>
      <c r="C905" t="n">
        <v>2</v>
      </c>
      <c r="D905" t="n">
        <v>1</v>
      </c>
      <c r="E905" t="n">
        <v>5</v>
      </c>
      <c r="F905" t="n">
        <v>3</v>
      </c>
      <c r="G905" t="n">
        <v>3</v>
      </c>
      <c r="H905" t="n">
        <v>2</v>
      </c>
      <c r="I905" t="n">
        <v>1</v>
      </c>
      <c r="J905" t="n">
        <v>2</v>
      </c>
      <c r="K905" t="n">
        <v>5</v>
      </c>
      <c r="L905" t="n">
        <v>1</v>
      </c>
      <c r="M905" t="n">
        <v>4</v>
      </c>
      <c r="N905" t="n">
        <v>4</v>
      </c>
      <c r="O905" t="n">
        <v>4</v>
      </c>
      <c r="P905" t="n">
        <v>5</v>
      </c>
      <c r="Q905" t="n">
        <v>4</v>
      </c>
      <c r="R905" t="n">
        <v>4</v>
      </c>
      <c r="S905" t="n">
        <v>3</v>
      </c>
      <c r="T905" t="n">
        <v>4</v>
      </c>
      <c r="U905">
        <f>(AVERAGE(B905:D905)-1)/4</f>
        <v/>
      </c>
      <c r="V905">
        <f>(AVERAGE(E905:F905)-1)/4</f>
        <v/>
      </c>
      <c r="W905">
        <f>(AVERAGE(G905:I905)-1)/4</f>
        <v/>
      </c>
      <c r="X905">
        <f>(AVERAGE(J905:L905)-1)/4</f>
        <v/>
      </c>
      <c r="Y905">
        <f>(AVERAGE(M905:O905)-1)/4</f>
        <v/>
      </c>
      <c r="Z905">
        <f>(AVERAGE(P905:R905)-1)/4</f>
        <v/>
      </c>
      <c r="AA905">
        <f>(AVERAGE(S905:T905)-1)/4</f>
        <v/>
      </c>
      <c r="AB905">
        <f>AVERAGE(U905:Y905)</f>
        <v/>
      </c>
      <c r="AC905">
        <f>MIN(U905:Y905)</f>
        <v/>
      </c>
      <c r="AD905">
        <f>1-alpha*MAX(0,delta-AC905)</f>
        <v/>
      </c>
      <c r="AE905">
        <f>AB905*AD905</f>
        <v/>
      </c>
      <c r="AF905">
        <f>1+COUNTIF(bounds,"&lt;"&amp;ROUND(AB905,12))</f>
        <v/>
      </c>
      <c r="AG905">
        <f>1+COUNTIF(bounds,"&lt;"&amp;ROUND(AE905,12))</f>
        <v/>
      </c>
      <c r="AH905">
        <f>IF(AD905&lt;1,1,0)</f>
        <v/>
      </c>
      <c r="AI905">
        <f>IF(AF905&lt;&gt;AG905,1,0)</f>
        <v/>
      </c>
      <c r="AJ905">
        <f>IF(AND(AG905&gt;=3,Z905&lt;=0.2),1,0)</f>
        <v/>
      </c>
      <c r="AK905">
        <f>AVERAGE(U905:Z905)</f>
        <v/>
      </c>
      <c r="AL905">
        <f>1+COUNTIF(bounds,"&lt;"&amp;ROUND(AK905,12))</f>
        <v/>
      </c>
      <c r="AM905">
        <f>IF(AI905=1,AB905,NA())</f>
        <v/>
      </c>
      <c r="AN905">
        <f>IF(AI905=0,AB905,NA())</f>
        <v/>
      </c>
    </row>
    <row r="906">
      <c r="A906" t="n">
        <v>898</v>
      </c>
      <c r="B906" t="n">
        <v>2</v>
      </c>
      <c r="C906" t="n">
        <v>1</v>
      </c>
      <c r="D906" t="n">
        <v>5</v>
      </c>
      <c r="E906" t="n">
        <v>5</v>
      </c>
      <c r="F906" t="n">
        <v>3</v>
      </c>
      <c r="G906" t="n">
        <v>5</v>
      </c>
      <c r="H906" t="n">
        <v>5</v>
      </c>
      <c r="I906" t="n">
        <v>4</v>
      </c>
      <c r="J906" t="n">
        <v>4</v>
      </c>
      <c r="K906" t="n">
        <v>2</v>
      </c>
      <c r="L906" t="n">
        <v>4</v>
      </c>
      <c r="M906" t="n">
        <v>1</v>
      </c>
      <c r="N906" t="n">
        <v>3</v>
      </c>
      <c r="O906" t="n">
        <v>2</v>
      </c>
      <c r="P906" t="n">
        <v>3</v>
      </c>
      <c r="Q906" t="n">
        <v>4</v>
      </c>
      <c r="R906" t="n">
        <v>2</v>
      </c>
      <c r="S906" t="n">
        <v>5</v>
      </c>
      <c r="T906" t="n">
        <v>4</v>
      </c>
      <c r="U906">
        <f>(AVERAGE(B906:D906)-1)/4</f>
        <v/>
      </c>
      <c r="V906">
        <f>(AVERAGE(E906:F906)-1)/4</f>
        <v/>
      </c>
      <c r="W906">
        <f>(AVERAGE(G906:I906)-1)/4</f>
        <v/>
      </c>
      <c r="X906">
        <f>(AVERAGE(J906:L906)-1)/4</f>
        <v/>
      </c>
      <c r="Y906">
        <f>(AVERAGE(M906:O906)-1)/4</f>
        <v/>
      </c>
      <c r="Z906">
        <f>(AVERAGE(P906:R906)-1)/4</f>
        <v/>
      </c>
      <c r="AA906">
        <f>(AVERAGE(S906:T906)-1)/4</f>
        <v/>
      </c>
      <c r="AB906">
        <f>AVERAGE(U906:Y906)</f>
        <v/>
      </c>
      <c r="AC906">
        <f>MIN(U906:Y906)</f>
        <v/>
      </c>
      <c r="AD906">
        <f>1-alpha*MAX(0,delta-AC906)</f>
        <v/>
      </c>
      <c r="AE906">
        <f>AB906*AD906</f>
        <v/>
      </c>
      <c r="AF906">
        <f>1+COUNTIF(bounds,"&lt;"&amp;ROUND(AB906,12))</f>
        <v/>
      </c>
      <c r="AG906">
        <f>1+COUNTIF(bounds,"&lt;"&amp;ROUND(AE906,12))</f>
        <v/>
      </c>
      <c r="AH906">
        <f>IF(AD906&lt;1,1,0)</f>
        <v/>
      </c>
      <c r="AI906">
        <f>IF(AF906&lt;&gt;AG906,1,0)</f>
        <v/>
      </c>
      <c r="AJ906">
        <f>IF(AND(AG906&gt;=3,Z906&lt;=0.2),1,0)</f>
        <v/>
      </c>
      <c r="AK906">
        <f>AVERAGE(U906:Z906)</f>
        <v/>
      </c>
      <c r="AL906">
        <f>1+COUNTIF(bounds,"&lt;"&amp;ROUND(AK906,12))</f>
        <v/>
      </c>
      <c r="AM906">
        <f>IF(AI906=1,AB906,NA())</f>
        <v/>
      </c>
      <c r="AN906">
        <f>IF(AI906=0,AB906,NA())</f>
        <v/>
      </c>
    </row>
    <row r="907">
      <c r="A907" t="n">
        <v>899</v>
      </c>
      <c r="B907" t="n">
        <v>4</v>
      </c>
      <c r="C907" t="n">
        <v>4</v>
      </c>
      <c r="D907" t="n">
        <v>3</v>
      </c>
      <c r="E907" t="n">
        <v>3</v>
      </c>
      <c r="F907" t="n">
        <v>4</v>
      </c>
      <c r="G907" t="n">
        <v>2</v>
      </c>
      <c r="H907" t="n">
        <v>4</v>
      </c>
      <c r="I907" t="n">
        <v>3</v>
      </c>
      <c r="J907" t="n">
        <v>5</v>
      </c>
      <c r="K907" t="n">
        <v>2</v>
      </c>
      <c r="L907" t="n">
        <v>3</v>
      </c>
      <c r="M907" t="n">
        <v>3</v>
      </c>
      <c r="N907" t="n">
        <v>4</v>
      </c>
      <c r="O907" t="n">
        <v>4</v>
      </c>
      <c r="P907" t="n">
        <v>1</v>
      </c>
      <c r="Q907" t="n">
        <v>2</v>
      </c>
      <c r="R907" t="n">
        <v>1</v>
      </c>
      <c r="S907" t="n">
        <v>2</v>
      </c>
      <c r="T907" t="n">
        <v>1</v>
      </c>
      <c r="U907">
        <f>(AVERAGE(B907:D907)-1)/4</f>
        <v/>
      </c>
      <c r="V907">
        <f>(AVERAGE(E907:F907)-1)/4</f>
        <v/>
      </c>
      <c r="W907">
        <f>(AVERAGE(G907:I907)-1)/4</f>
        <v/>
      </c>
      <c r="X907">
        <f>(AVERAGE(J907:L907)-1)/4</f>
        <v/>
      </c>
      <c r="Y907">
        <f>(AVERAGE(M907:O907)-1)/4</f>
        <v/>
      </c>
      <c r="Z907">
        <f>(AVERAGE(P907:R907)-1)/4</f>
        <v/>
      </c>
      <c r="AA907">
        <f>(AVERAGE(S907:T907)-1)/4</f>
        <v/>
      </c>
      <c r="AB907">
        <f>AVERAGE(U907:Y907)</f>
        <v/>
      </c>
      <c r="AC907">
        <f>MIN(U907:Y907)</f>
        <v/>
      </c>
      <c r="AD907">
        <f>1-alpha*MAX(0,delta-AC907)</f>
        <v/>
      </c>
      <c r="AE907">
        <f>AB907*AD907</f>
        <v/>
      </c>
      <c r="AF907">
        <f>1+COUNTIF(bounds,"&lt;"&amp;ROUND(AB907,12))</f>
        <v/>
      </c>
      <c r="AG907">
        <f>1+COUNTIF(bounds,"&lt;"&amp;ROUND(AE907,12))</f>
        <v/>
      </c>
      <c r="AH907">
        <f>IF(AD907&lt;1,1,0)</f>
        <v/>
      </c>
      <c r="AI907">
        <f>IF(AF907&lt;&gt;AG907,1,0)</f>
        <v/>
      </c>
      <c r="AJ907">
        <f>IF(AND(AG907&gt;=3,Z907&lt;=0.2),1,0)</f>
        <v/>
      </c>
      <c r="AK907">
        <f>AVERAGE(U907:Z907)</f>
        <v/>
      </c>
      <c r="AL907">
        <f>1+COUNTIF(bounds,"&lt;"&amp;ROUND(AK907,12))</f>
        <v/>
      </c>
      <c r="AM907">
        <f>IF(AI907=1,AB907,NA())</f>
        <v/>
      </c>
      <c r="AN907">
        <f>IF(AI907=0,AB907,NA())</f>
        <v/>
      </c>
    </row>
    <row r="908">
      <c r="A908" t="n">
        <v>900</v>
      </c>
      <c r="B908" t="n">
        <v>4</v>
      </c>
      <c r="C908" t="n">
        <v>3</v>
      </c>
      <c r="D908" t="n">
        <v>1</v>
      </c>
      <c r="E908" t="n">
        <v>4</v>
      </c>
      <c r="F908" t="n">
        <v>3</v>
      </c>
      <c r="G908" t="n">
        <v>4</v>
      </c>
      <c r="H908" t="n">
        <v>3</v>
      </c>
      <c r="I908" t="n">
        <v>2</v>
      </c>
      <c r="J908" t="n">
        <v>2</v>
      </c>
      <c r="K908" t="n">
        <v>5</v>
      </c>
      <c r="L908" t="n">
        <v>1</v>
      </c>
      <c r="M908" t="n">
        <v>4</v>
      </c>
      <c r="N908" t="n">
        <v>1</v>
      </c>
      <c r="O908" t="n">
        <v>1</v>
      </c>
      <c r="P908" t="n">
        <v>5</v>
      </c>
      <c r="Q908" t="n">
        <v>4</v>
      </c>
      <c r="R908" t="n">
        <v>2</v>
      </c>
      <c r="S908" t="n">
        <v>3</v>
      </c>
      <c r="T908" t="n">
        <v>4</v>
      </c>
      <c r="U908">
        <f>(AVERAGE(B908:D908)-1)/4</f>
        <v/>
      </c>
      <c r="V908">
        <f>(AVERAGE(E908:F908)-1)/4</f>
        <v/>
      </c>
      <c r="W908">
        <f>(AVERAGE(G908:I908)-1)/4</f>
        <v/>
      </c>
      <c r="X908">
        <f>(AVERAGE(J908:L908)-1)/4</f>
        <v/>
      </c>
      <c r="Y908">
        <f>(AVERAGE(M908:O908)-1)/4</f>
        <v/>
      </c>
      <c r="Z908">
        <f>(AVERAGE(P908:R908)-1)/4</f>
        <v/>
      </c>
      <c r="AA908">
        <f>(AVERAGE(S908:T908)-1)/4</f>
        <v/>
      </c>
      <c r="AB908">
        <f>AVERAGE(U908:Y908)</f>
        <v/>
      </c>
      <c r="AC908">
        <f>MIN(U908:Y908)</f>
        <v/>
      </c>
      <c r="AD908">
        <f>1-alpha*MAX(0,delta-AC908)</f>
        <v/>
      </c>
      <c r="AE908">
        <f>AB908*AD908</f>
        <v/>
      </c>
      <c r="AF908">
        <f>1+COUNTIF(bounds,"&lt;"&amp;ROUND(AB908,12))</f>
        <v/>
      </c>
      <c r="AG908">
        <f>1+COUNTIF(bounds,"&lt;"&amp;ROUND(AE908,12))</f>
        <v/>
      </c>
      <c r="AH908">
        <f>IF(AD908&lt;1,1,0)</f>
        <v/>
      </c>
      <c r="AI908">
        <f>IF(AF908&lt;&gt;AG908,1,0)</f>
        <v/>
      </c>
      <c r="AJ908">
        <f>IF(AND(AG908&gt;=3,Z908&lt;=0.2),1,0)</f>
        <v/>
      </c>
      <c r="AK908">
        <f>AVERAGE(U908:Z908)</f>
        <v/>
      </c>
      <c r="AL908">
        <f>1+COUNTIF(bounds,"&lt;"&amp;ROUND(AK908,12))</f>
        <v/>
      </c>
      <c r="AM908">
        <f>IF(AI908=1,AB908,NA())</f>
        <v/>
      </c>
      <c r="AN908">
        <f>IF(AI908=0,AB908,NA())</f>
        <v/>
      </c>
    </row>
    <row r="909">
      <c r="A909" t="n">
        <v>901</v>
      </c>
      <c r="B909" t="n">
        <v>5</v>
      </c>
      <c r="C909" t="n">
        <v>1</v>
      </c>
      <c r="D909" t="n">
        <v>1</v>
      </c>
      <c r="E909" t="n">
        <v>1</v>
      </c>
      <c r="F909" t="n">
        <v>2</v>
      </c>
      <c r="G909" t="n">
        <v>5</v>
      </c>
      <c r="H909" t="n">
        <v>4</v>
      </c>
      <c r="I909" t="n">
        <v>2</v>
      </c>
      <c r="J909" t="n">
        <v>4</v>
      </c>
      <c r="K909" t="n">
        <v>4</v>
      </c>
      <c r="L909" t="n">
        <v>1</v>
      </c>
      <c r="M909" t="n">
        <v>3</v>
      </c>
      <c r="N909" t="n">
        <v>4</v>
      </c>
      <c r="O909" t="n">
        <v>4</v>
      </c>
      <c r="P909" t="n">
        <v>4</v>
      </c>
      <c r="Q909" t="n">
        <v>1</v>
      </c>
      <c r="R909" t="n">
        <v>2</v>
      </c>
      <c r="S909" t="n">
        <v>5</v>
      </c>
      <c r="T909" t="n">
        <v>5</v>
      </c>
      <c r="U909">
        <f>(AVERAGE(B909:D909)-1)/4</f>
        <v/>
      </c>
      <c r="V909">
        <f>(AVERAGE(E909:F909)-1)/4</f>
        <v/>
      </c>
      <c r="W909">
        <f>(AVERAGE(G909:I909)-1)/4</f>
        <v/>
      </c>
      <c r="X909">
        <f>(AVERAGE(J909:L909)-1)/4</f>
        <v/>
      </c>
      <c r="Y909">
        <f>(AVERAGE(M909:O909)-1)/4</f>
        <v/>
      </c>
      <c r="Z909">
        <f>(AVERAGE(P909:R909)-1)/4</f>
        <v/>
      </c>
      <c r="AA909">
        <f>(AVERAGE(S909:T909)-1)/4</f>
        <v/>
      </c>
      <c r="AB909">
        <f>AVERAGE(U909:Y909)</f>
        <v/>
      </c>
      <c r="AC909">
        <f>MIN(U909:Y909)</f>
        <v/>
      </c>
      <c r="AD909">
        <f>1-alpha*MAX(0,delta-AC909)</f>
        <v/>
      </c>
      <c r="AE909">
        <f>AB909*AD909</f>
        <v/>
      </c>
      <c r="AF909">
        <f>1+COUNTIF(bounds,"&lt;"&amp;ROUND(AB909,12))</f>
        <v/>
      </c>
      <c r="AG909">
        <f>1+COUNTIF(bounds,"&lt;"&amp;ROUND(AE909,12))</f>
        <v/>
      </c>
      <c r="AH909">
        <f>IF(AD909&lt;1,1,0)</f>
        <v/>
      </c>
      <c r="AI909">
        <f>IF(AF909&lt;&gt;AG909,1,0)</f>
        <v/>
      </c>
      <c r="AJ909">
        <f>IF(AND(AG909&gt;=3,Z909&lt;=0.2),1,0)</f>
        <v/>
      </c>
      <c r="AK909">
        <f>AVERAGE(U909:Z909)</f>
        <v/>
      </c>
      <c r="AL909">
        <f>1+COUNTIF(bounds,"&lt;"&amp;ROUND(AK909,12))</f>
        <v/>
      </c>
      <c r="AM909">
        <f>IF(AI909=1,AB909,NA())</f>
        <v/>
      </c>
      <c r="AN909">
        <f>IF(AI909=0,AB909,NA())</f>
        <v/>
      </c>
    </row>
    <row r="910">
      <c r="A910" t="n">
        <v>902</v>
      </c>
      <c r="B910" t="n">
        <v>3</v>
      </c>
      <c r="C910" t="n">
        <v>1</v>
      </c>
      <c r="D910" t="n">
        <v>2</v>
      </c>
      <c r="E910" t="n">
        <v>2</v>
      </c>
      <c r="F910" t="n">
        <v>5</v>
      </c>
      <c r="G910" t="n">
        <v>3</v>
      </c>
      <c r="H910" t="n">
        <v>3</v>
      </c>
      <c r="I910" t="n">
        <v>5</v>
      </c>
      <c r="J910" t="n">
        <v>3</v>
      </c>
      <c r="K910" t="n">
        <v>5</v>
      </c>
      <c r="L910" t="n">
        <v>1</v>
      </c>
      <c r="M910" t="n">
        <v>1</v>
      </c>
      <c r="N910" t="n">
        <v>1</v>
      </c>
      <c r="O910" t="n">
        <v>1</v>
      </c>
      <c r="P910" t="n">
        <v>2</v>
      </c>
      <c r="Q910" t="n">
        <v>2</v>
      </c>
      <c r="R910" t="n">
        <v>3</v>
      </c>
      <c r="S910" t="n">
        <v>4</v>
      </c>
      <c r="T910" t="n">
        <v>3</v>
      </c>
      <c r="U910">
        <f>(AVERAGE(B910:D910)-1)/4</f>
        <v/>
      </c>
      <c r="V910">
        <f>(AVERAGE(E910:F910)-1)/4</f>
        <v/>
      </c>
      <c r="W910">
        <f>(AVERAGE(G910:I910)-1)/4</f>
        <v/>
      </c>
      <c r="X910">
        <f>(AVERAGE(J910:L910)-1)/4</f>
        <v/>
      </c>
      <c r="Y910">
        <f>(AVERAGE(M910:O910)-1)/4</f>
        <v/>
      </c>
      <c r="Z910">
        <f>(AVERAGE(P910:R910)-1)/4</f>
        <v/>
      </c>
      <c r="AA910">
        <f>(AVERAGE(S910:T910)-1)/4</f>
        <v/>
      </c>
      <c r="AB910">
        <f>AVERAGE(U910:Y910)</f>
        <v/>
      </c>
      <c r="AC910">
        <f>MIN(U910:Y910)</f>
        <v/>
      </c>
      <c r="AD910">
        <f>1-alpha*MAX(0,delta-AC910)</f>
        <v/>
      </c>
      <c r="AE910">
        <f>AB910*AD910</f>
        <v/>
      </c>
      <c r="AF910">
        <f>1+COUNTIF(bounds,"&lt;"&amp;ROUND(AB910,12))</f>
        <v/>
      </c>
      <c r="AG910">
        <f>1+COUNTIF(bounds,"&lt;"&amp;ROUND(AE910,12))</f>
        <v/>
      </c>
      <c r="AH910">
        <f>IF(AD910&lt;1,1,0)</f>
        <v/>
      </c>
      <c r="AI910">
        <f>IF(AF910&lt;&gt;AG910,1,0)</f>
        <v/>
      </c>
      <c r="AJ910">
        <f>IF(AND(AG910&gt;=3,Z910&lt;=0.2),1,0)</f>
        <v/>
      </c>
      <c r="AK910">
        <f>AVERAGE(U910:Z910)</f>
        <v/>
      </c>
      <c r="AL910">
        <f>1+COUNTIF(bounds,"&lt;"&amp;ROUND(AK910,12))</f>
        <v/>
      </c>
      <c r="AM910">
        <f>IF(AI910=1,AB910,NA())</f>
        <v/>
      </c>
      <c r="AN910">
        <f>IF(AI910=0,AB910,NA())</f>
        <v/>
      </c>
    </row>
    <row r="911">
      <c r="A911" t="n">
        <v>903</v>
      </c>
      <c r="B911" t="n">
        <v>5</v>
      </c>
      <c r="C911" t="n">
        <v>3</v>
      </c>
      <c r="D911" t="n">
        <v>2</v>
      </c>
      <c r="E911" t="n">
        <v>1</v>
      </c>
      <c r="F911" t="n">
        <v>1</v>
      </c>
      <c r="G911" t="n">
        <v>4</v>
      </c>
      <c r="H911" t="n">
        <v>4</v>
      </c>
      <c r="I911" t="n">
        <v>1</v>
      </c>
      <c r="J911" t="n">
        <v>2</v>
      </c>
      <c r="K911" t="n">
        <v>1</v>
      </c>
      <c r="L911" t="n">
        <v>3</v>
      </c>
      <c r="M911" t="n">
        <v>2</v>
      </c>
      <c r="N911" t="n">
        <v>2</v>
      </c>
      <c r="O911" t="n">
        <v>2</v>
      </c>
      <c r="P911" t="n">
        <v>1</v>
      </c>
      <c r="Q911" t="n">
        <v>1</v>
      </c>
      <c r="R911" t="n">
        <v>2</v>
      </c>
      <c r="S911" t="n">
        <v>3</v>
      </c>
      <c r="T911" t="n">
        <v>5</v>
      </c>
      <c r="U911">
        <f>(AVERAGE(B911:D911)-1)/4</f>
        <v/>
      </c>
      <c r="V911">
        <f>(AVERAGE(E911:F911)-1)/4</f>
        <v/>
      </c>
      <c r="W911">
        <f>(AVERAGE(G911:I911)-1)/4</f>
        <v/>
      </c>
      <c r="X911">
        <f>(AVERAGE(J911:L911)-1)/4</f>
        <v/>
      </c>
      <c r="Y911">
        <f>(AVERAGE(M911:O911)-1)/4</f>
        <v/>
      </c>
      <c r="Z911">
        <f>(AVERAGE(P911:R911)-1)/4</f>
        <v/>
      </c>
      <c r="AA911">
        <f>(AVERAGE(S911:T911)-1)/4</f>
        <v/>
      </c>
      <c r="AB911">
        <f>AVERAGE(U911:Y911)</f>
        <v/>
      </c>
      <c r="AC911">
        <f>MIN(U911:Y911)</f>
        <v/>
      </c>
      <c r="AD911">
        <f>1-alpha*MAX(0,delta-AC911)</f>
        <v/>
      </c>
      <c r="AE911">
        <f>AB911*AD911</f>
        <v/>
      </c>
      <c r="AF911">
        <f>1+COUNTIF(bounds,"&lt;"&amp;ROUND(AB911,12))</f>
        <v/>
      </c>
      <c r="AG911">
        <f>1+COUNTIF(bounds,"&lt;"&amp;ROUND(AE911,12))</f>
        <v/>
      </c>
      <c r="AH911">
        <f>IF(AD911&lt;1,1,0)</f>
        <v/>
      </c>
      <c r="AI911">
        <f>IF(AF911&lt;&gt;AG911,1,0)</f>
        <v/>
      </c>
      <c r="AJ911">
        <f>IF(AND(AG911&gt;=3,Z911&lt;=0.2),1,0)</f>
        <v/>
      </c>
      <c r="AK911">
        <f>AVERAGE(U911:Z911)</f>
        <v/>
      </c>
      <c r="AL911">
        <f>1+COUNTIF(bounds,"&lt;"&amp;ROUND(AK911,12))</f>
        <v/>
      </c>
      <c r="AM911">
        <f>IF(AI911=1,AB911,NA())</f>
        <v/>
      </c>
      <c r="AN911">
        <f>IF(AI911=0,AB911,NA())</f>
        <v/>
      </c>
    </row>
    <row r="912">
      <c r="A912" t="n">
        <v>904</v>
      </c>
      <c r="B912" t="n">
        <v>3</v>
      </c>
      <c r="C912" t="n">
        <v>1</v>
      </c>
      <c r="D912" t="n">
        <v>2</v>
      </c>
      <c r="E912" t="n">
        <v>5</v>
      </c>
      <c r="F912" t="n">
        <v>1</v>
      </c>
      <c r="G912" t="n">
        <v>5</v>
      </c>
      <c r="H912" t="n">
        <v>2</v>
      </c>
      <c r="I912" t="n">
        <v>4</v>
      </c>
      <c r="J912" t="n">
        <v>2</v>
      </c>
      <c r="K912" t="n">
        <v>2</v>
      </c>
      <c r="L912" t="n">
        <v>1</v>
      </c>
      <c r="M912" t="n">
        <v>3</v>
      </c>
      <c r="N912" t="n">
        <v>1</v>
      </c>
      <c r="O912" t="n">
        <v>1</v>
      </c>
      <c r="P912" t="n">
        <v>3</v>
      </c>
      <c r="Q912" t="n">
        <v>4</v>
      </c>
      <c r="R912" t="n">
        <v>4</v>
      </c>
      <c r="S912" t="n">
        <v>2</v>
      </c>
      <c r="T912" t="n">
        <v>2</v>
      </c>
      <c r="U912">
        <f>(AVERAGE(B912:D912)-1)/4</f>
        <v/>
      </c>
      <c r="V912">
        <f>(AVERAGE(E912:F912)-1)/4</f>
        <v/>
      </c>
      <c r="W912">
        <f>(AVERAGE(G912:I912)-1)/4</f>
        <v/>
      </c>
      <c r="X912">
        <f>(AVERAGE(J912:L912)-1)/4</f>
        <v/>
      </c>
      <c r="Y912">
        <f>(AVERAGE(M912:O912)-1)/4</f>
        <v/>
      </c>
      <c r="Z912">
        <f>(AVERAGE(P912:R912)-1)/4</f>
        <v/>
      </c>
      <c r="AA912">
        <f>(AVERAGE(S912:T912)-1)/4</f>
        <v/>
      </c>
      <c r="AB912">
        <f>AVERAGE(U912:Y912)</f>
        <v/>
      </c>
      <c r="AC912">
        <f>MIN(U912:Y912)</f>
        <v/>
      </c>
      <c r="AD912">
        <f>1-alpha*MAX(0,delta-AC912)</f>
        <v/>
      </c>
      <c r="AE912">
        <f>AB912*AD912</f>
        <v/>
      </c>
      <c r="AF912">
        <f>1+COUNTIF(bounds,"&lt;"&amp;ROUND(AB912,12))</f>
        <v/>
      </c>
      <c r="AG912">
        <f>1+COUNTIF(bounds,"&lt;"&amp;ROUND(AE912,12))</f>
        <v/>
      </c>
      <c r="AH912">
        <f>IF(AD912&lt;1,1,0)</f>
        <v/>
      </c>
      <c r="AI912">
        <f>IF(AF912&lt;&gt;AG912,1,0)</f>
        <v/>
      </c>
      <c r="AJ912">
        <f>IF(AND(AG912&gt;=3,Z912&lt;=0.2),1,0)</f>
        <v/>
      </c>
      <c r="AK912">
        <f>AVERAGE(U912:Z912)</f>
        <v/>
      </c>
      <c r="AL912">
        <f>1+COUNTIF(bounds,"&lt;"&amp;ROUND(AK912,12))</f>
        <v/>
      </c>
      <c r="AM912">
        <f>IF(AI912=1,AB912,NA())</f>
        <v/>
      </c>
      <c r="AN912">
        <f>IF(AI912=0,AB912,NA())</f>
        <v/>
      </c>
    </row>
    <row r="913">
      <c r="A913" t="n">
        <v>905</v>
      </c>
      <c r="B913" t="n">
        <v>5</v>
      </c>
      <c r="C913" t="n">
        <v>2</v>
      </c>
      <c r="D913" t="n">
        <v>5</v>
      </c>
      <c r="E913" t="n">
        <v>1</v>
      </c>
      <c r="F913" t="n">
        <v>4</v>
      </c>
      <c r="G913" t="n">
        <v>5</v>
      </c>
      <c r="H913" t="n">
        <v>3</v>
      </c>
      <c r="I913" t="n">
        <v>2</v>
      </c>
      <c r="J913" t="n">
        <v>4</v>
      </c>
      <c r="K913" t="n">
        <v>3</v>
      </c>
      <c r="L913" t="n">
        <v>5</v>
      </c>
      <c r="M913" t="n">
        <v>5</v>
      </c>
      <c r="N913" t="n">
        <v>3</v>
      </c>
      <c r="O913" t="n">
        <v>1</v>
      </c>
      <c r="P913" t="n">
        <v>1</v>
      </c>
      <c r="Q913" t="n">
        <v>4</v>
      </c>
      <c r="R913" t="n">
        <v>3</v>
      </c>
      <c r="S913" t="n">
        <v>1</v>
      </c>
      <c r="T913" t="n">
        <v>5</v>
      </c>
      <c r="U913">
        <f>(AVERAGE(B913:D913)-1)/4</f>
        <v/>
      </c>
      <c r="V913">
        <f>(AVERAGE(E913:F913)-1)/4</f>
        <v/>
      </c>
      <c r="W913">
        <f>(AVERAGE(G913:I913)-1)/4</f>
        <v/>
      </c>
      <c r="X913">
        <f>(AVERAGE(J913:L913)-1)/4</f>
        <v/>
      </c>
      <c r="Y913">
        <f>(AVERAGE(M913:O913)-1)/4</f>
        <v/>
      </c>
      <c r="Z913">
        <f>(AVERAGE(P913:R913)-1)/4</f>
        <v/>
      </c>
      <c r="AA913">
        <f>(AVERAGE(S913:T913)-1)/4</f>
        <v/>
      </c>
      <c r="AB913">
        <f>AVERAGE(U913:Y913)</f>
        <v/>
      </c>
      <c r="AC913">
        <f>MIN(U913:Y913)</f>
        <v/>
      </c>
      <c r="AD913">
        <f>1-alpha*MAX(0,delta-AC913)</f>
        <v/>
      </c>
      <c r="AE913">
        <f>AB913*AD913</f>
        <v/>
      </c>
      <c r="AF913">
        <f>1+COUNTIF(bounds,"&lt;"&amp;ROUND(AB913,12))</f>
        <v/>
      </c>
      <c r="AG913">
        <f>1+COUNTIF(bounds,"&lt;"&amp;ROUND(AE913,12))</f>
        <v/>
      </c>
      <c r="AH913">
        <f>IF(AD913&lt;1,1,0)</f>
        <v/>
      </c>
      <c r="AI913">
        <f>IF(AF913&lt;&gt;AG913,1,0)</f>
        <v/>
      </c>
      <c r="AJ913">
        <f>IF(AND(AG913&gt;=3,Z913&lt;=0.2),1,0)</f>
        <v/>
      </c>
      <c r="AK913">
        <f>AVERAGE(U913:Z913)</f>
        <v/>
      </c>
      <c r="AL913">
        <f>1+COUNTIF(bounds,"&lt;"&amp;ROUND(AK913,12))</f>
        <v/>
      </c>
      <c r="AM913">
        <f>IF(AI913=1,AB913,NA())</f>
        <v/>
      </c>
      <c r="AN913">
        <f>IF(AI913=0,AB913,NA())</f>
        <v/>
      </c>
    </row>
    <row r="914">
      <c r="A914" t="n">
        <v>906</v>
      </c>
      <c r="B914" t="n">
        <v>5</v>
      </c>
      <c r="C914" t="n">
        <v>5</v>
      </c>
      <c r="D914" t="n">
        <v>1</v>
      </c>
      <c r="E914" t="n">
        <v>3</v>
      </c>
      <c r="F914" t="n">
        <v>2</v>
      </c>
      <c r="G914" t="n">
        <v>4</v>
      </c>
      <c r="H914" t="n">
        <v>2</v>
      </c>
      <c r="I914" t="n">
        <v>1</v>
      </c>
      <c r="J914" t="n">
        <v>5</v>
      </c>
      <c r="K914" t="n">
        <v>4</v>
      </c>
      <c r="L914" t="n">
        <v>1</v>
      </c>
      <c r="M914" t="n">
        <v>2</v>
      </c>
      <c r="N914" t="n">
        <v>1</v>
      </c>
      <c r="O914" t="n">
        <v>3</v>
      </c>
      <c r="P914" t="n">
        <v>1</v>
      </c>
      <c r="Q914" t="n">
        <v>2</v>
      </c>
      <c r="R914" t="n">
        <v>2</v>
      </c>
      <c r="S914" t="n">
        <v>2</v>
      </c>
      <c r="T914" t="n">
        <v>2</v>
      </c>
      <c r="U914">
        <f>(AVERAGE(B914:D914)-1)/4</f>
        <v/>
      </c>
      <c r="V914">
        <f>(AVERAGE(E914:F914)-1)/4</f>
        <v/>
      </c>
      <c r="W914">
        <f>(AVERAGE(G914:I914)-1)/4</f>
        <v/>
      </c>
      <c r="X914">
        <f>(AVERAGE(J914:L914)-1)/4</f>
        <v/>
      </c>
      <c r="Y914">
        <f>(AVERAGE(M914:O914)-1)/4</f>
        <v/>
      </c>
      <c r="Z914">
        <f>(AVERAGE(P914:R914)-1)/4</f>
        <v/>
      </c>
      <c r="AA914">
        <f>(AVERAGE(S914:T914)-1)/4</f>
        <v/>
      </c>
      <c r="AB914">
        <f>AVERAGE(U914:Y914)</f>
        <v/>
      </c>
      <c r="AC914">
        <f>MIN(U914:Y914)</f>
        <v/>
      </c>
      <c r="AD914">
        <f>1-alpha*MAX(0,delta-AC914)</f>
        <v/>
      </c>
      <c r="AE914">
        <f>AB914*AD914</f>
        <v/>
      </c>
      <c r="AF914">
        <f>1+COUNTIF(bounds,"&lt;"&amp;ROUND(AB914,12))</f>
        <v/>
      </c>
      <c r="AG914">
        <f>1+COUNTIF(bounds,"&lt;"&amp;ROUND(AE914,12))</f>
        <v/>
      </c>
      <c r="AH914">
        <f>IF(AD914&lt;1,1,0)</f>
        <v/>
      </c>
      <c r="AI914">
        <f>IF(AF914&lt;&gt;AG914,1,0)</f>
        <v/>
      </c>
      <c r="AJ914">
        <f>IF(AND(AG914&gt;=3,Z914&lt;=0.2),1,0)</f>
        <v/>
      </c>
      <c r="AK914">
        <f>AVERAGE(U914:Z914)</f>
        <v/>
      </c>
      <c r="AL914">
        <f>1+COUNTIF(bounds,"&lt;"&amp;ROUND(AK914,12))</f>
        <v/>
      </c>
      <c r="AM914">
        <f>IF(AI914=1,AB914,NA())</f>
        <v/>
      </c>
      <c r="AN914">
        <f>IF(AI914=0,AB914,NA())</f>
        <v/>
      </c>
    </row>
    <row r="915">
      <c r="A915" t="n">
        <v>907</v>
      </c>
      <c r="B915" t="n">
        <v>1</v>
      </c>
      <c r="C915" t="n">
        <v>1</v>
      </c>
      <c r="D915" t="n">
        <v>3</v>
      </c>
      <c r="E915" t="n">
        <v>5</v>
      </c>
      <c r="F915" t="n">
        <v>1</v>
      </c>
      <c r="G915" t="n">
        <v>2</v>
      </c>
      <c r="H915" t="n">
        <v>5</v>
      </c>
      <c r="I915" t="n">
        <v>4</v>
      </c>
      <c r="J915" t="n">
        <v>2</v>
      </c>
      <c r="K915" t="n">
        <v>5</v>
      </c>
      <c r="L915" t="n">
        <v>1</v>
      </c>
      <c r="M915" t="n">
        <v>5</v>
      </c>
      <c r="N915" t="n">
        <v>4</v>
      </c>
      <c r="O915" t="n">
        <v>1</v>
      </c>
      <c r="P915" t="n">
        <v>5</v>
      </c>
      <c r="Q915" t="n">
        <v>1</v>
      </c>
      <c r="R915" t="n">
        <v>3</v>
      </c>
      <c r="S915" t="n">
        <v>3</v>
      </c>
      <c r="T915" t="n">
        <v>3</v>
      </c>
      <c r="U915">
        <f>(AVERAGE(B915:D915)-1)/4</f>
        <v/>
      </c>
      <c r="V915">
        <f>(AVERAGE(E915:F915)-1)/4</f>
        <v/>
      </c>
      <c r="W915">
        <f>(AVERAGE(G915:I915)-1)/4</f>
        <v/>
      </c>
      <c r="X915">
        <f>(AVERAGE(J915:L915)-1)/4</f>
        <v/>
      </c>
      <c r="Y915">
        <f>(AVERAGE(M915:O915)-1)/4</f>
        <v/>
      </c>
      <c r="Z915">
        <f>(AVERAGE(P915:R915)-1)/4</f>
        <v/>
      </c>
      <c r="AA915">
        <f>(AVERAGE(S915:T915)-1)/4</f>
        <v/>
      </c>
      <c r="AB915">
        <f>AVERAGE(U915:Y915)</f>
        <v/>
      </c>
      <c r="AC915">
        <f>MIN(U915:Y915)</f>
        <v/>
      </c>
      <c r="AD915">
        <f>1-alpha*MAX(0,delta-AC915)</f>
        <v/>
      </c>
      <c r="AE915">
        <f>AB915*AD915</f>
        <v/>
      </c>
      <c r="AF915">
        <f>1+COUNTIF(bounds,"&lt;"&amp;ROUND(AB915,12))</f>
        <v/>
      </c>
      <c r="AG915">
        <f>1+COUNTIF(bounds,"&lt;"&amp;ROUND(AE915,12))</f>
        <v/>
      </c>
      <c r="AH915">
        <f>IF(AD915&lt;1,1,0)</f>
        <v/>
      </c>
      <c r="AI915">
        <f>IF(AF915&lt;&gt;AG915,1,0)</f>
        <v/>
      </c>
      <c r="AJ915">
        <f>IF(AND(AG915&gt;=3,Z915&lt;=0.2),1,0)</f>
        <v/>
      </c>
      <c r="AK915">
        <f>AVERAGE(U915:Z915)</f>
        <v/>
      </c>
      <c r="AL915">
        <f>1+COUNTIF(bounds,"&lt;"&amp;ROUND(AK915,12))</f>
        <v/>
      </c>
      <c r="AM915">
        <f>IF(AI915=1,AB915,NA())</f>
        <v/>
      </c>
      <c r="AN915">
        <f>IF(AI915=0,AB915,NA())</f>
        <v/>
      </c>
    </row>
    <row r="916">
      <c r="A916" t="n">
        <v>908</v>
      </c>
      <c r="B916" t="n">
        <v>3</v>
      </c>
      <c r="C916" t="n">
        <v>5</v>
      </c>
      <c r="D916" t="n">
        <v>1</v>
      </c>
      <c r="E916" t="n">
        <v>4</v>
      </c>
      <c r="F916" t="n">
        <v>4</v>
      </c>
      <c r="G916" t="n">
        <v>5</v>
      </c>
      <c r="H916" t="n">
        <v>5</v>
      </c>
      <c r="I916" t="n">
        <v>4</v>
      </c>
      <c r="J916" t="n">
        <v>5</v>
      </c>
      <c r="K916" t="n">
        <v>2</v>
      </c>
      <c r="L916" t="n">
        <v>2</v>
      </c>
      <c r="M916" t="n">
        <v>1</v>
      </c>
      <c r="N916" t="n">
        <v>1</v>
      </c>
      <c r="O916" t="n">
        <v>2</v>
      </c>
      <c r="P916" t="n">
        <v>5</v>
      </c>
      <c r="Q916" t="n">
        <v>2</v>
      </c>
      <c r="R916" t="n">
        <v>2</v>
      </c>
      <c r="S916" t="n">
        <v>4</v>
      </c>
      <c r="T916" t="n">
        <v>2</v>
      </c>
      <c r="U916">
        <f>(AVERAGE(B916:D916)-1)/4</f>
        <v/>
      </c>
      <c r="V916">
        <f>(AVERAGE(E916:F916)-1)/4</f>
        <v/>
      </c>
      <c r="W916">
        <f>(AVERAGE(G916:I916)-1)/4</f>
        <v/>
      </c>
      <c r="X916">
        <f>(AVERAGE(J916:L916)-1)/4</f>
        <v/>
      </c>
      <c r="Y916">
        <f>(AVERAGE(M916:O916)-1)/4</f>
        <v/>
      </c>
      <c r="Z916">
        <f>(AVERAGE(P916:R916)-1)/4</f>
        <v/>
      </c>
      <c r="AA916">
        <f>(AVERAGE(S916:T916)-1)/4</f>
        <v/>
      </c>
      <c r="AB916">
        <f>AVERAGE(U916:Y916)</f>
        <v/>
      </c>
      <c r="AC916">
        <f>MIN(U916:Y916)</f>
        <v/>
      </c>
      <c r="AD916">
        <f>1-alpha*MAX(0,delta-AC916)</f>
        <v/>
      </c>
      <c r="AE916">
        <f>AB916*AD916</f>
        <v/>
      </c>
      <c r="AF916">
        <f>1+COUNTIF(bounds,"&lt;"&amp;ROUND(AB916,12))</f>
        <v/>
      </c>
      <c r="AG916">
        <f>1+COUNTIF(bounds,"&lt;"&amp;ROUND(AE916,12))</f>
        <v/>
      </c>
      <c r="AH916">
        <f>IF(AD916&lt;1,1,0)</f>
        <v/>
      </c>
      <c r="AI916">
        <f>IF(AF916&lt;&gt;AG916,1,0)</f>
        <v/>
      </c>
      <c r="AJ916">
        <f>IF(AND(AG916&gt;=3,Z916&lt;=0.2),1,0)</f>
        <v/>
      </c>
      <c r="AK916">
        <f>AVERAGE(U916:Z916)</f>
        <v/>
      </c>
      <c r="AL916">
        <f>1+COUNTIF(bounds,"&lt;"&amp;ROUND(AK916,12))</f>
        <v/>
      </c>
      <c r="AM916">
        <f>IF(AI916=1,AB916,NA())</f>
        <v/>
      </c>
      <c r="AN916">
        <f>IF(AI916=0,AB916,NA())</f>
        <v/>
      </c>
    </row>
    <row r="917">
      <c r="A917" t="n">
        <v>909</v>
      </c>
      <c r="B917" t="n">
        <v>3</v>
      </c>
      <c r="C917" t="n">
        <v>4</v>
      </c>
      <c r="D917" t="n">
        <v>4</v>
      </c>
      <c r="E917" t="n">
        <v>2</v>
      </c>
      <c r="F917" t="n">
        <v>2</v>
      </c>
      <c r="G917" t="n">
        <v>4</v>
      </c>
      <c r="H917" t="n">
        <v>2</v>
      </c>
      <c r="I917" t="n">
        <v>3</v>
      </c>
      <c r="J917" t="n">
        <v>4</v>
      </c>
      <c r="K917" t="n">
        <v>1</v>
      </c>
      <c r="L917" t="n">
        <v>4</v>
      </c>
      <c r="M917" t="n">
        <v>4</v>
      </c>
      <c r="N917" t="n">
        <v>4</v>
      </c>
      <c r="O917" t="n">
        <v>5</v>
      </c>
      <c r="P917" t="n">
        <v>4</v>
      </c>
      <c r="Q917" t="n">
        <v>3</v>
      </c>
      <c r="R917" t="n">
        <v>4</v>
      </c>
      <c r="S917" t="n">
        <v>2</v>
      </c>
      <c r="T917" t="n">
        <v>3</v>
      </c>
      <c r="U917">
        <f>(AVERAGE(B917:D917)-1)/4</f>
        <v/>
      </c>
      <c r="V917">
        <f>(AVERAGE(E917:F917)-1)/4</f>
        <v/>
      </c>
      <c r="W917">
        <f>(AVERAGE(G917:I917)-1)/4</f>
        <v/>
      </c>
      <c r="X917">
        <f>(AVERAGE(J917:L917)-1)/4</f>
        <v/>
      </c>
      <c r="Y917">
        <f>(AVERAGE(M917:O917)-1)/4</f>
        <v/>
      </c>
      <c r="Z917">
        <f>(AVERAGE(P917:R917)-1)/4</f>
        <v/>
      </c>
      <c r="AA917">
        <f>(AVERAGE(S917:T917)-1)/4</f>
        <v/>
      </c>
      <c r="AB917">
        <f>AVERAGE(U917:Y917)</f>
        <v/>
      </c>
      <c r="AC917">
        <f>MIN(U917:Y917)</f>
        <v/>
      </c>
      <c r="AD917">
        <f>1-alpha*MAX(0,delta-AC917)</f>
        <v/>
      </c>
      <c r="AE917">
        <f>AB917*AD917</f>
        <v/>
      </c>
      <c r="AF917">
        <f>1+COUNTIF(bounds,"&lt;"&amp;ROUND(AB917,12))</f>
        <v/>
      </c>
      <c r="AG917">
        <f>1+COUNTIF(bounds,"&lt;"&amp;ROUND(AE917,12))</f>
        <v/>
      </c>
      <c r="AH917">
        <f>IF(AD917&lt;1,1,0)</f>
        <v/>
      </c>
      <c r="AI917">
        <f>IF(AF917&lt;&gt;AG917,1,0)</f>
        <v/>
      </c>
      <c r="AJ917">
        <f>IF(AND(AG917&gt;=3,Z917&lt;=0.2),1,0)</f>
        <v/>
      </c>
      <c r="AK917">
        <f>AVERAGE(U917:Z917)</f>
        <v/>
      </c>
      <c r="AL917">
        <f>1+COUNTIF(bounds,"&lt;"&amp;ROUND(AK917,12))</f>
        <v/>
      </c>
      <c r="AM917">
        <f>IF(AI917=1,AB917,NA())</f>
        <v/>
      </c>
      <c r="AN917">
        <f>IF(AI917=0,AB917,NA())</f>
        <v/>
      </c>
    </row>
    <row r="918">
      <c r="A918" t="n">
        <v>910</v>
      </c>
      <c r="B918" t="n">
        <v>2</v>
      </c>
      <c r="C918" t="n">
        <v>2</v>
      </c>
      <c r="D918" t="n">
        <v>3</v>
      </c>
      <c r="E918" t="n">
        <v>3</v>
      </c>
      <c r="F918" t="n">
        <v>5</v>
      </c>
      <c r="G918" t="n">
        <v>1</v>
      </c>
      <c r="H918" t="n">
        <v>3</v>
      </c>
      <c r="I918" t="n">
        <v>3</v>
      </c>
      <c r="J918" t="n">
        <v>2</v>
      </c>
      <c r="K918" t="n">
        <v>5</v>
      </c>
      <c r="L918" t="n">
        <v>5</v>
      </c>
      <c r="M918" t="n">
        <v>4</v>
      </c>
      <c r="N918" t="n">
        <v>4</v>
      </c>
      <c r="O918" t="n">
        <v>2</v>
      </c>
      <c r="P918" t="n">
        <v>4</v>
      </c>
      <c r="Q918" t="n">
        <v>3</v>
      </c>
      <c r="R918" t="n">
        <v>1</v>
      </c>
      <c r="S918" t="n">
        <v>2</v>
      </c>
      <c r="T918" t="n">
        <v>5</v>
      </c>
      <c r="U918">
        <f>(AVERAGE(B918:D918)-1)/4</f>
        <v/>
      </c>
      <c r="V918">
        <f>(AVERAGE(E918:F918)-1)/4</f>
        <v/>
      </c>
      <c r="W918">
        <f>(AVERAGE(G918:I918)-1)/4</f>
        <v/>
      </c>
      <c r="X918">
        <f>(AVERAGE(J918:L918)-1)/4</f>
        <v/>
      </c>
      <c r="Y918">
        <f>(AVERAGE(M918:O918)-1)/4</f>
        <v/>
      </c>
      <c r="Z918">
        <f>(AVERAGE(P918:R918)-1)/4</f>
        <v/>
      </c>
      <c r="AA918">
        <f>(AVERAGE(S918:T918)-1)/4</f>
        <v/>
      </c>
      <c r="AB918">
        <f>AVERAGE(U918:Y918)</f>
        <v/>
      </c>
      <c r="AC918">
        <f>MIN(U918:Y918)</f>
        <v/>
      </c>
      <c r="AD918">
        <f>1-alpha*MAX(0,delta-AC918)</f>
        <v/>
      </c>
      <c r="AE918">
        <f>AB918*AD918</f>
        <v/>
      </c>
      <c r="AF918">
        <f>1+COUNTIF(bounds,"&lt;"&amp;ROUND(AB918,12))</f>
        <v/>
      </c>
      <c r="AG918">
        <f>1+COUNTIF(bounds,"&lt;"&amp;ROUND(AE918,12))</f>
        <v/>
      </c>
      <c r="AH918">
        <f>IF(AD918&lt;1,1,0)</f>
        <v/>
      </c>
      <c r="AI918">
        <f>IF(AF918&lt;&gt;AG918,1,0)</f>
        <v/>
      </c>
      <c r="AJ918">
        <f>IF(AND(AG918&gt;=3,Z918&lt;=0.2),1,0)</f>
        <v/>
      </c>
      <c r="AK918">
        <f>AVERAGE(U918:Z918)</f>
        <v/>
      </c>
      <c r="AL918">
        <f>1+COUNTIF(bounds,"&lt;"&amp;ROUND(AK918,12))</f>
        <v/>
      </c>
      <c r="AM918">
        <f>IF(AI918=1,AB918,NA())</f>
        <v/>
      </c>
      <c r="AN918">
        <f>IF(AI918=0,AB918,NA())</f>
        <v/>
      </c>
    </row>
    <row r="919">
      <c r="A919" t="n">
        <v>911</v>
      </c>
      <c r="B919" t="n">
        <v>1</v>
      </c>
      <c r="C919" t="n">
        <v>1</v>
      </c>
      <c r="D919" t="n">
        <v>5</v>
      </c>
      <c r="E919" t="n">
        <v>4</v>
      </c>
      <c r="F919" t="n">
        <v>1</v>
      </c>
      <c r="G919" t="n">
        <v>5</v>
      </c>
      <c r="H919" t="n">
        <v>3</v>
      </c>
      <c r="I919" t="n">
        <v>4</v>
      </c>
      <c r="J919" t="n">
        <v>2</v>
      </c>
      <c r="K919" t="n">
        <v>2</v>
      </c>
      <c r="L919" t="n">
        <v>1</v>
      </c>
      <c r="M919" t="n">
        <v>1</v>
      </c>
      <c r="N919" t="n">
        <v>5</v>
      </c>
      <c r="O919" t="n">
        <v>3</v>
      </c>
      <c r="P919" t="n">
        <v>3</v>
      </c>
      <c r="Q919" t="n">
        <v>1</v>
      </c>
      <c r="R919" t="n">
        <v>2</v>
      </c>
      <c r="S919" t="n">
        <v>4</v>
      </c>
      <c r="T919" t="n">
        <v>3</v>
      </c>
      <c r="U919">
        <f>(AVERAGE(B919:D919)-1)/4</f>
        <v/>
      </c>
      <c r="V919">
        <f>(AVERAGE(E919:F919)-1)/4</f>
        <v/>
      </c>
      <c r="W919">
        <f>(AVERAGE(G919:I919)-1)/4</f>
        <v/>
      </c>
      <c r="X919">
        <f>(AVERAGE(J919:L919)-1)/4</f>
        <v/>
      </c>
      <c r="Y919">
        <f>(AVERAGE(M919:O919)-1)/4</f>
        <v/>
      </c>
      <c r="Z919">
        <f>(AVERAGE(P919:R919)-1)/4</f>
        <v/>
      </c>
      <c r="AA919">
        <f>(AVERAGE(S919:T919)-1)/4</f>
        <v/>
      </c>
      <c r="AB919">
        <f>AVERAGE(U919:Y919)</f>
        <v/>
      </c>
      <c r="AC919">
        <f>MIN(U919:Y919)</f>
        <v/>
      </c>
      <c r="AD919">
        <f>1-alpha*MAX(0,delta-AC919)</f>
        <v/>
      </c>
      <c r="AE919">
        <f>AB919*AD919</f>
        <v/>
      </c>
      <c r="AF919">
        <f>1+COUNTIF(bounds,"&lt;"&amp;ROUND(AB919,12))</f>
        <v/>
      </c>
      <c r="AG919">
        <f>1+COUNTIF(bounds,"&lt;"&amp;ROUND(AE919,12))</f>
        <v/>
      </c>
      <c r="AH919">
        <f>IF(AD919&lt;1,1,0)</f>
        <v/>
      </c>
      <c r="AI919">
        <f>IF(AF919&lt;&gt;AG919,1,0)</f>
        <v/>
      </c>
      <c r="AJ919">
        <f>IF(AND(AG919&gt;=3,Z919&lt;=0.2),1,0)</f>
        <v/>
      </c>
      <c r="AK919">
        <f>AVERAGE(U919:Z919)</f>
        <v/>
      </c>
      <c r="AL919">
        <f>1+COUNTIF(bounds,"&lt;"&amp;ROUND(AK919,12))</f>
        <v/>
      </c>
      <c r="AM919">
        <f>IF(AI919=1,AB919,NA())</f>
        <v/>
      </c>
      <c r="AN919">
        <f>IF(AI919=0,AB919,NA())</f>
        <v/>
      </c>
    </row>
    <row r="920">
      <c r="A920" t="n">
        <v>912</v>
      </c>
      <c r="B920" t="n">
        <v>1</v>
      </c>
      <c r="C920" t="n">
        <v>5</v>
      </c>
      <c r="D920" t="n">
        <v>1</v>
      </c>
      <c r="E920" t="n">
        <v>2</v>
      </c>
      <c r="F920" t="n">
        <v>4</v>
      </c>
      <c r="G920" t="n">
        <v>3</v>
      </c>
      <c r="H920" t="n">
        <v>3</v>
      </c>
      <c r="I920" t="n">
        <v>3</v>
      </c>
      <c r="J920" t="n">
        <v>4</v>
      </c>
      <c r="K920" t="n">
        <v>1</v>
      </c>
      <c r="L920" t="n">
        <v>5</v>
      </c>
      <c r="M920" t="n">
        <v>3</v>
      </c>
      <c r="N920" t="n">
        <v>4</v>
      </c>
      <c r="O920" t="n">
        <v>5</v>
      </c>
      <c r="P920" t="n">
        <v>5</v>
      </c>
      <c r="Q920" t="n">
        <v>1</v>
      </c>
      <c r="R920" t="n">
        <v>4</v>
      </c>
      <c r="S920" t="n">
        <v>1</v>
      </c>
      <c r="T920" t="n">
        <v>2</v>
      </c>
      <c r="U920">
        <f>(AVERAGE(B920:D920)-1)/4</f>
        <v/>
      </c>
      <c r="V920">
        <f>(AVERAGE(E920:F920)-1)/4</f>
        <v/>
      </c>
      <c r="W920">
        <f>(AVERAGE(G920:I920)-1)/4</f>
        <v/>
      </c>
      <c r="X920">
        <f>(AVERAGE(J920:L920)-1)/4</f>
        <v/>
      </c>
      <c r="Y920">
        <f>(AVERAGE(M920:O920)-1)/4</f>
        <v/>
      </c>
      <c r="Z920">
        <f>(AVERAGE(P920:R920)-1)/4</f>
        <v/>
      </c>
      <c r="AA920">
        <f>(AVERAGE(S920:T920)-1)/4</f>
        <v/>
      </c>
      <c r="AB920">
        <f>AVERAGE(U920:Y920)</f>
        <v/>
      </c>
      <c r="AC920">
        <f>MIN(U920:Y920)</f>
        <v/>
      </c>
      <c r="AD920">
        <f>1-alpha*MAX(0,delta-AC920)</f>
        <v/>
      </c>
      <c r="AE920">
        <f>AB920*AD920</f>
        <v/>
      </c>
      <c r="AF920">
        <f>1+COUNTIF(bounds,"&lt;"&amp;ROUND(AB920,12))</f>
        <v/>
      </c>
      <c r="AG920">
        <f>1+COUNTIF(bounds,"&lt;"&amp;ROUND(AE920,12))</f>
        <v/>
      </c>
      <c r="AH920">
        <f>IF(AD920&lt;1,1,0)</f>
        <v/>
      </c>
      <c r="AI920">
        <f>IF(AF920&lt;&gt;AG920,1,0)</f>
        <v/>
      </c>
      <c r="AJ920">
        <f>IF(AND(AG920&gt;=3,Z920&lt;=0.2),1,0)</f>
        <v/>
      </c>
      <c r="AK920">
        <f>AVERAGE(U920:Z920)</f>
        <v/>
      </c>
      <c r="AL920">
        <f>1+COUNTIF(bounds,"&lt;"&amp;ROUND(AK920,12))</f>
        <v/>
      </c>
      <c r="AM920">
        <f>IF(AI920=1,AB920,NA())</f>
        <v/>
      </c>
      <c r="AN920">
        <f>IF(AI920=0,AB920,NA())</f>
        <v/>
      </c>
    </row>
    <row r="921">
      <c r="A921" t="n">
        <v>913</v>
      </c>
      <c r="B921" t="n">
        <v>1</v>
      </c>
      <c r="C921" t="n">
        <v>1</v>
      </c>
      <c r="D921" t="n">
        <v>2</v>
      </c>
      <c r="E921" t="n">
        <v>1</v>
      </c>
      <c r="F921" t="n">
        <v>5</v>
      </c>
      <c r="G921" t="n">
        <v>3</v>
      </c>
      <c r="H921" t="n">
        <v>5</v>
      </c>
      <c r="I921" t="n">
        <v>1</v>
      </c>
      <c r="J921" t="n">
        <v>4</v>
      </c>
      <c r="K921" t="n">
        <v>4</v>
      </c>
      <c r="L921" t="n">
        <v>5</v>
      </c>
      <c r="M921" t="n">
        <v>2</v>
      </c>
      <c r="N921" t="n">
        <v>2</v>
      </c>
      <c r="O921" t="n">
        <v>3</v>
      </c>
      <c r="P921" t="n">
        <v>4</v>
      </c>
      <c r="Q921" t="n">
        <v>2</v>
      </c>
      <c r="R921" t="n">
        <v>1</v>
      </c>
      <c r="S921" t="n">
        <v>2</v>
      </c>
      <c r="T921" t="n">
        <v>4</v>
      </c>
      <c r="U921">
        <f>(AVERAGE(B921:D921)-1)/4</f>
        <v/>
      </c>
      <c r="V921">
        <f>(AVERAGE(E921:F921)-1)/4</f>
        <v/>
      </c>
      <c r="W921">
        <f>(AVERAGE(G921:I921)-1)/4</f>
        <v/>
      </c>
      <c r="X921">
        <f>(AVERAGE(J921:L921)-1)/4</f>
        <v/>
      </c>
      <c r="Y921">
        <f>(AVERAGE(M921:O921)-1)/4</f>
        <v/>
      </c>
      <c r="Z921">
        <f>(AVERAGE(P921:R921)-1)/4</f>
        <v/>
      </c>
      <c r="AA921">
        <f>(AVERAGE(S921:T921)-1)/4</f>
        <v/>
      </c>
      <c r="AB921">
        <f>AVERAGE(U921:Y921)</f>
        <v/>
      </c>
      <c r="AC921">
        <f>MIN(U921:Y921)</f>
        <v/>
      </c>
      <c r="AD921">
        <f>1-alpha*MAX(0,delta-AC921)</f>
        <v/>
      </c>
      <c r="AE921">
        <f>AB921*AD921</f>
        <v/>
      </c>
      <c r="AF921">
        <f>1+COUNTIF(bounds,"&lt;"&amp;ROUND(AB921,12))</f>
        <v/>
      </c>
      <c r="AG921">
        <f>1+COUNTIF(bounds,"&lt;"&amp;ROUND(AE921,12))</f>
        <v/>
      </c>
      <c r="AH921">
        <f>IF(AD921&lt;1,1,0)</f>
        <v/>
      </c>
      <c r="AI921">
        <f>IF(AF921&lt;&gt;AG921,1,0)</f>
        <v/>
      </c>
      <c r="AJ921">
        <f>IF(AND(AG921&gt;=3,Z921&lt;=0.2),1,0)</f>
        <v/>
      </c>
      <c r="AK921">
        <f>AVERAGE(U921:Z921)</f>
        <v/>
      </c>
      <c r="AL921">
        <f>1+COUNTIF(bounds,"&lt;"&amp;ROUND(AK921,12))</f>
        <v/>
      </c>
      <c r="AM921">
        <f>IF(AI921=1,AB921,NA())</f>
        <v/>
      </c>
      <c r="AN921">
        <f>IF(AI921=0,AB921,NA())</f>
        <v/>
      </c>
    </row>
    <row r="922">
      <c r="A922" t="n">
        <v>914</v>
      </c>
      <c r="B922" t="n">
        <v>3</v>
      </c>
      <c r="C922" t="n">
        <v>3</v>
      </c>
      <c r="D922" t="n">
        <v>5</v>
      </c>
      <c r="E922" t="n">
        <v>5</v>
      </c>
      <c r="F922" t="n">
        <v>3</v>
      </c>
      <c r="G922" t="n">
        <v>2</v>
      </c>
      <c r="H922" t="n">
        <v>3</v>
      </c>
      <c r="I922" t="n">
        <v>2</v>
      </c>
      <c r="J922" t="n">
        <v>1</v>
      </c>
      <c r="K922" t="n">
        <v>4</v>
      </c>
      <c r="L922" t="n">
        <v>3</v>
      </c>
      <c r="M922" t="n">
        <v>3</v>
      </c>
      <c r="N922" t="n">
        <v>1</v>
      </c>
      <c r="O922" t="n">
        <v>1</v>
      </c>
      <c r="P922" t="n">
        <v>3</v>
      </c>
      <c r="Q922" t="n">
        <v>5</v>
      </c>
      <c r="R922" t="n">
        <v>3</v>
      </c>
      <c r="S922" t="n">
        <v>2</v>
      </c>
      <c r="T922" t="n">
        <v>3</v>
      </c>
      <c r="U922">
        <f>(AVERAGE(B922:D922)-1)/4</f>
        <v/>
      </c>
      <c r="V922">
        <f>(AVERAGE(E922:F922)-1)/4</f>
        <v/>
      </c>
      <c r="W922">
        <f>(AVERAGE(G922:I922)-1)/4</f>
        <v/>
      </c>
      <c r="X922">
        <f>(AVERAGE(J922:L922)-1)/4</f>
        <v/>
      </c>
      <c r="Y922">
        <f>(AVERAGE(M922:O922)-1)/4</f>
        <v/>
      </c>
      <c r="Z922">
        <f>(AVERAGE(P922:R922)-1)/4</f>
        <v/>
      </c>
      <c r="AA922">
        <f>(AVERAGE(S922:T922)-1)/4</f>
        <v/>
      </c>
      <c r="AB922">
        <f>AVERAGE(U922:Y922)</f>
        <v/>
      </c>
      <c r="AC922">
        <f>MIN(U922:Y922)</f>
        <v/>
      </c>
      <c r="AD922">
        <f>1-alpha*MAX(0,delta-AC922)</f>
        <v/>
      </c>
      <c r="AE922">
        <f>AB922*AD922</f>
        <v/>
      </c>
      <c r="AF922">
        <f>1+COUNTIF(bounds,"&lt;"&amp;ROUND(AB922,12))</f>
        <v/>
      </c>
      <c r="AG922">
        <f>1+COUNTIF(bounds,"&lt;"&amp;ROUND(AE922,12))</f>
        <v/>
      </c>
      <c r="AH922">
        <f>IF(AD922&lt;1,1,0)</f>
        <v/>
      </c>
      <c r="AI922">
        <f>IF(AF922&lt;&gt;AG922,1,0)</f>
        <v/>
      </c>
      <c r="AJ922">
        <f>IF(AND(AG922&gt;=3,Z922&lt;=0.2),1,0)</f>
        <v/>
      </c>
      <c r="AK922">
        <f>AVERAGE(U922:Z922)</f>
        <v/>
      </c>
      <c r="AL922">
        <f>1+COUNTIF(bounds,"&lt;"&amp;ROUND(AK922,12))</f>
        <v/>
      </c>
      <c r="AM922">
        <f>IF(AI922=1,AB922,NA())</f>
        <v/>
      </c>
      <c r="AN922">
        <f>IF(AI922=0,AB922,NA())</f>
        <v/>
      </c>
    </row>
    <row r="923">
      <c r="A923" t="n">
        <v>915</v>
      </c>
      <c r="B923" t="n">
        <v>4</v>
      </c>
      <c r="C923" t="n">
        <v>2</v>
      </c>
      <c r="D923" t="n">
        <v>3</v>
      </c>
      <c r="E923" t="n">
        <v>3</v>
      </c>
      <c r="F923" t="n">
        <v>3</v>
      </c>
      <c r="G923" t="n">
        <v>1</v>
      </c>
      <c r="H923" t="n">
        <v>3</v>
      </c>
      <c r="I923" t="n">
        <v>5</v>
      </c>
      <c r="J923" t="n">
        <v>5</v>
      </c>
      <c r="K923" t="n">
        <v>4</v>
      </c>
      <c r="L923" t="n">
        <v>1</v>
      </c>
      <c r="M923" t="n">
        <v>5</v>
      </c>
      <c r="N923" t="n">
        <v>3</v>
      </c>
      <c r="O923" t="n">
        <v>2</v>
      </c>
      <c r="P923" t="n">
        <v>1</v>
      </c>
      <c r="Q923" t="n">
        <v>4</v>
      </c>
      <c r="R923" t="n">
        <v>1</v>
      </c>
      <c r="S923" t="n">
        <v>3</v>
      </c>
      <c r="T923" t="n">
        <v>2</v>
      </c>
      <c r="U923">
        <f>(AVERAGE(B923:D923)-1)/4</f>
        <v/>
      </c>
      <c r="V923">
        <f>(AVERAGE(E923:F923)-1)/4</f>
        <v/>
      </c>
      <c r="W923">
        <f>(AVERAGE(G923:I923)-1)/4</f>
        <v/>
      </c>
      <c r="X923">
        <f>(AVERAGE(J923:L923)-1)/4</f>
        <v/>
      </c>
      <c r="Y923">
        <f>(AVERAGE(M923:O923)-1)/4</f>
        <v/>
      </c>
      <c r="Z923">
        <f>(AVERAGE(P923:R923)-1)/4</f>
        <v/>
      </c>
      <c r="AA923">
        <f>(AVERAGE(S923:T923)-1)/4</f>
        <v/>
      </c>
      <c r="AB923">
        <f>AVERAGE(U923:Y923)</f>
        <v/>
      </c>
      <c r="AC923">
        <f>MIN(U923:Y923)</f>
        <v/>
      </c>
      <c r="AD923">
        <f>1-alpha*MAX(0,delta-AC923)</f>
        <v/>
      </c>
      <c r="AE923">
        <f>AB923*AD923</f>
        <v/>
      </c>
      <c r="AF923">
        <f>1+COUNTIF(bounds,"&lt;"&amp;ROUND(AB923,12))</f>
        <v/>
      </c>
      <c r="AG923">
        <f>1+COUNTIF(bounds,"&lt;"&amp;ROUND(AE923,12))</f>
        <v/>
      </c>
      <c r="AH923">
        <f>IF(AD923&lt;1,1,0)</f>
        <v/>
      </c>
      <c r="AI923">
        <f>IF(AF923&lt;&gt;AG923,1,0)</f>
        <v/>
      </c>
      <c r="AJ923">
        <f>IF(AND(AG923&gt;=3,Z923&lt;=0.2),1,0)</f>
        <v/>
      </c>
      <c r="AK923">
        <f>AVERAGE(U923:Z923)</f>
        <v/>
      </c>
      <c r="AL923">
        <f>1+COUNTIF(bounds,"&lt;"&amp;ROUND(AK923,12))</f>
        <v/>
      </c>
      <c r="AM923">
        <f>IF(AI923=1,AB923,NA())</f>
        <v/>
      </c>
      <c r="AN923">
        <f>IF(AI923=0,AB923,NA())</f>
        <v/>
      </c>
    </row>
    <row r="924">
      <c r="A924" t="n">
        <v>916</v>
      </c>
      <c r="B924" t="n">
        <v>2</v>
      </c>
      <c r="C924" t="n">
        <v>4</v>
      </c>
      <c r="D924" t="n">
        <v>3</v>
      </c>
      <c r="E924" t="n">
        <v>2</v>
      </c>
      <c r="F924" t="n">
        <v>2</v>
      </c>
      <c r="G924" t="n">
        <v>1</v>
      </c>
      <c r="H924" t="n">
        <v>5</v>
      </c>
      <c r="I924" t="n">
        <v>2</v>
      </c>
      <c r="J924" t="n">
        <v>4</v>
      </c>
      <c r="K924" t="n">
        <v>2</v>
      </c>
      <c r="L924" t="n">
        <v>5</v>
      </c>
      <c r="M924" t="n">
        <v>4</v>
      </c>
      <c r="N924" t="n">
        <v>4</v>
      </c>
      <c r="O924" t="n">
        <v>5</v>
      </c>
      <c r="P924" t="n">
        <v>4</v>
      </c>
      <c r="Q924" t="n">
        <v>2</v>
      </c>
      <c r="R924" t="n">
        <v>3</v>
      </c>
      <c r="S924" t="n">
        <v>2</v>
      </c>
      <c r="T924" t="n">
        <v>3</v>
      </c>
      <c r="U924">
        <f>(AVERAGE(B924:D924)-1)/4</f>
        <v/>
      </c>
      <c r="V924">
        <f>(AVERAGE(E924:F924)-1)/4</f>
        <v/>
      </c>
      <c r="W924">
        <f>(AVERAGE(G924:I924)-1)/4</f>
        <v/>
      </c>
      <c r="X924">
        <f>(AVERAGE(J924:L924)-1)/4</f>
        <v/>
      </c>
      <c r="Y924">
        <f>(AVERAGE(M924:O924)-1)/4</f>
        <v/>
      </c>
      <c r="Z924">
        <f>(AVERAGE(P924:R924)-1)/4</f>
        <v/>
      </c>
      <c r="AA924">
        <f>(AVERAGE(S924:T924)-1)/4</f>
        <v/>
      </c>
      <c r="AB924">
        <f>AVERAGE(U924:Y924)</f>
        <v/>
      </c>
      <c r="AC924">
        <f>MIN(U924:Y924)</f>
        <v/>
      </c>
      <c r="AD924">
        <f>1-alpha*MAX(0,delta-AC924)</f>
        <v/>
      </c>
      <c r="AE924">
        <f>AB924*AD924</f>
        <v/>
      </c>
      <c r="AF924">
        <f>1+COUNTIF(bounds,"&lt;"&amp;ROUND(AB924,12))</f>
        <v/>
      </c>
      <c r="AG924">
        <f>1+COUNTIF(bounds,"&lt;"&amp;ROUND(AE924,12))</f>
        <v/>
      </c>
      <c r="AH924">
        <f>IF(AD924&lt;1,1,0)</f>
        <v/>
      </c>
      <c r="AI924">
        <f>IF(AF924&lt;&gt;AG924,1,0)</f>
        <v/>
      </c>
      <c r="AJ924">
        <f>IF(AND(AG924&gt;=3,Z924&lt;=0.2),1,0)</f>
        <v/>
      </c>
      <c r="AK924">
        <f>AVERAGE(U924:Z924)</f>
        <v/>
      </c>
      <c r="AL924">
        <f>1+COUNTIF(bounds,"&lt;"&amp;ROUND(AK924,12))</f>
        <v/>
      </c>
      <c r="AM924">
        <f>IF(AI924=1,AB924,NA())</f>
        <v/>
      </c>
      <c r="AN924">
        <f>IF(AI924=0,AB924,NA())</f>
        <v/>
      </c>
    </row>
    <row r="925">
      <c r="A925" t="n">
        <v>917</v>
      </c>
      <c r="B925" t="n">
        <v>4</v>
      </c>
      <c r="C925" t="n">
        <v>1</v>
      </c>
      <c r="D925" t="n">
        <v>5</v>
      </c>
      <c r="E925" t="n">
        <v>4</v>
      </c>
      <c r="F925" t="n">
        <v>1</v>
      </c>
      <c r="G925" t="n">
        <v>3</v>
      </c>
      <c r="H925" t="n">
        <v>4</v>
      </c>
      <c r="I925" t="n">
        <v>4</v>
      </c>
      <c r="J925" t="n">
        <v>4</v>
      </c>
      <c r="K925" t="n">
        <v>2</v>
      </c>
      <c r="L925" t="n">
        <v>3</v>
      </c>
      <c r="M925" t="n">
        <v>2</v>
      </c>
      <c r="N925" t="n">
        <v>3</v>
      </c>
      <c r="O925" t="n">
        <v>3</v>
      </c>
      <c r="P925" t="n">
        <v>5</v>
      </c>
      <c r="Q925" t="n">
        <v>4</v>
      </c>
      <c r="R925" t="n">
        <v>1</v>
      </c>
      <c r="S925" t="n">
        <v>1</v>
      </c>
      <c r="T925" t="n">
        <v>5</v>
      </c>
      <c r="U925">
        <f>(AVERAGE(B925:D925)-1)/4</f>
        <v/>
      </c>
      <c r="V925">
        <f>(AVERAGE(E925:F925)-1)/4</f>
        <v/>
      </c>
      <c r="W925">
        <f>(AVERAGE(G925:I925)-1)/4</f>
        <v/>
      </c>
      <c r="X925">
        <f>(AVERAGE(J925:L925)-1)/4</f>
        <v/>
      </c>
      <c r="Y925">
        <f>(AVERAGE(M925:O925)-1)/4</f>
        <v/>
      </c>
      <c r="Z925">
        <f>(AVERAGE(P925:R925)-1)/4</f>
        <v/>
      </c>
      <c r="AA925">
        <f>(AVERAGE(S925:T925)-1)/4</f>
        <v/>
      </c>
      <c r="AB925">
        <f>AVERAGE(U925:Y925)</f>
        <v/>
      </c>
      <c r="AC925">
        <f>MIN(U925:Y925)</f>
        <v/>
      </c>
      <c r="AD925">
        <f>1-alpha*MAX(0,delta-AC925)</f>
        <v/>
      </c>
      <c r="AE925">
        <f>AB925*AD925</f>
        <v/>
      </c>
      <c r="AF925">
        <f>1+COUNTIF(bounds,"&lt;"&amp;ROUND(AB925,12))</f>
        <v/>
      </c>
      <c r="AG925">
        <f>1+COUNTIF(bounds,"&lt;"&amp;ROUND(AE925,12))</f>
        <v/>
      </c>
      <c r="AH925">
        <f>IF(AD925&lt;1,1,0)</f>
        <v/>
      </c>
      <c r="AI925">
        <f>IF(AF925&lt;&gt;AG925,1,0)</f>
        <v/>
      </c>
      <c r="AJ925">
        <f>IF(AND(AG925&gt;=3,Z925&lt;=0.2),1,0)</f>
        <v/>
      </c>
      <c r="AK925">
        <f>AVERAGE(U925:Z925)</f>
        <v/>
      </c>
      <c r="AL925">
        <f>1+COUNTIF(bounds,"&lt;"&amp;ROUND(AK925,12))</f>
        <v/>
      </c>
      <c r="AM925">
        <f>IF(AI925=1,AB925,NA())</f>
        <v/>
      </c>
      <c r="AN925">
        <f>IF(AI925=0,AB925,NA())</f>
        <v/>
      </c>
    </row>
    <row r="926">
      <c r="A926" t="n">
        <v>918</v>
      </c>
      <c r="B926" t="n">
        <v>5</v>
      </c>
      <c r="C926" t="n">
        <v>4</v>
      </c>
      <c r="D926" t="n">
        <v>1</v>
      </c>
      <c r="E926" t="n">
        <v>4</v>
      </c>
      <c r="F926" t="n">
        <v>5</v>
      </c>
      <c r="G926" t="n">
        <v>1</v>
      </c>
      <c r="H926" t="n">
        <v>5</v>
      </c>
      <c r="I926" t="n">
        <v>3</v>
      </c>
      <c r="J926" t="n">
        <v>2</v>
      </c>
      <c r="K926" t="n">
        <v>2</v>
      </c>
      <c r="L926" t="n">
        <v>4</v>
      </c>
      <c r="M926" t="n">
        <v>1</v>
      </c>
      <c r="N926" t="n">
        <v>2</v>
      </c>
      <c r="O926" t="n">
        <v>5</v>
      </c>
      <c r="P926" t="n">
        <v>3</v>
      </c>
      <c r="Q926" t="n">
        <v>2</v>
      </c>
      <c r="R926" t="n">
        <v>1</v>
      </c>
      <c r="S926" t="n">
        <v>4</v>
      </c>
      <c r="T926" t="n">
        <v>2</v>
      </c>
      <c r="U926">
        <f>(AVERAGE(B926:D926)-1)/4</f>
        <v/>
      </c>
      <c r="V926">
        <f>(AVERAGE(E926:F926)-1)/4</f>
        <v/>
      </c>
      <c r="W926">
        <f>(AVERAGE(G926:I926)-1)/4</f>
        <v/>
      </c>
      <c r="X926">
        <f>(AVERAGE(J926:L926)-1)/4</f>
        <v/>
      </c>
      <c r="Y926">
        <f>(AVERAGE(M926:O926)-1)/4</f>
        <v/>
      </c>
      <c r="Z926">
        <f>(AVERAGE(P926:R926)-1)/4</f>
        <v/>
      </c>
      <c r="AA926">
        <f>(AVERAGE(S926:T926)-1)/4</f>
        <v/>
      </c>
      <c r="AB926">
        <f>AVERAGE(U926:Y926)</f>
        <v/>
      </c>
      <c r="AC926">
        <f>MIN(U926:Y926)</f>
        <v/>
      </c>
      <c r="AD926">
        <f>1-alpha*MAX(0,delta-AC926)</f>
        <v/>
      </c>
      <c r="AE926">
        <f>AB926*AD926</f>
        <v/>
      </c>
      <c r="AF926">
        <f>1+COUNTIF(bounds,"&lt;"&amp;ROUND(AB926,12))</f>
        <v/>
      </c>
      <c r="AG926">
        <f>1+COUNTIF(bounds,"&lt;"&amp;ROUND(AE926,12))</f>
        <v/>
      </c>
      <c r="AH926">
        <f>IF(AD926&lt;1,1,0)</f>
        <v/>
      </c>
      <c r="AI926">
        <f>IF(AF926&lt;&gt;AG926,1,0)</f>
        <v/>
      </c>
      <c r="AJ926">
        <f>IF(AND(AG926&gt;=3,Z926&lt;=0.2),1,0)</f>
        <v/>
      </c>
      <c r="AK926">
        <f>AVERAGE(U926:Z926)</f>
        <v/>
      </c>
      <c r="AL926">
        <f>1+COUNTIF(bounds,"&lt;"&amp;ROUND(AK926,12))</f>
        <v/>
      </c>
      <c r="AM926">
        <f>IF(AI926=1,AB926,NA())</f>
        <v/>
      </c>
      <c r="AN926">
        <f>IF(AI926=0,AB926,NA())</f>
        <v/>
      </c>
    </row>
    <row r="927">
      <c r="A927" t="n">
        <v>919</v>
      </c>
      <c r="B927" t="n">
        <v>2</v>
      </c>
      <c r="C927" t="n">
        <v>2</v>
      </c>
      <c r="D927" t="n">
        <v>3</v>
      </c>
      <c r="E927" t="n">
        <v>2</v>
      </c>
      <c r="F927" t="n">
        <v>2</v>
      </c>
      <c r="G927" t="n">
        <v>3</v>
      </c>
      <c r="H927" t="n">
        <v>4</v>
      </c>
      <c r="I927" t="n">
        <v>2</v>
      </c>
      <c r="J927" t="n">
        <v>4</v>
      </c>
      <c r="K927" t="n">
        <v>4</v>
      </c>
      <c r="L927" t="n">
        <v>2</v>
      </c>
      <c r="M927" t="n">
        <v>1</v>
      </c>
      <c r="N927" t="n">
        <v>2</v>
      </c>
      <c r="O927" t="n">
        <v>5</v>
      </c>
      <c r="P927" t="n">
        <v>1</v>
      </c>
      <c r="Q927" t="n">
        <v>4</v>
      </c>
      <c r="R927" t="n">
        <v>5</v>
      </c>
      <c r="S927" t="n">
        <v>4</v>
      </c>
      <c r="T927" t="n">
        <v>5</v>
      </c>
      <c r="U927">
        <f>(AVERAGE(B927:D927)-1)/4</f>
        <v/>
      </c>
      <c r="V927">
        <f>(AVERAGE(E927:F927)-1)/4</f>
        <v/>
      </c>
      <c r="W927">
        <f>(AVERAGE(G927:I927)-1)/4</f>
        <v/>
      </c>
      <c r="X927">
        <f>(AVERAGE(J927:L927)-1)/4</f>
        <v/>
      </c>
      <c r="Y927">
        <f>(AVERAGE(M927:O927)-1)/4</f>
        <v/>
      </c>
      <c r="Z927">
        <f>(AVERAGE(P927:R927)-1)/4</f>
        <v/>
      </c>
      <c r="AA927">
        <f>(AVERAGE(S927:T927)-1)/4</f>
        <v/>
      </c>
      <c r="AB927">
        <f>AVERAGE(U927:Y927)</f>
        <v/>
      </c>
      <c r="AC927">
        <f>MIN(U927:Y927)</f>
        <v/>
      </c>
      <c r="AD927">
        <f>1-alpha*MAX(0,delta-AC927)</f>
        <v/>
      </c>
      <c r="AE927">
        <f>AB927*AD927</f>
        <v/>
      </c>
      <c r="AF927">
        <f>1+COUNTIF(bounds,"&lt;"&amp;ROUND(AB927,12))</f>
        <v/>
      </c>
      <c r="AG927">
        <f>1+COUNTIF(bounds,"&lt;"&amp;ROUND(AE927,12))</f>
        <v/>
      </c>
      <c r="AH927">
        <f>IF(AD927&lt;1,1,0)</f>
        <v/>
      </c>
      <c r="AI927">
        <f>IF(AF927&lt;&gt;AG927,1,0)</f>
        <v/>
      </c>
      <c r="AJ927">
        <f>IF(AND(AG927&gt;=3,Z927&lt;=0.2),1,0)</f>
        <v/>
      </c>
      <c r="AK927">
        <f>AVERAGE(U927:Z927)</f>
        <v/>
      </c>
      <c r="AL927">
        <f>1+COUNTIF(bounds,"&lt;"&amp;ROUND(AK927,12))</f>
        <v/>
      </c>
      <c r="AM927">
        <f>IF(AI927=1,AB927,NA())</f>
        <v/>
      </c>
      <c r="AN927">
        <f>IF(AI927=0,AB927,NA())</f>
        <v/>
      </c>
    </row>
    <row r="928">
      <c r="A928" t="n">
        <v>920</v>
      </c>
      <c r="B928" t="n">
        <v>1</v>
      </c>
      <c r="C928" t="n">
        <v>2</v>
      </c>
      <c r="D928" t="n">
        <v>3</v>
      </c>
      <c r="E928" t="n">
        <v>5</v>
      </c>
      <c r="F928" t="n">
        <v>3</v>
      </c>
      <c r="G928" t="n">
        <v>2</v>
      </c>
      <c r="H928" t="n">
        <v>4</v>
      </c>
      <c r="I928" t="n">
        <v>1</v>
      </c>
      <c r="J928" t="n">
        <v>5</v>
      </c>
      <c r="K928" t="n">
        <v>4</v>
      </c>
      <c r="L928" t="n">
        <v>2</v>
      </c>
      <c r="M928" t="n">
        <v>2</v>
      </c>
      <c r="N928" t="n">
        <v>4</v>
      </c>
      <c r="O928" t="n">
        <v>2</v>
      </c>
      <c r="P928" t="n">
        <v>3</v>
      </c>
      <c r="Q928" t="n">
        <v>4</v>
      </c>
      <c r="R928" t="n">
        <v>1</v>
      </c>
      <c r="S928" t="n">
        <v>2</v>
      </c>
      <c r="T928" t="n">
        <v>3</v>
      </c>
      <c r="U928">
        <f>(AVERAGE(B928:D928)-1)/4</f>
        <v/>
      </c>
      <c r="V928">
        <f>(AVERAGE(E928:F928)-1)/4</f>
        <v/>
      </c>
      <c r="W928">
        <f>(AVERAGE(G928:I928)-1)/4</f>
        <v/>
      </c>
      <c r="X928">
        <f>(AVERAGE(J928:L928)-1)/4</f>
        <v/>
      </c>
      <c r="Y928">
        <f>(AVERAGE(M928:O928)-1)/4</f>
        <v/>
      </c>
      <c r="Z928">
        <f>(AVERAGE(P928:R928)-1)/4</f>
        <v/>
      </c>
      <c r="AA928">
        <f>(AVERAGE(S928:T928)-1)/4</f>
        <v/>
      </c>
      <c r="AB928">
        <f>AVERAGE(U928:Y928)</f>
        <v/>
      </c>
      <c r="AC928">
        <f>MIN(U928:Y928)</f>
        <v/>
      </c>
      <c r="AD928">
        <f>1-alpha*MAX(0,delta-AC928)</f>
        <v/>
      </c>
      <c r="AE928">
        <f>AB928*AD928</f>
        <v/>
      </c>
      <c r="AF928">
        <f>1+COUNTIF(bounds,"&lt;"&amp;ROUND(AB928,12))</f>
        <v/>
      </c>
      <c r="AG928">
        <f>1+COUNTIF(bounds,"&lt;"&amp;ROUND(AE928,12))</f>
        <v/>
      </c>
      <c r="AH928">
        <f>IF(AD928&lt;1,1,0)</f>
        <v/>
      </c>
      <c r="AI928">
        <f>IF(AF928&lt;&gt;AG928,1,0)</f>
        <v/>
      </c>
      <c r="AJ928">
        <f>IF(AND(AG928&gt;=3,Z928&lt;=0.2),1,0)</f>
        <v/>
      </c>
      <c r="AK928">
        <f>AVERAGE(U928:Z928)</f>
        <v/>
      </c>
      <c r="AL928">
        <f>1+COUNTIF(bounds,"&lt;"&amp;ROUND(AK928,12))</f>
        <v/>
      </c>
      <c r="AM928">
        <f>IF(AI928=1,AB928,NA())</f>
        <v/>
      </c>
      <c r="AN928">
        <f>IF(AI928=0,AB928,NA())</f>
        <v/>
      </c>
    </row>
    <row r="929">
      <c r="A929" t="n">
        <v>921</v>
      </c>
      <c r="B929" t="n">
        <v>5</v>
      </c>
      <c r="C929" t="n">
        <v>5</v>
      </c>
      <c r="D929" t="n">
        <v>4</v>
      </c>
      <c r="E929" t="n">
        <v>2</v>
      </c>
      <c r="F929" t="n">
        <v>1</v>
      </c>
      <c r="G929" t="n">
        <v>4</v>
      </c>
      <c r="H929" t="n">
        <v>3</v>
      </c>
      <c r="I929" t="n">
        <v>1</v>
      </c>
      <c r="J929" t="n">
        <v>4</v>
      </c>
      <c r="K929" t="n">
        <v>3</v>
      </c>
      <c r="L929" t="n">
        <v>1</v>
      </c>
      <c r="M929" t="n">
        <v>4</v>
      </c>
      <c r="N929" t="n">
        <v>3</v>
      </c>
      <c r="O929" t="n">
        <v>5</v>
      </c>
      <c r="P929" t="n">
        <v>4</v>
      </c>
      <c r="Q929" t="n">
        <v>4</v>
      </c>
      <c r="R929" t="n">
        <v>4</v>
      </c>
      <c r="S929" t="n">
        <v>4</v>
      </c>
      <c r="T929" t="n">
        <v>4</v>
      </c>
      <c r="U929">
        <f>(AVERAGE(B929:D929)-1)/4</f>
        <v/>
      </c>
      <c r="V929">
        <f>(AVERAGE(E929:F929)-1)/4</f>
        <v/>
      </c>
      <c r="W929">
        <f>(AVERAGE(G929:I929)-1)/4</f>
        <v/>
      </c>
      <c r="X929">
        <f>(AVERAGE(J929:L929)-1)/4</f>
        <v/>
      </c>
      <c r="Y929">
        <f>(AVERAGE(M929:O929)-1)/4</f>
        <v/>
      </c>
      <c r="Z929">
        <f>(AVERAGE(P929:R929)-1)/4</f>
        <v/>
      </c>
      <c r="AA929">
        <f>(AVERAGE(S929:T929)-1)/4</f>
        <v/>
      </c>
      <c r="AB929">
        <f>AVERAGE(U929:Y929)</f>
        <v/>
      </c>
      <c r="AC929">
        <f>MIN(U929:Y929)</f>
        <v/>
      </c>
      <c r="AD929">
        <f>1-alpha*MAX(0,delta-AC929)</f>
        <v/>
      </c>
      <c r="AE929">
        <f>AB929*AD929</f>
        <v/>
      </c>
      <c r="AF929">
        <f>1+COUNTIF(bounds,"&lt;"&amp;ROUND(AB929,12))</f>
        <v/>
      </c>
      <c r="AG929">
        <f>1+COUNTIF(bounds,"&lt;"&amp;ROUND(AE929,12))</f>
        <v/>
      </c>
      <c r="AH929">
        <f>IF(AD929&lt;1,1,0)</f>
        <v/>
      </c>
      <c r="AI929">
        <f>IF(AF929&lt;&gt;AG929,1,0)</f>
        <v/>
      </c>
      <c r="AJ929">
        <f>IF(AND(AG929&gt;=3,Z929&lt;=0.2),1,0)</f>
        <v/>
      </c>
      <c r="AK929">
        <f>AVERAGE(U929:Z929)</f>
        <v/>
      </c>
      <c r="AL929">
        <f>1+COUNTIF(bounds,"&lt;"&amp;ROUND(AK929,12))</f>
        <v/>
      </c>
      <c r="AM929">
        <f>IF(AI929=1,AB929,NA())</f>
        <v/>
      </c>
      <c r="AN929">
        <f>IF(AI929=0,AB929,NA())</f>
        <v/>
      </c>
    </row>
    <row r="930">
      <c r="A930" t="n">
        <v>922</v>
      </c>
      <c r="B930" t="n">
        <v>1</v>
      </c>
      <c r="C930" t="n">
        <v>3</v>
      </c>
      <c r="D930" t="n">
        <v>5</v>
      </c>
      <c r="E930" t="n">
        <v>3</v>
      </c>
      <c r="F930" t="n">
        <v>3</v>
      </c>
      <c r="G930" t="n">
        <v>3</v>
      </c>
      <c r="H930" t="n">
        <v>4</v>
      </c>
      <c r="I930" t="n">
        <v>3</v>
      </c>
      <c r="J930" t="n">
        <v>3</v>
      </c>
      <c r="K930" t="n">
        <v>1</v>
      </c>
      <c r="L930" t="n">
        <v>3</v>
      </c>
      <c r="M930" t="n">
        <v>4</v>
      </c>
      <c r="N930" t="n">
        <v>3</v>
      </c>
      <c r="O930" t="n">
        <v>3</v>
      </c>
      <c r="P930" t="n">
        <v>3</v>
      </c>
      <c r="Q930" t="n">
        <v>5</v>
      </c>
      <c r="R930" t="n">
        <v>3</v>
      </c>
      <c r="S930" t="n">
        <v>5</v>
      </c>
      <c r="T930" t="n">
        <v>2</v>
      </c>
      <c r="U930">
        <f>(AVERAGE(B930:D930)-1)/4</f>
        <v/>
      </c>
      <c r="V930">
        <f>(AVERAGE(E930:F930)-1)/4</f>
        <v/>
      </c>
      <c r="W930">
        <f>(AVERAGE(G930:I930)-1)/4</f>
        <v/>
      </c>
      <c r="X930">
        <f>(AVERAGE(J930:L930)-1)/4</f>
        <v/>
      </c>
      <c r="Y930">
        <f>(AVERAGE(M930:O930)-1)/4</f>
        <v/>
      </c>
      <c r="Z930">
        <f>(AVERAGE(P930:R930)-1)/4</f>
        <v/>
      </c>
      <c r="AA930">
        <f>(AVERAGE(S930:T930)-1)/4</f>
        <v/>
      </c>
      <c r="AB930">
        <f>AVERAGE(U930:Y930)</f>
        <v/>
      </c>
      <c r="AC930">
        <f>MIN(U930:Y930)</f>
        <v/>
      </c>
      <c r="AD930">
        <f>1-alpha*MAX(0,delta-AC930)</f>
        <v/>
      </c>
      <c r="AE930">
        <f>AB930*AD930</f>
        <v/>
      </c>
      <c r="AF930">
        <f>1+COUNTIF(bounds,"&lt;"&amp;ROUND(AB930,12))</f>
        <v/>
      </c>
      <c r="AG930">
        <f>1+COUNTIF(bounds,"&lt;"&amp;ROUND(AE930,12))</f>
        <v/>
      </c>
      <c r="AH930">
        <f>IF(AD930&lt;1,1,0)</f>
        <v/>
      </c>
      <c r="AI930">
        <f>IF(AF930&lt;&gt;AG930,1,0)</f>
        <v/>
      </c>
      <c r="AJ930">
        <f>IF(AND(AG930&gt;=3,Z930&lt;=0.2),1,0)</f>
        <v/>
      </c>
      <c r="AK930">
        <f>AVERAGE(U930:Z930)</f>
        <v/>
      </c>
      <c r="AL930">
        <f>1+COUNTIF(bounds,"&lt;"&amp;ROUND(AK930,12))</f>
        <v/>
      </c>
      <c r="AM930">
        <f>IF(AI930=1,AB930,NA())</f>
        <v/>
      </c>
      <c r="AN930">
        <f>IF(AI930=0,AB930,NA())</f>
        <v/>
      </c>
    </row>
    <row r="931">
      <c r="A931" t="n">
        <v>923</v>
      </c>
      <c r="B931" t="n">
        <v>2</v>
      </c>
      <c r="C931" t="n">
        <v>1</v>
      </c>
      <c r="D931" t="n">
        <v>2</v>
      </c>
      <c r="E931" t="n">
        <v>5</v>
      </c>
      <c r="F931" t="n">
        <v>4</v>
      </c>
      <c r="G931" t="n">
        <v>1</v>
      </c>
      <c r="H931" t="n">
        <v>5</v>
      </c>
      <c r="I931" t="n">
        <v>1</v>
      </c>
      <c r="J931" t="n">
        <v>5</v>
      </c>
      <c r="K931" t="n">
        <v>1</v>
      </c>
      <c r="L931" t="n">
        <v>5</v>
      </c>
      <c r="M931" t="n">
        <v>3</v>
      </c>
      <c r="N931" t="n">
        <v>2</v>
      </c>
      <c r="O931" t="n">
        <v>2</v>
      </c>
      <c r="P931" t="n">
        <v>5</v>
      </c>
      <c r="Q931" t="n">
        <v>2</v>
      </c>
      <c r="R931" t="n">
        <v>1</v>
      </c>
      <c r="S931" t="n">
        <v>4</v>
      </c>
      <c r="T931" t="n">
        <v>1</v>
      </c>
      <c r="U931">
        <f>(AVERAGE(B931:D931)-1)/4</f>
        <v/>
      </c>
      <c r="V931">
        <f>(AVERAGE(E931:F931)-1)/4</f>
        <v/>
      </c>
      <c r="W931">
        <f>(AVERAGE(G931:I931)-1)/4</f>
        <v/>
      </c>
      <c r="X931">
        <f>(AVERAGE(J931:L931)-1)/4</f>
        <v/>
      </c>
      <c r="Y931">
        <f>(AVERAGE(M931:O931)-1)/4</f>
        <v/>
      </c>
      <c r="Z931">
        <f>(AVERAGE(P931:R931)-1)/4</f>
        <v/>
      </c>
      <c r="AA931">
        <f>(AVERAGE(S931:T931)-1)/4</f>
        <v/>
      </c>
      <c r="AB931">
        <f>AVERAGE(U931:Y931)</f>
        <v/>
      </c>
      <c r="AC931">
        <f>MIN(U931:Y931)</f>
        <v/>
      </c>
      <c r="AD931">
        <f>1-alpha*MAX(0,delta-AC931)</f>
        <v/>
      </c>
      <c r="AE931">
        <f>AB931*AD931</f>
        <v/>
      </c>
      <c r="AF931">
        <f>1+COUNTIF(bounds,"&lt;"&amp;ROUND(AB931,12))</f>
        <v/>
      </c>
      <c r="AG931">
        <f>1+COUNTIF(bounds,"&lt;"&amp;ROUND(AE931,12))</f>
        <v/>
      </c>
      <c r="AH931">
        <f>IF(AD931&lt;1,1,0)</f>
        <v/>
      </c>
      <c r="AI931">
        <f>IF(AF931&lt;&gt;AG931,1,0)</f>
        <v/>
      </c>
      <c r="AJ931">
        <f>IF(AND(AG931&gt;=3,Z931&lt;=0.2),1,0)</f>
        <v/>
      </c>
      <c r="AK931">
        <f>AVERAGE(U931:Z931)</f>
        <v/>
      </c>
      <c r="AL931">
        <f>1+COUNTIF(bounds,"&lt;"&amp;ROUND(AK931,12))</f>
        <v/>
      </c>
      <c r="AM931">
        <f>IF(AI931=1,AB931,NA())</f>
        <v/>
      </c>
      <c r="AN931">
        <f>IF(AI931=0,AB931,NA())</f>
        <v/>
      </c>
    </row>
    <row r="932">
      <c r="A932" t="n">
        <v>924</v>
      </c>
      <c r="B932" t="n">
        <v>3</v>
      </c>
      <c r="C932" t="n">
        <v>5</v>
      </c>
      <c r="D932" t="n">
        <v>5</v>
      </c>
      <c r="E932" t="n">
        <v>4</v>
      </c>
      <c r="F932" t="n">
        <v>4</v>
      </c>
      <c r="G932" t="n">
        <v>1</v>
      </c>
      <c r="H932" t="n">
        <v>3</v>
      </c>
      <c r="I932" t="n">
        <v>4</v>
      </c>
      <c r="J932" t="n">
        <v>4</v>
      </c>
      <c r="K932" t="n">
        <v>4</v>
      </c>
      <c r="L932" t="n">
        <v>3</v>
      </c>
      <c r="M932" t="n">
        <v>5</v>
      </c>
      <c r="N932" t="n">
        <v>5</v>
      </c>
      <c r="O932" t="n">
        <v>5</v>
      </c>
      <c r="P932" t="n">
        <v>5</v>
      </c>
      <c r="Q932" t="n">
        <v>2</v>
      </c>
      <c r="R932" t="n">
        <v>2</v>
      </c>
      <c r="S932" t="n">
        <v>4</v>
      </c>
      <c r="T932" t="n">
        <v>1</v>
      </c>
      <c r="U932">
        <f>(AVERAGE(B932:D932)-1)/4</f>
        <v/>
      </c>
      <c r="V932">
        <f>(AVERAGE(E932:F932)-1)/4</f>
        <v/>
      </c>
      <c r="W932">
        <f>(AVERAGE(G932:I932)-1)/4</f>
        <v/>
      </c>
      <c r="X932">
        <f>(AVERAGE(J932:L932)-1)/4</f>
        <v/>
      </c>
      <c r="Y932">
        <f>(AVERAGE(M932:O932)-1)/4</f>
        <v/>
      </c>
      <c r="Z932">
        <f>(AVERAGE(P932:R932)-1)/4</f>
        <v/>
      </c>
      <c r="AA932">
        <f>(AVERAGE(S932:T932)-1)/4</f>
        <v/>
      </c>
      <c r="AB932">
        <f>AVERAGE(U932:Y932)</f>
        <v/>
      </c>
      <c r="AC932">
        <f>MIN(U932:Y932)</f>
        <v/>
      </c>
      <c r="AD932">
        <f>1-alpha*MAX(0,delta-AC932)</f>
        <v/>
      </c>
      <c r="AE932">
        <f>AB932*AD932</f>
        <v/>
      </c>
      <c r="AF932">
        <f>1+COUNTIF(bounds,"&lt;"&amp;ROUND(AB932,12))</f>
        <v/>
      </c>
      <c r="AG932">
        <f>1+COUNTIF(bounds,"&lt;"&amp;ROUND(AE932,12))</f>
        <v/>
      </c>
      <c r="AH932">
        <f>IF(AD932&lt;1,1,0)</f>
        <v/>
      </c>
      <c r="AI932">
        <f>IF(AF932&lt;&gt;AG932,1,0)</f>
        <v/>
      </c>
      <c r="AJ932">
        <f>IF(AND(AG932&gt;=3,Z932&lt;=0.2),1,0)</f>
        <v/>
      </c>
      <c r="AK932">
        <f>AVERAGE(U932:Z932)</f>
        <v/>
      </c>
      <c r="AL932">
        <f>1+COUNTIF(bounds,"&lt;"&amp;ROUND(AK932,12))</f>
        <v/>
      </c>
      <c r="AM932">
        <f>IF(AI932=1,AB932,NA())</f>
        <v/>
      </c>
      <c r="AN932">
        <f>IF(AI932=0,AB932,NA())</f>
        <v/>
      </c>
    </row>
    <row r="933">
      <c r="A933" t="n">
        <v>925</v>
      </c>
      <c r="B933" t="n">
        <v>1</v>
      </c>
      <c r="C933" t="n">
        <v>4</v>
      </c>
      <c r="D933" t="n">
        <v>2</v>
      </c>
      <c r="E933" t="n">
        <v>1</v>
      </c>
      <c r="F933" t="n">
        <v>3</v>
      </c>
      <c r="G933" t="n">
        <v>5</v>
      </c>
      <c r="H933" t="n">
        <v>4</v>
      </c>
      <c r="I933" t="n">
        <v>4</v>
      </c>
      <c r="J933" t="n">
        <v>2</v>
      </c>
      <c r="K933" t="n">
        <v>5</v>
      </c>
      <c r="L933" t="n">
        <v>5</v>
      </c>
      <c r="M933" t="n">
        <v>5</v>
      </c>
      <c r="N933" t="n">
        <v>2</v>
      </c>
      <c r="O933" t="n">
        <v>1</v>
      </c>
      <c r="P933" t="n">
        <v>3</v>
      </c>
      <c r="Q933" t="n">
        <v>3</v>
      </c>
      <c r="R933" t="n">
        <v>5</v>
      </c>
      <c r="S933" t="n">
        <v>1</v>
      </c>
      <c r="T933" t="n">
        <v>4</v>
      </c>
      <c r="U933">
        <f>(AVERAGE(B933:D933)-1)/4</f>
        <v/>
      </c>
      <c r="V933">
        <f>(AVERAGE(E933:F933)-1)/4</f>
        <v/>
      </c>
      <c r="W933">
        <f>(AVERAGE(G933:I933)-1)/4</f>
        <v/>
      </c>
      <c r="X933">
        <f>(AVERAGE(J933:L933)-1)/4</f>
        <v/>
      </c>
      <c r="Y933">
        <f>(AVERAGE(M933:O933)-1)/4</f>
        <v/>
      </c>
      <c r="Z933">
        <f>(AVERAGE(P933:R933)-1)/4</f>
        <v/>
      </c>
      <c r="AA933">
        <f>(AVERAGE(S933:T933)-1)/4</f>
        <v/>
      </c>
      <c r="AB933">
        <f>AVERAGE(U933:Y933)</f>
        <v/>
      </c>
      <c r="AC933">
        <f>MIN(U933:Y933)</f>
        <v/>
      </c>
      <c r="AD933">
        <f>1-alpha*MAX(0,delta-AC933)</f>
        <v/>
      </c>
      <c r="AE933">
        <f>AB933*AD933</f>
        <v/>
      </c>
      <c r="AF933">
        <f>1+COUNTIF(bounds,"&lt;"&amp;ROUND(AB933,12))</f>
        <v/>
      </c>
      <c r="AG933">
        <f>1+COUNTIF(bounds,"&lt;"&amp;ROUND(AE933,12))</f>
        <v/>
      </c>
      <c r="AH933">
        <f>IF(AD933&lt;1,1,0)</f>
        <v/>
      </c>
      <c r="AI933">
        <f>IF(AF933&lt;&gt;AG933,1,0)</f>
        <v/>
      </c>
      <c r="AJ933">
        <f>IF(AND(AG933&gt;=3,Z933&lt;=0.2),1,0)</f>
        <v/>
      </c>
      <c r="AK933">
        <f>AVERAGE(U933:Z933)</f>
        <v/>
      </c>
      <c r="AL933">
        <f>1+COUNTIF(bounds,"&lt;"&amp;ROUND(AK933,12))</f>
        <v/>
      </c>
      <c r="AM933">
        <f>IF(AI933=1,AB933,NA())</f>
        <v/>
      </c>
      <c r="AN933">
        <f>IF(AI933=0,AB933,NA())</f>
        <v/>
      </c>
    </row>
    <row r="934">
      <c r="A934" t="n">
        <v>926</v>
      </c>
      <c r="B934" t="n">
        <v>4</v>
      </c>
      <c r="C934" t="n">
        <v>5</v>
      </c>
      <c r="D934" t="n">
        <v>4</v>
      </c>
      <c r="E934" t="n">
        <v>2</v>
      </c>
      <c r="F934" t="n">
        <v>3</v>
      </c>
      <c r="G934" t="n">
        <v>5</v>
      </c>
      <c r="H934" t="n">
        <v>4</v>
      </c>
      <c r="I934" t="n">
        <v>1</v>
      </c>
      <c r="J934" t="n">
        <v>5</v>
      </c>
      <c r="K934" t="n">
        <v>4</v>
      </c>
      <c r="L934" t="n">
        <v>2</v>
      </c>
      <c r="M934" t="n">
        <v>1</v>
      </c>
      <c r="N934" t="n">
        <v>3</v>
      </c>
      <c r="O934" t="n">
        <v>3</v>
      </c>
      <c r="P934" t="n">
        <v>4</v>
      </c>
      <c r="Q934" t="n">
        <v>3</v>
      </c>
      <c r="R934" t="n">
        <v>5</v>
      </c>
      <c r="S934" t="n">
        <v>3</v>
      </c>
      <c r="T934" t="n">
        <v>5</v>
      </c>
      <c r="U934">
        <f>(AVERAGE(B934:D934)-1)/4</f>
        <v/>
      </c>
      <c r="V934">
        <f>(AVERAGE(E934:F934)-1)/4</f>
        <v/>
      </c>
      <c r="W934">
        <f>(AVERAGE(G934:I934)-1)/4</f>
        <v/>
      </c>
      <c r="X934">
        <f>(AVERAGE(J934:L934)-1)/4</f>
        <v/>
      </c>
      <c r="Y934">
        <f>(AVERAGE(M934:O934)-1)/4</f>
        <v/>
      </c>
      <c r="Z934">
        <f>(AVERAGE(P934:R934)-1)/4</f>
        <v/>
      </c>
      <c r="AA934">
        <f>(AVERAGE(S934:T934)-1)/4</f>
        <v/>
      </c>
      <c r="AB934">
        <f>AVERAGE(U934:Y934)</f>
        <v/>
      </c>
      <c r="AC934">
        <f>MIN(U934:Y934)</f>
        <v/>
      </c>
      <c r="AD934">
        <f>1-alpha*MAX(0,delta-AC934)</f>
        <v/>
      </c>
      <c r="AE934">
        <f>AB934*AD934</f>
        <v/>
      </c>
      <c r="AF934">
        <f>1+COUNTIF(bounds,"&lt;"&amp;ROUND(AB934,12))</f>
        <v/>
      </c>
      <c r="AG934">
        <f>1+COUNTIF(bounds,"&lt;"&amp;ROUND(AE934,12))</f>
        <v/>
      </c>
      <c r="AH934">
        <f>IF(AD934&lt;1,1,0)</f>
        <v/>
      </c>
      <c r="AI934">
        <f>IF(AF934&lt;&gt;AG934,1,0)</f>
        <v/>
      </c>
      <c r="AJ934">
        <f>IF(AND(AG934&gt;=3,Z934&lt;=0.2),1,0)</f>
        <v/>
      </c>
      <c r="AK934">
        <f>AVERAGE(U934:Z934)</f>
        <v/>
      </c>
      <c r="AL934">
        <f>1+COUNTIF(bounds,"&lt;"&amp;ROUND(AK934,12))</f>
        <v/>
      </c>
      <c r="AM934">
        <f>IF(AI934=1,AB934,NA())</f>
        <v/>
      </c>
      <c r="AN934">
        <f>IF(AI934=0,AB934,NA())</f>
        <v/>
      </c>
    </row>
    <row r="935">
      <c r="A935" t="n">
        <v>927</v>
      </c>
      <c r="B935" t="n">
        <v>3</v>
      </c>
      <c r="C935" t="n">
        <v>1</v>
      </c>
      <c r="D935" t="n">
        <v>5</v>
      </c>
      <c r="E935" t="n">
        <v>2</v>
      </c>
      <c r="F935" t="n">
        <v>5</v>
      </c>
      <c r="G935" t="n">
        <v>5</v>
      </c>
      <c r="H935" t="n">
        <v>3</v>
      </c>
      <c r="I935" t="n">
        <v>5</v>
      </c>
      <c r="J935" t="n">
        <v>5</v>
      </c>
      <c r="K935" t="n">
        <v>2</v>
      </c>
      <c r="L935" t="n">
        <v>2</v>
      </c>
      <c r="M935" t="n">
        <v>5</v>
      </c>
      <c r="N935" t="n">
        <v>1</v>
      </c>
      <c r="O935" t="n">
        <v>5</v>
      </c>
      <c r="P935" t="n">
        <v>4</v>
      </c>
      <c r="Q935" t="n">
        <v>2</v>
      </c>
      <c r="R935" t="n">
        <v>2</v>
      </c>
      <c r="S935" t="n">
        <v>2</v>
      </c>
      <c r="T935" t="n">
        <v>2</v>
      </c>
      <c r="U935">
        <f>(AVERAGE(B935:D935)-1)/4</f>
        <v/>
      </c>
      <c r="V935">
        <f>(AVERAGE(E935:F935)-1)/4</f>
        <v/>
      </c>
      <c r="W935">
        <f>(AVERAGE(G935:I935)-1)/4</f>
        <v/>
      </c>
      <c r="X935">
        <f>(AVERAGE(J935:L935)-1)/4</f>
        <v/>
      </c>
      <c r="Y935">
        <f>(AVERAGE(M935:O935)-1)/4</f>
        <v/>
      </c>
      <c r="Z935">
        <f>(AVERAGE(P935:R935)-1)/4</f>
        <v/>
      </c>
      <c r="AA935">
        <f>(AVERAGE(S935:T935)-1)/4</f>
        <v/>
      </c>
      <c r="AB935">
        <f>AVERAGE(U935:Y935)</f>
        <v/>
      </c>
      <c r="AC935">
        <f>MIN(U935:Y935)</f>
        <v/>
      </c>
      <c r="AD935">
        <f>1-alpha*MAX(0,delta-AC935)</f>
        <v/>
      </c>
      <c r="AE935">
        <f>AB935*AD935</f>
        <v/>
      </c>
      <c r="AF935">
        <f>1+COUNTIF(bounds,"&lt;"&amp;ROUND(AB935,12))</f>
        <v/>
      </c>
      <c r="AG935">
        <f>1+COUNTIF(bounds,"&lt;"&amp;ROUND(AE935,12))</f>
        <v/>
      </c>
      <c r="AH935">
        <f>IF(AD935&lt;1,1,0)</f>
        <v/>
      </c>
      <c r="AI935">
        <f>IF(AF935&lt;&gt;AG935,1,0)</f>
        <v/>
      </c>
      <c r="AJ935">
        <f>IF(AND(AG935&gt;=3,Z935&lt;=0.2),1,0)</f>
        <v/>
      </c>
      <c r="AK935">
        <f>AVERAGE(U935:Z935)</f>
        <v/>
      </c>
      <c r="AL935">
        <f>1+COUNTIF(bounds,"&lt;"&amp;ROUND(AK935,12))</f>
        <v/>
      </c>
      <c r="AM935">
        <f>IF(AI935=1,AB935,NA())</f>
        <v/>
      </c>
      <c r="AN935">
        <f>IF(AI935=0,AB935,NA())</f>
        <v/>
      </c>
    </row>
    <row r="936">
      <c r="A936" t="n">
        <v>928</v>
      </c>
      <c r="B936" t="n">
        <v>5</v>
      </c>
      <c r="C936" t="n">
        <v>4</v>
      </c>
      <c r="D936" t="n">
        <v>5</v>
      </c>
      <c r="E936" t="n">
        <v>3</v>
      </c>
      <c r="F936" t="n">
        <v>5</v>
      </c>
      <c r="G936" t="n">
        <v>2</v>
      </c>
      <c r="H936" t="n">
        <v>4</v>
      </c>
      <c r="I936" t="n">
        <v>3</v>
      </c>
      <c r="J936" t="n">
        <v>5</v>
      </c>
      <c r="K936" t="n">
        <v>3</v>
      </c>
      <c r="L936" t="n">
        <v>4</v>
      </c>
      <c r="M936" t="n">
        <v>2</v>
      </c>
      <c r="N936" t="n">
        <v>2</v>
      </c>
      <c r="O936" t="n">
        <v>1</v>
      </c>
      <c r="P936" t="n">
        <v>5</v>
      </c>
      <c r="Q936" t="n">
        <v>2</v>
      </c>
      <c r="R936" t="n">
        <v>1</v>
      </c>
      <c r="S936" t="n">
        <v>5</v>
      </c>
      <c r="T936" t="n">
        <v>4</v>
      </c>
      <c r="U936">
        <f>(AVERAGE(B936:D936)-1)/4</f>
        <v/>
      </c>
      <c r="V936">
        <f>(AVERAGE(E936:F936)-1)/4</f>
        <v/>
      </c>
      <c r="W936">
        <f>(AVERAGE(G936:I936)-1)/4</f>
        <v/>
      </c>
      <c r="X936">
        <f>(AVERAGE(J936:L936)-1)/4</f>
        <v/>
      </c>
      <c r="Y936">
        <f>(AVERAGE(M936:O936)-1)/4</f>
        <v/>
      </c>
      <c r="Z936">
        <f>(AVERAGE(P936:R936)-1)/4</f>
        <v/>
      </c>
      <c r="AA936">
        <f>(AVERAGE(S936:T936)-1)/4</f>
        <v/>
      </c>
      <c r="AB936">
        <f>AVERAGE(U936:Y936)</f>
        <v/>
      </c>
      <c r="AC936">
        <f>MIN(U936:Y936)</f>
        <v/>
      </c>
      <c r="AD936">
        <f>1-alpha*MAX(0,delta-AC936)</f>
        <v/>
      </c>
      <c r="AE936">
        <f>AB936*AD936</f>
        <v/>
      </c>
      <c r="AF936">
        <f>1+COUNTIF(bounds,"&lt;"&amp;ROUND(AB936,12))</f>
        <v/>
      </c>
      <c r="AG936">
        <f>1+COUNTIF(bounds,"&lt;"&amp;ROUND(AE936,12))</f>
        <v/>
      </c>
      <c r="AH936">
        <f>IF(AD936&lt;1,1,0)</f>
        <v/>
      </c>
      <c r="AI936">
        <f>IF(AF936&lt;&gt;AG936,1,0)</f>
        <v/>
      </c>
      <c r="AJ936">
        <f>IF(AND(AG936&gt;=3,Z936&lt;=0.2),1,0)</f>
        <v/>
      </c>
      <c r="AK936">
        <f>AVERAGE(U936:Z936)</f>
        <v/>
      </c>
      <c r="AL936">
        <f>1+COUNTIF(bounds,"&lt;"&amp;ROUND(AK936,12))</f>
        <v/>
      </c>
      <c r="AM936">
        <f>IF(AI936=1,AB936,NA())</f>
        <v/>
      </c>
      <c r="AN936">
        <f>IF(AI936=0,AB936,NA())</f>
        <v/>
      </c>
    </row>
    <row r="937">
      <c r="A937" t="n">
        <v>929</v>
      </c>
      <c r="B937" t="n">
        <v>2</v>
      </c>
      <c r="C937" t="n">
        <v>2</v>
      </c>
      <c r="D937" t="n">
        <v>5</v>
      </c>
      <c r="E937" t="n">
        <v>2</v>
      </c>
      <c r="F937" t="n">
        <v>3</v>
      </c>
      <c r="G937" t="n">
        <v>4</v>
      </c>
      <c r="H937" t="n">
        <v>3</v>
      </c>
      <c r="I937" t="n">
        <v>3</v>
      </c>
      <c r="J937" t="n">
        <v>5</v>
      </c>
      <c r="K937" t="n">
        <v>4</v>
      </c>
      <c r="L937" t="n">
        <v>2</v>
      </c>
      <c r="M937" t="n">
        <v>1</v>
      </c>
      <c r="N937" t="n">
        <v>5</v>
      </c>
      <c r="O937" t="n">
        <v>1</v>
      </c>
      <c r="P937" t="n">
        <v>4</v>
      </c>
      <c r="Q937" t="n">
        <v>2</v>
      </c>
      <c r="R937" t="n">
        <v>2</v>
      </c>
      <c r="S937" t="n">
        <v>4</v>
      </c>
      <c r="T937" t="n">
        <v>4</v>
      </c>
      <c r="U937">
        <f>(AVERAGE(B937:D937)-1)/4</f>
        <v/>
      </c>
      <c r="V937">
        <f>(AVERAGE(E937:F937)-1)/4</f>
        <v/>
      </c>
      <c r="W937">
        <f>(AVERAGE(G937:I937)-1)/4</f>
        <v/>
      </c>
      <c r="X937">
        <f>(AVERAGE(J937:L937)-1)/4</f>
        <v/>
      </c>
      <c r="Y937">
        <f>(AVERAGE(M937:O937)-1)/4</f>
        <v/>
      </c>
      <c r="Z937">
        <f>(AVERAGE(P937:R937)-1)/4</f>
        <v/>
      </c>
      <c r="AA937">
        <f>(AVERAGE(S937:T937)-1)/4</f>
        <v/>
      </c>
      <c r="AB937">
        <f>AVERAGE(U937:Y937)</f>
        <v/>
      </c>
      <c r="AC937">
        <f>MIN(U937:Y937)</f>
        <v/>
      </c>
      <c r="AD937">
        <f>1-alpha*MAX(0,delta-AC937)</f>
        <v/>
      </c>
      <c r="AE937">
        <f>AB937*AD937</f>
        <v/>
      </c>
      <c r="AF937">
        <f>1+COUNTIF(bounds,"&lt;"&amp;ROUND(AB937,12))</f>
        <v/>
      </c>
      <c r="AG937">
        <f>1+COUNTIF(bounds,"&lt;"&amp;ROUND(AE937,12))</f>
        <v/>
      </c>
      <c r="AH937">
        <f>IF(AD937&lt;1,1,0)</f>
        <v/>
      </c>
      <c r="AI937">
        <f>IF(AF937&lt;&gt;AG937,1,0)</f>
        <v/>
      </c>
      <c r="AJ937">
        <f>IF(AND(AG937&gt;=3,Z937&lt;=0.2),1,0)</f>
        <v/>
      </c>
      <c r="AK937">
        <f>AVERAGE(U937:Z937)</f>
        <v/>
      </c>
      <c r="AL937">
        <f>1+COUNTIF(bounds,"&lt;"&amp;ROUND(AK937,12))</f>
        <v/>
      </c>
      <c r="AM937">
        <f>IF(AI937=1,AB937,NA())</f>
        <v/>
      </c>
      <c r="AN937">
        <f>IF(AI937=0,AB937,NA())</f>
        <v/>
      </c>
    </row>
    <row r="938">
      <c r="A938" t="n">
        <v>930</v>
      </c>
      <c r="B938" t="n">
        <v>2</v>
      </c>
      <c r="C938" t="n">
        <v>3</v>
      </c>
      <c r="D938" t="n">
        <v>2</v>
      </c>
      <c r="E938" t="n">
        <v>1</v>
      </c>
      <c r="F938" t="n">
        <v>3</v>
      </c>
      <c r="G938" t="n">
        <v>5</v>
      </c>
      <c r="H938" t="n">
        <v>2</v>
      </c>
      <c r="I938" t="n">
        <v>2</v>
      </c>
      <c r="J938" t="n">
        <v>1</v>
      </c>
      <c r="K938" t="n">
        <v>1</v>
      </c>
      <c r="L938" t="n">
        <v>3</v>
      </c>
      <c r="M938" t="n">
        <v>3</v>
      </c>
      <c r="N938" t="n">
        <v>4</v>
      </c>
      <c r="O938" t="n">
        <v>4</v>
      </c>
      <c r="P938" t="n">
        <v>4</v>
      </c>
      <c r="Q938" t="n">
        <v>5</v>
      </c>
      <c r="R938" t="n">
        <v>3</v>
      </c>
      <c r="S938" t="n">
        <v>4</v>
      </c>
      <c r="T938" t="n">
        <v>2</v>
      </c>
      <c r="U938">
        <f>(AVERAGE(B938:D938)-1)/4</f>
        <v/>
      </c>
      <c r="V938">
        <f>(AVERAGE(E938:F938)-1)/4</f>
        <v/>
      </c>
      <c r="W938">
        <f>(AVERAGE(G938:I938)-1)/4</f>
        <v/>
      </c>
      <c r="X938">
        <f>(AVERAGE(J938:L938)-1)/4</f>
        <v/>
      </c>
      <c r="Y938">
        <f>(AVERAGE(M938:O938)-1)/4</f>
        <v/>
      </c>
      <c r="Z938">
        <f>(AVERAGE(P938:R938)-1)/4</f>
        <v/>
      </c>
      <c r="AA938">
        <f>(AVERAGE(S938:T938)-1)/4</f>
        <v/>
      </c>
      <c r="AB938">
        <f>AVERAGE(U938:Y938)</f>
        <v/>
      </c>
      <c r="AC938">
        <f>MIN(U938:Y938)</f>
        <v/>
      </c>
      <c r="AD938">
        <f>1-alpha*MAX(0,delta-AC938)</f>
        <v/>
      </c>
      <c r="AE938">
        <f>AB938*AD938</f>
        <v/>
      </c>
      <c r="AF938">
        <f>1+COUNTIF(bounds,"&lt;"&amp;ROUND(AB938,12))</f>
        <v/>
      </c>
      <c r="AG938">
        <f>1+COUNTIF(bounds,"&lt;"&amp;ROUND(AE938,12))</f>
        <v/>
      </c>
      <c r="AH938">
        <f>IF(AD938&lt;1,1,0)</f>
        <v/>
      </c>
      <c r="AI938">
        <f>IF(AF938&lt;&gt;AG938,1,0)</f>
        <v/>
      </c>
      <c r="AJ938">
        <f>IF(AND(AG938&gt;=3,Z938&lt;=0.2),1,0)</f>
        <v/>
      </c>
      <c r="AK938">
        <f>AVERAGE(U938:Z938)</f>
        <v/>
      </c>
      <c r="AL938">
        <f>1+COUNTIF(bounds,"&lt;"&amp;ROUND(AK938,12))</f>
        <v/>
      </c>
      <c r="AM938">
        <f>IF(AI938=1,AB938,NA())</f>
        <v/>
      </c>
      <c r="AN938">
        <f>IF(AI938=0,AB938,NA())</f>
        <v/>
      </c>
    </row>
    <row r="939">
      <c r="A939" t="n">
        <v>931</v>
      </c>
      <c r="B939" t="n">
        <v>2</v>
      </c>
      <c r="C939" t="n">
        <v>3</v>
      </c>
      <c r="D939" t="n">
        <v>4</v>
      </c>
      <c r="E939" t="n">
        <v>3</v>
      </c>
      <c r="F939" t="n">
        <v>3</v>
      </c>
      <c r="G939" t="n">
        <v>1</v>
      </c>
      <c r="H939" t="n">
        <v>3</v>
      </c>
      <c r="I939" t="n">
        <v>4</v>
      </c>
      <c r="J939" t="n">
        <v>4</v>
      </c>
      <c r="K939" t="n">
        <v>4</v>
      </c>
      <c r="L939" t="n">
        <v>4</v>
      </c>
      <c r="M939" t="n">
        <v>2</v>
      </c>
      <c r="N939" t="n">
        <v>1</v>
      </c>
      <c r="O939" t="n">
        <v>4</v>
      </c>
      <c r="P939" t="n">
        <v>3</v>
      </c>
      <c r="Q939" t="n">
        <v>4</v>
      </c>
      <c r="R939" t="n">
        <v>2</v>
      </c>
      <c r="S939" t="n">
        <v>2</v>
      </c>
      <c r="T939" t="n">
        <v>1</v>
      </c>
      <c r="U939">
        <f>(AVERAGE(B939:D939)-1)/4</f>
        <v/>
      </c>
      <c r="V939">
        <f>(AVERAGE(E939:F939)-1)/4</f>
        <v/>
      </c>
      <c r="W939">
        <f>(AVERAGE(G939:I939)-1)/4</f>
        <v/>
      </c>
      <c r="X939">
        <f>(AVERAGE(J939:L939)-1)/4</f>
        <v/>
      </c>
      <c r="Y939">
        <f>(AVERAGE(M939:O939)-1)/4</f>
        <v/>
      </c>
      <c r="Z939">
        <f>(AVERAGE(P939:R939)-1)/4</f>
        <v/>
      </c>
      <c r="AA939">
        <f>(AVERAGE(S939:T939)-1)/4</f>
        <v/>
      </c>
      <c r="AB939">
        <f>AVERAGE(U939:Y939)</f>
        <v/>
      </c>
      <c r="AC939">
        <f>MIN(U939:Y939)</f>
        <v/>
      </c>
      <c r="AD939">
        <f>1-alpha*MAX(0,delta-AC939)</f>
        <v/>
      </c>
      <c r="AE939">
        <f>AB939*AD939</f>
        <v/>
      </c>
      <c r="AF939">
        <f>1+COUNTIF(bounds,"&lt;"&amp;ROUND(AB939,12))</f>
        <v/>
      </c>
      <c r="AG939">
        <f>1+COUNTIF(bounds,"&lt;"&amp;ROUND(AE939,12))</f>
        <v/>
      </c>
      <c r="AH939">
        <f>IF(AD939&lt;1,1,0)</f>
        <v/>
      </c>
      <c r="AI939">
        <f>IF(AF939&lt;&gt;AG939,1,0)</f>
        <v/>
      </c>
      <c r="AJ939">
        <f>IF(AND(AG939&gt;=3,Z939&lt;=0.2),1,0)</f>
        <v/>
      </c>
      <c r="AK939">
        <f>AVERAGE(U939:Z939)</f>
        <v/>
      </c>
      <c r="AL939">
        <f>1+COUNTIF(bounds,"&lt;"&amp;ROUND(AK939,12))</f>
        <v/>
      </c>
      <c r="AM939">
        <f>IF(AI939=1,AB939,NA())</f>
        <v/>
      </c>
      <c r="AN939">
        <f>IF(AI939=0,AB939,NA())</f>
        <v/>
      </c>
    </row>
    <row r="940">
      <c r="A940" t="n">
        <v>932</v>
      </c>
      <c r="B940" t="n">
        <v>4</v>
      </c>
      <c r="C940" t="n">
        <v>1</v>
      </c>
      <c r="D940" t="n">
        <v>2</v>
      </c>
      <c r="E940" t="n">
        <v>5</v>
      </c>
      <c r="F940" t="n">
        <v>4</v>
      </c>
      <c r="G940" t="n">
        <v>2</v>
      </c>
      <c r="H940" t="n">
        <v>4</v>
      </c>
      <c r="I940" t="n">
        <v>3</v>
      </c>
      <c r="J940" t="n">
        <v>1</v>
      </c>
      <c r="K940" t="n">
        <v>3</v>
      </c>
      <c r="L940" t="n">
        <v>4</v>
      </c>
      <c r="M940" t="n">
        <v>2</v>
      </c>
      <c r="N940" t="n">
        <v>2</v>
      </c>
      <c r="O940" t="n">
        <v>4</v>
      </c>
      <c r="P940" t="n">
        <v>3</v>
      </c>
      <c r="Q940" t="n">
        <v>5</v>
      </c>
      <c r="R940" t="n">
        <v>4</v>
      </c>
      <c r="S940" t="n">
        <v>4</v>
      </c>
      <c r="T940" t="n">
        <v>2</v>
      </c>
      <c r="U940">
        <f>(AVERAGE(B940:D940)-1)/4</f>
        <v/>
      </c>
      <c r="V940">
        <f>(AVERAGE(E940:F940)-1)/4</f>
        <v/>
      </c>
      <c r="W940">
        <f>(AVERAGE(G940:I940)-1)/4</f>
        <v/>
      </c>
      <c r="X940">
        <f>(AVERAGE(J940:L940)-1)/4</f>
        <v/>
      </c>
      <c r="Y940">
        <f>(AVERAGE(M940:O940)-1)/4</f>
        <v/>
      </c>
      <c r="Z940">
        <f>(AVERAGE(P940:R940)-1)/4</f>
        <v/>
      </c>
      <c r="AA940">
        <f>(AVERAGE(S940:T940)-1)/4</f>
        <v/>
      </c>
      <c r="AB940">
        <f>AVERAGE(U940:Y940)</f>
        <v/>
      </c>
      <c r="AC940">
        <f>MIN(U940:Y940)</f>
        <v/>
      </c>
      <c r="AD940">
        <f>1-alpha*MAX(0,delta-AC940)</f>
        <v/>
      </c>
      <c r="AE940">
        <f>AB940*AD940</f>
        <v/>
      </c>
      <c r="AF940">
        <f>1+COUNTIF(bounds,"&lt;"&amp;ROUND(AB940,12))</f>
        <v/>
      </c>
      <c r="AG940">
        <f>1+COUNTIF(bounds,"&lt;"&amp;ROUND(AE940,12))</f>
        <v/>
      </c>
      <c r="AH940">
        <f>IF(AD940&lt;1,1,0)</f>
        <v/>
      </c>
      <c r="AI940">
        <f>IF(AF940&lt;&gt;AG940,1,0)</f>
        <v/>
      </c>
      <c r="AJ940">
        <f>IF(AND(AG940&gt;=3,Z940&lt;=0.2),1,0)</f>
        <v/>
      </c>
      <c r="AK940">
        <f>AVERAGE(U940:Z940)</f>
        <v/>
      </c>
      <c r="AL940">
        <f>1+COUNTIF(bounds,"&lt;"&amp;ROUND(AK940,12))</f>
        <v/>
      </c>
      <c r="AM940">
        <f>IF(AI940=1,AB940,NA())</f>
        <v/>
      </c>
      <c r="AN940">
        <f>IF(AI940=0,AB940,NA())</f>
        <v/>
      </c>
    </row>
    <row r="941">
      <c r="A941" t="n">
        <v>933</v>
      </c>
      <c r="B941" t="n">
        <v>5</v>
      </c>
      <c r="C941" t="n">
        <v>5</v>
      </c>
      <c r="D941" t="n">
        <v>2</v>
      </c>
      <c r="E941" t="n">
        <v>4</v>
      </c>
      <c r="F941" t="n">
        <v>1</v>
      </c>
      <c r="G941" t="n">
        <v>4</v>
      </c>
      <c r="H941" t="n">
        <v>3</v>
      </c>
      <c r="I941" t="n">
        <v>1</v>
      </c>
      <c r="J941" t="n">
        <v>4</v>
      </c>
      <c r="K941" t="n">
        <v>1</v>
      </c>
      <c r="L941" t="n">
        <v>1</v>
      </c>
      <c r="M941" t="n">
        <v>4</v>
      </c>
      <c r="N941" t="n">
        <v>3</v>
      </c>
      <c r="O941" t="n">
        <v>5</v>
      </c>
      <c r="P941" t="n">
        <v>1</v>
      </c>
      <c r="Q941" t="n">
        <v>2</v>
      </c>
      <c r="R941" t="n">
        <v>4</v>
      </c>
      <c r="S941" t="n">
        <v>4</v>
      </c>
      <c r="T941" t="n">
        <v>1</v>
      </c>
      <c r="U941">
        <f>(AVERAGE(B941:D941)-1)/4</f>
        <v/>
      </c>
      <c r="V941">
        <f>(AVERAGE(E941:F941)-1)/4</f>
        <v/>
      </c>
      <c r="W941">
        <f>(AVERAGE(G941:I941)-1)/4</f>
        <v/>
      </c>
      <c r="X941">
        <f>(AVERAGE(J941:L941)-1)/4</f>
        <v/>
      </c>
      <c r="Y941">
        <f>(AVERAGE(M941:O941)-1)/4</f>
        <v/>
      </c>
      <c r="Z941">
        <f>(AVERAGE(P941:R941)-1)/4</f>
        <v/>
      </c>
      <c r="AA941">
        <f>(AVERAGE(S941:T941)-1)/4</f>
        <v/>
      </c>
      <c r="AB941">
        <f>AVERAGE(U941:Y941)</f>
        <v/>
      </c>
      <c r="AC941">
        <f>MIN(U941:Y941)</f>
        <v/>
      </c>
      <c r="AD941">
        <f>1-alpha*MAX(0,delta-AC941)</f>
        <v/>
      </c>
      <c r="AE941">
        <f>AB941*AD941</f>
        <v/>
      </c>
      <c r="AF941">
        <f>1+COUNTIF(bounds,"&lt;"&amp;ROUND(AB941,12))</f>
        <v/>
      </c>
      <c r="AG941">
        <f>1+COUNTIF(bounds,"&lt;"&amp;ROUND(AE941,12))</f>
        <v/>
      </c>
      <c r="AH941">
        <f>IF(AD941&lt;1,1,0)</f>
        <v/>
      </c>
      <c r="AI941">
        <f>IF(AF941&lt;&gt;AG941,1,0)</f>
        <v/>
      </c>
      <c r="AJ941">
        <f>IF(AND(AG941&gt;=3,Z941&lt;=0.2),1,0)</f>
        <v/>
      </c>
      <c r="AK941">
        <f>AVERAGE(U941:Z941)</f>
        <v/>
      </c>
      <c r="AL941">
        <f>1+COUNTIF(bounds,"&lt;"&amp;ROUND(AK941,12))</f>
        <v/>
      </c>
      <c r="AM941">
        <f>IF(AI941=1,AB941,NA())</f>
        <v/>
      </c>
      <c r="AN941">
        <f>IF(AI941=0,AB941,NA())</f>
        <v/>
      </c>
    </row>
    <row r="942">
      <c r="A942" t="n">
        <v>934</v>
      </c>
      <c r="B942" t="n">
        <v>5</v>
      </c>
      <c r="C942" t="n">
        <v>4</v>
      </c>
      <c r="D942" t="n">
        <v>2</v>
      </c>
      <c r="E942" t="n">
        <v>5</v>
      </c>
      <c r="F942" t="n">
        <v>5</v>
      </c>
      <c r="G942" t="n">
        <v>4</v>
      </c>
      <c r="H942" t="n">
        <v>2</v>
      </c>
      <c r="I942" t="n">
        <v>4</v>
      </c>
      <c r="J942" t="n">
        <v>5</v>
      </c>
      <c r="K942" t="n">
        <v>4</v>
      </c>
      <c r="L942" t="n">
        <v>2</v>
      </c>
      <c r="M942" t="n">
        <v>3</v>
      </c>
      <c r="N942" t="n">
        <v>1</v>
      </c>
      <c r="O942" t="n">
        <v>4</v>
      </c>
      <c r="P942" t="n">
        <v>4</v>
      </c>
      <c r="Q942" t="n">
        <v>5</v>
      </c>
      <c r="R942" t="n">
        <v>5</v>
      </c>
      <c r="S942" t="n">
        <v>4</v>
      </c>
      <c r="T942" t="n">
        <v>1</v>
      </c>
      <c r="U942">
        <f>(AVERAGE(B942:D942)-1)/4</f>
        <v/>
      </c>
      <c r="V942">
        <f>(AVERAGE(E942:F942)-1)/4</f>
        <v/>
      </c>
      <c r="W942">
        <f>(AVERAGE(G942:I942)-1)/4</f>
        <v/>
      </c>
      <c r="X942">
        <f>(AVERAGE(J942:L942)-1)/4</f>
        <v/>
      </c>
      <c r="Y942">
        <f>(AVERAGE(M942:O942)-1)/4</f>
        <v/>
      </c>
      <c r="Z942">
        <f>(AVERAGE(P942:R942)-1)/4</f>
        <v/>
      </c>
      <c r="AA942">
        <f>(AVERAGE(S942:T942)-1)/4</f>
        <v/>
      </c>
      <c r="AB942">
        <f>AVERAGE(U942:Y942)</f>
        <v/>
      </c>
      <c r="AC942">
        <f>MIN(U942:Y942)</f>
        <v/>
      </c>
      <c r="AD942">
        <f>1-alpha*MAX(0,delta-AC942)</f>
        <v/>
      </c>
      <c r="AE942">
        <f>AB942*AD942</f>
        <v/>
      </c>
      <c r="AF942">
        <f>1+COUNTIF(bounds,"&lt;"&amp;ROUND(AB942,12))</f>
        <v/>
      </c>
      <c r="AG942">
        <f>1+COUNTIF(bounds,"&lt;"&amp;ROUND(AE942,12))</f>
        <v/>
      </c>
      <c r="AH942">
        <f>IF(AD942&lt;1,1,0)</f>
        <v/>
      </c>
      <c r="AI942">
        <f>IF(AF942&lt;&gt;AG942,1,0)</f>
        <v/>
      </c>
      <c r="AJ942">
        <f>IF(AND(AG942&gt;=3,Z942&lt;=0.2),1,0)</f>
        <v/>
      </c>
      <c r="AK942">
        <f>AVERAGE(U942:Z942)</f>
        <v/>
      </c>
      <c r="AL942">
        <f>1+COUNTIF(bounds,"&lt;"&amp;ROUND(AK942,12))</f>
        <v/>
      </c>
      <c r="AM942">
        <f>IF(AI942=1,AB942,NA())</f>
        <v/>
      </c>
      <c r="AN942">
        <f>IF(AI942=0,AB942,NA())</f>
        <v/>
      </c>
    </row>
    <row r="943">
      <c r="A943" t="n">
        <v>935</v>
      </c>
      <c r="B943" t="n">
        <v>3</v>
      </c>
      <c r="C943" t="n">
        <v>1</v>
      </c>
      <c r="D943" t="n">
        <v>1</v>
      </c>
      <c r="E943" t="n">
        <v>1</v>
      </c>
      <c r="F943" t="n">
        <v>4</v>
      </c>
      <c r="G943" t="n">
        <v>4</v>
      </c>
      <c r="H943" t="n">
        <v>3</v>
      </c>
      <c r="I943" t="n">
        <v>4</v>
      </c>
      <c r="J943" t="n">
        <v>4</v>
      </c>
      <c r="K943" t="n">
        <v>5</v>
      </c>
      <c r="L943" t="n">
        <v>4</v>
      </c>
      <c r="M943" t="n">
        <v>4</v>
      </c>
      <c r="N943" t="n">
        <v>5</v>
      </c>
      <c r="O943" t="n">
        <v>4</v>
      </c>
      <c r="P943" t="n">
        <v>5</v>
      </c>
      <c r="Q943" t="n">
        <v>1</v>
      </c>
      <c r="R943" t="n">
        <v>5</v>
      </c>
      <c r="S943" t="n">
        <v>5</v>
      </c>
      <c r="T943" t="n">
        <v>5</v>
      </c>
      <c r="U943">
        <f>(AVERAGE(B943:D943)-1)/4</f>
        <v/>
      </c>
      <c r="V943">
        <f>(AVERAGE(E943:F943)-1)/4</f>
        <v/>
      </c>
      <c r="W943">
        <f>(AVERAGE(G943:I943)-1)/4</f>
        <v/>
      </c>
      <c r="X943">
        <f>(AVERAGE(J943:L943)-1)/4</f>
        <v/>
      </c>
      <c r="Y943">
        <f>(AVERAGE(M943:O943)-1)/4</f>
        <v/>
      </c>
      <c r="Z943">
        <f>(AVERAGE(P943:R943)-1)/4</f>
        <v/>
      </c>
      <c r="AA943">
        <f>(AVERAGE(S943:T943)-1)/4</f>
        <v/>
      </c>
      <c r="AB943">
        <f>AVERAGE(U943:Y943)</f>
        <v/>
      </c>
      <c r="AC943">
        <f>MIN(U943:Y943)</f>
        <v/>
      </c>
      <c r="AD943">
        <f>1-alpha*MAX(0,delta-AC943)</f>
        <v/>
      </c>
      <c r="AE943">
        <f>AB943*AD943</f>
        <v/>
      </c>
      <c r="AF943">
        <f>1+COUNTIF(bounds,"&lt;"&amp;ROUND(AB943,12))</f>
        <v/>
      </c>
      <c r="AG943">
        <f>1+COUNTIF(bounds,"&lt;"&amp;ROUND(AE943,12))</f>
        <v/>
      </c>
      <c r="AH943">
        <f>IF(AD943&lt;1,1,0)</f>
        <v/>
      </c>
      <c r="AI943">
        <f>IF(AF943&lt;&gt;AG943,1,0)</f>
        <v/>
      </c>
      <c r="AJ943">
        <f>IF(AND(AG943&gt;=3,Z943&lt;=0.2),1,0)</f>
        <v/>
      </c>
      <c r="AK943">
        <f>AVERAGE(U943:Z943)</f>
        <v/>
      </c>
      <c r="AL943">
        <f>1+COUNTIF(bounds,"&lt;"&amp;ROUND(AK943,12))</f>
        <v/>
      </c>
      <c r="AM943">
        <f>IF(AI943=1,AB943,NA())</f>
        <v/>
      </c>
      <c r="AN943">
        <f>IF(AI943=0,AB943,NA())</f>
        <v/>
      </c>
    </row>
    <row r="944">
      <c r="A944" t="n">
        <v>936</v>
      </c>
      <c r="B944" t="n">
        <v>2</v>
      </c>
      <c r="C944" t="n">
        <v>3</v>
      </c>
      <c r="D944" t="n">
        <v>4</v>
      </c>
      <c r="E944" t="n">
        <v>3</v>
      </c>
      <c r="F944" t="n">
        <v>1</v>
      </c>
      <c r="G944" t="n">
        <v>1</v>
      </c>
      <c r="H944" t="n">
        <v>2</v>
      </c>
      <c r="I944" t="n">
        <v>1</v>
      </c>
      <c r="J944" t="n">
        <v>2</v>
      </c>
      <c r="K944" t="n">
        <v>1</v>
      </c>
      <c r="L944" t="n">
        <v>2</v>
      </c>
      <c r="M944" t="n">
        <v>4</v>
      </c>
      <c r="N944" t="n">
        <v>5</v>
      </c>
      <c r="O944" t="n">
        <v>1</v>
      </c>
      <c r="P944" t="n">
        <v>4</v>
      </c>
      <c r="Q944" t="n">
        <v>5</v>
      </c>
      <c r="R944" t="n">
        <v>2</v>
      </c>
      <c r="S944" t="n">
        <v>1</v>
      </c>
      <c r="T944" t="n">
        <v>4</v>
      </c>
      <c r="U944">
        <f>(AVERAGE(B944:D944)-1)/4</f>
        <v/>
      </c>
      <c r="V944">
        <f>(AVERAGE(E944:F944)-1)/4</f>
        <v/>
      </c>
      <c r="W944">
        <f>(AVERAGE(G944:I944)-1)/4</f>
        <v/>
      </c>
      <c r="X944">
        <f>(AVERAGE(J944:L944)-1)/4</f>
        <v/>
      </c>
      <c r="Y944">
        <f>(AVERAGE(M944:O944)-1)/4</f>
        <v/>
      </c>
      <c r="Z944">
        <f>(AVERAGE(P944:R944)-1)/4</f>
        <v/>
      </c>
      <c r="AA944">
        <f>(AVERAGE(S944:T944)-1)/4</f>
        <v/>
      </c>
      <c r="AB944">
        <f>AVERAGE(U944:Y944)</f>
        <v/>
      </c>
      <c r="AC944">
        <f>MIN(U944:Y944)</f>
        <v/>
      </c>
      <c r="AD944">
        <f>1-alpha*MAX(0,delta-AC944)</f>
        <v/>
      </c>
      <c r="AE944">
        <f>AB944*AD944</f>
        <v/>
      </c>
      <c r="AF944">
        <f>1+COUNTIF(bounds,"&lt;"&amp;ROUND(AB944,12))</f>
        <v/>
      </c>
      <c r="AG944">
        <f>1+COUNTIF(bounds,"&lt;"&amp;ROUND(AE944,12))</f>
        <v/>
      </c>
      <c r="AH944">
        <f>IF(AD944&lt;1,1,0)</f>
        <v/>
      </c>
      <c r="AI944">
        <f>IF(AF944&lt;&gt;AG944,1,0)</f>
        <v/>
      </c>
      <c r="AJ944">
        <f>IF(AND(AG944&gt;=3,Z944&lt;=0.2),1,0)</f>
        <v/>
      </c>
      <c r="AK944">
        <f>AVERAGE(U944:Z944)</f>
        <v/>
      </c>
      <c r="AL944">
        <f>1+COUNTIF(bounds,"&lt;"&amp;ROUND(AK944,12))</f>
        <v/>
      </c>
      <c r="AM944">
        <f>IF(AI944=1,AB944,NA())</f>
        <v/>
      </c>
      <c r="AN944">
        <f>IF(AI944=0,AB944,NA())</f>
        <v/>
      </c>
    </row>
    <row r="945">
      <c r="A945" t="n">
        <v>937</v>
      </c>
      <c r="B945" t="n">
        <v>5</v>
      </c>
      <c r="C945" t="n">
        <v>5</v>
      </c>
      <c r="D945" t="n">
        <v>1</v>
      </c>
      <c r="E945" t="n">
        <v>1</v>
      </c>
      <c r="F945" t="n">
        <v>4</v>
      </c>
      <c r="G945" t="n">
        <v>1</v>
      </c>
      <c r="H945" t="n">
        <v>1</v>
      </c>
      <c r="I945" t="n">
        <v>3</v>
      </c>
      <c r="J945" t="n">
        <v>2</v>
      </c>
      <c r="K945" t="n">
        <v>2</v>
      </c>
      <c r="L945" t="n">
        <v>5</v>
      </c>
      <c r="M945" t="n">
        <v>2</v>
      </c>
      <c r="N945" t="n">
        <v>2</v>
      </c>
      <c r="O945" t="n">
        <v>5</v>
      </c>
      <c r="P945" t="n">
        <v>3</v>
      </c>
      <c r="Q945" t="n">
        <v>3</v>
      </c>
      <c r="R945" t="n">
        <v>5</v>
      </c>
      <c r="S945" t="n">
        <v>1</v>
      </c>
      <c r="T945" t="n">
        <v>2</v>
      </c>
      <c r="U945">
        <f>(AVERAGE(B945:D945)-1)/4</f>
        <v/>
      </c>
      <c r="V945">
        <f>(AVERAGE(E945:F945)-1)/4</f>
        <v/>
      </c>
      <c r="W945">
        <f>(AVERAGE(G945:I945)-1)/4</f>
        <v/>
      </c>
      <c r="X945">
        <f>(AVERAGE(J945:L945)-1)/4</f>
        <v/>
      </c>
      <c r="Y945">
        <f>(AVERAGE(M945:O945)-1)/4</f>
        <v/>
      </c>
      <c r="Z945">
        <f>(AVERAGE(P945:R945)-1)/4</f>
        <v/>
      </c>
      <c r="AA945">
        <f>(AVERAGE(S945:T945)-1)/4</f>
        <v/>
      </c>
      <c r="AB945">
        <f>AVERAGE(U945:Y945)</f>
        <v/>
      </c>
      <c r="AC945">
        <f>MIN(U945:Y945)</f>
        <v/>
      </c>
      <c r="AD945">
        <f>1-alpha*MAX(0,delta-AC945)</f>
        <v/>
      </c>
      <c r="AE945">
        <f>AB945*AD945</f>
        <v/>
      </c>
      <c r="AF945">
        <f>1+COUNTIF(bounds,"&lt;"&amp;ROUND(AB945,12))</f>
        <v/>
      </c>
      <c r="AG945">
        <f>1+COUNTIF(bounds,"&lt;"&amp;ROUND(AE945,12))</f>
        <v/>
      </c>
      <c r="AH945">
        <f>IF(AD945&lt;1,1,0)</f>
        <v/>
      </c>
      <c r="AI945">
        <f>IF(AF945&lt;&gt;AG945,1,0)</f>
        <v/>
      </c>
      <c r="AJ945">
        <f>IF(AND(AG945&gt;=3,Z945&lt;=0.2),1,0)</f>
        <v/>
      </c>
      <c r="AK945">
        <f>AVERAGE(U945:Z945)</f>
        <v/>
      </c>
      <c r="AL945">
        <f>1+COUNTIF(bounds,"&lt;"&amp;ROUND(AK945,12))</f>
        <v/>
      </c>
      <c r="AM945">
        <f>IF(AI945=1,AB945,NA())</f>
        <v/>
      </c>
      <c r="AN945">
        <f>IF(AI945=0,AB945,NA())</f>
        <v/>
      </c>
    </row>
    <row r="946">
      <c r="A946" t="n">
        <v>938</v>
      </c>
      <c r="B946" t="n">
        <v>5</v>
      </c>
      <c r="C946" t="n">
        <v>1</v>
      </c>
      <c r="D946" t="n">
        <v>1</v>
      </c>
      <c r="E946" t="n">
        <v>3</v>
      </c>
      <c r="F946" t="n">
        <v>1</v>
      </c>
      <c r="G946" t="n">
        <v>4</v>
      </c>
      <c r="H946" t="n">
        <v>4</v>
      </c>
      <c r="I946" t="n">
        <v>3</v>
      </c>
      <c r="J946" t="n">
        <v>5</v>
      </c>
      <c r="K946" t="n">
        <v>1</v>
      </c>
      <c r="L946" t="n">
        <v>2</v>
      </c>
      <c r="M946" t="n">
        <v>1</v>
      </c>
      <c r="N946" t="n">
        <v>3</v>
      </c>
      <c r="O946" t="n">
        <v>1</v>
      </c>
      <c r="P946" t="n">
        <v>4</v>
      </c>
      <c r="Q946" t="n">
        <v>1</v>
      </c>
      <c r="R946" t="n">
        <v>1</v>
      </c>
      <c r="S946" t="n">
        <v>4</v>
      </c>
      <c r="T946" t="n">
        <v>1</v>
      </c>
      <c r="U946">
        <f>(AVERAGE(B946:D946)-1)/4</f>
        <v/>
      </c>
      <c r="V946">
        <f>(AVERAGE(E946:F946)-1)/4</f>
        <v/>
      </c>
      <c r="W946">
        <f>(AVERAGE(G946:I946)-1)/4</f>
        <v/>
      </c>
      <c r="X946">
        <f>(AVERAGE(J946:L946)-1)/4</f>
        <v/>
      </c>
      <c r="Y946">
        <f>(AVERAGE(M946:O946)-1)/4</f>
        <v/>
      </c>
      <c r="Z946">
        <f>(AVERAGE(P946:R946)-1)/4</f>
        <v/>
      </c>
      <c r="AA946">
        <f>(AVERAGE(S946:T946)-1)/4</f>
        <v/>
      </c>
      <c r="AB946">
        <f>AVERAGE(U946:Y946)</f>
        <v/>
      </c>
      <c r="AC946">
        <f>MIN(U946:Y946)</f>
        <v/>
      </c>
      <c r="AD946">
        <f>1-alpha*MAX(0,delta-AC946)</f>
        <v/>
      </c>
      <c r="AE946">
        <f>AB946*AD946</f>
        <v/>
      </c>
      <c r="AF946">
        <f>1+COUNTIF(bounds,"&lt;"&amp;ROUND(AB946,12))</f>
        <v/>
      </c>
      <c r="AG946">
        <f>1+COUNTIF(bounds,"&lt;"&amp;ROUND(AE946,12))</f>
        <v/>
      </c>
      <c r="AH946">
        <f>IF(AD946&lt;1,1,0)</f>
        <v/>
      </c>
      <c r="AI946">
        <f>IF(AF946&lt;&gt;AG946,1,0)</f>
        <v/>
      </c>
      <c r="AJ946">
        <f>IF(AND(AG946&gt;=3,Z946&lt;=0.2),1,0)</f>
        <v/>
      </c>
      <c r="AK946">
        <f>AVERAGE(U946:Z946)</f>
        <v/>
      </c>
      <c r="AL946">
        <f>1+COUNTIF(bounds,"&lt;"&amp;ROUND(AK946,12))</f>
        <v/>
      </c>
      <c r="AM946">
        <f>IF(AI946=1,AB946,NA())</f>
        <v/>
      </c>
      <c r="AN946">
        <f>IF(AI946=0,AB946,NA())</f>
        <v/>
      </c>
    </row>
    <row r="947">
      <c r="A947" t="n">
        <v>939</v>
      </c>
      <c r="B947" t="n">
        <v>2</v>
      </c>
      <c r="C947" t="n">
        <v>2</v>
      </c>
      <c r="D947" t="n">
        <v>5</v>
      </c>
      <c r="E947" t="n">
        <v>3</v>
      </c>
      <c r="F947" t="n">
        <v>4</v>
      </c>
      <c r="G947" t="n">
        <v>4</v>
      </c>
      <c r="H947" t="n">
        <v>2</v>
      </c>
      <c r="I947" t="n">
        <v>2</v>
      </c>
      <c r="J947" t="n">
        <v>1</v>
      </c>
      <c r="K947" t="n">
        <v>3</v>
      </c>
      <c r="L947" t="n">
        <v>2</v>
      </c>
      <c r="M947" t="n">
        <v>3</v>
      </c>
      <c r="N947" t="n">
        <v>3</v>
      </c>
      <c r="O947" t="n">
        <v>4</v>
      </c>
      <c r="P947" t="n">
        <v>5</v>
      </c>
      <c r="Q947" t="n">
        <v>3</v>
      </c>
      <c r="R947" t="n">
        <v>2</v>
      </c>
      <c r="S947" t="n">
        <v>2</v>
      </c>
      <c r="T947" t="n">
        <v>2</v>
      </c>
      <c r="U947">
        <f>(AVERAGE(B947:D947)-1)/4</f>
        <v/>
      </c>
      <c r="V947">
        <f>(AVERAGE(E947:F947)-1)/4</f>
        <v/>
      </c>
      <c r="W947">
        <f>(AVERAGE(G947:I947)-1)/4</f>
        <v/>
      </c>
      <c r="X947">
        <f>(AVERAGE(J947:L947)-1)/4</f>
        <v/>
      </c>
      <c r="Y947">
        <f>(AVERAGE(M947:O947)-1)/4</f>
        <v/>
      </c>
      <c r="Z947">
        <f>(AVERAGE(P947:R947)-1)/4</f>
        <v/>
      </c>
      <c r="AA947">
        <f>(AVERAGE(S947:T947)-1)/4</f>
        <v/>
      </c>
      <c r="AB947">
        <f>AVERAGE(U947:Y947)</f>
        <v/>
      </c>
      <c r="AC947">
        <f>MIN(U947:Y947)</f>
        <v/>
      </c>
      <c r="AD947">
        <f>1-alpha*MAX(0,delta-AC947)</f>
        <v/>
      </c>
      <c r="AE947">
        <f>AB947*AD947</f>
        <v/>
      </c>
      <c r="AF947">
        <f>1+COUNTIF(bounds,"&lt;"&amp;ROUND(AB947,12))</f>
        <v/>
      </c>
      <c r="AG947">
        <f>1+COUNTIF(bounds,"&lt;"&amp;ROUND(AE947,12))</f>
        <v/>
      </c>
      <c r="AH947">
        <f>IF(AD947&lt;1,1,0)</f>
        <v/>
      </c>
      <c r="AI947">
        <f>IF(AF947&lt;&gt;AG947,1,0)</f>
        <v/>
      </c>
      <c r="AJ947">
        <f>IF(AND(AG947&gt;=3,Z947&lt;=0.2),1,0)</f>
        <v/>
      </c>
      <c r="AK947">
        <f>AVERAGE(U947:Z947)</f>
        <v/>
      </c>
      <c r="AL947">
        <f>1+COUNTIF(bounds,"&lt;"&amp;ROUND(AK947,12))</f>
        <v/>
      </c>
      <c r="AM947">
        <f>IF(AI947=1,AB947,NA())</f>
        <v/>
      </c>
      <c r="AN947">
        <f>IF(AI947=0,AB947,NA())</f>
        <v/>
      </c>
    </row>
    <row r="948">
      <c r="A948" t="n">
        <v>940</v>
      </c>
      <c r="B948" t="n">
        <v>2</v>
      </c>
      <c r="C948" t="n">
        <v>2</v>
      </c>
      <c r="D948" t="n">
        <v>3</v>
      </c>
      <c r="E948" t="n">
        <v>5</v>
      </c>
      <c r="F948" t="n">
        <v>1</v>
      </c>
      <c r="G948" t="n">
        <v>4</v>
      </c>
      <c r="H948" t="n">
        <v>1</v>
      </c>
      <c r="I948" t="n">
        <v>4</v>
      </c>
      <c r="J948" t="n">
        <v>1</v>
      </c>
      <c r="K948" t="n">
        <v>2</v>
      </c>
      <c r="L948" t="n">
        <v>4</v>
      </c>
      <c r="M948" t="n">
        <v>3</v>
      </c>
      <c r="N948" t="n">
        <v>5</v>
      </c>
      <c r="O948" t="n">
        <v>3</v>
      </c>
      <c r="P948" t="n">
        <v>4</v>
      </c>
      <c r="Q948" t="n">
        <v>1</v>
      </c>
      <c r="R948" t="n">
        <v>4</v>
      </c>
      <c r="S948" t="n">
        <v>2</v>
      </c>
      <c r="T948" t="n">
        <v>1</v>
      </c>
      <c r="U948">
        <f>(AVERAGE(B948:D948)-1)/4</f>
        <v/>
      </c>
      <c r="V948">
        <f>(AVERAGE(E948:F948)-1)/4</f>
        <v/>
      </c>
      <c r="W948">
        <f>(AVERAGE(G948:I948)-1)/4</f>
        <v/>
      </c>
      <c r="X948">
        <f>(AVERAGE(J948:L948)-1)/4</f>
        <v/>
      </c>
      <c r="Y948">
        <f>(AVERAGE(M948:O948)-1)/4</f>
        <v/>
      </c>
      <c r="Z948">
        <f>(AVERAGE(P948:R948)-1)/4</f>
        <v/>
      </c>
      <c r="AA948">
        <f>(AVERAGE(S948:T948)-1)/4</f>
        <v/>
      </c>
      <c r="AB948">
        <f>AVERAGE(U948:Y948)</f>
        <v/>
      </c>
      <c r="AC948">
        <f>MIN(U948:Y948)</f>
        <v/>
      </c>
      <c r="AD948">
        <f>1-alpha*MAX(0,delta-AC948)</f>
        <v/>
      </c>
      <c r="AE948">
        <f>AB948*AD948</f>
        <v/>
      </c>
      <c r="AF948">
        <f>1+COUNTIF(bounds,"&lt;"&amp;ROUND(AB948,12))</f>
        <v/>
      </c>
      <c r="AG948">
        <f>1+COUNTIF(bounds,"&lt;"&amp;ROUND(AE948,12))</f>
        <v/>
      </c>
      <c r="AH948">
        <f>IF(AD948&lt;1,1,0)</f>
        <v/>
      </c>
      <c r="AI948">
        <f>IF(AF948&lt;&gt;AG948,1,0)</f>
        <v/>
      </c>
      <c r="AJ948">
        <f>IF(AND(AG948&gt;=3,Z948&lt;=0.2),1,0)</f>
        <v/>
      </c>
      <c r="AK948">
        <f>AVERAGE(U948:Z948)</f>
        <v/>
      </c>
      <c r="AL948">
        <f>1+COUNTIF(bounds,"&lt;"&amp;ROUND(AK948,12))</f>
        <v/>
      </c>
      <c r="AM948">
        <f>IF(AI948=1,AB948,NA())</f>
        <v/>
      </c>
      <c r="AN948">
        <f>IF(AI948=0,AB948,NA())</f>
        <v/>
      </c>
    </row>
    <row r="949">
      <c r="A949" t="n">
        <v>941</v>
      </c>
      <c r="B949" t="n">
        <v>5</v>
      </c>
      <c r="C949" t="n">
        <v>2</v>
      </c>
      <c r="D949" t="n">
        <v>5</v>
      </c>
      <c r="E949" t="n">
        <v>1</v>
      </c>
      <c r="F949" t="n">
        <v>1</v>
      </c>
      <c r="G949" t="n">
        <v>3</v>
      </c>
      <c r="H949" t="n">
        <v>5</v>
      </c>
      <c r="I949" t="n">
        <v>5</v>
      </c>
      <c r="J949" t="n">
        <v>3</v>
      </c>
      <c r="K949" t="n">
        <v>5</v>
      </c>
      <c r="L949" t="n">
        <v>4</v>
      </c>
      <c r="M949" t="n">
        <v>4</v>
      </c>
      <c r="N949" t="n">
        <v>4</v>
      </c>
      <c r="O949" t="n">
        <v>4</v>
      </c>
      <c r="P949" t="n">
        <v>2</v>
      </c>
      <c r="Q949" t="n">
        <v>2</v>
      </c>
      <c r="R949" t="n">
        <v>5</v>
      </c>
      <c r="S949" t="n">
        <v>2</v>
      </c>
      <c r="T949" t="n">
        <v>1</v>
      </c>
      <c r="U949">
        <f>(AVERAGE(B949:D949)-1)/4</f>
        <v/>
      </c>
      <c r="V949">
        <f>(AVERAGE(E949:F949)-1)/4</f>
        <v/>
      </c>
      <c r="W949">
        <f>(AVERAGE(G949:I949)-1)/4</f>
        <v/>
      </c>
      <c r="X949">
        <f>(AVERAGE(J949:L949)-1)/4</f>
        <v/>
      </c>
      <c r="Y949">
        <f>(AVERAGE(M949:O949)-1)/4</f>
        <v/>
      </c>
      <c r="Z949">
        <f>(AVERAGE(P949:R949)-1)/4</f>
        <v/>
      </c>
      <c r="AA949">
        <f>(AVERAGE(S949:T949)-1)/4</f>
        <v/>
      </c>
      <c r="AB949">
        <f>AVERAGE(U949:Y949)</f>
        <v/>
      </c>
      <c r="AC949">
        <f>MIN(U949:Y949)</f>
        <v/>
      </c>
      <c r="AD949">
        <f>1-alpha*MAX(0,delta-AC949)</f>
        <v/>
      </c>
      <c r="AE949">
        <f>AB949*AD949</f>
        <v/>
      </c>
      <c r="AF949">
        <f>1+COUNTIF(bounds,"&lt;"&amp;ROUND(AB949,12))</f>
        <v/>
      </c>
      <c r="AG949">
        <f>1+COUNTIF(bounds,"&lt;"&amp;ROUND(AE949,12))</f>
        <v/>
      </c>
      <c r="AH949">
        <f>IF(AD949&lt;1,1,0)</f>
        <v/>
      </c>
      <c r="AI949">
        <f>IF(AF949&lt;&gt;AG949,1,0)</f>
        <v/>
      </c>
      <c r="AJ949">
        <f>IF(AND(AG949&gt;=3,Z949&lt;=0.2),1,0)</f>
        <v/>
      </c>
      <c r="AK949">
        <f>AVERAGE(U949:Z949)</f>
        <v/>
      </c>
      <c r="AL949">
        <f>1+COUNTIF(bounds,"&lt;"&amp;ROUND(AK949,12))</f>
        <v/>
      </c>
      <c r="AM949">
        <f>IF(AI949=1,AB949,NA())</f>
        <v/>
      </c>
      <c r="AN949">
        <f>IF(AI949=0,AB949,NA())</f>
        <v/>
      </c>
    </row>
    <row r="950">
      <c r="A950" t="n">
        <v>942</v>
      </c>
      <c r="B950" t="n">
        <v>4</v>
      </c>
      <c r="C950" t="n">
        <v>3</v>
      </c>
      <c r="D950" t="n">
        <v>4</v>
      </c>
      <c r="E950" t="n">
        <v>3</v>
      </c>
      <c r="F950" t="n">
        <v>5</v>
      </c>
      <c r="G950" t="n">
        <v>2</v>
      </c>
      <c r="H950" t="n">
        <v>4</v>
      </c>
      <c r="I950" t="n">
        <v>5</v>
      </c>
      <c r="J950" t="n">
        <v>2</v>
      </c>
      <c r="K950" t="n">
        <v>2</v>
      </c>
      <c r="L950" t="n">
        <v>4</v>
      </c>
      <c r="M950" t="n">
        <v>1</v>
      </c>
      <c r="N950" t="n">
        <v>2</v>
      </c>
      <c r="O950" t="n">
        <v>5</v>
      </c>
      <c r="P950" t="n">
        <v>4</v>
      </c>
      <c r="Q950" t="n">
        <v>4</v>
      </c>
      <c r="R950" t="n">
        <v>4</v>
      </c>
      <c r="S950" t="n">
        <v>3</v>
      </c>
      <c r="T950" t="n">
        <v>5</v>
      </c>
      <c r="U950">
        <f>(AVERAGE(B950:D950)-1)/4</f>
        <v/>
      </c>
      <c r="V950">
        <f>(AVERAGE(E950:F950)-1)/4</f>
        <v/>
      </c>
      <c r="W950">
        <f>(AVERAGE(G950:I950)-1)/4</f>
        <v/>
      </c>
      <c r="X950">
        <f>(AVERAGE(J950:L950)-1)/4</f>
        <v/>
      </c>
      <c r="Y950">
        <f>(AVERAGE(M950:O950)-1)/4</f>
        <v/>
      </c>
      <c r="Z950">
        <f>(AVERAGE(P950:R950)-1)/4</f>
        <v/>
      </c>
      <c r="AA950">
        <f>(AVERAGE(S950:T950)-1)/4</f>
        <v/>
      </c>
      <c r="AB950">
        <f>AVERAGE(U950:Y950)</f>
        <v/>
      </c>
      <c r="AC950">
        <f>MIN(U950:Y950)</f>
        <v/>
      </c>
      <c r="AD950">
        <f>1-alpha*MAX(0,delta-AC950)</f>
        <v/>
      </c>
      <c r="AE950">
        <f>AB950*AD950</f>
        <v/>
      </c>
      <c r="AF950">
        <f>1+COUNTIF(bounds,"&lt;"&amp;ROUND(AB950,12))</f>
        <v/>
      </c>
      <c r="AG950">
        <f>1+COUNTIF(bounds,"&lt;"&amp;ROUND(AE950,12))</f>
        <v/>
      </c>
      <c r="AH950">
        <f>IF(AD950&lt;1,1,0)</f>
        <v/>
      </c>
      <c r="AI950">
        <f>IF(AF950&lt;&gt;AG950,1,0)</f>
        <v/>
      </c>
      <c r="AJ950">
        <f>IF(AND(AG950&gt;=3,Z950&lt;=0.2),1,0)</f>
        <v/>
      </c>
      <c r="AK950">
        <f>AVERAGE(U950:Z950)</f>
        <v/>
      </c>
      <c r="AL950">
        <f>1+COUNTIF(bounds,"&lt;"&amp;ROUND(AK950,12))</f>
        <v/>
      </c>
      <c r="AM950">
        <f>IF(AI950=1,AB950,NA())</f>
        <v/>
      </c>
      <c r="AN950">
        <f>IF(AI950=0,AB950,NA())</f>
        <v/>
      </c>
    </row>
    <row r="951">
      <c r="A951" t="n">
        <v>943</v>
      </c>
      <c r="B951" t="n">
        <v>3</v>
      </c>
      <c r="C951" t="n">
        <v>4</v>
      </c>
      <c r="D951" t="n">
        <v>2</v>
      </c>
      <c r="E951" t="n">
        <v>2</v>
      </c>
      <c r="F951" t="n">
        <v>1</v>
      </c>
      <c r="G951" t="n">
        <v>1</v>
      </c>
      <c r="H951" t="n">
        <v>5</v>
      </c>
      <c r="I951" t="n">
        <v>5</v>
      </c>
      <c r="J951" t="n">
        <v>5</v>
      </c>
      <c r="K951" t="n">
        <v>1</v>
      </c>
      <c r="L951" t="n">
        <v>4</v>
      </c>
      <c r="M951" t="n">
        <v>5</v>
      </c>
      <c r="N951" t="n">
        <v>3</v>
      </c>
      <c r="O951" t="n">
        <v>3</v>
      </c>
      <c r="P951" t="n">
        <v>3</v>
      </c>
      <c r="Q951" t="n">
        <v>1</v>
      </c>
      <c r="R951" t="n">
        <v>1</v>
      </c>
      <c r="S951" t="n">
        <v>3</v>
      </c>
      <c r="T951" t="n">
        <v>2</v>
      </c>
      <c r="U951">
        <f>(AVERAGE(B951:D951)-1)/4</f>
        <v/>
      </c>
      <c r="V951">
        <f>(AVERAGE(E951:F951)-1)/4</f>
        <v/>
      </c>
      <c r="W951">
        <f>(AVERAGE(G951:I951)-1)/4</f>
        <v/>
      </c>
      <c r="X951">
        <f>(AVERAGE(J951:L951)-1)/4</f>
        <v/>
      </c>
      <c r="Y951">
        <f>(AVERAGE(M951:O951)-1)/4</f>
        <v/>
      </c>
      <c r="Z951">
        <f>(AVERAGE(P951:R951)-1)/4</f>
        <v/>
      </c>
      <c r="AA951">
        <f>(AVERAGE(S951:T951)-1)/4</f>
        <v/>
      </c>
      <c r="AB951">
        <f>AVERAGE(U951:Y951)</f>
        <v/>
      </c>
      <c r="AC951">
        <f>MIN(U951:Y951)</f>
        <v/>
      </c>
      <c r="AD951">
        <f>1-alpha*MAX(0,delta-AC951)</f>
        <v/>
      </c>
      <c r="AE951">
        <f>AB951*AD951</f>
        <v/>
      </c>
      <c r="AF951">
        <f>1+COUNTIF(bounds,"&lt;"&amp;ROUND(AB951,12))</f>
        <v/>
      </c>
      <c r="AG951">
        <f>1+COUNTIF(bounds,"&lt;"&amp;ROUND(AE951,12))</f>
        <v/>
      </c>
      <c r="AH951">
        <f>IF(AD951&lt;1,1,0)</f>
        <v/>
      </c>
      <c r="AI951">
        <f>IF(AF951&lt;&gt;AG951,1,0)</f>
        <v/>
      </c>
      <c r="AJ951">
        <f>IF(AND(AG951&gt;=3,Z951&lt;=0.2),1,0)</f>
        <v/>
      </c>
      <c r="AK951">
        <f>AVERAGE(U951:Z951)</f>
        <v/>
      </c>
      <c r="AL951">
        <f>1+COUNTIF(bounds,"&lt;"&amp;ROUND(AK951,12))</f>
        <v/>
      </c>
      <c r="AM951">
        <f>IF(AI951=1,AB951,NA())</f>
        <v/>
      </c>
      <c r="AN951">
        <f>IF(AI951=0,AB951,NA())</f>
        <v/>
      </c>
    </row>
    <row r="952">
      <c r="A952" t="n">
        <v>944</v>
      </c>
      <c r="B952" t="n">
        <v>3</v>
      </c>
      <c r="C952" t="n">
        <v>2</v>
      </c>
      <c r="D952" t="n">
        <v>2</v>
      </c>
      <c r="E952" t="n">
        <v>4</v>
      </c>
      <c r="F952" t="n">
        <v>2</v>
      </c>
      <c r="G952" t="n">
        <v>4</v>
      </c>
      <c r="H952" t="n">
        <v>2</v>
      </c>
      <c r="I952" t="n">
        <v>3</v>
      </c>
      <c r="J952" t="n">
        <v>3</v>
      </c>
      <c r="K952" t="n">
        <v>1</v>
      </c>
      <c r="L952" t="n">
        <v>4</v>
      </c>
      <c r="M952" t="n">
        <v>2</v>
      </c>
      <c r="N952" t="n">
        <v>2</v>
      </c>
      <c r="O952" t="n">
        <v>4</v>
      </c>
      <c r="P952" t="n">
        <v>2</v>
      </c>
      <c r="Q952" t="n">
        <v>3</v>
      </c>
      <c r="R952" t="n">
        <v>4</v>
      </c>
      <c r="S952" t="n">
        <v>2</v>
      </c>
      <c r="T952" t="n">
        <v>5</v>
      </c>
      <c r="U952">
        <f>(AVERAGE(B952:D952)-1)/4</f>
        <v/>
      </c>
      <c r="V952">
        <f>(AVERAGE(E952:F952)-1)/4</f>
        <v/>
      </c>
      <c r="W952">
        <f>(AVERAGE(G952:I952)-1)/4</f>
        <v/>
      </c>
      <c r="X952">
        <f>(AVERAGE(J952:L952)-1)/4</f>
        <v/>
      </c>
      <c r="Y952">
        <f>(AVERAGE(M952:O952)-1)/4</f>
        <v/>
      </c>
      <c r="Z952">
        <f>(AVERAGE(P952:R952)-1)/4</f>
        <v/>
      </c>
      <c r="AA952">
        <f>(AVERAGE(S952:T952)-1)/4</f>
        <v/>
      </c>
      <c r="AB952">
        <f>AVERAGE(U952:Y952)</f>
        <v/>
      </c>
      <c r="AC952">
        <f>MIN(U952:Y952)</f>
        <v/>
      </c>
      <c r="AD952">
        <f>1-alpha*MAX(0,delta-AC952)</f>
        <v/>
      </c>
      <c r="AE952">
        <f>AB952*AD952</f>
        <v/>
      </c>
      <c r="AF952">
        <f>1+COUNTIF(bounds,"&lt;"&amp;ROUND(AB952,12))</f>
        <v/>
      </c>
      <c r="AG952">
        <f>1+COUNTIF(bounds,"&lt;"&amp;ROUND(AE952,12))</f>
        <v/>
      </c>
      <c r="AH952">
        <f>IF(AD952&lt;1,1,0)</f>
        <v/>
      </c>
      <c r="AI952">
        <f>IF(AF952&lt;&gt;AG952,1,0)</f>
        <v/>
      </c>
      <c r="AJ952">
        <f>IF(AND(AG952&gt;=3,Z952&lt;=0.2),1,0)</f>
        <v/>
      </c>
      <c r="AK952">
        <f>AVERAGE(U952:Z952)</f>
        <v/>
      </c>
      <c r="AL952">
        <f>1+COUNTIF(bounds,"&lt;"&amp;ROUND(AK952,12))</f>
        <v/>
      </c>
      <c r="AM952">
        <f>IF(AI952=1,AB952,NA())</f>
        <v/>
      </c>
      <c r="AN952">
        <f>IF(AI952=0,AB952,NA())</f>
        <v/>
      </c>
    </row>
    <row r="953">
      <c r="A953" t="n">
        <v>945</v>
      </c>
      <c r="B953" t="n">
        <v>5</v>
      </c>
      <c r="C953" t="n">
        <v>3</v>
      </c>
      <c r="D953" t="n">
        <v>4</v>
      </c>
      <c r="E953" t="n">
        <v>2</v>
      </c>
      <c r="F953" t="n">
        <v>5</v>
      </c>
      <c r="G953" t="n">
        <v>3</v>
      </c>
      <c r="H953" t="n">
        <v>5</v>
      </c>
      <c r="I953" t="n">
        <v>5</v>
      </c>
      <c r="J953" t="n">
        <v>1</v>
      </c>
      <c r="K953" t="n">
        <v>3</v>
      </c>
      <c r="L953" t="n">
        <v>3</v>
      </c>
      <c r="M953" t="n">
        <v>5</v>
      </c>
      <c r="N953" t="n">
        <v>2</v>
      </c>
      <c r="O953" t="n">
        <v>3</v>
      </c>
      <c r="P953" t="n">
        <v>5</v>
      </c>
      <c r="Q953" t="n">
        <v>1</v>
      </c>
      <c r="R953" t="n">
        <v>5</v>
      </c>
      <c r="S953" t="n">
        <v>5</v>
      </c>
      <c r="T953" t="n">
        <v>4</v>
      </c>
      <c r="U953">
        <f>(AVERAGE(B953:D953)-1)/4</f>
        <v/>
      </c>
      <c r="V953">
        <f>(AVERAGE(E953:F953)-1)/4</f>
        <v/>
      </c>
      <c r="W953">
        <f>(AVERAGE(G953:I953)-1)/4</f>
        <v/>
      </c>
      <c r="X953">
        <f>(AVERAGE(J953:L953)-1)/4</f>
        <v/>
      </c>
      <c r="Y953">
        <f>(AVERAGE(M953:O953)-1)/4</f>
        <v/>
      </c>
      <c r="Z953">
        <f>(AVERAGE(P953:R953)-1)/4</f>
        <v/>
      </c>
      <c r="AA953">
        <f>(AVERAGE(S953:T953)-1)/4</f>
        <v/>
      </c>
      <c r="AB953">
        <f>AVERAGE(U953:Y953)</f>
        <v/>
      </c>
      <c r="AC953">
        <f>MIN(U953:Y953)</f>
        <v/>
      </c>
      <c r="AD953">
        <f>1-alpha*MAX(0,delta-AC953)</f>
        <v/>
      </c>
      <c r="AE953">
        <f>AB953*AD953</f>
        <v/>
      </c>
      <c r="AF953">
        <f>1+COUNTIF(bounds,"&lt;"&amp;ROUND(AB953,12))</f>
        <v/>
      </c>
      <c r="AG953">
        <f>1+COUNTIF(bounds,"&lt;"&amp;ROUND(AE953,12))</f>
        <v/>
      </c>
      <c r="AH953">
        <f>IF(AD953&lt;1,1,0)</f>
        <v/>
      </c>
      <c r="AI953">
        <f>IF(AF953&lt;&gt;AG953,1,0)</f>
        <v/>
      </c>
      <c r="AJ953">
        <f>IF(AND(AG953&gt;=3,Z953&lt;=0.2),1,0)</f>
        <v/>
      </c>
      <c r="AK953">
        <f>AVERAGE(U953:Z953)</f>
        <v/>
      </c>
      <c r="AL953">
        <f>1+COUNTIF(bounds,"&lt;"&amp;ROUND(AK953,12))</f>
        <v/>
      </c>
      <c r="AM953">
        <f>IF(AI953=1,AB953,NA())</f>
        <v/>
      </c>
      <c r="AN953">
        <f>IF(AI953=0,AB953,NA())</f>
        <v/>
      </c>
    </row>
    <row r="954">
      <c r="A954" t="n">
        <v>946</v>
      </c>
      <c r="B954" t="n">
        <v>2</v>
      </c>
      <c r="C954" t="n">
        <v>4</v>
      </c>
      <c r="D954" t="n">
        <v>2</v>
      </c>
      <c r="E954" t="n">
        <v>3</v>
      </c>
      <c r="F954" t="n">
        <v>1</v>
      </c>
      <c r="G954" t="n">
        <v>3</v>
      </c>
      <c r="H954" t="n">
        <v>4</v>
      </c>
      <c r="I954" t="n">
        <v>5</v>
      </c>
      <c r="J954" t="n">
        <v>1</v>
      </c>
      <c r="K954" t="n">
        <v>2</v>
      </c>
      <c r="L954" t="n">
        <v>3</v>
      </c>
      <c r="M954" t="n">
        <v>1</v>
      </c>
      <c r="N954" t="n">
        <v>3</v>
      </c>
      <c r="O954" t="n">
        <v>2</v>
      </c>
      <c r="P954" t="n">
        <v>4</v>
      </c>
      <c r="Q954" t="n">
        <v>2</v>
      </c>
      <c r="R954" t="n">
        <v>2</v>
      </c>
      <c r="S954" t="n">
        <v>3</v>
      </c>
      <c r="T954" t="n">
        <v>4</v>
      </c>
      <c r="U954">
        <f>(AVERAGE(B954:D954)-1)/4</f>
        <v/>
      </c>
      <c r="V954">
        <f>(AVERAGE(E954:F954)-1)/4</f>
        <v/>
      </c>
      <c r="W954">
        <f>(AVERAGE(G954:I954)-1)/4</f>
        <v/>
      </c>
      <c r="X954">
        <f>(AVERAGE(J954:L954)-1)/4</f>
        <v/>
      </c>
      <c r="Y954">
        <f>(AVERAGE(M954:O954)-1)/4</f>
        <v/>
      </c>
      <c r="Z954">
        <f>(AVERAGE(P954:R954)-1)/4</f>
        <v/>
      </c>
      <c r="AA954">
        <f>(AVERAGE(S954:T954)-1)/4</f>
        <v/>
      </c>
      <c r="AB954">
        <f>AVERAGE(U954:Y954)</f>
        <v/>
      </c>
      <c r="AC954">
        <f>MIN(U954:Y954)</f>
        <v/>
      </c>
      <c r="AD954">
        <f>1-alpha*MAX(0,delta-AC954)</f>
        <v/>
      </c>
      <c r="AE954">
        <f>AB954*AD954</f>
        <v/>
      </c>
      <c r="AF954">
        <f>1+COUNTIF(bounds,"&lt;"&amp;ROUND(AB954,12))</f>
        <v/>
      </c>
      <c r="AG954">
        <f>1+COUNTIF(bounds,"&lt;"&amp;ROUND(AE954,12))</f>
        <v/>
      </c>
      <c r="AH954">
        <f>IF(AD954&lt;1,1,0)</f>
        <v/>
      </c>
      <c r="AI954">
        <f>IF(AF954&lt;&gt;AG954,1,0)</f>
        <v/>
      </c>
      <c r="AJ954">
        <f>IF(AND(AG954&gt;=3,Z954&lt;=0.2),1,0)</f>
        <v/>
      </c>
      <c r="AK954">
        <f>AVERAGE(U954:Z954)</f>
        <v/>
      </c>
      <c r="AL954">
        <f>1+COUNTIF(bounds,"&lt;"&amp;ROUND(AK954,12))</f>
        <v/>
      </c>
      <c r="AM954">
        <f>IF(AI954=1,AB954,NA())</f>
        <v/>
      </c>
      <c r="AN954">
        <f>IF(AI954=0,AB954,NA())</f>
        <v/>
      </c>
    </row>
    <row r="955">
      <c r="A955" t="n">
        <v>947</v>
      </c>
      <c r="B955" t="n">
        <v>2</v>
      </c>
      <c r="C955" t="n">
        <v>5</v>
      </c>
      <c r="D955" t="n">
        <v>4</v>
      </c>
      <c r="E955" t="n">
        <v>5</v>
      </c>
      <c r="F955" t="n">
        <v>4</v>
      </c>
      <c r="G955" t="n">
        <v>5</v>
      </c>
      <c r="H955" t="n">
        <v>5</v>
      </c>
      <c r="I955" t="n">
        <v>1</v>
      </c>
      <c r="J955" t="n">
        <v>4</v>
      </c>
      <c r="K955" t="n">
        <v>1</v>
      </c>
      <c r="L955" t="n">
        <v>3</v>
      </c>
      <c r="M955" t="n">
        <v>1</v>
      </c>
      <c r="N955" t="n">
        <v>1</v>
      </c>
      <c r="O955" t="n">
        <v>3</v>
      </c>
      <c r="P955" t="n">
        <v>3</v>
      </c>
      <c r="Q955" t="n">
        <v>3</v>
      </c>
      <c r="R955" t="n">
        <v>3</v>
      </c>
      <c r="S955" t="n">
        <v>5</v>
      </c>
      <c r="T955" t="n">
        <v>2</v>
      </c>
      <c r="U955">
        <f>(AVERAGE(B955:D955)-1)/4</f>
        <v/>
      </c>
      <c r="V955">
        <f>(AVERAGE(E955:F955)-1)/4</f>
        <v/>
      </c>
      <c r="W955">
        <f>(AVERAGE(G955:I955)-1)/4</f>
        <v/>
      </c>
      <c r="X955">
        <f>(AVERAGE(J955:L955)-1)/4</f>
        <v/>
      </c>
      <c r="Y955">
        <f>(AVERAGE(M955:O955)-1)/4</f>
        <v/>
      </c>
      <c r="Z955">
        <f>(AVERAGE(P955:R955)-1)/4</f>
        <v/>
      </c>
      <c r="AA955">
        <f>(AVERAGE(S955:T955)-1)/4</f>
        <v/>
      </c>
      <c r="AB955">
        <f>AVERAGE(U955:Y955)</f>
        <v/>
      </c>
      <c r="AC955">
        <f>MIN(U955:Y955)</f>
        <v/>
      </c>
      <c r="AD955">
        <f>1-alpha*MAX(0,delta-AC955)</f>
        <v/>
      </c>
      <c r="AE955">
        <f>AB955*AD955</f>
        <v/>
      </c>
      <c r="AF955">
        <f>1+COUNTIF(bounds,"&lt;"&amp;ROUND(AB955,12))</f>
        <v/>
      </c>
      <c r="AG955">
        <f>1+COUNTIF(bounds,"&lt;"&amp;ROUND(AE955,12))</f>
        <v/>
      </c>
      <c r="AH955">
        <f>IF(AD955&lt;1,1,0)</f>
        <v/>
      </c>
      <c r="AI955">
        <f>IF(AF955&lt;&gt;AG955,1,0)</f>
        <v/>
      </c>
      <c r="AJ955">
        <f>IF(AND(AG955&gt;=3,Z955&lt;=0.2),1,0)</f>
        <v/>
      </c>
      <c r="AK955">
        <f>AVERAGE(U955:Z955)</f>
        <v/>
      </c>
      <c r="AL955">
        <f>1+COUNTIF(bounds,"&lt;"&amp;ROUND(AK955,12))</f>
        <v/>
      </c>
      <c r="AM955">
        <f>IF(AI955=1,AB955,NA())</f>
        <v/>
      </c>
      <c r="AN955">
        <f>IF(AI955=0,AB955,NA())</f>
        <v/>
      </c>
    </row>
    <row r="956">
      <c r="A956" t="n">
        <v>948</v>
      </c>
      <c r="B956" t="n">
        <v>3</v>
      </c>
      <c r="C956" t="n">
        <v>3</v>
      </c>
      <c r="D956" t="n">
        <v>2</v>
      </c>
      <c r="E956" t="n">
        <v>4</v>
      </c>
      <c r="F956" t="n">
        <v>4</v>
      </c>
      <c r="G956" t="n">
        <v>1</v>
      </c>
      <c r="H956" t="n">
        <v>4</v>
      </c>
      <c r="I956" t="n">
        <v>3</v>
      </c>
      <c r="J956" t="n">
        <v>4</v>
      </c>
      <c r="K956" t="n">
        <v>4</v>
      </c>
      <c r="L956" t="n">
        <v>1</v>
      </c>
      <c r="M956" t="n">
        <v>3</v>
      </c>
      <c r="N956" t="n">
        <v>1</v>
      </c>
      <c r="O956" t="n">
        <v>2</v>
      </c>
      <c r="P956" t="n">
        <v>3</v>
      </c>
      <c r="Q956" t="n">
        <v>3</v>
      </c>
      <c r="R956" t="n">
        <v>4</v>
      </c>
      <c r="S956" t="n">
        <v>5</v>
      </c>
      <c r="T956" t="n">
        <v>2</v>
      </c>
      <c r="U956">
        <f>(AVERAGE(B956:D956)-1)/4</f>
        <v/>
      </c>
      <c r="V956">
        <f>(AVERAGE(E956:F956)-1)/4</f>
        <v/>
      </c>
      <c r="W956">
        <f>(AVERAGE(G956:I956)-1)/4</f>
        <v/>
      </c>
      <c r="X956">
        <f>(AVERAGE(J956:L956)-1)/4</f>
        <v/>
      </c>
      <c r="Y956">
        <f>(AVERAGE(M956:O956)-1)/4</f>
        <v/>
      </c>
      <c r="Z956">
        <f>(AVERAGE(P956:R956)-1)/4</f>
        <v/>
      </c>
      <c r="AA956">
        <f>(AVERAGE(S956:T956)-1)/4</f>
        <v/>
      </c>
      <c r="AB956">
        <f>AVERAGE(U956:Y956)</f>
        <v/>
      </c>
      <c r="AC956">
        <f>MIN(U956:Y956)</f>
        <v/>
      </c>
      <c r="AD956">
        <f>1-alpha*MAX(0,delta-AC956)</f>
        <v/>
      </c>
      <c r="AE956">
        <f>AB956*AD956</f>
        <v/>
      </c>
      <c r="AF956">
        <f>1+COUNTIF(bounds,"&lt;"&amp;ROUND(AB956,12))</f>
        <v/>
      </c>
      <c r="AG956">
        <f>1+COUNTIF(bounds,"&lt;"&amp;ROUND(AE956,12))</f>
        <v/>
      </c>
      <c r="AH956">
        <f>IF(AD956&lt;1,1,0)</f>
        <v/>
      </c>
      <c r="AI956">
        <f>IF(AF956&lt;&gt;AG956,1,0)</f>
        <v/>
      </c>
      <c r="AJ956">
        <f>IF(AND(AG956&gt;=3,Z956&lt;=0.2),1,0)</f>
        <v/>
      </c>
      <c r="AK956">
        <f>AVERAGE(U956:Z956)</f>
        <v/>
      </c>
      <c r="AL956">
        <f>1+COUNTIF(bounds,"&lt;"&amp;ROUND(AK956,12))</f>
        <v/>
      </c>
      <c r="AM956">
        <f>IF(AI956=1,AB956,NA())</f>
        <v/>
      </c>
      <c r="AN956">
        <f>IF(AI956=0,AB956,NA())</f>
        <v/>
      </c>
    </row>
    <row r="957">
      <c r="A957" t="n">
        <v>949</v>
      </c>
      <c r="B957" t="n">
        <v>4</v>
      </c>
      <c r="C957" t="n">
        <v>2</v>
      </c>
      <c r="D957" t="n">
        <v>5</v>
      </c>
      <c r="E957" t="n">
        <v>5</v>
      </c>
      <c r="F957" t="n">
        <v>3</v>
      </c>
      <c r="G957" t="n">
        <v>4</v>
      </c>
      <c r="H957" t="n">
        <v>2</v>
      </c>
      <c r="I957" t="n">
        <v>2</v>
      </c>
      <c r="J957" t="n">
        <v>2</v>
      </c>
      <c r="K957" t="n">
        <v>5</v>
      </c>
      <c r="L957" t="n">
        <v>4</v>
      </c>
      <c r="M957" t="n">
        <v>5</v>
      </c>
      <c r="N957" t="n">
        <v>2</v>
      </c>
      <c r="O957" t="n">
        <v>4</v>
      </c>
      <c r="P957" t="n">
        <v>1</v>
      </c>
      <c r="Q957" t="n">
        <v>2</v>
      </c>
      <c r="R957" t="n">
        <v>1</v>
      </c>
      <c r="S957" t="n">
        <v>1</v>
      </c>
      <c r="T957" t="n">
        <v>4</v>
      </c>
      <c r="U957">
        <f>(AVERAGE(B957:D957)-1)/4</f>
        <v/>
      </c>
      <c r="V957">
        <f>(AVERAGE(E957:F957)-1)/4</f>
        <v/>
      </c>
      <c r="W957">
        <f>(AVERAGE(G957:I957)-1)/4</f>
        <v/>
      </c>
      <c r="X957">
        <f>(AVERAGE(J957:L957)-1)/4</f>
        <v/>
      </c>
      <c r="Y957">
        <f>(AVERAGE(M957:O957)-1)/4</f>
        <v/>
      </c>
      <c r="Z957">
        <f>(AVERAGE(P957:R957)-1)/4</f>
        <v/>
      </c>
      <c r="AA957">
        <f>(AVERAGE(S957:T957)-1)/4</f>
        <v/>
      </c>
      <c r="AB957">
        <f>AVERAGE(U957:Y957)</f>
        <v/>
      </c>
      <c r="AC957">
        <f>MIN(U957:Y957)</f>
        <v/>
      </c>
      <c r="AD957">
        <f>1-alpha*MAX(0,delta-AC957)</f>
        <v/>
      </c>
      <c r="AE957">
        <f>AB957*AD957</f>
        <v/>
      </c>
      <c r="AF957">
        <f>1+COUNTIF(bounds,"&lt;"&amp;ROUND(AB957,12))</f>
        <v/>
      </c>
      <c r="AG957">
        <f>1+COUNTIF(bounds,"&lt;"&amp;ROUND(AE957,12))</f>
        <v/>
      </c>
      <c r="AH957">
        <f>IF(AD957&lt;1,1,0)</f>
        <v/>
      </c>
      <c r="AI957">
        <f>IF(AF957&lt;&gt;AG957,1,0)</f>
        <v/>
      </c>
      <c r="AJ957">
        <f>IF(AND(AG957&gt;=3,Z957&lt;=0.2),1,0)</f>
        <v/>
      </c>
      <c r="AK957">
        <f>AVERAGE(U957:Z957)</f>
        <v/>
      </c>
      <c r="AL957">
        <f>1+COUNTIF(bounds,"&lt;"&amp;ROUND(AK957,12))</f>
        <v/>
      </c>
      <c r="AM957">
        <f>IF(AI957=1,AB957,NA())</f>
        <v/>
      </c>
      <c r="AN957">
        <f>IF(AI957=0,AB957,NA())</f>
        <v/>
      </c>
    </row>
    <row r="958">
      <c r="A958" t="n">
        <v>950</v>
      </c>
      <c r="B958" t="n">
        <v>5</v>
      </c>
      <c r="C958" t="n">
        <v>4</v>
      </c>
      <c r="D958" t="n">
        <v>2</v>
      </c>
      <c r="E958" t="n">
        <v>3</v>
      </c>
      <c r="F958" t="n">
        <v>4</v>
      </c>
      <c r="G958" t="n">
        <v>4</v>
      </c>
      <c r="H958" t="n">
        <v>5</v>
      </c>
      <c r="I958" t="n">
        <v>1</v>
      </c>
      <c r="J958" t="n">
        <v>4</v>
      </c>
      <c r="K958" t="n">
        <v>5</v>
      </c>
      <c r="L958" t="n">
        <v>4</v>
      </c>
      <c r="M958" t="n">
        <v>3</v>
      </c>
      <c r="N958" t="n">
        <v>1</v>
      </c>
      <c r="O958" t="n">
        <v>3</v>
      </c>
      <c r="P958" t="n">
        <v>5</v>
      </c>
      <c r="Q958" t="n">
        <v>5</v>
      </c>
      <c r="R958" t="n">
        <v>5</v>
      </c>
      <c r="S958" t="n">
        <v>3</v>
      </c>
      <c r="T958" t="n">
        <v>3</v>
      </c>
      <c r="U958">
        <f>(AVERAGE(B958:D958)-1)/4</f>
        <v/>
      </c>
      <c r="V958">
        <f>(AVERAGE(E958:F958)-1)/4</f>
        <v/>
      </c>
      <c r="W958">
        <f>(AVERAGE(G958:I958)-1)/4</f>
        <v/>
      </c>
      <c r="X958">
        <f>(AVERAGE(J958:L958)-1)/4</f>
        <v/>
      </c>
      <c r="Y958">
        <f>(AVERAGE(M958:O958)-1)/4</f>
        <v/>
      </c>
      <c r="Z958">
        <f>(AVERAGE(P958:R958)-1)/4</f>
        <v/>
      </c>
      <c r="AA958">
        <f>(AVERAGE(S958:T958)-1)/4</f>
        <v/>
      </c>
      <c r="AB958">
        <f>AVERAGE(U958:Y958)</f>
        <v/>
      </c>
      <c r="AC958">
        <f>MIN(U958:Y958)</f>
        <v/>
      </c>
      <c r="AD958">
        <f>1-alpha*MAX(0,delta-AC958)</f>
        <v/>
      </c>
      <c r="AE958">
        <f>AB958*AD958</f>
        <v/>
      </c>
      <c r="AF958">
        <f>1+COUNTIF(bounds,"&lt;"&amp;ROUND(AB958,12))</f>
        <v/>
      </c>
      <c r="AG958">
        <f>1+COUNTIF(bounds,"&lt;"&amp;ROUND(AE958,12))</f>
        <v/>
      </c>
      <c r="AH958">
        <f>IF(AD958&lt;1,1,0)</f>
        <v/>
      </c>
      <c r="AI958">
        <f>IF(AF958&lt;&gt;AG958,1,0)</f>
        <v/>
      </c>
      <c r="AJ958">
        <f>IF(AND(AG958&gt;=3,Z958&lt;=0.2),1,0)</f>
        <v/>
      </c>
      <c r="AK958">
        <f>AVERAGE(U958:Z958)</f>
        <v/>
      </c>
      <c r="AL958">
        <f>1+COUNTIF(bounds,"&lt;"&amp;ROUND(AK958,12))</f>
        <v/>
      </c>
      <c r="AM958">
        <f>IF(AI958=1,AB958,NA())</f>
        <v/>
      </c>
      <c r="AN958">
        <f>IF(AI958=0,AB958,NA())</f>
        <v/>
      </c>
    </row>
    <row r="959">
      <c r="A959" t="n">
        <v>951</v>
      </c>
      <c r="B959" t="n">
        <v>3</v>
      </c>
      <c r="C959" t="n">
        <v>2</v>
      </c>
      <c r="D959" t="n">
        <v>2</v>
      </c>
      <c r="E959" t="n">
        <v>5</v>
      </c>
      <c r="F959" t="n">
        <v>4</v>
      </c>
      <c r="G959" t="n">
        <v>4</v>
      </c>
      <c r="H959" t="n">
        <v>5</v>
      </c>
      <c r="I959" t="n">
        <v>4</v>
      </c>
      <c r="J959" t="n">
        <v>2</v>
      </c>
      <c r="K959" t="n">
        <v>5</v>
      </c>
      <c r="L959" t="n">
        <v>5</v>
      </c>
      <c r="M959" t="n">
        <v>4</v>
      </c>
      <c r="N959" t="n">
        <v>1</v>
      </c>
      <c r="O959" t="n">
        <v>3</v>
      </c>
      <c r="P959" t="n">
        <v>4</v>
      </c>
      <c r="Q959" t="n">
        <v>3</v>
      </c>
      <c r="R959" t="n">
        <v>5</v>
      </c>
      <c r="S959" t="n">
        <v>1</v>
      </c>
      <c r="T959" t="n">
        <v>2</v>
      </c>
      <c r="U959">
        <f>(AVERAGE(B959:D959)-1)/4</f>
        <v/>
      </c>
      <c r="V959">
        <f>(AVERAGE(E959:F959)-1)/4</f>
        <v/>
      </c>
      <c r="W959">
        <f>(AVERAGE(G959:I959)-1)/4</f>
        <v/>
      </c>
      <c r="X959">
        <f>(AVERAGE(J959:L959)-1)/4</f>
        <v/>
      </c>
      <c r="Y959">
        <f>(AVERAGE(M959:O959)-1)/4</f>
        <v/>
      </c>
      <c r="Z959">
        <f>(AVERAGE(P959:R959)-1)/4</f>
        <v/>
      </c>
      <c r="AA959">
        <f>(AVERAGE(S959:T959)-1)/4</f>
        <v/>
      </c>
      <c r="AB959">
        <f>AVERAGE(U959:Y959)</f>
        <v/>
      </c>
      <c r="AC959">
        <f>MIN(U959:Y959)</f>
        <v/>
      </c>
      <c r="AD959">
        <f>1-alpha*MAX(0,delta-AC959)</f>
        <v/>
      </c>
      <c r="AE959">
        <f>AB959*AD959</f>
        <v/>
      </c>
      <c r="AF959">
        <f>1+COUNTIF(bounds,"&lt;"&amp;ROUND(AB959,12))</f>
        <v/>
      </c>
      <c r="AG959">
        <f>1+COUNTIF(bounds,"&lt;"&amp;ROUND(AE959,12))</f>
        <v/>
      </c>
      <c r="AH959">
        <f>IF(AD959&lt;1,1,0)</f>
        <v/>
      </c>
      <c r="AI959">
        <f>IF(AF959&lt;&gt;AG959,1,0)</f>
        <v/>
      </c>
      <c r="AJ959">
        <f>IF(AND(AG959&gt;=3,Z959&lt;=0.2),1,0)</f>
        <v/>
      </c>
      <c r="AK959">
        <f>AVERAGE(U959:Z959)</f>
        <v/>
      </c>
      <c r="AL959">
        <f>1+COUNTIF(bounds,"&lt;"&amp;ROUND(AK959,12))</f>
        <v/>
      </c>
      <c r="AM959">
        <f>IF(AI959=1,AB959,NA())</f>
        <v/>
      </c>
      <c r="AN959">
        <f>IF(AI959=0,AB959,NA())</f>
        <v/>
      </c>
    </row>
    <row r="960">
      <c r="A960" t="n">
        <v>952</v>
      </c>
      <c r="B960" t="n">
        <v>1</v>
      </c>
      <c r="C960" t="n">
        <v>4</v>
      </c>
      <c r="D960" t="n">
        <v>2</v>
      </c>
      <c r="E960" t="n">
        <v>4</v>
      </c>
      <c r="F960" t="n">
        <v>2</v>
      </c>
      <c r="G960" t="n">
        <v>1</v>
      </c>
      <c r="H960" t="n">
        <v>1</v>
      </c>
      <c r="I960" t="n">
        <v>2</v>
      </c>
      <c r="J960" t="n">
        <v>5</v>
      </c>
      <c r="K960" t="n">
        <v>4</v>
      </c>
      <c r="L960" t="n">
        <v>3</v>
      </c>
      <c r="M960" t="n">
        <v>1</v>
      </c>
      <c r="N960" t="n">
        <v>2</v>
      </c>
      <c r="O960" t="n">
        <v>3</v>
      </c>
      <c r="P960" t="n">
        <v>3</v>
      </c>
      <c r="Q960" t="n">
        <v>4</v>
      </c>
      <c r="R960" t="n">
        <v>2</v>
      </c>
      <c r="S960" t="n">
        <v>1</v>
      </c>
      <c r="T960" t="n">
        <v>1</v>
      </c>
      <c r="U960">
        <f>(AVERAGE(B960:D960)-1)/4</f>
        <v/>
      </c>
      <c r="V960">
        <f>(AVERAGE(E960:F960)-1)/4</f>
        <v/>
      </c>
      <c r="W960">
        <f>(AVERAGE(G960:I960)-1)/4</f>
        <v/>
      </c>
      <c r="X960">
        <f>(AVERAGE(J960:L960)-1)/4</f>
        <v/>
      </c>
      <c r="Y960">
        <f>(AVERAGE(M960:O960)-1)/4</f>
        <v/>
      </c>
      <c r="Z960">
        <f>(AVERAGE(P960:R960)-1)/4</f>
        <v/>
      </c>
      <c r="AA960">
        <f>(AVERAGE(S960:T960)-1)/4</f>
        <v/>
      </c>
      <c r="AB960">
        <f>AVERAGE(U960:Y960)</f>
        <v/>
      </c>
      <c r="AC960">
        <f>MIN(U960:Y960)</f>
        <v/>
      </c>
      <c r="AD960">
        <f>1-alpha*MAX(0,delta-AC960)</f>
        <v/>
      </c>
      <c r="AE960">
        <f>AB960*AD960</f>
        <v/>
      </c>
      <c r="AF960">
        <f>1+COUNTIF(bounds,"&lt;"&amp;ROUND(AB960,12))</f>
        <v/>
      </c>
      <c r="AG960">
        <f>1+COUNTIF(bounds,"&lt;"&amp;ROUND(AE960,12))</f>
        <v/>
      </c>
      <c r="AH960">
        <f>IF(AD960&lt;1,1,0)</f>
        <v/>
      </c>
      <c r="AI960">
        <f>IF(AF960&lt;&gt;AG960,1,0)</f>
        <v/>
      </c>
      <c r="AJ960">
        <f>IF(AND(AG960&gt;=3,Z960&lt;=0.2),1,0)</f>
        <v/>
      </c>
      <c r="AK960">
        <f>AVERAGE(U960:Z960)</f>
        <v/>
      </c>
      <c r="AL960">
        <f>1+COUNTIF(bounds,"&lt;"&amp;ROUND(AK960,12))</f>
        <v/>
      </c>
      <c r="AM960">
        <f>IF(AI960=1,AB960,NA())</f>
        <v/>
      </c>
      <c r="AN960">
        <f>IF(AI960=0,AB960,NA())</f>
        <v/>
      </c>
    </row>
    <row r="961">
      <c r="A961" t="n">
        <v>953</v>
      </c>
      <c r="B961" t="n">
        <v>1</v>
      </c>
      <c r="C961" t="n">
        <v>5</v>
      </c>
      <c r="D961" t="n">
        <v>1</v>
      </c>
      <c r="E961" t="n">
        <v>5</v>
      </c>
      <c r="F961" t="n">
        <v>2</v>
      </c>
      <c r="G961" t="n">
        <v>3</v>
      </c>
      <c r="H961" t="n">
        <v>5</v>
      </c>
      <c r="I961" t="n">
        <v>5</v>
      </c>
      <c r="J961" t="n">
        <v>2</v>
      </c>
      <c r="K961" t="n">
        <v>4</v>
      </c>
      <c r="L961" t="n">
        <v>1</v>
      </c>
      <c r="M961" t="n">
        <v>5</v>
      </c>
      <c r="N961" t="n">
        <v>2</v>
      </c>
      <c r="O961" t="n">
        <v>3</v>
      </c>
      <c r="P961" t="n">
        <v>5</v>
      </c>
      <c r="Q961" t="n">
        <v>3</v>
      </c>
      <c r="R961" t="n">
        <v>5</v>
      </c>
      <c r="S961" t="n">
        <v>4</v>
      </c>
      <c r="T961" t="n">
        <v>4</v>
      </c>
      <c r="U961">
        <f>(AVERAGE(B961:D961)-1)/4</f>
        <v/>
      </c>
      <c r="V961">
        <f>(AVERAGE(E961:F961)-1)/4</f>
        <v/>
      </c>
      <c r="W961">
        <f>(AVERAGE(G961:I961)-1)/4</f>
        <v/>
      </c>
      <c r="X961">
        <f>(AVERAGE(J961:L961)-1)/4</f>
        <v/>
      </c>
      <c r="Y961">
        <f>(AVERAGE(M961:O961)-1)/4</f>
        <v/>
      </c>
      <c r="Z961">
        <f>(AVERAGE(P961:R961)-1)/4</f>
        <v/>
      </c>
      <c r="AA961">
        <f>(AVERAGE(S961:T961)-1)/4</f>
        <v/>
      </c>
      <c r="AB961">
        <f>AVERAGE(U961:Y961)</f>
        <v/>
      </c>
      <c r="AC961">
        <f>MIN(U961:Y961)</f>
        <v/>
      </c>
      <c r="AD961">
        <f>1-alpha*MAX(0,delta-AC961)</f>
        <v/>
      </c>
      <c r="AE961">
        <f>AB961*AD961</f>
        <v/>
      </c>
      <c r="AF961">
        <f>1+COUNTIF(bounds,"&lt;"&amp;ROUND(AB961,12))</f>
        <v/>
      </c>
      <c r="AG961">
        <f>1+COUNTIF(bounds,"&lt;"&amp;ROUND(AE961,12))</f>
        <v/>
      </c>
      <c r="AH961">
        <f>IF(AD961&lt;1,1,0)</f>
        <v/>
      </c>
      <c r="AI961">
        <f>IF(AF961&lt;&gt;AG961,1,0)</f>
        <v/>
      </c>
      <c r="AJ961">
        <f>IF(AND(AG961&gt;=3,Z961&lt;=0.2),1,0)</f>
        <v/>
      </c>
      <c r="AK961">
        <f>AVERAGE(U961:Z961)</f>
        <v/>
      </c>
      <c r="AL961">
        <f>1+COUNTIF(bounds,"&lt;"&amp;ROUND(AK961,12))</f>
        <v/>
      </c>
      <c r="AM961">
        <f>IF(AI961=1,AB961,NA())</f>
        <v/>
      </c>
      <c r="AN961">
        <f>IF(AI961=0,AB961,NA())</f>
        <v/>
      </c>
    </row>
    <row r="962">
      <c r="A962" t="n">
        <v>954</v>
      </c>
      <c r="B962" t="n">
        <v>5</v>
      </c>
      <c r="C962" t="n">
        <v>1</v>
      </c>
      <c r="D962" t="n">
        <v>3</v>
      </c>
      <c r="E962" t="n">
        <v>5</v>
      </c>
      <c r="F962" t="n">
        <v>1</v>
      </c>
      <c r="G962" t="n">
        <v>2</v>
      </c>
      <c r="H962" t="n">
        <v>4</v>
      </c>
      <c r="I962" t="n">
        <v>4</v>
      </c>
      <c r="J962" t="n">
        <v>5</v>
      </c>
      <c r="K962" t="n">
        <v>3</v>
      </c>
      <c r="L962" t="n">
        <v>4</v>
      </c>
      <c r="M962" t="n">
        <v>1</v>
      </c>
      <c r="N962" t="n">
        <v>1</v>
      </c>
      <c r="O962" t="n">
        <v>2</v>
      </c>
      <c r="P962" t="n">
        <v>3</v>
      </c>
      <c r="Q962" t="n">
        <v>5</v>
      </c>
      <c r="R962" t="n">
        <v>1</v>
      </c>
      <c r="S962" t="n">
        <v>2</v>
      </c>
      <c r="T962" t="n">
        <v>3</v>
      </c>
      <c r="U962">
        <f>(AVERAGE(B962:D962)-1)/4</f>
        <v/>
      </c>
      <c r="V962">
        <f>(AVERAGE(E962:F962)-1)/4</f>
        <v/>
      </c>
      <c r="W962">
        <f>(AVERAGE(G962:I962)-1)/4</f>
        <v/>
      </c>
      <c r="X962">
        <f>(AVERAGE(J962:L962)-1)/4</f>
        <v/>
      </c>
      <c r="Y962">
        <f>(AVERAGE(M962:O962)-1)/4</f>
        <v/>
      </c>
      <c r="Z962">
        <f>(AVERAGE(P962:R962)-1)/4</f>
        <v/>
      </c>
      <c r="AA962">
        <f>(AVERAGE(S962:T962)-1)/4</f>
        <v/>
      </c>
      <c r="AB962">
        <f>AVERAGE(U962:Y962)</f>
        <v/>
      </c>
      <c r="AC962">
        <f>MIN(U962:Y962)</f>
        <v/>
      </c>
      <c r="AD962">
        <f>1-alpha*MAX(0,delta-AC962)</f>
        <v/>
      </c>
      <c r="AE962">
        <f>AB962*AD962</f>
        <v/>
      </c>
      <c r="AF962">
        <f>1+COUNTIF(bounds,"&lt;"&amp;ROUND(AB962,12))</f>
        <v/>
      </c>
      <c r="AG962">
        <f>1+COUNTIF(bounds,"&lt;"&amp;ROUND(AE962,12))</f>
        <v/>
      </c>
      <c r="AH962">
        <f>IF(AD962&lt;1,1,0)</f>
        <v/>
      </c>
      <c r="AI962">
        <f>IF(AF962&lt;&gt;AG962,1,0)</f>
        <v/>
      </c>
      <c r="AJ962">
        <f>IF(AND(AG962&gt;=3,Z962&lt;=0.2),1,0)</f>
        <v/>
      </c>
      <c r="AK962">
        <f>AVERAGE(U962:Z962)</f>
        <v/>
      </c>
      <c r="AL962">
        <f>1+COUNTIF(bounds,"&lt;"&amp;ROUND(AK962,12))</f>
        <v/>
      </c>
      <c r="AM962">
        <f>IF(AI962=1,AB962,NA())</f>
        <v/>
      </c>
      <c r="AN962">
        <f>IF(AI962=0,AB962,NA())</f>
        <v/>
      </c>
    </row>
    <row r="963">
      <c r="A963" t="n">
        <v>955</v>
      </c>
      <c r="B963" t="n">
        <v>3</v>
      </c>
      <c r="C963" t="n">
        <v>4</v>
      </c>
      <c r="D963" t="n">
        <v>5</v>
      </c>
      <c r="E963" t="n">
        <v>3</v>
      </c>
      <c r="F963" t="n">
        <v>2</v>
      </c>
      <c r="G963" t="n">
        <v>1</v>
      </c>
      <c r="H963" t="n">
        <v>2</v>
      </c>
      <c r="I963" t="n">
        <v>3</v>
      </c>
      <c r="J963" t="n">
        <v>2</v>
      </c>
      <c r="K963" t="n">
        <v>4</v>
      </c>
      <c r="L963" t="n">
        <v>2</v>
      </c>
      <c r="M963" t="n">
        <v>2</v>
      </c>
      <c r="N963" t="n">
        <v>4</v>
      </c>
      <c r="O963" t="n">
        <v>5</v>
      </c>
      <c r="P963" t="n">
        <v>1</v>
      </c>
      <c r="Q963" t="n">
        <v>2</v>
      </c>
      <c r="R963" t="n">
        <v>3</v>
      </c>
      <c r="S963" t="n">
        <v>1</v>
      </c>
      <c r="T963" t="n">
        <v>1</v>
      </c>
      <c r="U963">
        <f>(AVERAGE(B963:D963)-1)/4</f>
        <v/>
      </c>
      <c r="V963">
        <f>(AVERAGE(E963:F963)-1)/4</f>
        <v/>
      </c>
      <c r="W963">
        <f>(AVERAGE(G963:I963)-1)/4</f>
        <v/>
      </c>
      <c r="X963">
        <f>(AVERAGE(J963:L963)-1)/4</f>
        <v/>
      </c>
      <c r="Y963">
        <f>(AVERAGE(M963:O963)-1)/4</f>
        <v/>
      </c>
      <c r="Z963">
        <f>(AVERAGE(P963:R963)-1)/4</f>
        <v/>
      </c>
      <c r="AA963">
        <f>(AVERAGE(S963:T963)-1)/4</f>
        <v/>
      </c>
      <c r="AB963">
        <f>AVERAGE(U963:Y963)</f>
        <v/>
      </c>
      <c r="AC963">
        <f>MIN(U963:Y963)</f>
        <v/>
      </c>
      <c r="AD963">
        <f>1-alpha*MAX(0,delta-AC963)</f>
        <v/>
      </c>
      <c r="AE963">
        <f>AB963*AD963</f>
        <v/>
      </c>
      <c r="AF963">
        <f>1+COUNTIF(bounds,"&lt;"&amp;ROUND(AB963,12))</f>
        <v/>
      </c>
      <c r="AG963">
        <f>1+COUNTIF(bounds,"&lt;"&amp;ROUND(AE963,12))</f>
        <v/>
      </c>
      <c r="AH963">
        <f>IF(AD963&lt;1,1,0)</f>
        <v/>
      </c>
      <c r="AI963">
        <f>IF(AF963&lt;&gt;AG963,1,0)</f>
        <v/>
      </c>
      <c r="AJ963">
        <f>IF(AND(AG963&gt;=3,Z963&lt;=0.2),1,0)</f>
        <v/>
      </c>
      <c r="AK963">
        <f>AVERAGE(U963:Z963)</f>
        <v/>
      </c>
      <c r="AL963">
        <f>1+COUNTIF(bounds,"&lt;"&amp;ROUND(AK963,12))</f>
        <v/>
      </c>
      <c r="AM963">
        <f>IF(AI963=1,AB963,NA())</f>
        <v/>
      </c>
      <c r="AN963">
        <f>IF(AI963=0,AB963,NA())</f>
        <v/>
      </c>
    </row>
    <row r="964">
      <c r="A964" t="n">
        <v>956</v>
      </c>
      <c r="B964" t="n">
        <v>2</v>
      </c>
      <c r="C964" t="n">
        <v>4</v>
      </c>
      <c r="D964" t="n">
        <v>1</v>
      </c>
      <c r="E964" t="n">
        <v>2</v>
      </c>
      <c r="F964" t="n">
        <v>5</v>
      </c>
      <c r="G964" t="n">
        <v>4</v>
      </c>
      <c r="H964" t="n">
        <v>4</v>
      </c>
      <c r="I964" t="n">
        <v>2</v>
      </c>
      <c r="J964" t="n">
        <v>3</v>
      </c>
      <c r="K964" t="n">
        <v>5</v>
      </c>
      <c r="L964" t="n">
        <v>2</v>
      </c>
      <c r="M964" t="n">
        <v>4</v>
      </c>
      <c r="N964" t="n">
        <v>1</v>
      </c>
      <c r="O964" t="n">
        <v>5</v>
      </c>
      <c r="P964" t="n">
        <v>4</v>
      </c>
      <c r="Q964" t="n">
        <v>5</v>
      </c>
      <c r="R964" t="n">
        <v>1</v>
      </c>
      <c r="S964" t="n">
        <v>2</v>
      </c>
      <c r="T964" t="n">
        <v>4</v>
      </c>
      <c r="U964">
        <f>(AVERAGE(B964:D964)-1)/4</f>
        <v/>
      </c>
      <c r="V964">
        <f>(AVERAGE(E964:F964)-1)/4</f>
        <v/>
      </c>
      <c r="W964">
        <f>(AVERAGE(G964:I964)-1)/4</f>
        <v/>
      </c>
      <c r="X964">
        <f>(AVERAGE(J964:L964)-1)/4</f>
        <v/>
      </c>
      <c r="Y964">
        <f>(AVERAGE(M964:O964)-1)/4</f>
        <v/>
      </c>
      <c r="Z964">
        <f>(AVERAGE(P964:R964)-1)/4</f>
        <v/>
      </c>
      <c r="AA964">
        <f>(AVERAGE(S964:T964)-1)/4</f>
        <v/>
      </c>
      <c r="AB964">
        <f>AVERAGE(U964:Y964)</f>
        <v/>
      </c>
      <c r="AC964">
        <f>MIN(U964:Y964)</f>
        <v/>
      </c>
      <c r="AD964">
        <f>1-alpha*MAX(0,delta-AC964)</f>
        <v/>
      </c>
      <c r="AE964">
        <f>AB964*AD964</f>
        <v/>
      </c>
      <c r="AF964">
        <f>1+COUNTIF(bounds,"&lt;"&amp;ROUND(AB964,12))</f>
        <v/>
      </c>
      <c r="AG964">
        <f>1+COUNTIF(bounds,"&lt;"&amp;ROUND(AE964,12))</f>
        <v/>
      </c>
      <c r="AH964">
        <f>IF(AD964&lt;1,1,0)</f>
        <v/>
      </c>
      <c r="AI964">
        <f>IF(AF964&lt;&gt;AG964,1,0)</f>
        <v/>
      </c>
      <c r="AJ964">
        <f>IF(AND(AG964&gt;=3,Z964&lt;=0.2),1,0)</f>
        <v/>
      </c>
      <c r="AK964">
        <f>AVERAGE(U964:Z964)</f>
        <v/>
      </c>
      <c r="AL964">
        <f>1+COUNTIF(bounds,"&lt;"&amp;ROUND(AK964,12))</f>
        <v/>
      </c>
      <c r="AM964">
        <f>IF(AI964=1,AB964,NA())</f>
        <v/>
      </c>
      <c r="AN964">
        <f>IF(AI964=0,AB964,NA())</f>
        <v/>
      </c>
    </row>
    <row r="965">
      <c r="A965" t="n">
        <v>957</v>
      </c>
      <c r="B965" t="n">
        <v>1</v>
      </c>
      <c r="C965" t="n">
        <v>2</v>
      </c>
      <c r="D965" t="n">
        <v>2</v>
      </c>
      <c r="E965" t="n">
        <v>1</v>
      </c>
      <c r="F965" t="n">
        <v>3</v>
      </c>
      <c r="G965" t="n">
        <v>5</v>
      </c>
      <c r="H965" t="n">
        <v>3</v>
      </c>
      <c r="I965" t="n">
        <v>3</v>
      </c>
      <c r="J965" t="n">
        <v>1</v>
      </c>
      <c r="K965" t="n">
        <v>3</v>
      </c>
      <c r="L965" t="n">
        <v>4</v>
      </c>
      <c r="M965" t="n">
        <v>3</v>
      </c>
      <c r="N965" t="n">
        <v>3</v>
      </c>
      <c r="O965" t="n">
        <v>5</v>
      </c>
      <c r="P965" t="n">
        <v>4</v>
      </c>
      <c r="Q965" t="n">
        <v>1</v>
      </c>
      <c r="R965" t="n">
        <v>4</v>
      </c>
      <c r="S965" t="n">
        <v>5</v>
      </c>
      <c r="T965" t="n">
        <v>2</v>
      </c>
      <c r="U965">
        <f>(AVERAGE(B965:D965)-1)/4</f>
        <v/>
      </c>
      <c r="V965">
        <f>(AVERAGE(E965:F965)-1)/4</f>
        <v/>
      </c>
      <c r="W965">
        <f>(AVERAGE(G965:I965)-1)/4</f>
        <v/>
      </c>
      <c r="X965">
        <f>(AVERAGE(J965:L965)-1)/4</f>
        <v/>
      </c>
      <c r="Y965">
        <f>(AVERAGE(M965:O965)-1)/4</f>
        <v/>
      </c>
      <c r="Z965">
        <f>(AVERAGE(P965:R965)-1)/4</f>
        <v/>
      </c>
      <c r="AA965">
        <f>(AVERAGE(S965:T965)-1)/4</f>
        <v/>
      </c>
      <c r="AB965">
        <f>AVERAGE(U965:Y965)</f>
        <v/>
      </c>
      <c r="AC965">
        <f>MIN(U965:Y965)</f>
        <v/>
      </c>
      <c r="AD965">
        <f>1-alpha*MAX(0,delta-AC965)</f>
        <v/>
      </c>
      <c r="AE965">
        <f>AB965*AD965</f>
        <v/>
      </c>
      <c r="AF965">
        <f>1+COUNTIF(bounds,"&lt;"&amp;ROUND(AB965,12))</f>
        <v/>
      </c>
      <c r="AG965">
        <f>1+COUNTIF(bounds,"&lt;"&amp;ROUND(AE965,12))</f>
        <v/>
      </c>
      <c r="AH965">
        <f>IF(AD965&lt;1,1,0)</f>
        <v/>
      </c>
      <c r="AI965">
        <f>IF(AF965&lt;&gt;AG965,1,0)</f>
        <v/>
      </c>
      <c r="AJ965">
        <f>IF(AND(AG965&gt;=3,Z965&lt;=0.2),1,0)</f>
        <v/>
      </c>
      <c r="AK965">
        <f>AVERAGE(U965:Z965)</f>
        <v/>
      </c>
      <c r="AL965">
        <f>1+COUNTIF(bounds,"&lt;"&amp;ROUND(AK965,12))</f>
        <v/>
      </c>
      <c r="AM965">
        <f>IF(AI965=1,AB965,NA())</f>
        <v/>
      </c>
      <c r="AN965">
        <f>IF(AI965=0,AB965,NA())</f>
        <v/>
      </c>
    </row>
    <row r="966">
      <c r="A966" t="n">
        <v>958</v>
      </c>
      <c r="B966" t="n">
        <v>2</v>
      </c>
      <c r="C966" t="n">
        <v>3</v>
      </c>
      <c r="D966" t="n">
        <v>4</v>
      </c>
      <c r="E966" t="n">
        <v>2</v>
      </c>
      <c r="F966" t="n">
        <v>4</v>
      </c>
      <c r="G966" t="n">
        <v>1</v>
      </c>
      <c r="H966" t="n">
        <v>2</v>
      </c>
      <c r="I966" t="n">
        <v>4</v>
      </c>
      <c r="J966" t="n">
        <v>1</v>
      </c>
      <c r="K966" t="n">
        <v>2</v>
      </c>
      <c r="L966" t="n">
        <v>3</v>
      </c>
      <c r="M966" t="n">
        <v>2</v>
      </c>
      <c r="N966" t="n">
        <v>3</v>
      </c>
      <c r="O966" t="n">
        <v>3</v>
      </c>
      <c r="P966" t="n">
        <v>4</v>
      </c>
      <c r="Q966" t="n">
        <v>3</v>
      </c>
      <c r="R966" t="n">
        <v>4</v>
      </c>
      <c r="S966" t="n">
        <v>2</v>
      </c>
      <c r="T966" t="n">
        <v>5</v>
      </c>
      <c r="U966">
        <f>(AVERAGE(B966:D966)-1)/4</f>
        <v/>
      </c>
      <c r="V966">
        <f>(AVERAGE(E966:F966)-1)/4</f>
        <v/>
      </c>
      <c r="W966">
        <f>(AVERAGE(G966:I966)-1)/4</f>
        <v/>
      </c>
      <c r="X966">
        <f>(AVERAGE(J966:L966)-1)/4</f>
        <v/>
      </c>
      <c r="Y966">
        <f>(AVERAGE(M966:O966)-1)/4</f>
        <v/>
      </c>
      <c r="Z966">
        <f>(AVERAGE(P966:R966)-1)/4</f>
        <v/>
      </c>
      <c r="AA966">
        <f>(AVERAGE(S966:T966)-1)/4</f>
        <v/>
      </c>
      <c r="AB966">
        <f>AVERAGE(U966:Y966)</f>
        <v/>
      </c>
      <c r="AC966">
        <f>MIN(U966:Y966)</f>
        <v/>
      </c>
      <c r="AD966">
        <f>1-alpha*MAX(0,delta-AC966)</f>
        <v/>
      </c>
      <c r="AE966">
        <f>AB966*AD966</f>
        <v/>
      </c>
      <c r="AF966">
        <f>1+COUNTIF(bounds,"&lt;"&amp;ROUND(AB966,12))</f>
        <v/>
      </c>
      <c r="AG966">
        <f>1+COUNTIF(bounds,"&lt;"&amp;ROUND(AE966,12))</f>
        <v/>
      </c>
      <c r="AH966">
        <f>IF(AD966&lt;1,1,0)</f>
        <v/>
      </c>
      <c r="AI966">
        <f>IF(AF966&lt;&gt;AG966,1,0)</f>
        <v/>
      </c>
      <c r="AJ966">
        <f>IF(AND(AG966&gt;=3,Z966&lt;=0.2),1,0)</f>
        <v/>
      </c>
      <c r="AK966">
        <f>AVERAGE(U966:Z966)</f>
        <v/>
      </c>
      <c r="AL966">
        <f>1+COUNTIF(bounds,"&lt;"&amp;ROUND(AK966,12))</f>
        <v/>
      </c>
      <c r="AM966">
        <f>IF(AI966=1,AB966,NA())</f>
        <v/>
      </c>
      <c r="AN966">
        <f>IF(AI966=0,AB966,NA())</f>
        <v/>
      </c>
    </row>
    <row r="967">
      <c r="A967" t="n">
        <v>959</v>
      </c>
      <c r="B967" t="n">
        <v>2</v>
      </c>
      <c r="C967" t="n">
        <v>2</v>
      </c>
      <c r="D967" t="n">
        <v>2</v>
      </c>
      <c r="E967" t="n">
        <v>2</v>
      </c>
      <c r="F967" t="n">
        <v>5</v>
      </c>
      <c r="G967" t="n">
        <v>4</v>
      </c>
      <c r="H967" t="n">
        <v>2</v>
      </c>
      <c r="I967" t="n">
        <v>1</v>
      </c>
      <c r="J967" t="n">
        <v>3</v>
      </c>
      <c r="K967" t="n">
        <v>3</v>
      </c>
      <c r="L967" t="n">
        <v>1</v>
      </c>
      <c r="M967" t="n">
        <v>2</v>
      </c>
      <c r="N967" t="n">
        <v>4</v>
      </c>
      <c r="O967" t="n">
        <v>4</v>
      </c>
      <c r="P967" t="n">
        <v>3</v>
      </c>
      <c r="Q967" t="n">
        <v>1</v>
      </c>
      <c r="R967" t="n">
        <v>1</v>
      </c>
      <c r="S967" t="n">
        <v>4</v>
      </c>
      <c r="T967" t="n">
        <v>2</v>
      </c>
      <c r="U967">
        <f>(AVERAGE(B967:D967)-1)/4</f>
        <v/>
      </c>
      <c r="V967">
        <f>(AVERAGE(E967:F967)-1)/4</f>
        <v/>
      </c>
      <c r="W967">
        <f>(AVERAGE(G967:I967)-1)/4</f>
        <v/>
      </c>
      <c r="X967">
        <f>(AVERAGE(J967:L967)-1)/4</f>
        <v/>
      </c>
      <c r="Y967">
        <f>(AVERAGE(M967:O967)-1)/4</f>
        <v/>
      </c>
      <c r="Z967">
        <f>(AVERAGE(P967:R967)-1)/4</f>
        <v/>
      </c>
      <c r="AA967">
        <f>(AVERAGE(S967:T967)-1)/4</f>
        <v/>
      </c>
      <c r="AB967">
        <f>AVERAGE(U967:Y967)</f>
        <v/>
      </c>
      <c r="AC967">
        <f>MIN(U967:Y967)</f>
        <v/>
      </c>
      <c r="AD967">
        <f>1-alpha*MAX(0,delta-AC967)</f>
        <v/>
      </c>
      <c r="AE967">
        <f>AB967*AD967</f>
        <v/>
      </c>
      <c r="AF967">
        <f>1+COUNTIF(bounds,"&lt;"&amp;ROUND(AB967,12))</f>
        <v/>
      </c>
      <c r="AG967">
        <f>1+COUNTIF(bounds,"&lt;"&amp;ROUND(AE967,12))</f>
        <v/>
      </c>
      <c r="AH967">
        <f>IF(AD967&lt;1,1,0)</f>
        <v/>
      </c>
      <c r="AI967">
        <f>IF(AF967&lt;&gt;AG967,1,0)</f>
        <v/>
      </c>
      <c r="AJ967">
        <f>IF(AND(AG967&gt;=3,Z967&lt;=0.2),1,0)</f>
        <v/>
      </c>
      <c r="AK967">
        <f>AVERAGE(U967:Z967)</f>
        <v/>
      </c>
      <c r="AL967">
        <f>1+COUNTIF(bounds,"&lt;"&amp;ROUND(AK967,12))</f>
        <v/>
      </c>
      <c r="AM967">
        <f>IF(AI967=1,AB967,NA())</f>
        <v/>
      </c>
      <c r="AN967">
        <f>IF(AI967=0,AB967,NA())</f>
        <v/>
      </c>
    </row>
    <row r="968">
      <c r="A968" t="n">
        <v>960</v>
      </c>
      <c r="B968" t="n">
        <v>5</v>
      </c>
      <c r="C968" t="n">
        <v>1</v>
      </c>
      <c r="D968" t="n">
        <v>1</v>
      </c>
      <c r="E968" t="n">
        <v>3</v>
      </c>
      <c r="F968" t="n">
        <v>1</v>
      </c>
      <c r="G968" t="n">
        <v>3</v>
      </c>
      <c r="H968" t="n">
        <v>2</v>
      </c>
      <c r="I968" t="n">
        <v>4</v>
      </c>
      <c r="J968" t="n">
        <v>2</v>
      </c>
      <c r="K968" t="n">
        <v>4</v>
      </c>
      <c r="L968" t="n">
        <v>4</v>
      </c>
      <c r="M968" t="n">
        <v>1</v>
      </c>
      <c r="N968" t="n">
        <v>2</v>
      </c>
      <c r="O968" t="n">
        <v>5</v>
      </c>
      <c r="P968" t="n">
        <v>1</v>
      </c>
      <c r="Q968" t="n">
        <v>3</v>
      </c>
      <c r="R968" t="n">
        <v>3</v>
      </c>
      <c r="S968" t="n">
        <v>1</v>
      </c>
      <c r="T968" t="n">
        <v>1</v>
      </c>
      <c r="U968">
        <f>(AVERAGE(B968:D968)-1)/4</f>
        <v/>
      </c>
      <c r="V968">
        <f>(AVERAGE(E968:F968)-1)/4</f>
        <v/>
      </c>
      <c r="W968">
        <f>(AVERAGE(G968:I968)-1)/4</f>
        <v/>
      </c>
      <c r="X968">
        <f>(AVERAGE(J968:L968)-1)/4</f>
        <v/>
      </c>
      <c r="Y968">
        <f>(AVERAGE(M968:O968)-1)/4</f>
        <v/>
      </c>
      <c r="Z968">
        <f>(AVERAGE(P968:R968)-1)/4</f>
        <v/>
      </c>
      <c r="AA968">
        <f>(AVERAGE(S968:T968)-1)/4</f>
        <v/>
      </c>
      <c r="AB968">
        <f>AVERAGE(U968:Y968)</f>
        <v/>
      </c>
      <c r="AC968">
        <f>MIN(U968:Y968)</f>
        <v/>
      </c>
      <c r="AD968">
        <f>1-alpha*MAX(0,delta-AC968)</f>
        <v/>
      </c>
      <c r="AE968">
        <f>AB968*AD968</f>
        <v/>
      </c>
      <c r="AF968">
        <f>1+COUNTIF(bounds,"&lt;"&amp;ROUND(AB968,12))</f>
        <v/>
      </c>
      <c r="AG968">
        <f>1+COUNTIF(bounds,"&lt;"&amp;ROUND(AE968,12))</f>
        <v/>
      </c>
      <c r="AH968">
        <f>IF(AD968&lt;1,1,0)</f>
        <v/>
      </c>
      <c r="AI968">
        <f>IF(AF968&lt;&gt;AG968,1,0)</f>
        <v/>
      </c>
      <c r="AJ968">
        <f>IF(AND(AG968&gt;=3,Z968&lt;=0.2),1,0)</f>
        <v/>
      </c>
      <c r="AK968">
        <f>AVERAGE(U968:Z968)</f>
        <v/>
      </c>
      <c r="AL968">
        <f>1+COUNTIF(bounds,"&lt;"&amp;ROUND(AK968,12))</f>
        <v/>
      </c>
      <c r="AM968">
        <f>IF(AI968=1,AB968,NA())</f>
        <v/>
      </c>
      <c r="AN968">
        <f>IF(AI968=0,AB968,NA())</f>
        <v/>
      </c>
    </row>
    <row r="969">
      <c r="A969" t="n">
        <v>961</v>
      </c>
      <c r="B969" t="n">
        <v>1</v>
      </c>
      <c r="C969" t="n">
        <v>4</v>
      </c>
      <c r="D969" t="n">
        <v>1</v>
      </c>
      <c r="E969" t="n">
        <v>2</v>
      </c>
      <c r="F969" t="n">
        <v>4</v>
      </c>
      <c r="G969" t="n">
        <v>2</v>
      </c>
      <c r="H969" t="n">
        <v>2</v>
      </c>
      <c r="I969" t="n">
        <v>1</v>
      </c>
      <c r="J969" t="n">
        <v>2</v>
      </c>
      <c r="K969" t="n">
        <v>5</v>
      </c>
      <c r="L969" t="n">
        <v>1</v>
      </c>
      <c r="M969" t="n">
        <v>5</v>
      </c>
      <c r="N969" t="n">
        <v>3</v>
      </c>
      <c r="O969" t="n">
        <v>4</v>
      </c>
      <c r="P969" t="n">
        <v>4</v>
      </c>
      <c r="Q969" t="n">
        <v>3</v>
      </c>
      <c r="R969" t="n">
        <v>4</v>
      </c>
      <c r="S969" t="n">
        <v>3</v>
      </c>
      <c r="T969" t="n">
        <v>1</v>
      </c>
      <c r="U969">
        <f>(AVERAGE(B969:D969)-1)/4</f>
        <v/>
      </c>
      <c r="V969">
        <f>(AVERAGE(E969:F969)-1)/4</f>
        <v/>
      </c>
      <c r="W969">
        <f>(AVERAGE(G969:I969)-1)/4</f>
        <v/>
      </c>
      <c r="X969">
        <f>(AVERAGE(J969:L969)-1)/4</f>
        <v/>
      </c>
      <c r="Y969">
        <f>(AVERAGE(M969:O969)-1)/4</f>
        <v/>
      </c>
      <c r="Z969">
        <f>(AVERAGE(P969:R969)-1)/4</f>
        <v/>
      </c>
      <c r="AA969">
        <f>(AVERAGE(S969:T969)-1)/4</f>
        <v/>
      </c>
      <c r="AB969">
        <f>AVERAGE(U969:Y969)</f>
        <v/>
      </c>
      <c r="AC969">
        <f>MIN(U969:Y969)</f>
        <v/>
      </c>
      <c r="AD969">
        <f>1-alpha*MAX(0,delta-AC969)</f>
        <v/>
      </c>
      <c r="AE969">
        <f>AB969*AD969</f>
        <v/>
      </c>
      <c r="AF969">
        <f>1+COUNTIF(bounds,"&lt;"&amp;ROUND(AB969,12))</f>
        <v/>
      </c>
      <c r="AG969">
        <f>1+COUNTIF(bounds,"&lt;"&amp;ROUND(AE969,12))</f>
        <v/>
      </c>
      <c r="AH969">
        <f>IF(AD969&lt;1,1,0)</f>
        <v/>
      </c>
      <c r="AI969">
        <f>IF(AF969&lt;&gt;AG969,1,0)</f>
        <v/>
      </c>
      <c r="AJ969">
        <f>IF(AND(AG969&gt;=3,Z969&lt;=0.2),1,0)</f>
        <v/>
      </c>
      <c r="AK969">
        <f>AVERAGE(U969:Z969)</f>
        <v/>
      </c>
      <c r="AL969">
        <f>1+COUNTIF(bounds,"&lt;"&amp;ROUND(AK969,12))</f>
        <v/>
      </c>
      <c r="AM969">
        <f>IF(AI969=1,AB969,NA())</f>
        <v/>
      </c>
      <c r="AN969">
        <f>IF(AI969=0,AB969,NA())</f>
        <v/>
      </c>
    </row>
    <row r="970">
      <c r="A970" t="n">
        <v>962</v>
      </c>
      <c r="B970" t="n">
        <v>3</v>
      </c>
      <c r="C970" t="n">
        <v>4</v>
      </c>
      <c r="D970" t="n">
        <v>2</v>
      </c>
      <c r="E970" t="n">
        <v>4</v>
      </c>
      <c r="F970" t="n">
        <v>4</v>
      </c>
      <c r="G970" t="n">
        <v>2</v>
      </c>
      <c r="H970" t="n">
        <v>1</v>
      </c>
      <c r="I970" t="n">
        <v>4</v>
      </c>
      <c r="J970" t="n">
        <v>3</v>
      </c>
      <c r="K970" t="n">
        <v>1</v>
      </c>
      <c r="L970" t="n">
        <v>5</v>
      </c>
      <c r="M970" t="n">
        <v>3</v>
      </c>
      <c r="N970" t="n">
        <v>1</v>
      </c>
      <c r="O970" t="n">
        <v>5</v>
      </c>
      <c r="P970" t="n">
        <v>1</v>
      </c>
      <c r="Q970" t="n">
        <v>1</v>
      </c>
      <c r="R970" t="n">
        <v>5</v>
      </c>
      <c r="S970" t="n">
        <v>1</v>
      </c>
      <c r="T970" t="n">
        <v>1</v>
      </c>
      <c r="U970">
        <f>(AVERAGE(B970:D970)-1)/4</f>
        <v/>
      </c>
      <c r="V970">
        <f>(AVERAGE(E970:F970)-1)/4</f>
        <v/>
      </c>
      <c r="W970">
        <f>(AVERAGE(G970:I970)-1)/4</f>
        <v/>
      </c>
      <c r="X970">
        <f>(AVERAGE(J970:L970)-1)/4</f>
        <v/>
      </c>
      <c r="Y970">
        <f>(AVERAGE(M970:O970)-1)/4</f>
        <v/>
      </c>
      <c r="Z970">
        <f>(AVERAGE(P970:R970)-1)/4</f>
        <v/>
      </c>
      <c r="AA970">
        <f>(AVERAGE(S970:T970)-1)/4</f>
        <v/>
      </c>
      <c r="AB970">
        <f>AVERAGE(U970:Y970)</f>
        <v/>
      </c>
      <c r="AC970">
        <f>MIN(U970:Y970)</f>
        <v/>
      </c>
      <c r="AD970">
        <f>1-alpha*MAX(0,delta-AC970)</f>
        <v/>
      </c>
      <c r="AE970">
        <f>AB970*AD970</f>
        <v/>
      </c>
      <c r="AF970">
        <f>1+COUNTIF(bounds,"&lt;"&amp;ROUND(AB970,12))</f>
        <v/>
      </c>
      <c r="AG970">
        <f>1+COUNTIF(bounds,"&lt;"&amp;ROUND(AE970,12))</f>
        <v/>
      </c>
      <c r="AH970">
        <f>IF(AD970&lt;1,1,0)</f>
        <v/>
      </c>
      <c r="AI970">
        <f>IF(AF970&lt;&gt;AG970,1,0)</f>
        <v/>
      </c>
      <c r="AJ970">
        <f>IF(AND(AG970&gt;=3,Z970&lt;=0.2),1,0)</f>
        <v/>
      </c>
      <c r="AK970">
        <f>AVERAGE(U970:Z970)</f>
        <v/>
      </c>
      <c r="AL970">
        <f>1+COUNTIF(bounds,"&lt;"&amp;ROUND(AK970,12))</f>
        <v/>
      </c>
      <c r="AM970">
        <f>IF(AI970=1,AB970,NA())</f>
        <v/>
      </c>
      <c r="AN970">
        <f>IF(AI970=0,AB970,NA())</f>
        <v/>
      </c>
    </row>
    <row r="971">
      <c r="A971" t="n">
        <v>963</v>
      </c>
      <c r="B971" t="n">
        <v>5</v>
      </c>
      <c r="C971" t="n">
        <v>5</v>
      </c>
      <c r="D971" t="n">
        <v>2</v>
      </c>
      <c r="E971" t="n">
        <v>4</v>
      </c>
      <c r="F971" t="n">
        <v>5</v>
      </c>
      <c r="G971" t="n">
        <v>2</v>
      </c>
      <c r="H971" t="n">
        <v>3</v>
      </c>
      <c r="I971" t="n">
        <v>1</v>
      </c>
      <c r="J971" t="n">
        <v>3</v>
      </c>
      <c r="K971" t="n">
        <v>4</v>
      </c>
      <c r="L971" t="n">
        <v>2</v>
      </c>
      <c r="M971" t="n">
        <v>3</v>
      </c>
      <c r="N971" t="n">
        <v>2</v>
      </c>
      <c r="O971" t="n">
        <v>2</v>
      </c>
      <c r="P971" t="n">
        <v>1</v>
      </c>
      <c r="Q971" t="n">
        <v>5</v>
      </c>
      <c r="R971" t="n">
        <v>4</v>
      </c>
      <c r="S971" t="n">
        <v>4</v>
      </c>
      <c r="T971" t="n">
        <v>4</v>
      </c>
      <c r="U971">
        <f>(AVERAGE(B971:D971)-1)/4</f>
        <v/>
      </c>
      <c r="V971">
        <f>(AVERAGE(E971:F971)-1)/4</f>
        <v/>
      </c>
      <c r="W971">
        <f>(AVERAGE(G971:I971)-1)/4</f>
        <v/>
      </c>
      <c r="X971">
        <f>(AVERAGE(J971:L971)-1)/4</f>
        <v/>
      </c>
      <c r="Y971">
        <f>(AVERAGE(M971:O971)-1)/4</f>
        <v/>
      </c>
      <c r="Z971">
        <f>(AVERAGE(P971:R971)-1)/4</f>
        <v/>
      </c>
      <c r="AA971">
        <f>(AVERAGE(S971:T971)-1)/4</f>
        <v/>
      </c>
      <c r="AB971">
        <f>AVERAGE(U971:Y971)</f>
        <v/>
      </c>
      <c r="AC971">
        <f>MIN(U971:Y971)</f>
        <v/>
      </c>
      <c r="AD971">
        <f>1-alpha*MAX(0,delta-AC971)</f>
        <v/>
      </c>
      <c r="AE971">
        <f>AB971*AD971</f>
        <v/>
      </c>
      <c r="AF971">
        <f>1+COUNTIF(bounds,"&lt;"&amp;ROUND(AB971,12))</f>
        <v/>
      </c>
      <c r="AG971">
        <f>1+COUNTIF(bounds,"&lt;"&amp;ROUND(AE971,12))</f>
        <v/>
      </c>
      <c r="AH971">
        <f>IF(AD971&lt;1,1,0)</f>
        <v/>
      </c>
      <c r="AI971">
        <f>IF(AF971&lt;&gt;AG971,1,0)</f>
        <v/>
      </c>
      <c r="AJ971">
        <f>IF(AND(AG971&gt;=3,Z971&lt;=0.2),1,0)</f>
        <v/>
      </c>
      <c r="AK971">
        <f>AVERAGE(U971:Z971)</f>
        <v/>
      </c>
      <c r="AL971">
        <f>1+COUNTIF(bounds,"&lt;"&amp;ROUND(AK971,12))</f>
        <v/>
      </c>
      <c r="AM971">
        <f>IF(AI971=1,AB971,NA())</f>
        <v/>
      </c>
      <c r="AN971">
        <f>IF(AI971=0,AB971,NA())</f>
        <v/>
      </c>
    </row>
    <row r="972">
      <c r="A972" t="n">
        <v>964</v>
      </c>
      <c r="B972" t="n">
        <v>2</v>
      </c>
      <c r="C972" t="n">
        <v>3</v>
      </c>
      <c r="D972" t="n">
        <v>2</v>
      </c>
      <c r="E972" t="n">
        <v>2</v>
      </c>
      <c r="F972" t="n">
        <v>2</v>
      </c>
      <c r="G972" t="n">
        <v>4</v>
      </c>
      <c r="H972" t="n">
        <v>4</v>
      </c>
      <c r="I972" t="n">
        <v>2</v>
      </c>
      <c r="J972" t="n">
        <v>2</v>
      </c>
      <c r="K972" t="n">
        <v>2</v>
      </c>
      <c r="L972" t="n">
        <v>3</v>
      </c>
      <c r="M972" t="n">
        <v>5</v>
      </c>
      <c r="N972" t="n">
        <v>4</v>
      </c>
      <c r="O972" t="n">
        <v>2</v>
      </c>
      <c r="P972" t="n">
        <v>4</v>
      </c>
      <c r="Q972" t="n">
        <v>5</v>
      </c>
      <c r="R972" t="n">
        <v>4</v>
      </c>
      <c r="S972" t="n">
        <v>5</v>
      </c>
      <c r="T972" t="n">
        <v>5</v>
      </c>
      <c r="U972">
        <f>(AVERAGE(B972:D972)-1)/4</f>
        <v/>
      </c>
      <c r="V972">
        <f>(AVERAGE(E972:F972)-1)/4</f>
        <v/>
      </c>
      <c r="W972">
        <f>(AVERAGE(G972:I972)-1)/4</f>
        <v/>
      </c>
      <c r="X972">
        <f>(AVERAGE(J972:L972)-1)/4</f>
        <v/>
      </c>
      <c r="Y972">
        <f>(AVERAGE(M972:O972)-1)/4</f>
        <v/>
      </c>
      <c r="Z972">
        <f>(AVERAGE(P972:R972)-1)/4</f>
        <v/>
      </c>
      <c r="AA972">
        <f>(AVERAGE(S972:T972)-1)/4</f>
        <v/>
      </c>
      <c r="AB972">
        <f>AVERAGE(U972:Y972)</f>
        <v/>
      </c>
      <c r="AC972">
        <f>MIN(U972:Y972)</f>
        <v/>
      </c>
      <c r="AD972">
        <f>1-alpha*MAX(0,delta-AC972)</f>
        <v/>
      </c>
      <c r="AE972">
        <f>AB972*AD972</f>
        <v/>
      </c>
      <c r="AF972">
        <f>1+COUNTIF(bounds,"&lt;"&amp;ROUND(AB972,12))</f>
        <v/>
      </c>
      <c r="AG972">
        <f>1+COUNTIF(bounds,"&lt;"&amp;ROUND(AE972,12))</f>
        <v/>
      </c>
      <c r="AH972">
        <f>IF(AD972&lt;1,1,0)</f>
        <v/>
      </c>
      <c r="AI972">
        <f>IF(AF972&lt;&gt;AG972,1,0)</f>
        <v/>
      </c>
      <c r="AJ972">
        <f>IF(AND(AG972&gt;=3,Z972&lt;=0.2),1,0)</f>
        <v/>
      </c>
      <c r="AK972">
        <f>AVERAGE(U972:Z972)</f>
        <v/>
      </c>
      <c r="AL972">
        <f>1+COUNTIF(bounds,"&lt;"&amp;ROUND(AK972,12))</f>
        <v/>
      </c>
      <c r="AM972">
        <f>IF(AI972=1,AB972,NA())</f>
        <v/>
      </c>
      <c r="AN972">
        <f>IF(AI972=0,AB972,NA())</f>
        <v/>
      </c>
    </row>
    <row r="973">
      <c r="A973" t="n">
        <v>965</v>
      </c>
      <c r="B973" t="n">
        <v>5</v>
      </c>
      <c r="C973" t="n">
        <v>5</v>
      </c>
      <c r="D973" t="n">
        <v>3</v>
      </c>
      <c r="E973" t="n">
        <v>3</v>
      </c>
      <c r="F973" t="n">
        <v>4</v>
      </c>
      <c r="G973" t="n">
        <v>1</v>
      </c>
      <c r="H973" t="n">
        <v>5</v>
      </c>
      <c r="I973" t="n">
        <v>1</v>
      </c>
      <c r="J973" t="n">
        <v>3</v>
      </c>
      <c r="K973" t="n">
        <v>5</v>
      </c>
      <c r="L973" t="n">
        <v>3</v>
      </c>
      <c r="M973" t="n">
        <v>5</v>
      </c>
      <c r="N973" t="n">
        <v>1</v>
      </c>
      <c r="O973" t="n">
        <v>4</v>
      </c>
      <c r="P973" t="n">
        <v>1</v>
      </c>
      <c r="Q973" t="n">
        <v>4</v>
      </c>
      <c r="R973" t="n">
        <v>2</v>
      </c>
      <c r="S973" t="n">
        <v>1</v>
      </c>
      <c r="T973" t="n">
        <v>4</v>
      </c>
      <c r="U973">
        <f>(AVERAGE(B973:D973)-1)/4</f>
        <v/>
      </c>
      <c r="V973">
        <f>(AVERAGE(E973:F973)-1)/4</f>
        <v/>
      </c>
      <c r="W973">
        <f>(AVERAGE(G973:I973)-1)/4</f>
        <v/>
      </c>
      <c r="X973">
        <f>(AVERAGE(J973:L973)-1)/4</f>
        <v/>
      </c>
      <c r="Y973">
        <f>(AVERAGE(M973:O973)-1)/4</f>
        <v/>
      </c>
      <c r="Z973">
        <f>(AVERAGE(P973:R973)-1)/4</f>
        <v/>
      </c>
      <c r="AA973">
        <f>(AVERAGE(S973:T973)-1)/4</f>
        <v/>
      </c>
      <c r="AB973">
        <f>AVERAGE(U973:Y973)</f>
        <v/>
      </c>
      <c r="AC973">
        <f>MIN(U973:Y973)</f>
        <v/>
      </c>
      <c r="AD973">
        <f>1-alpha*MAX(0,delta-AC973)</f>
        <v/>
      </c>
      <c r="AE973">
        <f>AB973*AD973</f>
        <v/>
      </c>
      <c r="AF973">
        <f>1+COUNTIF(bounds,"&lt;"&amp;ROUND(AB973,12))</f>
        <v/>
      </c>
      <c r="AG973">
        <f>1+COUNTIF(bounds,"&lt;"&amp;ROUND(AE973,12))</f>
        <v/>
      </c>
      <c r="AH973">
        <f>IF(AD973&lt;1,1,0)</f>
        <v/>
      </c>
      <c r="AI973">
        <f>IF(AF973&lt;&gt;AG973,1,0)</f>
        <v/>
      </c>
      <c r="AJ973">
        <f>IF(AND(AG973&gt;=3,Z973&lt;=0.2),1,0)</f>
        <v/>
      </c>
      <c r="AK973">
        <f>AVERAGE(U973:Z973)</f>
        <v/>
      </c>
      <c r="AL973">
        <f>1+COUNTIF(bounds,"&lt;"&amp;ROUND(AK973,12))</f>
        <v/>
      </c>
      <c r="AM973">
        <f>IF(AI973=1,AB973,NA())</f>
        <v/>
      </c>
      <c r="AN973">
        <f>IF(AI973=0,AB973,NA())</f>
        <v/>
      </c>
    </row>
    <row r="974">
      <c r="A974" t="n">
        <v>966</v>
      </c>
      <c r="B974" t="n">
        <v>4</v>
      </c>
      <c r="C974" t="n">
        <v>1</v>
      </c>
      <c r="D974" t="n">
        <v>4</v>
      </c>
      <c r="E974" t="n">
        <v>4</v>
      </c>
      <c r="F974" t="n">
        <v>1</v>
      </c>
      <c r="G974" t="n">
        <v>3</v>
      </c>
      <c r="H974" t="n">
        <v>1</v>
      </c>
      <c r="I974" t="n">
        <v>4</v>
      </c>
      <c r="J974" t="n">
        <v>2</v>
      </c>
      <c r="K974" t="n">
        <v>4</v>
      </c>
      <c r="L974" t="n">
        <v>2</v>
      </c>
      <c r="M974" t="n">
        <v>2</v>
      </c>
      <c r="N974" t="n">
        <v>1</v>
      </c>
      <c r="O974" t="n">
        <v>5</v>
      </c>
      <c r="P974" t="n">
        <v>4</v>
      </c>
      <c r="Q974" t="n">
        <v>4</v>
      </c>
      <c r="R974" t="n">
        <v>5</v>
      </c>
      <c r="S974" t="n">
        <v>3</v>
      </c>
      <c r="T974" t="n">
        <v>3</v>
      </c>
      <c r="U974">
        <f>(AVERAGE(B974:D974)-1)/4</f>
        <v/>
      </c>
      <c r="V974">
        <f>(AVERAGE(E974:F974)-1)/4</f>
        <v/>
      </c>
      <c r="W974">
        <f>(AVERAGE(G974:I974)-1)/4</f>
        <v/>
      </c>
      <c r="X974">
        <f>(AVERAGE(J974:L974)-1)/4</f>
        <v/>
      </c>
      <c r="Y974">
        <f>(AVERAGE(M974:O974)-1)/4</f>
        <v/>
      </c>
      <c r="Z974">
        <f>(AVERAGE(P974:R974)-1)/4</f>
        <v/>
      </c>
      <c r="AA974">
        <f>(AVERAGE(S974:T974)-1)/4</f>
        <v/>
      </c>
      <c r="AB974">
        <f>AVERAGE(U974:Y974)</f>
        <v/>
      </c>
      <c r="AC974">
        <f>MIN(U974:Y974)</f>
        <v/>
      </c>
      <c r="AD974">
        <f>1-alpha*MAX(0,delta-AC974)</f>
        <v/>
      </c>
      <c r="AE974">
        <f>AB974*AD974</f>
        <v/>
      </c>
      <c r="AF974">
        <f>1+COUNTIF(bounds,"&lt;"&amp;ROUND(AB974,12))</f>
        <v/>
      </c>
      <c r="AG974">
        <f>1+COUNTIF(bounds,"&lt;"&amp;ROUND(AE974,12))</f>
        <v/>
      </c>
      <c r="AH974">
        <f>IF(AD974&lt;1,1,0)</f>
        <v/>
      </c>
      <c r="AI974">
        <f>IF(AF974&lt;&gt;AG974,1,0)</f>
        <v/>
      </c>
      <c r="AJ974">
        <f>IF(AND(AG974&gt;=3,Z974&lt;=0.2),1,0)</f>
        <v/>
      </c>
      <c r="AK974">
        <f>AVERAGE(U974:Z974)</f>
        <v/>
      </c>
      <c r="AL974">
        <f>1+COUNTIF(bounds,"&lt;"&amp;ROUND(AK974,12))</f>
        <v/>
      </c>
      <c r="AM974">
        <f>IF(AI974=1,AB974,NA())</f>
        <v/>
      </c>
      <c r="AN974">
        <f>IF(AI974=0,AB974,NA())</f>
        <v/>
      </c>
    </row>
    <row r="975">
      <c r="A975" t="n">
        <v>967</v>
      </c>
      <c r="B975" t="n">
        <v>1</v>
      </c>
      <c r="C975" t="n">
        <v>3</v>
      </c>
      <c r="D975" t="n">
        <v>5</v>
      </c>
      <c r="E975" t="n">
        <v>1</v>
      </c>
      <c r="F975" t="n">
        <v>5</v>
      </c>
      <c r="G975" t="n">
        <v>3</v>
      </c>
      <c r="H975" t="n">
        <v>2</v>
      </c>
      <c r="I975" t="n">
        <v>3</v>
      </c>
      <c r="J975" t="n">
        <v>2</v>
      </c>
      <c r="K975" t="n">
        <v>2</v>
      </c>
      <c r="L975" t="n">
        <v>3</v>
      </c>
      <c r="M975" t="n">
        <v>2</v>
      </c>
      <c r="N975" t="n">
        <v>5</v>
      </c>
      <c r="O975" t="n">
        <v>1</v>
      </c>
      <c r="P975" t="n">
        <v>5</v>
      </c>
      <c r="Q975" t="n">
        <v>5</v>
      </c>
      <c r="R975" t="n">
        <v>2</v>
      </c>
      <c r="S975" t="n">
        <v>5</v>
      </c>
      <c r="T975" t="n">
        <v>5</v>
      </c>
      <c r="U975">
        <f>(AVERAGE(B975:D975)-1)/4</f>
        <v/>
      </c>
      <c r="V975">
        <f>(AVERAGE(E975:F975)-1)/4</f>
        <v/>
      </c>
      <c r="W975">
        <f>(AVERAGE(G975:I975)-1)/4</f>
        <v/>
      </c>
      <c r="X975">
        <f>(AVERAGE(J975:L975)-1)/4</f>
        <v/>
      </c>
      <c r="Y975">
        <f>(AVERAGE(M975:O975)-1)/4</f>
        <v/>
      </c>
      <c r="Z975">
        <f>(AVERAGE(P975:R975)-1)/4</f>
        <v/>
      </c>
      <c r="AA975">
        <f>(AVERAGE(S975:T975)-1)/4</f>
        <v/>
      </c>
      <c r="AB975">
        <f>AVERAGE(U975:Y975)</f>
        <v/>
      </c>
      <c r="AC975">
        <f>MIN(U975:Y975)</f>
        <v/>
      </c>
      <c r="AD975">
        <f>1-alpha*MAX(0,delta-AC975)</f>
        <v/>
      </c>
      <c r="AE975">
        <f>AB975*AD975</f>
        <v/>
      </c>
      <c r="AF975">
        <f>1+COUNTIF(bounds,"&lt;"&amp;ROUND(AB975,12))</f>
        <v/>
      </c>
      <c r="AG975">
        <f>1+COUNTIF(bounds,"&lt;"&amp;ROUND(AE975,12))</f>
        <v/>
      </c>
      <c r="AH975">
        <f>IF(AD975&lt;1,1,0)</f>
        <v/>
      </c>
      <c r="AI975">
        <f>IF(AF975&lt;&gt;AG975,1,0)</f>
        <v/>
      </c>
      <c r="AJ975">
        <f>IF(AND(AG975&gt;=3,Z975&lt;=0.2),1,0)</f>
        <v/>
      </c>
      <c r="AK975">
        <f>AVERAGE(U975:Z975)</f>
        <v/>
      </c>
      <c r="AL975">
        <f>1+COUNTIF(bounds,"&lt;"&amp;ROUND(AK975,12))</f>
        <v/>
      </c>
      <c r="AM975">
        <f>IF(AI975=1,AB975,NA())</f>
        <v/>
      </c>
      <c r="AN975">
        <f>IF(AI975=0,AB975,NA())</f>
        <v/>
      </c>
    </row>
    <row r="976">
      <c r="A976" t="n">
        <v>968</v>
      </c>
      <c r="B976" t="n">
        <v>1</v>
      </c>
      <c r="C976" t="n">
        <v>5</v>
      </c>
      <c r="D976" t="n">
        <v>1</v>
      </c>
      <c r="E976" t="n">
        <v>3</v>
      </c>
      <c r="F976" t="n">
        <v>3</v>
      </c>
      <c r="G976" t="n">
        <v>2</v>
      </c>
      <c r="H976" t="n">
        <v>4</v>
      </c>
      <c r="I976" t="n">
        <v>4</v>
      </c>
      <c r="J976" t="n">
        <v>2</v>
      </c>
      <c r="K976" t="n">
        <v>5</v>
      </c>
      <c r="L976" t="n">
        <v>3</v>
      </c>
      <c r="M976" t="n">
        <v>3</v>
      </c>
      <c r="N976" t="n">
        <v>3</v>
      </c>
      <c r="O976" t="n">
        <v>5</v>
      </c>
      <c r="P976" t="n">
        <v>1</v>
      </c>
      <c r="Q976" t="n">
        <v>4</v>
      </c>
      <c r="R976" t="n">
        <v>4</v>
      </c>
      <c r="S976" t="n">
        <v>2</v>
      </c>
      <c r="T976" t="n">
        <v>5</v>
      </c>
      <c r="U976">
        <f>(AVERAGE(B976:D976)-1)/4</f>
        <v/>
      </c>
      <c r="V976">
        <f>(AVERAGE(E976:F976)-1)/4</f>
        <v/>
      </c>
      <c r="W976">
        <f>(AVERAGE(G976:I976)-1)/4</f>
        <v/>
      </c>
      <c r="X976">
        <f>(AVERAGE(J976:L976)-1)/4</f>
        <v/>
      </c>
      <c r="Y976">
        <f>(AVERAGE(M976:O976)-1)/4</f>
        <v/>
      </c>
      <c r="Z976">
        <f>(AVERAGE(P976:R976)-1)/4</f>
        <v/>
      </c>
      <c r="AA976">
        <f>(AVERAGE(S976:T976)-1)/4</f>
        <v/>
      </c>
      <c r="AB976">
        <f>AVERAGE(U976:Y976)</f>
        <v/>
      </c>
      <c r="AC976">
        <f>MIN(U976:Y976)</f>
        <v/>
      </c>
      <c r="AD976">
        <f>1-alpha*MAX(0,delta-AC976)</f>
        <v/>
      </c>
      <c r="AE976">
        <f>AB976*AD976</f>
        <v/>
      </c>
      <c r="AF976">
        <f>1+COUNTIF(bounds,"&lt;"&amp;ROUND(AB976,12))</f>
        <v/>
      </c>
      <c r="AG976">
        <f>1+COUNTIF(bounds,"&lt;"&amp;ROUND(AE976,12))</f>
        <v/>
      </c>
      <c r="AH976">
        <f>IF(AD976&lt;1,1,0)</f>
        <v/>
      </c>
      <c r="AI976">
        <f>IF(AF976&lt;&gt;AG976,1,0)</f>
        <v/>
      </c>
      <c r="AJ976">
        <f>IF(AND(AG976&gt;=3,Z976&lt;=0.2),1,0)</f>
        <v/>
      </c>
      <c r="AK976">
        <f>AVERAGE(U976:Z976)</f>
        <v/>
      </c>
      <c r="AL976">
        <f>1+COUNTIF(bounds,"&lt;"&amp;ROUND(AK976,12))</f>
        <v/>
      </c>
      <c r="AM976">
        <f>IF(AI976=1,AB976,NA())</f>
        <v/>
      </c>
      <c r="AN976">
        <f>IF(AI976=0,AB976,NA())</f>
        <v/>
      </c>
    </row>
    <row r="977">
      <c r="A977" t="n">
        <v>969</v>
      </c>
      <c r="B977" t="n">
        <v>5</v>
      </c>
      <c r="C977" t="n">
        <v>1</v>
      </c>
      <c r="D977" t="n">
        <v>1</v>
      </c>
      <c r="E977" t="n">
        <v>2</v>
      </c>
      <c r="F977" t="n">
        <v>4</v>
      </c>
      <c r="G977" t="n">
        <v>1</v>
      </c>
      <c r="H977" t="n">
        <v>2</v>
      </c>
      <c r="I977" t="n">
        <v>1</v>
      </c>
      <c r="J977" t="n">
        <v>1</v>
      </c>
      <c r="K977" t="n">
        <v>2</v>
      </c>
      <c r="L977" t="n">
        <v>3</v>
      </c>
      <c r="M977" t="n">
        <v>3</v>
      </c>
      <c r="N977" t="n">
        <v>3</v>
      </c>
      <c r="O977" t="n">
        <v>5</v>
      </c>
      <c r="P977" t="n">
        <v>4</v>
      </c>
      <c r="Q977" t="n">
        <v>3</v>
      </c>
      <c r="R977" t="n">
        <v>2</v>
      </c>
      <c r="S977" t="n">
        <v>4</v>
      </c>
      <c r="T977" t="n">
        <v>3</v>
      </c>
      <c r="U977">
        <f>(AVERAGE(B977:D977)-1)/4</f>
        <v/>
      </c>
      <c r="V977">
        <f>(AVERAGE(E977:F977)-1)/4</f>
        <v/>
      </c>
      <c r="W977">
        <f>(AVERAGE(G977:I977)-1)/4</f>
        <v/>
      </c>
      <c r="X977">
        <f>(AVERAGE(J977:L977)-1)/4</f>
        <v/>
      </c>
      <c r="Y977">
        <f>(AVERAGE(M977:O977)-1)/4</f>
        <v/>
      </c>
      <c r="Z977">
        <f>(AVERAGE(P977:R977)-1)/4</f>
        <v/>
      </c>
      <c r="AA977">
        <f>(AVERAGE(S977:T977)-1)/4</f>
        <v/>
      </c>
      <c r="AB977">
        <f>AVERAGE(U977:Y977)</f>
        <v/>
      </c>
      <c r="AC977">
        <f>MIN(U977:Y977)</f>
        <v/>
      </c>
      <c r="AD977">
        <f>1-alpha*MAX(0,delta-AC977)</f>
        <v/>
      </c>
      <c r="AE977">
        <f>AB977*AD977</f>
        <v/>
      </c>
      <c r="AF977">
        <f>1+COUNTIF(bounds,"&lt;"&amp;ROUND(AB977,12))</f>
        <v/>
      </c>
      <c r="AG977">
        <f>1+COUNTIF(bounds,"&lt;"&amp;ROUND(AE977,12))</f>
        <v/>
      </c>
      <c r="AH977">
        <f>IF(AD977&lt;1,1,0)</f>
        <v/>
      </c>
      <c r="AI977">
        <f>IF(AF977&lt;&gt;AG977,1,0)</f>
        <v/>
      </c>
      <c r="AJ977">
        <f>IF(AND(AG977&gt;=3,Z977&lt;=0.2),1,0)</f>
        <v/>
      </c>
      <c r="AK977">
        <f>AVERAGE(U977:Z977)</f>
        <v/>
      </c>
      <c r="AL977">
        <f>1+COUNTIF(bounds,"&lt;"&amp;ROUND(AK977,12))</f>
        <v/>
      </c>
      <c r="AM977">
        <f>IF(AI977=1,AB977,NA())</f>
        <v/>
      </c>
      <c r="AN977">
        <f>IF(AI977=0,AB977,NA())</f>
        <v/>
      </c>
    </row>
    <row r="978">
      <c r="A978" t="n">
        <v>970</v>
      </c>
      <c r="B978" t="n">
        <v>1</v>
      </c>
      <c r="C978" t="n">
        <v>4</v>
      </c>
      <c r="D978" t="n">
        <v>2</v>
      </c>
      <c r="E978" t="n">
        <v>3</v>
      </c>
      <c r="F978" t="n">
        <v>1</v>
      </c>
      <c r="G978" t="n">
        <v>3</v>
      </c>
      <c r="H978" t="n">
        <v>4</v>
      </c>
      <c r="I978" t="n">
        <v>4</v>
      </c>
      <c r="J978" t="n">
        <v>5</v>
      </c>
      <c r="K978" t="n">
        <v>5</v>
      </c>
      <c r="L978" t="n">
        <v>2</v>
      </c>
      <c r="M978" t="n">
        <v>3</v>
      </c>
      <c r="N978" t="n">
        <v>3</v>
      </c>
      <c r="O978" t="n">
        <v>3</v>
      </c>
      <c r="P978" t="n">
        <v>3</v>
      </c>
      <c r="Q978" t="n">
        <v>3</v>
      </c>
      <c r="R978" t="n">
        <v>5</v>
      </c>
      <c r="S978" t="n">
        <v>1</v>
      </c>
      <c r="T978" t="n">
        <v>1</v>
      </c>
      <c r="U978">
        <f>(AVERAGE(B978:D978)-1)/4</f>
        <v/>
      </c>
      <c r="V978">
        <f>(AVERAGE(E978:F978)-1)/4</f>
        <v/>
      </c>
      <c r="W978">
        <f>(AVERAGE(G978:I978)-1)/4</f>
        <v/>
      </c>
      <c r="X978">
        <f>(AVERAGE(J978:L978)-1)/4</f>
        <v/>
      </c>
      <c r="Y978">
        <f>(AVERAGE(M978:O978)-1)/4</f>
        <v/>
      </c>
      <c r="Z978">
        <f>(AVERAGE(P978:R978)-1)/4</f>
        <v/>
      </c>
      <c r="AA978">
        <f>(AVERAGE(S978:T978)-1)/4</f>
        <v/>
      </c>
      <c r="AB978">
        <f>AVERAGE(U978:Y978)</f>
        <v/>
      </c>
      <c r="AC978">
        <f>MIN(U978:Y978)</f>
        <v/>
      </c>
      <c r="AD978">
        <f>1-alpha*MAX(0,delta-AC978)</f>
        <v/>
      </c>
      <c r="AE978">
        <f>AB978*AD978</f>
        <v/>
      </c>
      <c r="AF978">
        <f>1+COUNTIF(bounds,"&lt;"&amp;ROUND(AB978,12))</f>
        <v/>
      </c>
      <c r="AG978">
        <f>1+COUNTIF(bounds,"&lt;"&amp;ROUND(AE978,12))</f>
        <v/>
      </c>
      <c r="AH978">
        <f>IF(AD978&lt;1,1,0)</f>
        <v/>
      </c>
      <c r="AI978">
        <f>IF(AF978&lt;&gt;AG978,1,0)</f>
        <v/>
      </c>
      <c r="AJ978">
        <f>IF(AND(AG978&gt;=3,Z978&lt;=0.2),1,0)</f>
        <v/>
      </c>
      <c r="AK978">
        <f>AVERAGE(U978:Z978)</f>
        <v/>
      </c>
      <c r="AL978">
        <f>1+COUNTIF(bounds,"&lt;"&amp;ROUND(AK978,12))</f>
        <v/>
      </c>
      <c r="AM978">
        <f>IF(AI978=1,AB978,NA())</f>
        <v/>
      </c>
      <c r="AN978">
        <f>IF(AI978=0,AB978,NA())</f>
        <v/>
      </c>
    </row>
    <row r="979">
      <c r="A979" t="n">
        <v>971</v>
      </c>
      <c r="B979" t="n">
        <v>1</v>
      </c>
      <c r="C979" t="n">
        <v>4</v>
      </c>
      <c r="D979" t="n">
        <v>4</v>
      </c>
      <c r="E979" t="n">
        <v>4</v>
      </c>
      <c r="F979" t="n">
        <v>4</v>
      </c>
      <c r="G979" t="n">
        <v>1</v>
      </c>
      <c r="H979" t="n">
        <v>1</v>
      </c>
      <c r="I979" t="n">
        <v>2</v>
      </c>
      <c r="J979" t="n">
        <v>2</v>
      </c>
      <c r="K979" t="n">
        <v>1</v>
      </c>
      <c r="L979" t="n">
        <v>1</v>
      </c>
      <c r="M979" t="n">
        <v>5</v>
      </c>
      <c r="N979" t="n">
        <v>3</v>
      </c>
      <c r="O979" t="n">
        <v>3</v>
      </c>
      <c r="P979" t="n">
        <v>3</v>
      </c>
      <c r="Q979" t="n">
        <v>4</v>
      </c>
      <c r="R979" t="n">
        <v>3</v>
      </c>
      <c r="S979" t="n">
        <v>3</v>
      </c>
      <c r="T979" t="n">
        <v>1</v>
      </c>
      <c r="U979">
        <f>(AVERAGE(B979:D979)-1)/4</f>
        <v/>
      </c>
      <c r="V979">
        <f>(AVERAGE(E979:F979)-1)/4</f>
        <v/>
      </c>
      <c r="W979">
        <f>(AVERAGE(G979:I979)-1)/4</f>
        <v/>
      </c>
      <c r="X979">
        <f>(AVERAGE(J979:L979)-1)/4</f>
        <v/>
      </c>
      <c r="Y979">
        <f>(AVERAGE(M979:O979)-1)/4</f>
        <v/>
      </c>
      <c r="Z979">
        <f>(AVERAGE(P979:R979)-1)/4</f>
        <v/>
      </c>
      <c r="AA979">
        <f>(AVERAGE(S979:T979)-1)/4</f>
        <v/>
      </c>
      <c r="AB979">
        <f>AVERAGE(U979:Y979)</f>
        <v/>
      </c>
      <c r="AC979">
        <f>MIN(U979:Y979)</f>
        <v/>
      </c>
      <c r="AD979">
        <f>1-alpha*MAX(0,delta-AC979)</f>
        <v/>
      </c>
      <c r="AE979">
        <f>AB979*AD979</f>
        <v/>
      </c>
      <c r="AF979">
        <f>1+COUNTIF(bounds,"&lt;"&amp;ROUND(AB979,12))</f>
        <v/>
      </c>
      <c r="AG979">
        <f>1+COUNTIF(bounds,"&lt;"&amp;ROUND(AE979,12))</f>
        <v/>
      </c>
      <c r="AH979">
        <f>IF(AD979&lt;1,1,0)</f>
        <v/>
      </c>
      <c r="AI979">
        <f>IF(AF979&lt;&gt;AG979,1,0)</f>
        <v/>
      </c>
      <c r="AJ979">
        <f>IF(AND(AG979&gt;=3,Z979&lt;=0.2),1,0)</f>
        <v/>
      </c>
      <c r="AK979">
        <f>AVERAGE(U979:Z979)</f>
        <v/>
      </c>
      <c r="AL979">
        <f>1+COUNTIF(bounds,"&lt;"&amp;ROUND(AK979,12))</f>
        <v/>
      </c>
      <c r="AM979">
        <f>IF(AI979=1,AB979,NA())</f>
        <v/>
      </c>
      <c r="AN979">
        <f>IF(AI979=0,AB979,NA())</f>
        <v/>
      </c>
    </row>
    <row r="980">
      <c r="A980" t="n">
        <v>972</v>
      </c>
      <c r="B980" t="n">
        <v>1</v>
      </c>
      <c r="C980" t="n">
        <v>3</v>
      </c>
      <c r="D980" t="n">
        <v>3</v>
      </c>
      <c r="E980" t="n">
        <v>4</v>
      </c>
      <c r="F980" t="n">
        <v>1</v>
      </c>
      <c r="G980" t="n">
        <v>1</v>
      </c>
      <c r="H980" t="n">
        <v>1</v>
      </c>
      <c r="I980" t="n">
        <v>4</v>
      </c>
      <c r="J980" t="n">
        <v>3</v>
      </c>
      <c r="K980" t="n">
        <v>4</v>
      </c>
      <c r="L980" t="n">
        <v>1</v>
      </c>
      <c r="M980" t="n">
        <v>5</v>
      </c>
      <c r="N980" t="n">
        <v>3</v>
      </c>
      <c r="O980" t="n">
        <v>3</v>
      </c>
      <c r="P980" t="n">
        <v>4</v>
      </c>
      <c r="Q980" t="n">
        <v>5</v>
      </c>
      <c r="R980" t="n">
        <v>3</v>
      </c>
      <c r="S980" t="n">
        <v>4</v>
      </c>
      <c r="T980" t="n">
        <v>1</v>
      </c>
      <c r="U980">
        <f>(AVERAGE(B980:D980)-1)/4</f>
        <v/>
      </c>
      <c r="V980">
        <f>(AVERAGE(E980:F980)-1)/4</f>
        <v/>
      </c>
      <c r="W980">
        <f>(AVERAGE(G980:I980)-1)/4</f>
        <v/>
      </c>
      <c r="X980">
        <f>(AVERAGE(J980:L980)-1)/4</f>
        <v/>
      </c>
      <c r="Y980">
        <f>(AVERAGE(M980:O980)-1)/4</f>
        <v/>
      </c>
      <c r="Z980">
        <f>(AVERAGE(P980:R980)-1)/4</f>
        <v/>
      </c>
      <c r="AA980">
        <f>(AVERAGE(S980:T980)-1)/4</f>
        <v/>
      </c>
      <c r="AB980">
        <f>AVERAGE(U980:Y980)</f>
        <v/>
      </c>
      <c r="AC980">
        <f>MIN(U980:Y980)</f>
        <v/>
      </c>
      <c r="AD980">
        <f>1-alpha*MAX(0,delta-AC980)</f>
        <v/>
      </c>
      <c r="AE980">
        <f>AB980*AD980</f>
        <v/>
      </c>
      <c r="AF980">
        <f>1+COUNTIF(bounds,"&lt;"&amp;ROUND(AB980,12))</f>
        <v/>
      </c>
      <c r="AG980">
        <f>1+COUNTIF(bounds,"&lt;"&amp;ROUND(AE980,12))</f>
        <v/>
      </c>
      <c r="AH980">
        <f>IF(AD980&lt;1,1,0)</f>
        <v/>
      </c>
      <c r="AI980">
        <f>IF(AF980&lt;&gt;AG980,1,0)</f>
        <v/>
      </c>
      <c r="AJ980">
        <f>IF(AND(AG980&gt;=3,Z980&lt;=0.2),1,0)</f>
        <v/>
      </c>
      <c r="AK980">
        <f>AVERAGE(U980:Z980)</f>
        <v/>
      </c>
      <c r="AL980">
        <f>1+COUNTIF(bounds,"&lt;"&amp;ROUND(AK980,12))</f>
        <v/>
      </c>
      <c r="AM980">
        <f>IF(AI980=1,AB980,NA())</f>
        <v/>
      </c>
      <c r="AN980">
        <f>IF(AI980=0,AB980,NA())</f>
        <v/>
      </c>
    </row>
    <row r="981">
      <c r="A981" t="n">
        <v>973</v>
      </c>
      <c r="B981" t="n">
        <v>5</v>
      </c>
      <c r="C981" t="n">
        <v>5</v>
      </c>
      <c r="D981" t="n">
        <v>3</v>
      </c>
      <c r="E981" t="n">
        <v>5</v>
      </c>
      <c r="F981" t="n">
        <v>1</v>
      </c>
      <c r="G981" t="n">
        <v>1</v>
      </c>
      <c r="H981" t="n">
        <v>5</v>
      </c>
      <c r="I981" t="n">
        <v>2</v>
      </c>
      <c r="J981" t="n">
        <v>4</v>
      </c>
      <c r="K981" t="n">
        <v>5</v>
      </c>
      <c r="L981" t="n">
        <v>1</v>
      </c>
      <c r="M981" t="n">
        <v>5</v>
      </c>
      <c r="N981" t="n">
        <v>2</v>
      </c>
      <c r="O981" t="n">
        <v>3</v>
      </c>
      <c r="P981" t="n">
        <v>3</v>
      </c>
      <c r="Q981" t="n">
        <v>3</v>
      </c>
      <c r="R981" t="n">
        <v>2</v>
      </c>
      <c r="S981" t="n">
        <v>1</v>
      </c>
      <c r="T981" t="n">
        <v>3</v>
      </c>
      <c r="U981">
        <f>(AVERAGE(B981:D981)-1)/4</f>
        <v/>
      </c>
      <c r="V981">
        <f>(AVERAGE(E981:F981)-1)/4</f>
        <v/>
      </c>
      <c r="W981">
        <f>(AVERAGE(G981:I981)-1)/4</f>
        <v/>
      </c>
      <c r="X981">
        <f>(AVERAGE(J981:L981)-1)/4</f>
        <v/>
      </c>
      <c r="Y981">
        <f>(AVERAGE(M981:O981)-1)/4</f>
        <v/>
      </c>
      <c r="Z981">
        <f>(AVERAGE(P981:R981)-1)/4</f>
        <v/>
      </c>
      <c r="AA981">
        <f>(AVERAGE(S981:T981)-1)/4</f>
        <v/>
      </c>
      <c r="AB981">
        <f>AVERAGE(U981:Y981)</f>
        <v/>
      </c>
      <c r="AC981">
        <f>MIN(U981:Y981)</f>
        <v/>
      </c>
      <c r="AD981">
        <f>1-alpha*MAX(0,delta-AC981)</f>
        <v/>
      </c>
      <c r="AE981">
        <f>AB981*AD981</f>
        <v/>
      </c>
      <c r="AF981">
        <f>1+COUNTIF(bounds,"&lt;"&amp;ROUND(AB981,12))</f>
        <v/>
      </c>
      <c r="AG981">
        <f>1+COUNTIF(bounds,"&lt;"&amp;ROUND(AE981,12))</f>
        <v/>
      </c>
      <c r="AH981">
        <f>IF(AD981&lt;1,1,0)</f>
        <v/>
      </c>
      <c r="AI981">
        <f>IF(AF981&lt;&gt;AG981,1,0)</f>
        <v/>
      </c>
      <c r="AJ981">
        <f>IF(AND(AG981&gt;=3,Z981&lt;=0.2),1,0)</f>
        <v/>
      </c>
      <c r="AK981">
        <f>AVERAGE(U981:Z981)</f>
        <v/>
      </c>
      <c r="AL981">
        <f>1+COUNTIF(bounds,"&lt;"&amp;ROUND(AK981,12))</f>
        <v/>
      </c>
      <c r="AM981">
        <f>IF(AI981=1,AB981,NA())</f>
        <v/>
      </c>
      <c r="AN981">
        <f>IF(AI981=0,AB981,NA())</f>
        <v/>
      </c>
    </row>
    <row r="982">
      <c r="A982" t="n">
        <v>974</v>
      </c>
      <c r="B982" t="n">
        <v>3</v>
      </c>
      <c r="C982" t="n">
        <v>3</v>
      </c>
      <c r="D982" t="n">
        <v>2</v>
      </c>
      <c r="E982" t="n">
        <v>3</v>
      </c>
      <c r="F982" t="n">
        <v>3</v>
      </c>
      <c r="G982" t="n">
        <v>1</v>
      </c>
      <c r="H982" t="n">
        <v>2</v>
      </c>
      <c r="I982" t="n">
        <v>3</v>
      </c>
      <c r="J982" t="n">
        <v>4</v>
      </c>
      <c r="K982" t="n">
        <v>2</v>
      </c>
      <c r="L982" t="n">
        <v>3</v>
      </c>
      <c r="M982" t="n">
        <v>2</v>
      </c>
      <c r="N982" t="n">
        <v>1</v>
      </c>
      <c r="O982" t="n">
        <v>1</v>
      </c>
      <c r="P982" t="n">
        <v>3</v>
      </c>
      <c r="Q982" t="n">
        <v>2</v>
      </c>
      <c r="R982" t="n">
        <v>3</v>
      </c>
      <c r="S982" t="n">
        <v>5</v>
      </c>
      <c r="T982" t="n">
        <v>2</v>
      </c>
      <c r="U982">
        <f>(AVERAGE(B982:D982)-1)/4</f>
        <v/>
      </c>
      <c r="V982">
        <f>(AVERAGE(E982:F982)-1)/4</f>
        <v/>
      </c>
      <c r="W982">
        <f>(AVERAGE(G982:I982)-1)/4</f>
        <v/>
      </c>
      <c r="X982">
        <f>(AVERAGE(J982:L982)-1)/4</f>
        <v/>
      </c>
      <c r="Y982">
        <f>(AVERAGE(M982:O982)-1)/4</f>
        <v/>
      </c>
      <c r="Z982">
        <f>(AVERAGE(P982:R982)-1)/4</f>
        <v/>
      </c>
      <c r="AA982">
        <f>(AVERAGE(S982:T982)-1)/4</f>
        <v/>
      </c>
      <c r="AB982">
        <f>AVERAGE(U982:Y982)</f>
        <v/>
      </c>
      <c r="AC982">
        <f>MIN(U982:Y982)</f>
        <v/>
      </c>
      <c r="AD982">
        <f>1-alpha*MAX(0,delta-AC982)</f>
        <v/>
      </c>
      <c r="AE982">
        <f>AB982*AD982</f>
        <v/>
      </c>
      <c r="AF982">
        <f>1+COUNTIF(bounds,"&lt;"&amp;ROUND(AB982,12))</f>
        <v/>
      </c>
      <c r="AG982">
        <f>1+COUNTIF(bounds,"&lt;"&amp;ROUND(AE982,12))</f>
        <v/>
      </c>
      <c r="AH982">
        <f>IF(AD982&lt;1,1,0)</f>
        <v/>
      </c>
      <c r="AI982">
        <f>IF(AF982&lt;&gt;AG982,1,0)</f>
        <v/>
      </c>
      <c r="AJ982">
        <f>IF(AND(AG982&gt;=3,Z982&lt;=0.2),1,0)</f>
        <v/>
      </c>
      <c r="AK982">
        <f>AVERAGE(U982:Z982)</f>
        <v/>
      </c>
      <c r="AL982">
        <f>1+COUNTIF(bounds,"&lt;"&amp;ROUND(AK982,12))</f>
        <v/>
      </c>
      <c r="AM982">
        <f>IF(AI982=1,AB982,NA())</f>
        <v/>
      </c>
      <c r="AN982">
        <f>IF(AI982=0,AB982,NA())</f>
        <v/>
      </c>
    </row>
    <row r="983">
      <c r="A983" t="n">
        <v>975</v>
      </c>
      <c r="B983" t="n">
        <v>4</v>
      </c>
      <c r="C983" t="n">
        <v>4</v>
      </c>
      <c r="D983" t="n">
        <v>1</v>
      </c>
      <c r="E983" t="n">
        <v>4</v>
      </c>
      <c r="F983" t="n">
        <v>5</v>
      </c>
      <c r="G983" t="n">
        <v>3</v>
      </c>
      <c r="H983" t="n">
        <v>1</v>
      </c>
      <c r="I983" t="n">
        <v>4</v>
      </c>
      <c r="J983" t="n">
        <v>4</v>
      </c>
      <c r="K983" t="n">
        <v>1</v>
      </c>
      <c r="L983" t="n">
        <v>3</v>
      </c>
      <c r="M983" t="n">
        <v>2</v>
      </c>
      <c r="N983" t="n">
        <v>2</v>
      </c>
      <c r="O983" t="n">
        <v>3</v>
      </c>
      <c r="P983" t="n">
        <v>4</v>
      </c>
      <c r="Q983" t="n">
        <v>4</v>
      </c>
      <c r="R983" t="n">
        <v>5</v>
      </c>
      <c r="S983" t="n">
        <v>2</v>
      </c>
      <c r="T983" t="n">
        <v>5</v>
      </c>
      <c r="U983">
        <f>(AVERAGE(B983:D983)-1)/4</f>
        <v/>
      </c>
      <c r="V983">
        <f>(AVERAGE(E983:F983)-1)/4</f>
        <v/>
      </c>
      <c r="W983">
        <f>(AVERAGE(G983:I983)-1)/4</f>
        <v/>
      </c>
      <c r="X983">
        <f>(AVERAGE(J983:L983)-1)/4</f>
        <v/>
      </c>
      <c r="Y983">
        <f>(AVERAGE(M983:O983)-1)/4</f>
        <v/>
      </c>
      <c r="Z983">
        <f>(AVERAGE(P983:R983)-1)/4</f>
        <v/>
      </c>
      <c r="AA983">
        <f>(AVERAGE(S983:T983)-1)/4</f>
        <v/>
      </c>
      <c r="AB983">
        <f>AVERAGE(U983:Y983)</f>
        <v/>
      </c>
      <c r="AC983">
        <f>MIN(U983:Y983)</f>
        <v/>
      </c>
      <c r="AD983">
        <f>1-alpha*MAX(0,delta-AC983)</f>
        <v/>
      </c>
      <c r="AE983">
        <f>AB983*AD983</f>
        <v/>
      </c>
      <c r="AF983">
        <f>1+COUNTIF(bounds,"&lt;"&amp;ROUND(AB983,12))</f>
        <v/>
      </c>
      <c r="AG983">
        <f>1+COUNTIF(bounds,"&lt;"&amp;ROUND(AE983,12))</f>
        <v/>
      </c>
      <c r="AH983">
        <f>IF(AD983&lt;1,1,0)</f>
        <v/>
      </c>
      <c r="AI983">
        <f>IF(AF983&lt;&gt;AG983,1,0)</f>
        <v/>
      </c>
      <c r="AJ983">
        <f>IF(AND(AG983&gt;=3,Z983&lt;=0.2),1,0)</f>
        <v/>
      </c>
      <c r="AK983">
        <f>AVERAGE(U983:Z983)</f>
        <v/>
      </c>
      <c r="AL983">
        <f>1+COUNTIF(bounds,"&lt;"&amp;ROUND(AK983,12))</f>
        <v/>
      </c>
      <c r="AM983">
        <f>IF(AI983=1,AB983,NA())</f>
        <v/>
      </c>
      <c r="AN983">
        <f>IF(AI983=0,AB983,NA())</f>
        <v/>
      </c>
    </row>
    <row r="984">
      <c r="A984" t="n">
        <v>976</v>
      </c>
      <c r="B984" t="n">
        <v>5</v>
      </c>
      <c r="C984" t="n">
        <v>5</v>
      </c>
      <c r="D984" t="n">
        <v>3</v>
      </c>
      <c r="E984" t="n">
        <v>3</v>
      </c>
      <c r="F984" t="n">
        <v>2</v>
      </c>
      <c r="G984" t="n">
        <v>2</v>
      </c>
      <c r="H984" t="n">
        <v>2</v>
      </c>
      <c r="I984" t="n">
        <v>1</v>
      </c>
      <c r="J984" t="n">
        <v>4</v>
      </c>
      <c r="K984" t="n">
        <v>4</v>
      </c>
      <c r="L984" t="n">
        <v>4</v>
      </c>
      <c r="M984" t="n">
        <v>2</v>
      </c>
      <c r="N984" t="n">
        <v>3</v>
      </c>
      <c r="O984" t="n">
        <v>5</v>
      </c>
      <c r="P984" t="n">
        <v>1</v>
      </c>
      <c r="Q984" t="n">
        <v>5</v>
      </c>
      <c r="R984" t="n">
        <v>3</v>
      </c>
      <c r="S984" t="n">
        <v>3</v>
      </c>
      <c r="T984" t="n">
        <v>3</v>
      </c>
      <c r="U984">
        <f>(AVERAGE(B984:D984)-1)/4</f>
        <v/>
      </c>
      <c r="V984">
        <f>(AVERAGE(E984:F984)-1)/4</f>
        <v/>
      </c>
      <c r="W984">
        <f>(AVERAGE(G984:I984)-1)/4</f>
        <v/>
      </c>
      <c r="X984">
        <f>(AVERAGE(J984:L984)-1)/4</f>
        <v/>
      </c>
      <c r="Y984">
        <f>(AVERAGE(M984:O984)-1)/4</f>
        <v/>
      </c>
      <c r="Z984">
        <f>(AVERAGE(P984:R984)-1)/4</f>
        <v/>
      </c>
      <c r="AA984">
        <f>(AVERAGE(S984:T984)-1)/4</f>
        <v/>
      </c>
      <c r="AB984">
        <f>AVERAGE(U984:Y984)</f>
        <v/>
      </c>
      <c r="AC984">
        <f>MIN(U984:Y984)</f>
        <v/>
      </c>
      <c r="AD984">
        <f>1-alpha*MAX(0,delta-AC984)</f>
        <v/>
      </c>
      <c r="AE984">
        <f>AB984*AD984</f>
        <v/>
      </c>
      <c r="AF984">
        <f>1+COUNTIF(bounds,"&lt;"&amp;ROUND(AB984,12))</f>
        <v/>
      </c>
      <c r="AG984">
        <f>1+COUNTIF(bounds,"&lt;"&amp;ROUND(AE984,12))</f>
        <v/>
      </c>
      <c r="AH984">
        <f>IF(AD984&lt;1,1,0)</f>
        <v/>
      </c>
      <c r="AI984">
        <f>IF(AF984&lt;&gt;AG984,1,0)</f>
        <v/>
      </c>
      <c r="AJ984">
        <f>IF(AND(AG984&gt;=3,Z984&lt;=0.2),1,0)</f>
        <v/>
      </c>
      <c r="AK984">
        <f>AVERAGE(U984:Z984)</f>
        <v/>
      </c>
      <c r="AL984">
        <f>1+COUNTIF(bounds,"&lt;"&amp;ROUND(AK984,12))</f>
        <v/>
      </c>
      <c r="AM984">
        <f>IF(AI984=1,AB984,NA())</f>
        <v/>
      </c>
      <c r="AN984">
        <f>IF(AI984=0,AB984,NA())</f>
        <v/>
      </c>
    </row>
    <row r="985">
      <c r="A985" t="n">
        <v>977</v>
      </c>
      <c r="B985" t="n">
        <v>2</v>
      </c>
      <c r="C985" t="n">
        <v>2</v>
      </c>
      <c r="D985" t="n">
        <v>4</v>
      </c>
      <c r="E985" t="n">
        <v>2</v>
      </c>
      <c r="F985" t="n">
        <v>4</v>
      </c>
      <c r="G985" t="n">
        <v>4</v>
      </c>
      <c r="H985" t="n">
        <v>3</v>
      </c>
      <c r="I985" t="n">
        <v>2</v>
      </c>
      <c r="J985" t="n">
        <v>3</v>
      </c>
      <c r="K985" t="n">
        <v>1</v>
      </c>
      <c r="L985" t="n">
        <v>5</v>
      </c>
      <c r="M985" t="n">
        <v>3</v>
      </c>
      <c r="N985" t="n">
        <v>1</v>
      </c>
      <c r="O985" t="n">
        <v>1</v>
      </c>
      <c r="P985" t="n">
        <v>1</v>
      </c>
      <c r="Q985" t="n">
        <v>3</v>
      </c>
      <c r="R985" t="n">
        <v>1</v>
      </c>
      <c r="S985" t="n">
        <v>5</v>
      </c>
      <c r="T985" t="n">
        <v>1</v>
      </c>
      <c r="U985">
        <f>(AVERAGE(B985:D985)-1)/4</f>
        <v/>
      </c>
      <c r="V985">
        <f>(AVERAGE(E985:F985)-1)/4</f>
        <v/>
      </c>
      <c r="W985">
        <f>(AVERAGE(G985:I985)-1)/4</f>
        <v/>
      </c>
      <c r="X985">
        <f>(AVERAGE(J985:L985)-1)/4</f>
        <v/>
      </c>
      <c r="Y985">
        <f>(AVERAGE(M985:O985)-1)/4</f>
        <v/>
      </c>
      <c r="Z985">
        <f>(AVERAGE(P985:R985)-1)/4</f>
        <v/>
      </c>
      <c r="AA985">
        <f>(AVERAGE(S985:T985)-1)/4</f>
        <v/>
      </c>
      <c r="AB985">
        <f>AVERAGE(U985:Y985)</f>
        <v/>
      </c>
      <c r="AC985">
        <f>MIN(U985:Y985)</f>
        <v/>
      </c>
      <c r="AD985">
        <f>1-alpha*MAX(0,delta-AC985)</f>
        <v/>
      </c>
      <c r="AE985">
        <f>AB985*AD985</f>
        <v/>
      </c>
      <c r="AF985">
        <f>1+COUNTIF(bounds,"&lt;"&amp;ROUND(AB985,12))</f>
        <v/>
      </c>
      <c r="AG985">
        <f>1+COUNTIF(bounds,"&lt;"&amp;ROUND(AE985,12))</f>
        <v/>
      </c>
      <c r="AH985">
        <f>IF(AD985&lt;1,1,0)</f>
        <v/>
      </c>
      <c r="AI985">
        <f>IF(AF985&lt;&gt;AG985,1,0)</f>
        <v/>
      </c>
      <c r="AJ985">
        <f>IF(AND(AG985&gt;=3,Z985&lt;=0.2),1,0)</f>
        <v/>
      </c>
      <c r="AK985">
        <f>AVERAGE(U985:Z985)</f>
        <v/>
      </c>
      <c r="AL985">
        <f>1+COUNTIF(bounds,"&lt;"&amp;ROUND(AK985,12))</f>
        <v/>
      </c>
      <c r="AM985">
        <f>IF(AI985=1,AB985,NA())</f>
        <v/>
      </c>
      <c r="AN985">
        <f>IF(AI985=0,AB985,NA())</f>
        <v/>
      </c>
    </row>
    <row r="986">
      <c r="A986" t="n">
        <v>978</v>
      </c>
      <c r="B986" t="n">
        <v>1</v>
      </c>
      <c r="C986" t="n">
        <v>5</v>
      </c>
      <c r="D986" t="n">
        <v>2</v>
      </c>
      <c r="E986" t="n">
        <v>3</v>
      </c>
      <c r="F986" t="n">
        <v>3</v>
      </c>
      <c r="G986" t="n">
        <v>4</v>
      </c>
      <c r="H986" t="n">
        <v>1</v>
      </c>
      <c r="I986" t="n">
        <v>2</v>
      </c>
      <c r="J986" t="n">
        <v>4</v>
      </c>
      <c r="K986" t="n">
        <v>5</v>
      </c>
      <c r="L986" t="n">
        <v>5</v>
      </c>
      <c r="M986" t="n">
        <v>4</v>
      </c>
      <c r="N986" t="n">
        <v>3</v>
      </c>
      <c r="O986" t="n">
        <v>2</v>
      </c>
      <c r="P986" t="n">
        <v>1</v>
      </c>
      <c r="Q986" t="n">
        <v>1</v>
      </c>
      <c r="R986" t="n">
        <v>3</v>
      </c>
      <c r="S986" t="n">
        <v>3</v>
      </c>
      <c r="T986" t="n">
        <v>2</v>
      </c>
      <c r="U986">
        <f>(AVERAGE(B986:D986)-1)/4</f>
        <v/>
      </c>
      <c r="V986">
        <f>(AVERAGE(E986:F986)-1)/4</f>
        <v/>
      </c>
      <c r="W986">
        <f>(AVERAGE(G986:I986)-1)/4</f>
        <v/>
      </c>
      <c r="X986">
        <f>(AVERAGE(J986:L986)-1)/4</f>
        <v/>
      </c>
      <c r="Y986">
        <f>(AVERAGE(M986:O986)-1)/4</f>
        <v/>
      </c>
      <c r="Z986">
        <f>(AVERAGE(P986:R986)-1)/4</f>
        <v/>
      </c>
      <c r="AA986">
        <f>(AVERAGE(S986:T986)-1)/4</f>
        <v/>
      </c>
      <c r="AB986">
        <f>AVERAGE(U986:Y986)</f>
        <v/>
      </c>
      <c r="AC986">
        <f>MIN(U986:Y986)</f>
        <v/>
      </c>
      <c r="AD986">
        <f>1-alpha*MAX(0,delta-AC986)</f>
        <v/>
      </c>
      <c r="AE986">
        <f>AB986*AD986</f>
        <v/>
      </c>
      <c r="AF986">
        <f>1+COUNTIF(bounds,"&lt;"&amp;ROUND(AB986,12))</f>
        <v/>
      </c>
      <c r="AG986">
        <f>1+COUNTIF(bounds,"&lt;"&amp;ROUND(AE986,12))</f>
        <v/>
      </c>
      <c r="AH986">
        <f>IF(AD986&lt;1,1,0)</f>
        <v/>
      </c>
      <c r="AI986">
        <f>IF(AF986&lt;&gt;AG986,1,0)</f>
        <v/>
      </c>
      <c r="AJ986">
        <f>IF(AND(AG986&gt;=3,Z986&lt;=0.2),1,0)</f>
        <v/>
      </c>
      <c r="AK986">
        <f>AVERAGE(U986:Z986)</f>
        <v/>
      </c>
      <c r="AL986">
        <f>1+COUNTIF(bounds,"&lt;"&amp;ROUND(AK986,12))</f>
        <v/>
      </c>
      <c r="AM986">
        <f>IF(AI986=1,AB986,NA())</f>
        <v/>
      </c>
      <c r="AN986">
        <f>IF(AI986=0,AB986,NA())</f>
        <v/>
      </c>
    </row>
    <row r="987">
      <c r="A987" t="n">
        <v>979</v>
      </c>
      <c r="B987" t="n">
        <v>1</v>
      </c>
      <c r="C987" t="n">
        <v>5</v>
      </c>
      <c r="D987" t="n">
        <v>5</v>
      </c>
      <c r="E987" t="n">
        <v>3</v>
      </c>
      <c r="F987" t="n">
        <v>3</v>
      </c>
      <c r="G987" t="n">
        <v>1</v>
      </c>
      <c r="H987" t="n">
        <v>3</v>
      </c>
      <c r="I987" t="n">
        <v>4</v>
      </c>
      <c r="J987" t="n">
        <v>4</v>
      </c>
      <c r="K987" t="n">
        <v>4</v>
      </c>
      <c r="L987" t="n">
        <v>5</v>
      </c>
      <c r="M987" t="n">
        <v>4</v>
      </c>
      <c r="N987" t="n">
        <v>4</v>
      </c>
      <c r="O987" t="n">
        <v>2</v>
      </c>
      <c r="P987" t="n">
        <v>4</v>
      </c>
      <c r="Q987" t="n">
        <v>1</v>
      </c>
      <c r="R987" t="n">
        <v>5</v>
      </c>
      <c r="S987" t="n">
        <v>4</v>
      </c>
      <c r="T987" t="n">
        <v>1</v>
      </c>
      <c r="U987">
        <f>(AVERAGE(B987:D987)-1)/4</f>
        <v/>
      </c>
      <c r="V987">
        <f>(AVERAGE(E987:F987)-1)/4</f>
        <v/>
      </c>
      <c r="W987">
        <f>(AVERAGE(G987:I987)-1)/4</f>
        <v/>
      </c>
      <c r="X987">
        <f>(AVERAGE(J987:L987)-1)/4</f>
        <v/>
      </c>
      <c r="Y987">
        <f>(AVERAGE(M987:O987)-1)/4</f>
        <v/>
      </c>
      <c r="Z987">
        <f>(AVERAGE(P987:R987)-1)/4</f>
        <v/>
      </c>
      <c r="AA987">
        <f>(AVERAGE(S987:T987)-1)/4</f>
        <v/>
      </c>
      <c r="AB987">
        <f>AVERAGE(U987:Y987)</f>
        <v/>
      </c>
      <c r="AC987">
        <f>MIN(U987:Y987)</f>
        <v/>
      </c>
      <c r="AD987">
        <f>1-alpha*MAX(0,delta-AC987)</f>
        <v/>
      </c>
      <c r="AE987">
        <f>AB987*AD987</f>
        <v/>
      </c>
      <c r="AF987">
        <f>1+COUNTIF(bounds,"&lt;"&amp;ROUND(AB987,12))</f>
        <v/>
      </c>
      <c r="AG987">
        <f>1+COUNTIF(bounds,"&lt;"&amp;ROUND(AE987,12))</f>
        <v/>
      </c>
      <c r="AH987">
        <f>IF(AD987&lt;1,1,0)</f>
        <v/>
      </c>
      <c r="AI987">
        <f>IF(AF987&lt;&gt;AG987,1,0)</f>
        <v/>
      </c>
      <c r="AJ987">
        <f>IF(AND(AG987&gt;=3,Z987&lt;=0.2),1,0)</f>
        <v/>
      </c>
      <c r="AK987">
        <f>AVERAGE(U987:Z987)</f>
        <v/>
      </c>
      <c r="AL987">
        <f>1+COUNTIF(bounds,"&lt;"&amp;ROUND(AK987,12))</f>
        <v/>
      </c>
      <c r="AM987">
        <f>IF(AI987=1,AB987,NA())</f>
        <v/>
      </c>
      <c r="AN987">
        <f>IF(AI987=0,AB987,NA())</f>
        <v/>
      </c>
    </row>
    <row r="988">
      <c r="A988" t="n">
        <v>980</v>
      </c>
      <c r="B988" t="n">
        <v>2</v>
      </c>
      <c r="C988" t="n">
        <v>2</v>
      </c>
      <c r="D988" t="n">
        <v>4</v>
      </c>
      <c r="E988" t="n">
        <v>3</v>
      </c>
      <c r="F988" t="n">
        <v>4</v>
      </c>
      <c r="G988" t="n">
        <v>1</v>
      </c>
      <c r="H988" t="n">
        <v>2</v>
      </c>
      <c r="I988" t="n">
        <v>3</v>
      </c>
      <c r="J988" t="n">
        <v>5</v>
      </c>
      <c r="K988" t="n">
        <v>2</v>
      </c>
      <c r="L988" t="n">
        <v>2</v>
      </c>
      <c r="M988" t="n">
        <v>1</v>
      </c>
      <c r="N988" t="n">
        <v>3</v>
      </c>
      <c r="O988" t="n">
        <v>3</v>
      </c>
      <c r="P988" t="n">
        <v>4</v>
      </c>
      <c r="Q988" t="n">
        <v>2</v>
      </c>
      <c r="R988" t="n">
        <v>3</v>
      </c>
      <c r="S988" t="n">
        <v>1</v>
      </c>
      <c r="T988" t="n">
        <v>2</v>
      </c>
      <c r="U988">
        <f>(AVERAGE(B988:D988)-1)/4</f>
        <v/>
      </c>
      <c r="V988">
        <f>(AVERAGE(E988:F988)-1)/4</f>
        <v/>
      </c>
      <c r="W988">
        <f>(AVERAGE(G988:I988)-1)/4</f>
        <v/>
      </c>
      <c r="X988">
        <f>(AVERAGE(J988:L988)-1)/4</f>
        <v/>
      </c>
      <c r="Y988">
        <f>(AVERAGE(M988:O988)-1)/4</f>
        <v/>
      </c>
      <c r="Z988">
        <f>(AVERAGE(P988:R988)-1)/4</f>
        <v/>
      </c>
      <c r="AA988">
        <f>(AVERAGE(S988:T988)-1)/4</f>
        <v/>
      </c>
      <c r="AB988">
        <f>AVERAGE(U988:Y988)</f>
        <v/>
      </c>
      <c r="AC988">
        <f>MIN(U988:Y988)</f>
        <v/>
      </c>
      <c r="AD988">
        <f>1-alpha*MAX(0,delta-AC988)</f>
        <v/>
      </c>
      <c r="AE988">
        <f>AB988*AD988</f>
        <v/>
      </c>
      <c r="AF988">
        <f>1+COUNTIF(bounds,"&lt;"&amp;ROUND(AB988,12))</f>
        <v/>
      </c>
      <c r="AG988">
        <f>1+COUNTIF(bounds,"&lt;"&amp;ROUND(AE988,12))</f>
        <v/>
      </c>
      <c r="AH988">
        <f>IF(AD988&lt;1,1,0)</f>
        <v/>
      </c>
      <c r="AI988">
        <f>IF(AF988&lt;&gt;AG988,1,0)</f>
        <v/>
      </c>
      <c r="AJ988">
        <f>IF(AND(AG988&gt;=3,Z988&lt;=0.2),1,0)</f>
        <v/>
      </c>
      <c r="AK988">
        <f>AVERAGE(U988:Z988)</f>
        <v/>
      </c>
      <c r="AL988">
        <f>1+COUNTIF(bounds,"&lt;"&amp;ROUND(AK988,12))</f>
        <v/>
      </c>
      <c r="AM988">
        <f>IF(AI988=1,AB988,NA())</f>
        <v/>
      </c>
      <c r="AN988">
        <f>IF(AI988=0,AB988,NA())</f>
        <v/>
      </c>
    </row>
    <row r="989">
      <c r="A989" t="n">
        <v>981</v>
      </c>
      <c r="B989" t="n">
        <v>4</v>
      </c>
      <c r="C989" t="n">
        <v>5</v>
      </c>
      <c r="D989" t="n">
        <v>4</v>
      </c>
      <c r="E989" t="n">
        <v>1</v>
      </c>
      <c r="F989" t="n">
        <v>2</v>
      </c>
      <c r="G989" t="n">
        <v>4</v>
      </c>
      <c r="H989" t="n">
        <v>3</v>
      </c>
      <c r="I989" t="n">
        <v>4</v>
      </c>
      <c r="J989" t="n">
        <v>1</v>
      </c>
      <c r="K989" t="n">
        <v>1</v>
      </c>
      <c r="L989" t="n">
        <v>5</v>
      </c>
      <c r="M989" t="n">
        <v>2</v>
      </c>
      <c r="N989" t="n">
        <v>3</v>
      </c>
      <c r="O989" t="n">
        <v>1</v>
      </c>
      <c r="P989" t="n">
        <v>4</v>
      </c>
      <c r="Q989" t="n">
        <v>2</v>
      </c>
      <c r="R989" t="n">
        <v>3</v>
      </c>
      <c r="S989" t="n">
        <v>3</v>
      </c>
      <c r="T989" t="n">
        <v>5</v>
      </c>
      <c r="U989">
        <f>(AVERAGE(B989:D989)-1)/4</f>
        <v/>
      </c>
      <c r="V989">
        <f>(AVERAGE(E989:F989)-1)/4</f>
        <v/>
      </c>
      <c r="W989">
        <f>(AVERAGE(G989:I989)-1)/4</f>
        <v/>
      </c>
      <c r="X989">
        <f>(AVERAGE(J989:L989)-1)/4</f>
        <v/>
      </c>
      <c r="Y989">
        <f>(AVERAGE(M989:O989)-1)/4</f>
        <v/>
      </c>
      <c r="Z989">
        <f>(AVERAGE(P989:R989)-1)/4</f>
        <v/>
      </c>
      <c r="AA989">
        <f>(AVERAGE(S989:T989)-1)/4</f>
        <v/>
      </c>
      <c r="AB989">
        <f>AVERAGE(U989:Y989)</f>
        <v/>
      </c>
      <c r="AC989">
        <f>MIN(U989:Y989)</f>
        <v/>
      </c>
      <c r="AD989">
        <f>1-alpha*MAX(0,delta-AC989)</f>
        <v/>
      </c>
      <c r="AE989">
        <f>AB989*AD989</f>
        <v/>
      </c>
      <c r="AF989">
        <f>1+COUNTIF(bounds,"&lt;"&amp;ROUND(AB989,12))</f>
        <v/>
      </c>
      <c r="AG989">
        <f>1+COUNTIF(bounds,"&lt;"&amp;ROUND(AE989,12))</f>
        <v/>
      </c>
      <c r="AH989">
        <f>IF(AD989&lt;1,1,0)</f>
        <v/>
      </c>
      <c r="AI989">
        <f>IF(AF989&lt;&gt;AG989,1,0)</f>
        <v/>
      </c>
      <c r="AJ989">
        <f>IF(AND(AG989&gt;=3,Z989&lt;=0.2),1,0)</f>
        <v/>
      </c>
      <c r="AK989">
        <f>AVERAGE(U989:Z989)</f>
        <v/>
      </c>
      <c r="AL989">
        <f>1+COUNTIF(bounds,"&lt;"&amp;ROUND(AK989,12))</f>
        <v/>
      </c>
      <c r="AM989">
        <f>IF(AI989=1,AB989,NA())</f>
        <v/>
      </c>
      <c r="AN989">
        <f>IF(AI989=0,AB989,NA())</f>
        <v/>
      </c>
    </row>
    <row r="990">
      <c r="A990" t="n">
        <v>982</v>
      </c>
      <c r="B990" t="n">
        <v>3</v>
      </c>
      <c r="C990" t="n">
        <v>3</v>
      </c>
      <c r="D990" t="n">
        <v>2</v>
      </c>
      <c r="E990" t="n">
        <v>1</v>
      </c>
      <c r="F990" t="n">
        <v>2</v>
      </c>
      <c r="G990" t="n">
        <v>4</v>
      </c>
      <c r="H990" t="n">
        <v>5</v>
      </c>
      <c r="I990" t="n">
        <v>4</v>
      </c>
      <c r="J990" t="n">
        <v>5</v>
      </c>
      <c r="K990" t="n">
        <v>1</v>
      </c>
      <c r="L990" t="n">
        <v>2</v>
      </c>
      <c r="M990" t="n">
        <v>5</v>
      </c>
      <c r="N990" t="n">
        <v>5</v>
      </c>
      <c r="O990" t="n">
        <v>3</v>
      </c>
      <c r="P990" t="n">
        <v>5</v>
      </c>
      <c r="Q990" t="n">
        <v>2</v>
      </c>
      <c r="R990" t="n">
        <v>1</v>
      </c>
      <c r="S990" t="n">
        <v>1</v>
      </c>
      <c r="T990" t="n">
        <v>5</v>
      </c>
      <c r="U990">
        <f>(AVERAGE(B990:D990)-1)/4</f>
        <v/>
      </c>
      <c r="V990">
        <f>(AVERAGE(E990:F990)-1)/4</f>
        <v/>
      </c>
      <c r="W990">
        <f>(AVERAGE(G990:I990)-1)/4</f>
        <v/>
      </c>
      <c r="X990">
        <f>(AVERAGE(J990:L990)-1)/4</f>
        <v/>
      </c>
      <c r="Y990">
        <f>(AVERAGE(M990:O990)-1)/4</f>
        <v/>
      </c>
      <c r="Z990">
        <f>(AVERAGE(P990:R990)-1)/4</f>
        <v/>
      </c>
      <c r="AA990">
        <f>(AVERAGE(S990:T990)-1)/4</f>
        <v/>
      </c>
      <c r="AB990">
        <f>AVERAGE(U990:Y990)</f>
        <v/>
      </c>
      <c r="AC990">
        <f>MIN(U990:Y990)</f>
        <v/>
      </c>
      <c r="AD990">
        <f>1-alpha*MAX(0,delta-AC990)</f>
        <v/>
      </c>
      <c r="AE990">
        <f>AB990*AD990</f>
        <v/>
      </c>
      <c r="AF990">
        <f>1+COUNTIF(bounds,"&lt;"&amp;ROUND(AB990,12))</f>
        <v/>
      </c>
      <c r="AG990">
        <f>1+COUNTIF(bounds,"&lt;"&amp;ROUND(AE990,12))</f>
        <v/>
      </c>
      <c r="AH990">
        <f>IF(AD990&lt;1,1,0)</f>
        <v/>
      </c>
      <c r="AI990">
        <f>IF(AF990&lt;&gt;AG990,1,0)</f>
        <v/>
      </c>
      <c r="AJ990">
        <f>IF(AND(AG990&gt;=3,Z990&lt;=0.2),1,0)</f>
        <v/>
      </c>
      <c r="AK990">
        <f>AVERAGE(U990:Z990)</f>
        <v/>
      </c>
      <c r="AL990">
        <f>1+COUNTIF(bounds,"&lt;"&amp;ROUND(AK990,12))</f>
        <v/>
      </c>
      <c r="AM990">
        <f>IF(AI990=1,AB990,NA())</f>
        <v/>
      </c>
      <c r="AN990">
        <f>IF(AI990=0,AB990,NA())</f>
        <v/>
      </c>
    </row>
    <row r="991">
      <c r="A991" t="n">
        <v>983</v>
      </c>
      <c r="B991" t="n">
        <v>2</v>
      </c>
      <c r="C991" t="n">
        <v>2</v>
      </c>
      <c r="D991" t="n">
        <v>4</v>
      </c>
      <c r="E991" t="n">
        <v>2</v>
      </c>
      <c r="F991" t="n">
        <v>2</v>
      </c>
      <c r="G991" t="n">
        <v>5</v>
      </c>
      <c r="H991" t="n">
        <v>5</v>
      </c>
      <c r="I991" t="n">
        <v>1</v>
      </c>
      <c r="J991" t="n">
        <v>3</v>
      </c>
      <c r="K991" t="n">
        <v>3</v>
      </c>
      <c r="L991" t="n">
        <v>4</v>
      </c>
      <c r="M991" t="n">
        <v>3</v>
      </c>
      <c r="N991" t="n">
        <v>4</v>
      </c>
      <c r="O991" t="n">
        <v>5</v>
      </c>
      <c r="P991" t="n">
        <v>2</v>
      </c>
      <c r="Q991" t="n">
        <v>4</v>
      </c>
      <c r="R991" t="n">
        <v>5</v>
      </c>
      <c r="S991" t="n">
        <v>5</v>
      </c>
      <c r="T991" t="n">
        <v>3</v>
      </c>
      <c r="U991">
        <f>(AVERAGE(B991:D991)-1)/4</f>
        <v/>
      </c>
      <c r="V991">
        <f>(AVERAGE(E991:F991)-1)/4</f>
        <v/>
      </c>
      <c r="W991">
        <f>(AVERAGE(G991:I991)-1)/4</f>
        <v/>
      </c>
      <c r="X991">
        <f>(AVERAGE(J991:L991)-1)/4</f>
        <v/>
      </c>
      <c r="Y991">
        <f>(AVERAGE(M991:O991)-1)/4</f>
        <v/>
      </c>
      <c r="Z991">
        <f>(AVERAGE(P991:R991)-1)/4</f>
        <v/>
      </c>
      <c r="AA991">
        <f>(AVERAGE(S991:T991)-1)/4</f>
        <v/>
      </c>
      <c r="AB991">
        <f>AVERAGE(U991:Y991)</f>
        <v/>
      </c>
      <c r="AC991">
        <f>MIN(U991:Y991)</f>
        <v/>
      </c>
      <c r="AD991">
        <f>1-alpha*MAX(0,delta-AC991)</f>
        <v/>
      </c>
      <c r="AE991">
        <f>AB991*AD991</f>
        <v/>
      </c>
      <c r="AF991">
        <f>1+COUNTIF(bounds,"&lt;"&amp;ROUND(AB991,12))</f>
        <v/>
      </c>
      <c r="AG991">
        <f>1+COUNTIF(bounds,"&lt;"&amp;ROUND(AE991,12))</f>
        <v/>
      </c>
      <c r="AH991">
        <f>IF(AD991&lt;1,1,0)</f>
        <v/>
      </c>
      <c r="AI991">
        <f>IF(AF991&lt;&gt;AG991,1,0)</f>
        <v/>
      </c>
      <c r="AJ991">
        <f>IF(AND(AG991&gt;=3,Z991&lt;=0.2),1,0)</f>
        <v/>
      </c>
      <c r="AK991">
        <f>AVERAGE(U991:Z991)</f>
        <v/>
      </c>
      <c r="AL991">
        <f>1+COUNTIF(bounds,"&lt;"&amp;ROUND(AK991,12))</f>
        <v/>
      </c>
      <c r="AM991">
        <f>IF(AI991=1,AB991,NA())</f>
        <v/>
      </c>
      <c r="AN991">
        <f>IF(AI991=0,AB991,NA())</f>
        <v/>
      </c>
    </row>
    <row r="992">
      <c r="A992" t="n">
        <v>984</v>
      </c>
      <c r="B992" t="n">
        <v>5</v>
      </c>
      <c r="C992" t="n">
        <v>5</v>
      </c>
      <c r="D992" t="n">
        <v>2</v>
      </c>
      <c r="E992" t="n">
        <v>3</v>
      </c>
      <c r="F992" t="n">
        <v>1</v>
      </c>
      <c r="G992" t="n">
        <v>1</v>
      </c>
      <c r="H992" t="n">
        <v>4</v>
      </c>
      <c r="I992" t="n">
        <v>4</v>
      </c>
      <c r="J992" t="n">
        <v>4</v>
      </c>
      <c r="K992" t="n">
        <v>4</v>
      </c>
      <c r="L992" t="n">
        <v>1</v>
      </c>
      <c r="M992" t="n">
        <v>3</v>
      </c>
      <c r="N992" t="n">
        <v>1</v>
      </c>
      <c r="O992" t="n">
        <v>4</v>
      </c>
      <c r="P992" t="n">
        <v>3</v>
      </c>
      <c r="Q992" t="n">
        <v>2</v>
      </c>
      <c r="R992" t="n">
        <v>5</v>
      </c>
      <c r="S992" t="n">
        <v>4</v>
      </c>
      <c r="T992" t="n">
        <v>3</v>
      </c>
      <c r="U992">
        <f>(AVERAGE(B992:D992)-1)/4</f>
        <v/>
      </c>
      <c r="V992">
        <f>(AVERAGE(E992:F992)-1)/4</f>
        <v/>
      </c>
      <c r="W992">
        <f>(AVERAGE(G992:I992)-1)/4</f>
        <v/>
      </c>
      <c r="X992">
        <f>(AVERAGE(J992:L992)-1)/4</f>
        <v/>
      </c>
      <c r="Y992">
        <f>(AVERAGE(M992:O992)-1)/4</f>
        <v/>
      </c>
      <c r="Z992">
        <f>(AVERAGE(P992:R992)-1)/4</f>
        <v/>
      </c>
      <c r="AA992">
        <f>(AVERAGE(S992:T992)-1)/4</f>
        <v/>
      </c>
      <c r="AB992">
        <f>AVERAGE(U992:Y992)</f>
        <v/>
      </c>
      <c r="AC992">
        <f>MIN(U992:Y992)</f>
        <v/>
      </c>
      <c r="AD992">
        <f>1-alpha*MAX(0,delta-AC992)</f>
        <v/>
      </c>
      <c r="AE992">
        <f>AB992*AD992</f>
        <v/>
      </c>
      <c r="AF992">
        <f>1+COUNTIF(bounds,"&lt;"&amp;ROUND(AB992,12))</f>
        <v/>
      </c>
      <c r="AG992">
        <f>1+COUNTIF(bounds,"&lt;"&amp;ROUND(AE992,12))</f>
        <v/>
      </c>
      <c r="AH992">
        <f>IF(AD992&lt;1,1,0)</f>
        <v/>
      </c>
      <c r="AI992">
        <f>IF(AF992&lt;&gt;AG992,1,0)</f>
        <v/>
      </c>
      <c r="AJ992">
        <f>IF(AND(AG992&gt;=3,Z992&lt;=0.2),1,0)</f>
        <v/>
      </c>
      <c r="AK992">
        <f>AVERAGE(U992:Z992)</f>
        <v/>
      </c>
      <c r="AL992">
        <f>1+COUNTIF(bounds,"&lt;"&amp;ROUND(AK992,12))</f>
        <v/>
      </c>
      <c r="AM992">
        <f>IF(AI992=1,AB992,NA())</f>
        <v/>
      </c>
      <c r="AN992">
        <f>IF(AI992=0,AB992,NA())</f>
        <v/>
      </c>
    </row>
    <row r="993">
      <c r="A993" t="n">
        <v>985</v>
      </c>
      <c r="B993" t="n">
        <v>4</v>
      </c>
      <c r="C993" t="n">
        <v>1</v>
      </c>
      <c r="D993" t="n">
        <v>5</v>
      </c>
      <c r="E993" t="n">
        <v>1</v>
      </c>
      <c r="F993" t="n">
        <v>3</v>
      </c>
      <c r="G993" t="n">
        <v>3</v>
      </c>
      <c r="H993" t="n">
        <v>2</v>
      </c>
      <c r="I993" t="n">
        <v>2</v>
      </c>
      <c r="J993" t="n">
        <v>3</v>
      </c>
      <c r="K993" t="n">
        <v>3</v>
      </c>
      <c r="L993" t="n">
        <v>3</v>
      </c>
      <c r="M993" t="n">
        <v>4</v>
      </c>
      <c r="N993" t="n">
        <v>5</v>
      </c>
      <c r="O993" t="n">
        <v>1</v>
      </c>
      <c r="P993" t="n">
        <v>4</v>
      </c>
      <c r="Q993" t="n">
        <v>5</v>
      </c>
      <c r="R993" t="n">
        <v>1</v>
      </c>
      <c r="S993" t="n">
        <v>3</v>
      </c>
      <c r="T993" t="n">
        <v>3</v>
      </c>
      <c r="U993">
        <f>(AVERAGE(B993:D993)-1)/4</f>
        <v/>
      </c>
      <c r="V993">
        <f>(AVERAGE(E993:F993)-1)/4</f>
        <v/>
      </c>
      <c r="W993">
        <f>(AVERAGE(G993:I993)-1)/4</f>
        <v/>
      </c>
      <c r="X993">
        <f>(AVERAGE(J993:L993)-1)/4</f>
        <v/>
      </c>
      <c r="Y993">
        <f>(AVERAGE(M993:O993)-1)/4</f>
        <v/>
      </c>
      <c r="Z993">
        <f>(AVERAGE(P993:R993)-1)/4</f>
        <v/>
      </c>
      <c r="AA993">
        <f>(AVERAGE(S993:T993)-1)/4</f>
        <v/>
      </c>
      <c r="AB993">
        <f>AVERAGE(U993:Y993)</f>
        <v/>
      </c>
      <c r="AC993">
        <f>MIN(U993:Y993)</f>
        <v/>
      </c>
      <c r="AD993">
        <f>1-alpha*MAX(0,delta-AC993)</f>
        <v/>
      </c>
      <c r="AE993">
        <f>AB993*AD993</f>
        <v/>
      </c>
      <c r="AF993">
        <f>1+COUNTIF(bounds,"&lt;"&amp;ROUND(AB993,12))</f>
        <v/>
      </c>
      <c r="AG993">
        <f>1+COUNTIF(bounds,"&lt;"&amp;ROUND(AE993,12))</f>
        <v/>
      </c>
      <c r="AH993">
        <f>IF(AD993&lt;1,1,0)</f>
        <v/>
      </c>
      <c r="AI993">
        <f>IF(AF993&lt;&gt;AG993,1,0)</f>
        <v/>
      </c>
      <c r="AJ993">
        <f>IF(AND(AG993&gt;=3,Z993&lt;=0.2),1,0)</f>
        <v/>
      </c>
      <c r="AK993">
        <f>AVERAGE(U993:Z993)</f>
        <v/>
      </c>
      <c r="AL993">
        <f>1+COUNTIF(bounds,"&lt;"&amp;ROUND(AK993,12))</f>
        <v/>
      </c>
      <c r="AM993">
        <f>IF(AI993=1,AB993,NA())</f>
        <v/>
      </c>
      <c r="AN993">
        <f>IF(AI993=0,AB993,NA())</f>
        <v/>
      </c>
    </row>
    <row r="994">
      <c r="A994" t="n">
        <v>986</v>
      </c>
      <c r="B994" t="n">
        <v>2</v>
      </c>
      <c r="C994" t="n">
        <v>3</v>
      </c>
      <c r="D994" t="n">
        <v>1</v>
      </c>
      <c r="E994" t="n">
        <v>3</v>
      </c>
      <c r="F994" t="n">
        <v>1</v>
      </c>
      <c r="G994" t="n">
        <v>3</v>
      </c>
      <c r="H994" t="n">
        <v>5</v>
      </c>
      <c r="I994" t="n">
        <v>3</v>
      </c>
      <c r="J994" t="n">
        <v>1</v>
      </c>
      <c r="K994" t="n">
        <v>1</v>
      </c>
      <c r="L994" t="n">
        <v>2</v>
      </c>
      <c r="M994" t="n">
        <v>4</v>
      </c>
      <c r="N994" t="n">
        <v>5</v>
      </c>
      <c r="O994" t="n">
        <v>1</v>
      </c>
      <c r="P994" t="n">
        <v>5</v>
      </c>
      <c r="Q994" t="n">
        <v>3</v>
      </c>
      <c r="R994" t="n">
        <v>5</v>
      </c>
      <c r="S994" t="n">
        <v>2</v>
      </c>
      <c r="T994" t="n">
        <v>3</v>
      </c>
      <c r="U994">
        <f>(AVERAGE(B994:D994)-1)/4</f>
        <v/>
      </c>
      <c r="V994">
        <f>(AVERAGE(E994:F994)-1)/4</f>
        <v/>
      </c>
      <c r="W994">
        <f>(AVERAGE(G994:I994)-1)/4</f>
        <v/>
      </c>
      <c r="X994">
        <f>(AVERAGE(J994:L994)-1)/4</f>
        <v/>
      </c>
      <c r="Y994">
        <f>(AVERAGE(M994:O994)-1)/4</f>
        <v/>
      </c>
      <c r="Z994">
        <f>(AVERAGE(P994:R994)-1)/4</f>
        <v/>
      </c>
      <c r="AA994">
        <f>(AVERAGE(S994:T994)-1)/4</f>
        <v/>
      </c>
      <c r="AB994">
        <f>AVERAGE(U994:Y994)</f>
        <v/>
      </c>
      <c r="AC994">
        <f>MIN(U994:Y994)</f>
        <v/>
      </c>
      <c r="AD994">
        <f>1-alpha*MAX(0,delta-AC994)</f>
        <v/>
      </c>
      <c r="AE994">
        <f>AB994*AD994</f>
        <v/>
      </c>
      <c r="AF994">
        <f>1+COUNTIF(bounds,"&lt;"&amp;ROUND(AB994,12))</f>
        <v/>
      </c>
      <c r="AG994">
        <f>1+COUNTIF(bounds,"&lt;"&amp;ROUND(AE994,12))</f>
        <v/>
      </c>
      <c r="AH994">
        <f>IF(AD994&lt;1,1,0)</f>
        <v/>
      </c>
      <c r="AI994">
        <f>IF(AF994&lt;&gt;AG994,1,0)</f>
        <v/>
      </c>
      <c r="AJ994">
        <f>IF(AND(AG994&gt;=3,Z994&lt;=0.2),1,0)</f>
        <v/>
      </c>
      <c r="AK994">
        <f>AVERAGE(U994:Z994)</f>
        <v/>
      </c>
      <c r="AL994">
        <f>1+COUNTIF(bounds,"&lt;"&amp;ROUND(AK994,12))</f>
        <v/>
      </c>
      <c r="AM994">
        <f>IF(AI994=1,AB994,NA())</f>
        <v/>
      </c>
      <c r="AN994">
        <f>IF(AI994=0,AB994,NA())</f>
        <v/>
      </c>
    </row>
    <row r="995">
      <c r="A995" t="n">
        <v>987</v>
      </c>
      <c r="B995" t="n">
        <v>3</v>
      </c>
      <c r="C995" t="n">
        <v>5</v>
      </c>
      <c r="D995" t="n">
        <v>5</v>
      </c>
      <c r="E995" t="n">
        <v>1</v>
      </c>
      <c r="F995" t="n">
        <v>1</v>
      </c>
      <c r="G995" t="n">
        <v>3</v>
      </c>
      <c r="H995" t="n">
        <v>1</v>
      </c>
      <c r="I995" t="n">
        <v>3</v>
      </c>
      <c r="J995" t="n">
        <v>4</v>
      </c>
      <c r="K995" t="n">
        <v>5</v>
      </c>
      <c r="L995" t="n">
        <v>3</v>
      </c>
      <c r="M995" t="n">
        <v>5</v>
      </c>
      <c r="N995" t="n">
        <v>5</v>
      </c>
      <c r="O995" t="n">
        <v>5</v>
      </c>
      <c r="P995" t="n">
        <v>5</v>
      </c>
      <c r="Q995" t="n">
        <v>3</v>
      </c>
      <c r="R995" t="n">
        <v>1</v>
      </c>
      <c r="S995" t="n">
        <v>5</v>
      </c>
      <c r="T995" t="n">
        <v>1</v>
      </c>
      <c r="U995">
        <f>(AVERAGE(B995:D995)-1)/4</f>
        <v/>
      </c>
      <c r="V995">
        <f>(AVERAGE(E995:F995)-1)/4</f>
        <v/>
      </c>
      <c r="W995">
        <f>(AVERAGE(G995:I995)-1)/4</f>
        <v/>
      </c>
      <c r="X995">
        <f>(AVERAGE(J995:L995)-1)/4</f>
        <v/>
      </c>
      <c r="Y995">
        <f>(AVERAGE(M995:O995)-1)/4</f>
        <v/>
      </c>
      <c r="Z995">
        <f>(AVERAGE(P995:R995)-1)/4</f>
        <v/>
      </c>
      <c r="AA995">
        <f>(AVERAGE(S995:T995)-1)/4</f>
        <v/>
      </c>
      <c r="AB995">
        <f>AVERAGE(U995:Y995)</f>
        <v/>
      </c>
      <c r="AC995">
        <f>MIN(U995:Y995)</f>
        <v/>
      </c>
      <c r="AD995">
        <f>1-alpha*MAX(0,delta-AC995)</f>
        <v/>
      </c>
      <c r="AE995">
        <f>AB995*AD995</f>
        <v/>
      </c>
      <c r="AF995">
        <f>1+COUNTIF(bounds,"&lt;"&amp;ROUND(AB995,12))</f>
        <v/>
      </c>
      <c r="AG995">
        <f>1+COUNTIF(bounds,"&lt;"&amp;ROUND(AE995,12))</f>
        <v/>
      </c>
      <c r="AH995">
        <f>IF(AD995&lt;1,1,0)</f>
        <v/>
      </c>
      <c r="AI995">
        <f>IF(AF995&lt;&gt;AG995,1,0)</f>
        <v/>
      </c>
      <c r="AJ995">
        <f>IF(AND(AG995&gt;=3,Z995&lt;=0.2),1,0)</f>
        <v/>
      </c>
      <c r="AK995">
        <f>AVERAGE(U995:Z995)</f>
        <v/>
      </c>
      <c r="AL995">
        <f>1+COUNTIF(bounds,"&lt;"&amp;ROUND(AK995,12))</f>
        <v/>
      </c>
      <c r="AM995">
        <f>IF(AI995=1,AB995,NA())</f>
        <v/>
      </c>
      <c r="AN995">
        <f>IF(AI995=0,AB995,NA())</f>
        <v/>
      </c>
    </row>
    <row r="996">
      <c r="A996" t="n">
        <v>988</v>
      </c>
      <c r="B996" t="n">
        <v>2</v>
      </c>
      <c r="C996" t="n">
        <v>1</v>
      </c>
      <c r="D996" t="n">
        <v>4</v>
      </c>
      <c r="E996" t="n">
        <v>4</v>
      </c>
      <c r="F996" t="n">
        <v>3</v>
      </c>
      <c r="G996" t="n">
        <v>2</v>
      </c>
      <c r="H996" t="n">
        <v>4</v>
      </c>
      <c r="I996" t="n">
        <v>5</v>
      </c>
      <c r="J996" t="n">
        <v>1</v>
      </c>
      <c r="K996" t="n">
        <v>4</v>
      </c>
      <c r="L996" t="n">
        <v>3</v>
      </c>
      <c r="M996" t="n">
        <v>4</v>
      </c>
      <c r="N996" t="n">
        <v>1</v>
      </c>
      <c r="O996" t="n">
        <v>1</v>
      </c>
      <c r="P996" t="n">
        <v>1</v>
      </c>
      <c r="Q996" t="n">
        <v>5</v>
      </c>
      <c r="R996" t="n">
        <v>5</v>
      </c>
      <c r="S996" t="n">
        <v>1</v>
      </c>
      <c r="T996" t="n">
        <v>1</v>
      </c>
      <c r="U996">
        <f>(AVERAGE(B996:D996)-1)/4</f>
        <v/>
      </c>
      <c r="V996">
        <f>(AVERAGE(E996:F996)-1)/4</f>
        <v/>
      </c>
      <c r="W996">
        <f>(AVERAGE(G996:I996)-1)/4</f>
        <v/>
      </c>
      <c r="X996">
        <f>(AVERAGE(J996:L996)-1)/4</f>
        <v/>
      </c>
      <c r="Y996">
        <f>(AVERAGE(M996:O996)-1)/4</f>
        <v/>
      </c>
      <c r="Z996">
        <f>(AVERAGE(P996:R996)-1)/4</f>
        <v/>
      </c>
      <c r="AA996">
        <f>(AVERAGE(S996:T996)-1)/4</f>
        <v/>
      </c>
      <c r="AB996">
        <f>AVERAGE(U996:Y996)</f>
        <v/>
      </c>
      <c r="AC996">
        <f>MIN(U996:Y996)</f>
        <v/>
      </c>
      <c r="AD996">
        <f>1-alpha*MAX(0,delta-AC996)</f>
        <v/>
      </c>
      <c r="AE996">
        <f>AB996*AD996</f>
        <v/>
      </c>
      <c r="AF996">
        <f>1+COUNTIF(bounds,"&lt;"&amp;ROUND(AB996,12))</f>
        <v/>
      </c>
      <c r="AG996">
        <f>1+COUNTIF(bounds,"&lt;"&amp;ROUND(AE996,12))</f>
        <v/>
      </c>
      <c r="AH996">
        <f>IF(AD996&lt;1,1,0)</f>
        <v/>
      </c>
      <c r="AI996">
        <f>IF(AF996&lt;&gt;AG996,1,0)</f>
        <v/>
      </c>
      <c r="AJ996">
        <f>IF(AND(AG996&gt;=3,Z996&lt;=0.2),1,0)</f>
        <v/>
      </c>
      <c r="AK996">
        <f>AVERAGE(U996:Z996)</f>
        <v/>
      </c>
      <c r="AL996">
        <f>1+COUNTIF(bounds,"&lt;"&amp;ROUND(AK996,12))</f>
        <v/>
      </c>
      <c r="AM996">
        <f>IF(AI996=1,AB996,NA())</f>
        <v/>
      </c>
      <c r="AN996">
        <f>IF(AI996=0,AB996,NA())</f>
        <v/>
      </c>
    </row>
    <row r="997">
      <c r="A997" t="n">
        <v>989</v>
      </c>
      <c r="B997" t="n">
        <v>4</v>
      </c>
      <c r="C997" t="n">
        <v>5</v>
      </c>
      <c r="D997" t="n">
        <v>4</v>
      </c>
      <c r="E997" t="n">
        <v>4</v>
      </c>
      <c r="F997" t="n">
        <v>5</v>
      </c>
      <c r="G997" t="n">
        <v>4</v>
      </c>
      <c r="H997" t="n">
        <v>5</v>
      </c>
      <c r="I997" t="n">
        <v>3</v>
      </c>
      <c r="J997" t="n">
        <v>2</v>
      </c>
      <c r="K997" t="n">
        <v>4</v>
      </c>
      <c r="L997" t="n">
        <v>4</v>
      </c>
      <c r="M997" t="n">
        <v>2</v>
      </c>
      <c r="N997" t="n">
        <v>2</v>
      </c>
      <c r="O997" t="n">
        <v>5</v>
      </c>
      <c r="P997" t="n">
        <v>4</v>
      </c>
      <c r="Q997" t="n">
        <v>3</v>
      </c>
      <c r="R997" t="n">
        <v>2</v>
      </c>
      <c r="S997" t="n">
        <v>1</v>
      </c>
      <c r="T997" t="n">
        <v>5</v>
      </c>
      <c r="U997">
        <f>(AVERAGE(B997:D997)-1)/4</f>
        <v/>
      </c>
      <c r="V997">
        <f>(AVERAGE(E997:F997)-1)/4</f>
        <v/>
      </c>
      <c r="W997">
        <f>(AVERAGE(G997:I997)-1)/4</f>
        <v/>
      </c>
      <c r="X997">
        <f>(AVERAGE(J997:L997)-1)/4</f>
        <v/>
      </c>
      <c r="Y997">
        <f>(AVERAGE(M997:O997)-1)/4</f>
        <v/>
      </c>
      <c r="Z997">
        <f>(AVERAGE(P997:R997)-1)/4</f>
        <v/>
      </c>
      <c r="AA997">
        <f>(AVERAGE(S997:T997)-1)/4</f>
        <v/>
      </c>
      <c r="AB997">
        <f>AVERAGE(U997:Y997)</f>
        <v/>
      </c>
      <c r="AC997">
        <f>MIN(U997:Y997)</f>
        <v/>
      </c>
      <c r="AD997">
        <f>1-alpha*MAX(0,delta-AC997)</f>
        <v/>
      </c>
      <c r="AE997">
        <f>AB997*AD997</f>
        <v/>
      </c>
      <c r="AF997">
        <f>1+COUNTIF(bounds,"&lt;"&amp;ROUND(AB997,12))</f>
        <v/>
      </c>
      <c r="AG997">
        <f>1+COUNTIF(bounds,"&lt;"&amp;ROUND(AE997,12))</f>
        <v/>
      </c>
      <c r="AH997">
        <f>IF(AD997&lt;1,1,0)</f>
        <v/>
      </c>
      <c r="AI997">
        <f>IF(AF997&lt;&gt;AG997,1,0)</f>
        <v/>
      </c>
      <c r="AJ997">
        <f>IF(AND(AG997&gt;=3,Z997&lt;=0.2),1,0)</f>
        <v/>
      </c>
      <c r="AK997">
        <f>AVERAGE(U997:Z997)</f>
        <v/>
      </c>
      <c r="AL997">
        <f>1+COUNTIF(bounds,"&lt;"&amp;ROUND(AK997,12))</f>
        <v/>
      </c>
      <c r="AM997">
        <f>IF(AI997=1,AB997,NA())</f>
        <v/>
      </c>
      <c r="AN997">
        <f>IF(AI997=0,AB997,NA())</f>
        <v/>
      </c>
    </row>
    <row r="998">
      <c r="A998" t="n">
        <v>990</v>
      </c>
      <c r="B998" t="n">
        <v>5</v>
      </c>
      <c r="C998" t="n">
        <v>4</v>
      </c>
      <c r="D998" t="n">
        <v>2</v>
      </c>
      <c r="E998" t="n">
        <v>5</v>
      </c>
      <c r="F998" t="n">
        <v>3</v>
      </c>
      <c r="G998" t="n">
        <v>4</v>
      </c>
      <c r="H998" t="n">
        <v>1</v>
      </c>
      <c r="I998" t="n">
        <v>2</v>
      </c>
      <c r="J998" t="n">
        <v>4</v>
      </c>
      <c r="K998" t="n">
        <v>5</v>
      </c>
      <c r="L998" t="n">
        <v>1</v>
      </c>
      <c r="M998" t="n">
        <v>1</v>
      </c>
      <c r="N998" t="n">
        <v>3</v>
      </c>
      <c r="O998" t="n">
        <v>1</v>
      </c>
      <c r="P998" t="n">
        <v>1</v>
      </c>
      <c r="Q998" t="n">
        <v>2</v>
      </c>
      <c r="R998" t="n">
        <v>4</v>
      </c>
      <c r="S998" t="n">
        <v>1</v>
      </c>
      <c r="T998" t="n">
        <v>5</v>
      </c>
      <c r="U998">
        <f>(AVERAGE(B998:D998)-1)/4</f>
        <v/>
      </c>
      <c r="V998">
        <f>(AVERAGE(E998:F998)-1)/4</f>
        <v/>
      </c>
      <c r="W998">
        <f>(AVERAGE(G998:I998)-1)/4</f>
        <v/>
      </c>
      <c r="X998">
        <f>(AVERAGE(J998:L998)-1)/4</f>
        <v/>
      </c>
      <c r="Y998">
        <f>(AVERAGE(M998:O998)-1)/4</f>
        <v/>
      </c>
      <c r="Z998">
        <f>(AVERAGE(P998:R998)-1)/4</f>
        <v/>
      </c>
      <c r="AA998">
        <f>(AVERAGE(S998:T998)-1)/4</f>
        <v/>
      </c>
      <c r="AB998">
        <f>AVERAGE(U998:Y998)</f>
        <v/>
      </c>
      <c r="AC998">
        <f>MIN(U998:Y998)</f>
        <v/>
      </c>
      <c r="AD998">
        <f>1-alpha*MAX(0,delta-AC998)</f>
        <v/>
      </c>
      <c r="AE998">
        <f>AB998*AD998</f>
        <v/>
      </c>
      <c r="AF998">
        <f>1+COUNTIF(bounds,"&lt;"&amp;ROUND(AB998,12))</f>
        <v/>
      </c>
      <c r="AG998">
        <f>1+COUNTIF(bounds,"&lt;"&amp;ROUND(AE998,12))</f>
        <v/>
      </c>
      <c r="AH998">
        <f>IF(AD998&lt;1,1,0)</f>
        <v/>
      </c>
      <c r="AI998">
        <f>IF(AF998&lt;&gt;AG998,1,0)</f>
        <v/>
      </c>
      <c r="AJ998">
        <f>IF(AND(AG998&gt;=3,Z998&lt;=0.2),1,0)</f>
        <v/>
      </c>
      <c r="AK998">
        <f>AVERAGE(U998:Z998)</f>
        <v/>
      </c>
      <c r="AL998">
        <f>1+COUNTIF(bounds,"&lt;"&amp;ROUND(AK998,12))</f>
        <v/>
      </c>
      <c r="AM998">
        <f>IF(AI998=1,AB998,NA())</f>
        <v/>
      </c>
      <c r="AN998">
        <f>IF(AI998=0,AB998,NA())</f>
        <v/>
      </c>
    </row>
    <row r="999">
      <c r="A999" t="n">
        <v>991</v>
      </c>
      <c r="B999" t="n">
        <v>5</v>
      </c>
      <c r="C999" t="n">
        <v>2</v>
      </c>
      <c r="D999" t="n">
        <v>3</v>
      </c>
      <c r="E999" t="n">
        <v>2</v>
      </c>
      <c r="F999" t="n">
        <v>1</v>
      </c>
      <c r="G999" t="n">
        <v>3</v>
      </c>
      <c r="H999" t="n">
        <v>3</v>
      </c>
      <c r="I999" t="n">
        <v>1</v>
      </c>
      <c r="J999" t="n">
        <v>4</v>
      </c>
      <c r="K999" t="n">
        <v>3</v>
      </c>
      <c r="L999" t="n">
        <v>1</v>
      </c>
      <c r="M999" t="n">
        <v>1</v>
      </c>
      <c r="N999" t="n">
        <v>3</v>
      </c>
      <c r="O999" t="n">
        <v>1</v>
      </c>
      <c r="P999" t="n">
        <v>5</v>
      </c>
      <c r="Q999" t="n">
        <v>2</v>
      </c>
      <c r="R999" t="n">
        <v>5</v>
      </c>
      <c r="S999" t="n">
        <v>3</v>
      </c>
      <c r="T999" t="n">
        <v>2</v>
      </c>
      <c r="U999">
        <f>(AVERAGE(B999:D999)-1)/4</f>
        <v/>
      </c>
      <c r="V999">
        <f>(AVERAGE(E999:F999)-1)/4</f>
        <v/>
      </c>
      <c r="W999">
        <f>(AVERAGE(G999:I999)-1)/4</f>
        <v/>
      </c>
      <c r="X999">
        <f>(AVERAGE(J999:L999)-1)/4</f>
        <v/>
      </c>
      <c r="Y999">
        <f>(AVERAGE(M999:O999)-1)/4</f>
        <v/>
      </c>
      <c r="Z999">
        <f>(AVERAGE(P999:R999)-1)/4</f>
        <v/>
      </c>
      <c r="AA999">
        <f>(AVERAGE(S999:T999)-1)/4</f>
        <v/>
      </c>
      <c r="AB999">
        <f>AVERAGE(U999:Y999)</f>
        <v/>
      </c>
      <c r="AC999">
        <f>MIN(U999:Y999)</f>
        <v/>
      </c>
      <c r="AD999">
        <f>1-alpha*MAX(0,delta-AC999)</f>
        <v/>
      </c>
      <c r="AE999">
        <f>AB999*AD999</f>
        <v/>
      </c>
      <c r="AF999">
        <f>1+COUNTIF(bounds,"&lt;"&amp;ROUND(AB999,12))</f>
        <v/>
      </c>
      <c r="AG999">
        <f>1+COUNTIF(bounds,"&lt;"&amp;ROUND(AE999,12))</f>
        <v/>
      </c>
      <c r="AH999">
        <f>IF(AD999&lt;1,1,0)</f>
        <v/>
      </c>
      <c r="AI999">
        <f>IF(AF999&lt;&gt;AG999,1,0)</f>
        <v/>
      </c>
      <c r="AJ999">
        <f>IF(AND(AG999&gt;=3,Z999&lt;=0.2),1,0)</f>
        <v/>
      </c>
      <c r="AK999">
        <f>AVERAGE(U999:Z999)</f>
        <v/>
      </c>
      <c r="AL999">
        <f>1+COUNTIF(bounds,"&lt;"&amp;ROUND(AK999,12))</f>
        <v/>
      </c>
      <c r="AM999">
        <f>IF(AI999=1,AB999,NA())</f>
        <v/>
      </c>
      <c r="AN999">
        <f>IF(AI999=0,AB999,NA())</f>
        <v/>
      </c>
    </row>
    <row r="1000">
      <c r="A1000" t="n">
        <v>992</v>
      </c>
      <c r="B1000" t="n">
        <v>4</v>
      </c>
      <c r="C1000" t="n">
        <v>4</v>
      </c>
      <c r="D1000" t="n">
        <v>4</v>
      </c>
      <c r="E1000" t="n">
        <v>5</v>
      </c>
      <c r="F1000" t="n">
        <v>1</v>
      </c>
      <c r="G1000" t="n">
        <v>5</v>
      </c>
      <c r="H1000" t="n">
        <v>4</v>
      </c>
      <c r="I1000" t="n">
        <v>4</v>
      </c>
      <c r="J1000" t="n">
        <v>4</v>
      </c>
      <c r="K1000" t="n">
        <v>4</v>
      </c>
      <c r="L1000" t="n">
        <v>5</v>
      </c>
      <c r="M1000" t="n">
        <v>1</v>
      </c>
      <c r="N1000" t="n">
        <v>5</v>
      </c>
      <c r="O1000" t="n">
        <v>1</v>
      </c>
      <c r="P1000" t="n">
        <v>3</v>
      </c>
      <c r="Q1000" t="n">
        <v>5</v>
      </c>
      <c r="R1000" t="n">
        <v>5</v>
      </c>
      <c r="S1000" t="n">
        <v>5</v>
      </c>
      <c r="T1000" t="n">
        <v>2</v>
      </c>
      <c r="U1000">
        <f>(AVERAGE(B1000:D1000)-1)/4</f>
        <v/>
      </c>
      <c r="V1000">
        <f>(AVERAGE(E1000:F1000)-1)/4</f>
        <v/>
      </c>
      <c r="W1000">
        <f>(AVERAGE(G1000:I1000)-1)/4</f>
        <v/>
      </c>
      <c r="X1000">
        <f>(AVERAGE(J1000:L1000)-1)/4</f>
        <v/>
      </c>
      <c r="Y1000">
        <f>(AVERAGE(M1000:O1000)-1)/4</f>
        <v/>
      </c>
      <c r="Z1000">
        <f>(AVERAGE(P1000:R1000)-1)/4</f>
        <v/>
      </c>
      <c r="AA1000">
        <f>(AVERAGE(S1000:T1000)-1)/4</f>
        <v/>
      </c>
      <c r="AB1000">
        <f>AVERAGE(U1000:Y1000)</f>
        <v/>
      </c>
      <c r="AC1000">
        <f>MIN(U1000:Y1000)</f>
        <v/>
      </c>
      <c r="AD1000">
        <f>1-alpha*MAX(0,delta-AC1000)</f>
        <v/>
      </c>
      <c r="AE1000">
        <f>AB1000*AD1000</f>
        <v/>
      </c>
      <c r="AF1000">
        <f>1+COUNTIF(bounds,"&lt;"&amp;ROUND(AB1000,12))</f>
        <v/>
      </c>
      <c r="AG1000">
        <f>1+COUNTIF(bounds,"&lt;"&amp;ROUND(AE1000,12))</f>
        <v/>
      </c>
      <c r="AH1000">
        <f>IF(AD1000&lt;1,1,0)</f>
        <v/>
      </c>
      <c r="AI1000">
        <f>IF(AF1000&lt;&gt;AG1000,1,0)</f>
        <v/>
      </c>
      <c r="AJ1000">
        <f>IF(AND(AG1000&gt;=3,Z1000&lt;=0.2),1,0)</f>
        <v/>
      </c>
      <c r="AK1000">
        <f>AVERAGE(U1000:Z1000)</f>
        <v/>
      </c>
      <c r="AL1000">
        <f>1+COUNTIF(bounds,"&lt;"&amp;ROUND(AK1000,12))</f>
        <v/>
      </c>
      <c r="AM1000">
        <f>IF(AI1000=1,AB1000,NA())</f>
        <v/>
      </c>
      <c r="AN1000">
        <f>IF(AI1000=0,AB1000,NA())</f>
        <v/>
      </c>
    </row>
    <row r="1001">
      <c r="A1001" t="n">
        <v>993</v>
      </c>
      <c r="B1001" t="n">
        <v>3</v>
      </c>
      <c r="C1001" t="n">
        <v>1</v>
      </c>
      <c r="D1001" t="n">
        <v>5</v>
      </c>
      <c r="E1001" t="n">
        <v>4</v>
      </c>
      <c r="F1001" t="n">
        <v>3</v>
      </c>
      <c r="G1001" t="n">
        <v>1</v>
      </c>
      <c r="H1001" t="n">
        <v>2</v>
      </c>
      <c r="I1001" t="n">
        <v>2</v>
      </c>
      <c r="J1001" t="n">
        <v>1</v>
      </c>
      <c r="K1001" t="n">
        <v>4</v>
      </c>
      <c r="L1001" t="n">
        <v>5</v>
      </c>
      <c r="M1001" t="n">
        <v>4</v>
      </c>
      <c r="N1001" t="n">
        <v>3</v>
      </c>
      <c r="O1001" t="n">
        <v>4</v>
      </c>
      <c r="P1001" t="n">
        <v>1</v>
      </c>
      <c r="Q1001" t="n">
        <v>3</v>
      </c>
      <c r="R1001" t="n">
        <v>2</v>
      </c>
      <c r="S1001" t="n">
        <v>3</v>
      </c>
      <c r="T1001" t="n">
        <v>3</v>
      </c>
      <c r="U1001">
        <f>(AVERAGE(B1001:D1001)-1)/4</f>
        <v/>
      </c>
      <c r="V1001">
        <f>(AVERAGE(E1001:F1001)-1)/4</f>
        <v/>
      </c>
      <c r="W1001">
        <f>(AVERAGE(G1001:I1001)-1)/4</f>
        <v/>
      </c>
      <c r="X1001">
        <f>(AVERAGE(J1001:L1001)-1)/4</f>
        <v/>
      </c>
      <c r="Y1001">
        <f>(AVERAGE(M1001:O1001)-1)/4</f>
        <v/>
      </c>
      <c r="Z1001">
        <f>(AVERAGE(P1001:R1001)-1)/4</f>
        <v/>
      </c>
      <c r="AA1001">
        <f>(AVERAGE(S1001:T1001)-1)/4</f>
        <v/>
      </c>
      <c r="AB1001">
        <f>AVERAGE(U1001:Y1001)</f>
        <v/>
      </c>
      <c r="AC1001">
        <f>MIN(U1001:Y1001)</f>
        <v/>
      </c>
      <c r="AD1001">
        <f>1-alpha*MAX(0,delta-AC1001)</f>
        <v/>
      </c>
      <c r="AE1001">
        <f>AB1001*AD1001</f>
        <v/>
      </c>
      <c r="AF1001">
        <f>1+COUNTIF(bounds,"&lt;"&amp;ROUND(AB1001,12))</f>
        <v/>
      </c>
      <c r="AG1001">
        <f>1+COUNTIF(bounds,"&lt;"&amp;ROUND(AE1001,12))</f>
        <v/>
      </c>
      <c r="AH1001">
        <f>IF(AD1001&lt;1,1,0)</f>
        <v/>
      </c>
      <c r="AI1001">
        <f>IF(AF1001&lt;&gt;AG1001,1,0)</f>
        <v/>
      </c>
      <c r="AJ1001">
        <f>IF(AND(AG1001&gt;=3,Z1001&lt;=0.2),1,0)</f>
        <v/>
      </c>
      <c r="AK1001">
        <f>AVERAGE(U1001:Z1001)</f>
        <v/>
      </c>
      <c r="AL1001">
        <f>1+COUNTIF(bounds,"&lt;"&amp;ROUND(AK1001,12))</f>
        <v/>
      </c>
      <c r="AM1001">
        <f>IF(AI1001=1,AB1001,NA())</f>
        <v/>
      </c>
      <c r="AN1001">
        <f>IF(AI1001=0,AB1001,NA())</f>
        <v/>
      </c>
    </row>
    <row r="1002">
      <c r="A1002" t="n">
        <v>994</v>
      </c>
      <c r="B1002" t="n">
        <v>4</v>
      </c>
      <c r="C1002" t="n">
        <v>1</v>
      </c>
      <c r="D1002" t="n">
        <v>4</v>
      </c>
      <c r="E1002" t="n">
        <v>3</v>
      </c>
      <c r="F1002" t="n">
        <v>4</v>
      </c>
      <c r="G1002" t="n">
        <v>3</v>
      </c>
      <c r="H1002" t="n">
        <v>2</v>
      </c>
      <c r="I1002" t="n">
        <v>2</v>
      </c>
      <c r="J1002" t="n">
        <v>2</v>
      </c>
      <c r="K1002" t="n">
        <v>2</v>
      </c>
      <c r="L1002" t="n">
        <v>3</v>
      </c>
      <c r="M1002" t="n">
        <v>5</v>
      </c>
      <c r="N1002" t="n">
        <v>2</v>
      </c>
      <c r="O1002" t="n">
        <v>5</v>
      </c>
      <c r="P1002" t="n">
        <v>5</v>
      </c>
      <c r="Q1002" t="n">
        <v>3</v>
      </c>
      <c r="R1002" t="n">
        <v>5</v>
      </c>
      <c r="S1002" t="n">
        <v>5</v>
      </c>
      <c r="T1002" t="n">
        <v>4</v>
      </c>
      <c r="U1002">
        <f>(AVERAGE(B1002:D1002)-1)/4</f>
        <v/>
      </c>
      <c r="V1002">
        <f>(AVERAGE(E1002:F1002)-1)/4</f>
        <v/>
      </c>
      <c r="W1002">
        <f>(AVERAGE(G1002:I1002)-1)/4</f>
        <v/>
      </c>
      <c r="X1002">
        <f>(AVERAGE(J1002:L1002)-1)/4</f>
        <v/>
      </c>
      <c r="Y1002">
        <f>(AVERAGE(M1002:O1002)-1)/4</f>
        <v/>
      </c>
      <c r="Z1002">
        <f>(AVERAGE(P1002:R1002)-1)/4</f>
        <v/>
      </c>
      <c r="AA1002">
        <f>(AVERAGE(S1002:T1002)-1)/4</f>
        <v/>
      </c>
      <c r="AB1002">
        <f>AVERAGE(U1002:Y1002)</f>
        <v/>
      </c>
      <c r="AC1002">
        <f>MIN(U1002:Y1002)</f>
        <v/>
      </c>
      <c r="AD1002">
        <f>1-alpha*MAX(0,delta-AC1002)</f>
        <v/>
      </c>
      <c r="AE1002">
        <f>AB1002*AD1002</f>
        <v/>
      </c>
      <c r="AF1002">
        <f>1+COUNTIF(bounds,"&lt;"&amp;ROUND(AB1002,12))</f>
        <v/>
      </c>
      <c r="AG1002">
        <f>1+COUNTIF(bounds,"&lt;"&amp;ROUND(AE1002,12))</f>
        <v/>
      </c>
      <c r="AH1002">
        <f>IF(AD1002&lt;1,1,0)</f>
        <v/>
      </c>
      <c r="AI1002">
        <f>IF(AF1002&lt;&gt;AG1002,1,0)</f>
        <v/>
      </c>
      <c r="AJ1002">
        <f>IF(AND(AG1002&gt;=3,Z1002&lt;=0.2),1,0)</f>
        <v/>
      </c>
      <c r="AK1002">
        <f>AVERAGE(U1002:Z1002)</f>
        <v/>
      </c>
      <c r="AL1002">
        <f>1+COUNTIF(bounds,"&lt;"&amp;ROUND(AK1002,12))</f>
        <v/>
      </c>
      <c r="AM1002">
        <f>IF(AI1002=1,AB1002,NA())</f>
        <v/>
      </c>
      <c r="AN1002">
        <f>IF(AI1002=0,AB1002,NA())</f>
        <v/>
      </c>
    </row>
    <row r="1003">
      <c r="A1003" t="n">
        <v>995</v>
      </c>
      <c r="B1003" t="n">
        <v>2</v>
      </c>
      <c r="C1003" t="n">
        <v>3</v>
      </c>
      <c r="D1003" t="n">
        <v>3</v>
      </c>
      <c r="E1003" t="n">
        <v>1</v>
      </c>
      <c r="F1003" t="n">
        <v>1</v>
      </c>
      <c r="G1003" t="n">
        <v>1</v>
      </c>
      <c r="H1003" t="n">
        <v>5</v>
      </c>
      <c r="I1003" t="n">
        <v>5</v>
      </c>
      <c r="J1003" t="n">
        <v>3</v>
      </c>
      <c r="K1003" t="n">
        <v>2</v>
      </c>
      <c r="L1003" t="n">
        <v>1</v>
      </c>
      <c r="M1003" t="n">
        <v>3</v>
      </c>
      <c r="N1003" t="n">
        <v>5</v>
      </c>
      <c r="O1003" t="n">
        <v>5</v>
      </c>
      <c r="P1003" t="n">
        <v>2</v>
      </c>
      <c r="Q1003" t="n">
        <v>1</v>
      </c>
      <c r="R1003" t="n">
        <v>3</v>
      </c>
      <c r="S1003" t="n">
        <v>4</v>
      </c>
      <c r="T1003" t="n">
        <v>5</v>
      </c>
      <c r="U1003">
        <f>(AVERAGE(B1003:D1003)-1)/4</f>
        <v/>
      </c>
      <c r="V1003">
        <f>(AVERAGE(E1003:F1003)-1)/4</f>
        <v/>
      </c>
      <c r="W1003">
        <f>(AVERAGE(G1003:I1003)-1)/4</f>
        <v/>
      </c>
      <c r="X1003">
        <f>(AVERAGE(J1003:L1003)-1)/4</f>
        <v/>
      </c>
      <c r="Y1003">
        <f>(AVERAGE(M1003:O1003)-1)/4</f>
        <v/>
      </c>
      <c r="Z1003">
        <f>(AVERAGE(P1003:R1003)-1)/4</f>
        <v/>
      </c>
      <c r="AA1003">
        <f>(AVERAGE(S1003:T1003)-1)/4</f>
        <v/>
      </c>
      <c r="AB1003">
        <f>AVERAGE(U1003:Y1003)</f>
        <v/>
      </c>
      <c r="AC1003">
        <f>MIN(U1003:Y1003)</f>
        <v/>
      </c>
      <c r="AD1003">
        <f>1-alpha*MAX(0,delta-AC1003)</f>
        <v/>
      </c>
      <c r="AE1003">
        <f>AB1003*AD1003</f>
        <v/>
      </c>
      <c r="AF1003">
        <f>1+COUNTIF(bounds,"&lt;"&amp;ROUND(AB1003,12))</f>
        <v/>
      </c>
      <c r="AG1003">
        <f>1+COUNTIF(bounds,"&lt;"&amp;ROUND(AE1003,12))</f>
        <v/>
      </c>
      <c r="AH1003">
        <f>IF(AD1003&lt;1,1,0)</f>
        <v/>
      </c>
      <c r="AI1003">
        <f>IF(AF1003&lt;&gt;AG1003,1,0)</f>
        <v/>
      </c>
      <c r="AJ1003">
        <f>IF(AND(AG1003&gt;=3,Z1003&lt;=0.2),1,0)</f>
        <v/>
      </c>
      <c r="AK1003">
        <f>AVERAGE(U1003:Z1003)</f>
        <v/>
      </c>
      <c r="AL1003">
        <f>1+COUNTIF(bounds,"&lt;"&amp;ROUND(AK1003,12))</f>
        <v/>
      </c>
      <c r="AM1003">
        <f>IF(AI1003=1,AB1003,NA())</f>
        <v/>
      </c>
      <c r="AN1003">
        <f>IF(AI1003=0,AB1003,NA())</f>
        <v/>
      </c>
    </row>
    <row r="1004">
      <c r="A1004" t="n">
        <v>996</v>
      </c>
      <c r="B1004" t="n">
        <v>1</v>
      </c>
      <c r="C1004" t="n">
        <v>3</v>
      </c>
      <c r="D1004" t="n">
        <v>2</v>
      </c>
      <c r="E1004" t="n">
        <v>5</v>
      </c>
      <c r="F1004" t="n">
        <v>4</v>
      </c>
      <c r="G1004" t="n">
        <v>3</v>
      </c>
      <c r="H1004" t="n">
        <v>1</v>
      </c>
      <c r="I1004" t="n">
        <v>3</v>
      </c>
      <c r="J1004" t="n">
        <v>1</v>
      </c>
      <c r="K1004" t="n">
        <v>2</v>
      </c>
      <c r="L1004" t="n">
        <v>3</v>
      </c>
      <c r="M1004" t="n">
        <v>3</v>
      </c>
      <c r="N1004" t="n">
        <v>1</v>
      </c>
      <c r="O1004" t="n">
        <v>3</v>
      </c>
      <c r="P1004" t="n">
        <v>3</v>
      </c>
      <c r="Q1004" t="n">
        <v>5</v>
      </c>
      <c r="R1004" t="n">
        <v>4</v>
      </c>
      <c r="S1004" t="n">
        <v>4</v>
      </c>
      <c r="T1004" t="n">
        <v>2</v>
      </c>
      <c r="U1004">
        <f>(AVERAGE(B1004:D1004)-1)/4</f>
        <v/>
      </c>
      <c r="V1004">
        <f>(AVERAGE(E1004:F1004)-1)/4</f>
        <v/>
      </c>
      <c r="W1004">
        <f>(AVERAGE(G1004:I1004)-1)/4</f>
        <v/>
      </c>
      <c r="X1004">
        <f>(AVERAGE(J1004:L1004)-1)/4</f>
        <v/>
      </c>
      <c r="Y1004">
        <f>(AVERAGE(M1004:O1004)-1)/4</f>
        <v/>
      </c>
      <c r="Z1004">
        <f>(AVERAGE(P1004:R1004)-1)/4</f>
        <v/>
      </c>
      <c r="AA1004">
        <f>(AVERAGE(S1004:T1004)-1)/4</f>
        <v/>
      </c>
      <c r="AB1004">
        <f>AVERAGE(U1004:Y1004)</f>
        <v/>
      </c>
      <c r="AC1004">
        <f>MIN(U1004:Y1004)</f>
        <v/>
      </c>
      <c r="AD1004">
        <f>1-alpha*MAX(0,delta-AC1004)</f>
        <v/>
      </c>
      <c r="AE1004">
        <f>AB1004*AD1004</f>
        <v/>
      </c>
      <c r="AF1004">
        <f>1+COUNTIF(bounds,"&lt;"&amp;ROUND(AB1004,12))</f>
        <v/>
      </c>
      <c r="AG1004">
        <f>1+COUNTIF(bounds,"&lt;"&amp;ROUND(AE1004,12))</f>
        <v/>
      </c>
      <c r="AH1004">
        <f>IF(AD1004&lt;1,1,0)</f>
        <v/>
      </c>
      <c r="AI1004">
        <f>IF(AF1004&lt;&gt;AG1004,1,0)</f>
        <v/>
      </c>
      <c r="AJ1004">
        <f>IF(AND(AG1004&gt;=3,Z1004&lt;=0.2),1,0)</f>
        <v/>
      </c>
      <c r="AK1004">
        <f>AVERAGE(U1004:Z1004)</f>
        <v/>
      </c>
      <c r="AL1004">
        <f>1+COUNTIF(bounds,"&lt;"&amp;ROUND(AK1004,12))</f>
        <v/>
      </c>
      <c r="AM1004">
        <f>IF(AI1004=1,AB1004,NA())</f>
        <v/>
      </c>
      <c r="AN1004">
        <f>IF(AI1004=0,AB1004,NA())</f>
        <v/>
      </c>
    </row>
    <row r="1005">
      <c r="A1005" t="n">
        <v>997</v>
      </c>
      <c r="B1005" t="n">
        <v>4</v>
      </c>
      <c r="C1005" t="n">
        <v>1</v>
      </c>
      <c r="D1005" t="n">
        <v>2</v>
      </c>
      <c r="E1005" t="n">
        <v>1</v>
      </c>
      <c r="F1005" t="n">
        <v>2</v>
      </c>
      <c r="G1005" t="n">
        <v>1</v>
      </c>
      <c r="H1005" t="n">
        <v>1</v>
      </c>
      <c r="I1005" t="n">
        <v>4</v>
      </c>
      <c r="J1005" t="n">
        <v>4</v>
      </c>
      <c r="K1005" t="n">
        <v>1</v>
      </c>
      <c r="L1005" t="n">
        <v>3</v>
      </c>
      <c r="M1005" t="n">
        <v>5</v>
      </c>
      <c r="N1005" t="n">
        <v>3</v>
      </c>
      <c r="O1005" t="n">
        <v>2</v>
      </c>
      <c r="P1005" t="n">
        <v>3</v>
      </c>
      <c r="Q1005" t="n">
        <v>5</v>
      </c>
      <c r="R1005" t="n">
        <v>4</v>
      </c>
      <c r="S1005" t="n">
        <v>4</v>
      </c>
      <c r="T1005" t="n">
        <v>4</v>
      </c>
      <c r="U1005">
        <f>(AVERAGE(B1005:D1005)-1)/4</f>
        <v/>
      </c>
      <c r="V1005">
        <f>(AVERAGE(E1005:F1005)-1)/4</f>
        <v/>
      </c>
      <c r="W1005">
        <f>(AVERAGE(G1005:I1005)-1)/4</f>
        <v/>
      </c>
      <c r="X1005">
        <f>(AVERAGE(J1005:L1005)-1)/4</f>
        <v/>
      </c>
      <c r="Y1005">
        <f>(AVERAGE(M1005:O1005)-1)/4</f>
        <v/>
      </c>
      <c r="Z1005">
        <f>(AVERAGE(P1005:R1005)-1)/4</f>
        <v/>
      </c>
      <c r="AA1005">
        <f>(AVERAGE(S1005:T1005)-1)/4</f>
        <v/>
      </c>
      <c r="AB1005">
        <f>AVERAGE(U1005:Y1005)</f>
        <v/>
      </c>
      <c r="AC1005">
        <f>MIN(U1005:Y1005)</f>
        <v/>
      </c>
      <c r="AD1005">
        <f>1-alpha*MAX(0,delta-AC1005)</f>
        <v/>
      </c>
      <c r="AE1005">
        <f>AB1005*AD1005</f>
        <v/>
      </c>
      <c r="AF1005">
        <f>1+COUNTIF(bounds,"&lt;"&amp;ROUND(AB1005,12))</f>
        <v/>
      </c>
      <c r="AG1005">
        <f>1+COUNTIF(bounds,"&lt;"&amp;ROUND(AE1005,12))</f>
        <v/>
      </c>
      <c r="AH1005">
        <f>IF(AD1005&lt;1,1,0)</f>
        <v/>
      </c>
      <c r="AI1005">
        <f>IF(AF1005&lt;&gt;AG1005,1,0)</f>
        <v/>
      </c>
      <c r="AJ1005">
        <f>IF(AND(AG1005&gt;=3,Z1005&lt;=0.2),1,0)</f>
        <v/>
      </c>
      <c r="AK1005">
        <f>AVERAGE(U1005:Z1005)</f>
        <v/>
      </c>
      <c r="AL1005">
        <f>1+COUNTIF(bounds,"&lt;"&amp;ROUND(AK1005,12))</f>
        <v/>
      </c>
      <c r="AM1005">
        <f>IF(AI1005=1,AB1005,NA())</f>
        <v/>
      </c>
      <c r="AN1005">
        <f>IF(AI1005=0,AB1005,NA())</f>
        <v/>
      </c>
    </row>
    <row r="1006">
      <c r="A1006" t="n">
        <v>998</v>
      </c>
      <c r="B1006" t="n">
        <v>1</v>
      </c>
      <c r="C1006" t="n">
        <v>4</v>
      </c>
      <c r="D1006" t="n">
        <v>5</v>
      </c>
      <c r="E1006" t="n">
        <v>2</v>
      </c>
      <c r="F1006" t="n">
        <v>4</v>
      </c>
      <c r="G1006" t="n">
        <v>5</v>
      </c>
      <c r="H1006" t="n">
        <v>5</v>
      </c>
      <c r="I1006" t="n">
        <v>3</v>
      </c>
      <c r="J1006" t="n">
        <v>2</v>
      </c>
      <c r="K1006" t="n">
        <v>2</v>
      </c>
      <c r="L1006" t="n">
        <v>1</v>
      </c>
      <c r="M1006" t="n">
        <v>2</v>
      </c>
      <c r="N1006" t="n">
        <v>4</v>
      </c>
      <c r="O1006" t="n">
        <v>2</v>
      </c>
      <c r="P1006" t="n">
        <v>3</v>
      </c>
      <c r="Q1006" t="n">
        <v>4</v>
      </c>
      <c r="R1006" t="n">
        <v>4</v>
      </c>
      <c r="S1006" t="n">
        <v>4</v>
      </c>
      <c r="T1006" t="n">
        <v>4</v>
      </c>
      <c r="U1006">
        <f>(AVERAGE(B1006:D1006)-1)/4</f>
        <v/>
      </c>
      <c r="V1006">
        <f>(AVERAGE(E1006:F1006)-1)/4</f>
        <v/>
      </c>
      <c r="W1006">
        <f>(AVERAGE(G1006:I1006)-1)/4</f>
        <v/>
      </c>
      <c r="X1006">
        <f>(AVERAGE(J1006:L1006)-1)/4</f>
        <v/>
      </c>
      <c r="Y1006">
        <f>(AVERAGE(M1006:O1006)-1)/4</f>
        <v/>
      </c>
      <c r="Z1006">
        <f>(AVERAGE(P1006:R1006)-1)/4</f>
        <v/>
      </c>
      <c r="AA1006">
        <f>(AVERAGE(S1006:T1006)-1)/4</f>
        <v/>
      </c>
      <c r="AB1006">
        <f>AVERAGE(U1006:Y1006)</f>
        <v/>
      </c>
      <c r="AC1006">
        <f>MIN(U1006:Y1006)</f>
        <v/>
      </c>
      <c r="AD1006">
        <f>1-alpha*MAX(0,delta-AC1006)</f>
        <v/>
      </c>
      <c r="AE1006">
        <f>AB1006*AD1006</f>
        <v/>
      </c>
      <c r="AF1006">
        <f>1+COUNTIF(bounds,"&lt;"&amp;ROUND(AB1006,12))</f>
        <v/>
      </c>
      <c r="AG1006">
        <f>1+COUNTIF(bounds,"&lt;"&amp;ROUND(AE1006,12))</f>
        <v/>
      </c>
      <c r="AH1006">
        <f>IF(AD1006&lt;1,1,0)</f>
        <v/>
      </c>
      <c r="AI1006">
        <f>IF(AF1006&lt;&gt;AG1006,1,0)</f>
        <v/>
      </c>
      <c r="AJ1006">
        <f>IF(AND(AG1006&gt;=3,Z1006&lt;=0.2),1,0)</f>
        <v/>
      </c>
      <c r="AK1006">
        <f>AVERAGE(U1006:Z1006)</f>
        <v/>
      </c>
      <c r="AL1006">
        <f>1+COUNTIF(bounds,"&lt;"&amp;ROUND(AK1006,12))</f>
        <v/>
      </c>
      <c r="AM1006">
        <f>IF(AI1006=1,AB1006,NA())</f>
        <v/>
      </c>
      <c r="AN1006">
        <f>IF(AI1006=0,AB1006,NA())</f>
        <v/>
      </c>
    </row>
    <row r="1007">
      <c r="A1007" t="n">
        <v>999</v>
      </c>
      <c r="B1007" t="n">
        <v>3</v>
      </c>
      <c r="C1007" t="n">
        <v>5</v>
      </c>
      <c r="D1007" t="n">
        <v>4</v>
      </c>
      <c r="E1007" t="n">
        <v>1</v>
      </c>
      <c r="F1007" t="n">
        <v>3</v>
      </c>
      <c r="G1007" t="n">
        <v>5</v>
      </c>
      <c r="H1007" t="n">
        <v>5</v>
      </c>
      <c r="I1007" t="n">
        <v>3</v>
      </c>
      <c r="J1007" t="n">
        <v>2</v>
      </c>
      <c r="K1007" t="n">
        <v>4</v>
      </c>
      <c r="L1007" t="n">
        <v>1</v>
      </c>
      <c r="M1007" t="n">
        <v>1</v>
      </c>
      <c r="N1007" t="n">
        <v>1</v>
      </c>
      <c r="O1007" t="n">
        <v>1</v>
      </c>
      <c r="P1007" t="n">
        <v>3</v>
      </c>
      <c r="Q1007" t="n">
        <v>4</v>
      </c>
      <c r="R1007" t="n">
        <v>4</v>
      </c>
      <c r="S1007" t="n">
        <v>5</v>
      </c>
      <c r="T1007" t="n">
        <v>3</v>
      </c>
      <c r="U1007">
        <f>(AVERAGE(B1007:D1007)-1)/4</f>
        <v/>
      </c>
      <c r="V1007">
        <f>(AVERAGE(E1007:F1007)-1)/4</f>
        <v/>
      </c>
      <c r="W1007">
        <f>(AVERAGE(G1007:I1007)-1)/4</f>
        <v/>
      </c>
      <c r="X1007">
        <f>(AVERAGE(J1007:L1007)-1)/4</f>
        <v/>
      </c>
      <c r="Y1007">
        <f>(AVERAGE(M1007:O1007)-1)/4</f>
        <v/>
      </c>
      <c r="Z1007">
        <f>(AVERAGE(P1007:R1007)-1)/4</f>
        <v/>
      </c>
      <c r="AA1007">
        <f>(AVERAGE(S1007:T1007)-1)/4</f>
        <v/>
      </c>
      <c r="AB1007">
        <f>AVERAGE(U1007:Y1007)</f>
        <v/>
      </c>
      <c r="AC1007">
        <f>MIN(U1007:Y1007)</f>
        <v/>
      </c>
      <c r="AD1007">
        <f>1-alpha*MAX(0,delta-AC1007)</f>
        <v/>
      </c>
      <c r="AE1007">
        <f>AB1007*AD1007</f>
        <v/>
      </c>
      <c r="AF1007">
        <f>1+COUNTIF(bounds,"&lt;"&amp;ROUND(AB1007,12))</f>
        <v/>
      </c>
      <c r="AG1007">
        <f>1+COUNTIF(bounds,"&lt;"&amp;ROUND(AE1007,12))</f>
        <v/>
      </c>
      <c r="AH1007">
        <f>IF(AD1007&lt;1,1,0)</f>
        <v/>
      </c>
      <c r="AI1007">
        <f>IF(AF1007&lt;&gt;AG1007,1,0)</f>
        <v/>
      </c>
      <c r="AJ1007">
        <f>IF(AND(AG1007&gt;=3,Z1007&lt;=0.2),1,0)</f>
        <v/>
      </c>
      <c r="AK1007">
        <f>AVERAGE(U1007:Z1007)</f>
        <v/>
      </c>
      <c r="AL1007">
        <f>1+COUNTIF(bounds,"&lt;"&amp;ROUND(AK1007,12))</f>
        <v/>
      </c>
      <c r="AM1007">
        <f>IF(AI1007=1,AB1007,NA())</f>
        <v/>
      </c>
      <c r="AN1007">
        <f>IF(AI1007=0,AB1007,NA())</f>
        <v/>
      </c>
    </row>
    <row r="1008">
      <c r="A1008" t="n">
        <v>1000</v>
      </c>
      <c r="B1008" t="n">
        <v>5</v>
      </c>
      <c r="C1008" t="n">
        <v>3</v>
      </c>
      <c r="D1008" t="n">
        <v>5</v>
      </c>
      <c r="E1008" t="n">
        <v>2</v>
      </c>
      <c r="F1008" t="n">
        <v>3</v>
      </c>
      <c r="G1008" t="n">
        <v>3</v>
      </c>
      <c r="H1008" t="n">
        <v>1</v>
      </c>
      <c r="I1008" t="n">
        <v>1</v>
      </c>
      <c r="J1008" t="n">
        <v>1</v>
      </c>
      <c r="K1008" t="n">
        <v>3</v>
      </c>
      <c r="L1008" t="n">
        <v>2</v>
      </c>
      <c r="M1008" t="n">
        <v>1</v>
      </c>
      <c r="N1008" t="n">
        <v>4</v>
      </c>
      <c r="O1008" t="n">
        <v>1</v>
      </c>
      <c r="P1008" t="n">
        <v>5</v>
      </c>
      <c r="Q1008" t="n">
        <v>5</v>
      </c>
      <c r="R1008" t="n">
        <v>4</v>
      </c>
      <c r="S1008" t="n">
        <v>5</v>
      </c>
      <c r="T1008" t="n">
        <v>3</v>
      </c>
      <c r="U1008">
        <f>(AVERAGE(B1008:D1008)-1)/4</f>
        <v/>
      </c>
      <c r="V1008">
        <f>(AVERAGE(E1008:F1008)-1)/4</f>
        <v/>
      </c>
      <c r="W1008">
        <f>(AVERAGE(G1008:I1008)-1)/4</f>
        <v/>
      </c>
      <c r="X1008">
        <f>(AVERAGE(J1008:L1008)-1)/4</f>
        <v/>
      </c>
      <c r="Y1008">
        <f>(AVERAGE(M1008:O1008)-1)/4</f>
        <v/>
      </c>
      <c r="Z1008">
        <f>(AVERAGE(P1008:R1008)-1)/4</f>
        <v/>
      </c>
      <c r="AA1008">
        <f>(AVERAGE(S1008:T1008)-1)/4</f>
        <v/>
      </c>
      <c r="AB1008">
        <f>AVERAGE(U1008:Y1008)</f>
        <v/>
      </c>
      <c r="AC1008">
        <f>MIN(U1008:Y1008)</f>
        <v/>
      </c>
      <c r="AD1008">
        <f>1-alpha*MAX(0,delta-AC1008)</f>
        <v/>
      </c>
      <c r="AE1008">
        <f>AB1008*AD1008</f>
        <v/>
      </c>
      <c r="AF1008">
        <f>1+COUNTIF(bounds,"&lt;"&amp;ROUND(AB1008,12))</f>
        <v/>
      </c>
      <c r="AG1008">
        <f>1+COUNTIF(bounds,"&lt;"&amp;ROUND(AE1008,12))</f>
        <v/>
      </c>
      <c r="AH1008">
        <f>IF(AD1008&lt;1,1,0)</f>
        <v/>
      </c>
      <c r="AI1008">
        <f>IF(AF1008&lt;&gt;AG1008,1,0)</f>
        <v/>
      </c>
      <c r="AJ1008">
        <f>IF(AND(AG1008&gt;=3,Z1008&lt;=0.2),1,0)</f>
        <v/>
      </c>
      <c r="AK1008">
        <f>AVERAGE(U1008:Z1008)</f>
        <v/>
      </c>
      <c r="AL1008">
        <f>1+COUNTIF(bounds,"&lt;"&amp;ROUND(AK1008,12))</f>
        <v/>
      </c>
      <c r="AM1008">
        <f>IF(AI1008=1,AB1008,NA())</f>
        <v/>
      </c>
      <c r="AN1008">
        <f>IF(AI1008=0,AB1008,NA())</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9" customWidth="1" min="1" max="1"/>
    <col width="11" customWidth="1" min="2" max="2"/>
    <col width="19" customWidth="1" min="3" max="3"/>
    <col width="11" customWidth="1" min="4" max="4"/>
    <col width="19" customWidth="1" min="5" max="5"/>
    <col width="11" customWidth="1" min="6" max="6"/>
    <col width="19" customWidth="1" min="7" max="7"/>
  </cols>
  <sheetData>
    <row r="1">
      <c r="A1" s="4" t="inlineStr">
        <is>
          <t>Figure 2. Where the weak-link penalty changes the maturity level (equation 7; points: first 1 000 profiles of the uniform scenario)</t>
        </is>
      </c>
    </row>
    <row r="2">
      <c r="A2" t="inlineStr">
        <is>
          <t>Between the solid line (bound b) and the dashed line (upper limit of equation 7) the penalty moves the profile one level down. Change alpha or delta on Parameters to see the band move.</t>
        </is>
      </c>
    </row>
    <row r="4">
      <c r="A4" s="5" t="inlineStr">
        <is>
          <t>DM_min</t>
        </is>
      </c>
      <c r="B4" s="5" t="inlineStr">
        <is>
          <t>Bound 0.40</t>
        </is>
      </c>
      <c r="C4" s="5" t="inlineStr">
        <is>
          <t>Upper limit for 0.40</t>
        </is>
      </c>
      <c r="D4" s="5" t="inlineStr">
        <is>
          <t>Bound 0.60</t>
        </is>
      </c>
      <c r="E4" s="5" t="inlineStr">
        <is>
          <t>Upper limit for 0.60</t>
        </is>
      </c>
      <c r="F4" s="5" t="inlineStr">
        <is>
          <t>Bound 0.20</t>
        </is>
      </c>
      <c r="G4" s="5" t="inlineStr">
        <is>
          <t>Upper limit for 0.20</t>
        </is>
      </c>
    </row>
    <row r="5">
      <c r="A5" t="n">
        <v>0</v>
      </c>
      <c r="B5">
        <f>INDEX(bounds,2)</f>
        <v/>
      </c>
      <c r="C5">
        <f>MIN(B5/(1-alpha*MAX(0,delta-A5)),(4+A5)/5)</f>
        <v/>
      </c>
      <c r="D5">
        <f>INDEX(bounds,3)</f>
        <v/>
      </c>
      <c r="E5">
        <f>MIN(D5/(1-alpha*MAX(0,delta-A5)),(4+A5)/5)</f>
        <v/>
      </c>
      <c r="F5">
        <f>INDEX(bounds,1)</f>
        <v/>
      </c>
      <c r="G5">
        <f>MIN(F5/(1-alpha*MAX(0,delta-A5)),(4+A5)/5)</f>
        <v/>
      </c>
    </row>
    <row r="6">
      <c r="A6" t="n">
        <v>0.025</v>
      </c>
      <c r="B6">
        <f>INDEX(bounds,2)</f>
        <v/>
      </c>
      <c r="C6">
        <f>MIN(B6/(1-alpha*MAX(0,delta-A6)),(4+A6)/5)</f>
        <v/>
      </c>
      <c r="D6">
        <f>INDEX(bounds,3)</f>
        <v/>
      </c>
      <c r="E6">
        <f>MIN(D6/(1-alpha*MAX(0,delta-A6)),(4+A6)/5)</f>
        <v/>
      </c>
      <c r="F6">
        <f>INDEX(bounds,1)</f>
        <v/>
      </c>
      <c r="G6">
        <f>MIN(F6/(1-alpha*MAX(0,delta-A6)),(4+A6)/5)</f>
        <v/>
      </c>
    </row>
    <row r="7">
      <c r="A7" t="n">
        <v>0.05</v>
      </c>
      <c r="B7">
        <f>INDEX(bounds,2)</f>
        <v/>
      </c>
      <c r="C7">
        <f>MIN(B7/(1-alpha*MAX(0,delta-A7)),(4+A7)/5)</f>
        <v/>
      </c>
      <c r="D7">
        <f>INDEX(bounds,3)</f>
        <v/>
      </c>
      <c r="E7">
        <f>MIN(D7/(1-alpha*MAX(0,delta-A7)),(4+A7)/5)</f>
        <v/>
      </c>
      <c r="F7">
        <f>INDEX(bounds,1)</f>
        <v/>
      </c>
      <c r="G7">
        <f>MIN(F7/(1-alpha*MAX(0,delta-A7)),(4+A7)/5)</f>
        <v/>
      </c>
    </row>
    <row r="8">
      <c r="A8" t="n">
        <v>0.075</v>
      </c>
      <c r="B8">
        <f>INDEX(bounds,2)</f>
        <v/>
      </c>
      <c r="C8">
        <f>MIN(B8/(1-alpha*MAX(0,delta-A8)),(4+A8)/5)</f>
        <v/>
      </c>
      <c r="D8">
        <f>INDEX(bounds,3)</f>
        <v/>
      </c>
      <c r="E8">
        <f>MIN(D8/(1-alpha*MAX(0,delta-A8)),(4+A8)/5)</f>
        <v/>
      </c>
      <c r="F8">
        <f>INDEX(bounds,1)</f>
        <v/>
      </c>
      <c r="G8">
        <f>MIN(F8/(1-alpha*MAX(0,delta-A8)),(4+A8)/5)</f>
        <v/>
      </c>
    </row>
    <row r="9">
      <c r="A9" t="n">
        <v>0.1</v>
      </c>
      <c r="B9">
        <f>INDEX(bounds,2)</f>
        <v/>
      </c>
      <c r="C9">
        <f>MIN(B9/(1-alpha*MAX(0,delta-A9)),(4+A9)/5)</f>
        <v/>
      </c>
      <c r="D9">
        <f>INDEX(bounds,3)</f>
        <v/>
      </c>
      <c r="E9">
        <f>MIN(D9/(1-alpha*MAX(0,delta-A9)),(4+A9)/5)</f>
        <v/>
      </c>
      <c r="F9">
        <f>INDEX(bounds,1)</f>
        <v/>
      </c>
      <c r="G9">
        <f>MIN(F9/(1-alpha*MAX(0,delta-A9)),(4+A9)/5)</f>
        <v/>
      </c>
    </row>
    <row r="10">
      <c r="A10" t="n">
        <v>0.125</v>
      </c>
      <c r="B10">
        <f>INDEX(bounds,2)</f>
        <v/>
      </c>
      <c r="C10">
        <f>MIN(B10/(1-alpha*MAX(0,delta-A10)),(4+A10)/5)</f>
        <v/>
      </c>
      <c r="D10">
        <f>INDEX(bounds,3)</f>
        <v/>
      </c>
      <c r="E10">
        <f>MIN(D10/(1-alpha*MAX(0,delta-A10)),(4+A10)/5)</f>
        <v/>
      </c>
      <c r="F10">
        <f>INDEX(bounds,1)</f>
        <v/>
      </c>
      <c r="G10">
        <f>MIN(F10/(1-alpha*MAX(0,delta-A10)),(4+A10)/5)</f>
        <v/>
      </c>
    </row>
    <row r="11">
      <c r="A11" t="n">
        <v>0.15</v>
      </c>
      <c r="B11">
        <f>INDEX(bounds,2)</f>
        <v/>
      </c>
      <c r="C11">
        <f>MIN(B11/(1-alpha*MAX(0,delta-A11)),(4+A11)/5)</f>
        <v/>
      </c>
      <c r="D11">
        <f>INDEX(bounds,3)</f>
        <v/>
      </c>
      <c r="E11">
        <f>MIN(D11/(1-alpha*MAX(0,delta-A11)),(4+A11)/5)</f>
        <v/>
      </c>
      <c r="F11">
        <f>INDEX(bounds,1)</f>
        <v/>
      </c>
      <c r="G11">
        <f>MIN(F11/(1-alpha*MAX(0,delta-A11)),(4+A11)/5)</f>
        <v/>
      </c>
    </row>
    <row r="12">
      <c r="A12" t="n">
        <v>0.175</v>
      </c>
      <c r="B12">
        <f>INDEX(bounds,2)</f>
        <v/>
      </c>
      <c r="C12">
        <f>MIN(B12/(1-alpha*MAX(0,delta-A12)),(4+A12)/5)</f>
        <v/>
      </c>
      <c r="D12">
        <f>INDEX(bounds,3)</f>
        <v/>
      </c>
      <c r="E12">
        <f>MIN(D12/(1-alpha*MAX(0,delta-A12)),(4+A12)/5)</f>
        <v/>
      </c>
      <c r="F12">
        <f>INDEX(bounds,1)</f>
        <v/>
      </c>
      <c r="G12">
        <f>MIN(F12/(1-alpha*MAX(0,delta-A12)),(4+A12)/5)</f>
        <v/>
      </c>
    </row>
    <row r="13">
      <c r="A13" t="n">
        <v>0.2</v>
      </c>
      <c r="B13">
        <f>INDEX(bounds,2)</f>
        <v/>
      </c>
      <c r="C13">
        <f>MIN(B13/(1-alpha*MAX(0,delta-A13)),(4+A13)/5)</f>
        <v/>
      </c>
      <c r="D13">
        <f>INDEX(bounds,3)</f>
        <v/>
      </c>
      <c r="E13">
        <f>MIN(D13/(1-alpha*MAX(0,delta-A13)),(4+A13)/5)</f>
        <v/>
      </c>
      <c r="F13">
        <f>INDEX(bounds,1)</f>
        <v/>
      </c>
      <c r="G13">
        <f>MIN(F13/(1-alpha*MAX(0,delta-A13)),(4+A13)/5)</f>
        <v/>
      </c>
    </row>
    <row r="14">
      <c r="A14" t="n">
        <v>0.225</v>
      </c>
      <c r="B14">
        <f>INDEX(bounds,2)</f>
        <v/>
      </c>
      <c r="C14">
        <f>MIN(B14/(1-alpha*MAX(0,delta-A14)),(4+A14)/5)</f>
        <v/>
      </c>
      <c r="D14">
        <f>INDEX(bounds,3)</f>
        <v/>
      </c>
      <c r="E14">
        <f>MIN(D14/(1-alpha*MAX(0,delta-A14)),(4+A14)/5)</f>
        <v/>
      </c>
      <c r="F14">
        <f>INDEX(bounds,1)</f>
        <v/>
      </c>
      <c r="G14">
        <f>MIN(F14/(1-alpha*MAX(0,delta-A14)),(4+A14)/5)</f>
        <v/>
      </c>
    </row>
    <row r="15">
      <c r="A15" t="n">
        <v>0.25</v>
      </c>
      <c r="B15">
        <f>INDEX(bounds,2)</f>
        <v/>
      </c>
      <c r="C15">
        <f>MIN(B15/(1-alpha*MAX(0,delta-A15)),(4+A15)/5)</f>
        <v/>
      </c>
      <c r="D15">
        <f>INDEX(bounds,3)</f>
        <v/>
      </c>
      <c r="E15">
        <f>MIN(D15/(1-alpha*MAX(0,delta-A15)),(4+A15)/5)</f>
        <v/>
      </c>
      <c r="F15">
        <f>INDEX(bounds,1)</f>
        <v/>
      </c>
      <c r="G15">
        <f>MIN(F15/(1-alpha*MAX(0,delta-A15)),(4+A15)/5)</f>
        <v/>
      </c>
    </row>
    <row r="16">
      <c r="A16" t="n">
        <v>0.275</v>
      </c>
      <c r="B16">
        <f>INDEX(bounds,2)</f>
        <v/>
      </c>
      <c r="C16">
        <f>MIN(B16/(1-alpha*MAX(0,delta-A16)),(4+A16)/5)</f>
        <v/>
      </c>
      <c r="D16">
        <f>INDEX(bounds,3)</f>
        <v/>
      </c>
      <c r="E16">
        <f>MIN(D16/(1-alpha*MAX(0,delta-A16)),(4+A16)/5)</f>
        <v/>
      </c>
      <c r="F16">
        <f>INDEX(bounds,1)</f>
        <v/>
      </c>
      <c r="G16">
        <f>MIN(F16/(1-alpha*MAX(0,delta-A16)),(4+A16)/5)</f>
        <v/>
      </c>
    </row>
    <row r="17">
      <c r="A17" t="n">
        <v>0.3</v>
      </c>
      <c r="B17">
        <f>INDEX(bounds,2)</f>
        <v/>
      </c>
      <c r="C17">
        <f>MIN(B17/(1-alpha*MAX(0,delta-A17)),(4+A17)/5)</f>
        <v/>
      </c>
      <c r="D17">
        <f>INDEX(bounds,3)</f>
        <v/>
      </c>
      <c r="E17">
        <f>MIN(D17/(1-alpha*MAX(0,delta-A17)),(4+A17)/5)</f>
        <v/>
      </c>
      <c r="F17">
        <f>INDEX(bounds,1)</f>
        <v/>
      </c>
      <c r="G17">
        <f>MIN(F17/(1-alpha*MAX(0,delta-A17)),(4+A17)/5)</f>
        <v/>
      </c>
    </row>
    <row r="18">
      <c r="A18" t="n">
        <v>0.325</v>
      </c>
      <c r="B18">
        <f>INDEX(bounds,2)</f>
        <v/>
      </c>
      <c r="C18">
        <f>MIN(B18/(1-alpha*MAX(0,delta-A18)),(4+A18)/5)</f>
        <v/>
      </c>
      <c r="D18">
        <f>INDEX(bounds,3)</f>
        <v/>
      </c>
      <c r="E18">
        <f>MIN(D18/(1-alpha*MAX(0,delta-A18)),(4+A18)/5)</f>
        <v/>
      </c>
      <c r="F18">
        <f>INDEX(bounds,1)</f>
        <v/>
      </c>
      <c r="G18">
        <f>MIN(F18/(1-alpha*MAX(0,delta-A18)),(4+A18)/5)</f>
        <v/>
      </c>
    </row>
    <row r="19">
      <c r="A19" t="n">
        <v>0.35</v>
      </c>
      <c r="B19">
        <f>INDEX(bounds,2)</f>
        <v/>
      </c>
      <c r="C19">
        <f>MIN(B19/(1-alpha*MAX(0,delta-A19)),(4+A19)/5)</f>
        <v/>
      </c>
      <c r="D19">
        <f>INDEX(bounds,3)</f>
        <v/>
      </c>
      <c r="E19">
        <f>MIN(D19/(1-alpha*MAX(0,delta-A19)),(4+A19)/5)</f>
        <v/>
      </c>
      <c r="F19">
        <f>INDEX(bounds,1)</f>
        <v/>
      </c>
      <c r="G19">
        <f>MIN(F19/(1-alpha*MAX(0,delta-A19)),(4+A19)/5)</f>
        <v/>
      </c>
    </row>
    <row r="20">
      <c r="A20" t="n">
        <v>0.375</v>
      </c>
      <c r="B20">
        <f>INDEX(bounds,2)</f>
        <v/>
      </c>
      <c r="C20">
        <f>MIN(B20/(1-alpha*MAX(0,delta-A20)),(4+A20)/5)</f>
        <v/>
      </c>
      <c r="D20">
        <f>INDEX(bounds,3)</f>
        <v/>
      </c>
      <c r="E20">
        <f>MIN(D20/(1-alpha*MAX(0,delta-A20)),(4+A20)/5)</f>
        <v/>
      </c>
      <c r="F20">
        <f>INDEX(bounds,1)</f>
        <v/>
      </c>
      <c r="G20">
        <f>MIN(F20/(1-alpha*MAX(0,delta-A20)),(4+A20)/5)</f>
        <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9" customWidth="1" min="2" max="2"/>
    <col width="9" customWidth="1" min="3" max="3"/>
  </cols>
  <sheetData>
    <row r="1">
      <c r="A1" s="4" t="inlineStr">
        <is>
          <t>Figure 3. Diagnostic map (ADMI, DM_I): sample profiles and the five situations of Table 6</t>
        </is>
      </c>
    </row>
    <row r="2">
      <c r="A2" t="inlineStr">
        <is>
          <t>Lower right zone (ADMI above the level-3 bound, DM_I at most 0.20) is the 'illusion of maturity': equipped layers without integration.</t>
        </is>
      </c>
    </row>
    <row r="4">
      <c r="A4" s="5" t="inlineStr">
        <is>
          <t>Situation</t>
        </is>
      </c>
      <c r="B4" s="5" t="inlineStr">
        <is>
          <t>ADMI</t>
        </is>
      </c>
      <c r="C4" s="5" t="inlineStr">
        <is>
          <t>DM_I</t>
        </is>
      </c>
    </row>
    <row r="5">
      <c r="A5" t="inlineStr">
        <is>
          <t>Compliance trap</t>
        </is>
      </c>
      <c r="B5">
        <f>Diagnostic_situations!L4</f>
        <v/>
      </c>
      <c r="C5">
        <f>Diagnostic_situations!G4</f>
        <v/>
      </c>
    </row>
    <row r="6">
      <c r="A6" t="inlineStr">
        <is>
          <t>External EU pressure</t>
        </is>
      </c>
      <c r="B6">
        <f>Diagnostic_situations!L5</f>
        <v/>
      </c>
      <c r="C6">
        <f>Diagnostic_situations!G5</f>
        <v/>
      </c>
    </row>
    <row r="7">
      <c r="A7" t="inlineStr">
        <is>
          <t>Absorptive limiter</t>
        </is>
      </c>
      <c r="B7">
        <f>Diagnostic_situations!L6</f>
        <v/>
      </c>
      <c r="C7">
        <f>Diagnostic_situations!G6</f>
        <v/>
      </c>
    </row>
    <row r="8">
      <c r="A8" t="inlineStr">
        <is>
          <t>Aware mismatch</t>
        </is>
      </c>
      <c r="B8">
        <f>Diagnostic_situations!L7</f>
        <v/>
      </c>
      <c r="C8">
        <f>Diagnostic_situations!G7</f>
        <v/>
      </c>
    </row>
    <row r="9">
      <c r="A9" t="inlineStr">
        <is>
          <t>Illusion of maturity</t>
        </is>
      </c>
      <c r="B9">
        <f>Diagnostic_situations!L8</f>
        <v/>
      </c>
      <c r="C9">
        <f>Diagnostic_situations!G8</f>
        <v/>
      </c>
    </row>
    <row r="12">
      <c r="A12" s="5" t="inlineStr">
        <is>
          <t>Guide lines</t>
        </is>
      </c>
      <c r="B12" s="5" t="inlineStr">
        <is>
          <t>x</t>
        </is>
      </c>
      <c r="C12" s="5" t="inlineStr">
        <is>
          <t>y</t>
        </is>
      </c>
    </row>
    <row r="13">
      <c r="A13" t="inlineStr">
        <is>
          <t>level-3 bound</t>
        </is>
      </c>
      <c r="B13">
        <f>INDEX(bounds,2)</f>
        <v/>
      </c>
      <c r="C13" t="n">
        <v>0</v>
      </c>
    </row>
    <row r="14">
      <c r="A14" t="inlineStr">
        <is>
          <t>level-3 bound</t>
        </is>
      </c>
      <c r="B14">
        <f>INDEX(bounds,2)</f>
        <v/>
      </c>
      <c r="C14" t="n">
        <v>1</v>
      </c>
    </row>
    <row r="15">
      <c r="A15" t="inlineStr">
        <is>
          <t>DM_I = 0.20</t>
        </is>
      </c>
      <c r="B15" t="n">
        <v>0</v>
      </c>
      <c r="C15" t="n">
        <v>0.2</v>
      </c>
    </row>
    <row r="16">
      <c r="A16" t="inlineStr">
        <is>
          <t>DM_I = 0.20</t>
        </is>
      </c>
      <c r="B16" t="n">
        <v>1</v>
      </c>
      <c r="C16" t="n">
        <v>0.2</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2026-10-22T08:16:58Z</dcterms:created>
  <dcterms:modified xmlns:dcterms="http://purl.org/dc/terms/" xmlns:xsi="http://www.w3.org/2001/XMLSchema-instance" xsi:type="dcterms:W3CDTF">2026-10-22T08:16:58Z</dcterms:modified>
</cp:coreProperties>
</file>