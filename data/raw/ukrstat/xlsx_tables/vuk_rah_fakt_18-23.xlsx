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C:\Users\new\Documents\Вебсайт\2024\ІКТ\2023-2024\На узгодження\"/>
    </mc:Choice>
  </mc:AlternateContent>
  <xr:revisionPtr revIDLastSave="0" documentId="13_ncr:1_{F84089EC-191A-4687-A81F-A411CB634BA4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Зміст_Content" sheetId="1" r:id="rId1"/>
    <sheet name="1" sheetId="2" r:id="rId2"/>
    <sheet name="2" sheetId="20" r:id="rId3"/>
    <sheet name="3" sheetId="8" r:id="rId4"/>
    <sheet name="4" sheetId="17" r:id="rId5"/>
    <sheet name="5" sheetId="1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2" i="2" l="1"/>
  <c r="F51" i="2"/>
</calcChain>
</file>

<file path=xl/sharedStrings.xml><?xml version="1.0" encoding="utf-8"?>
<sst xmlns="http://schemas.openxmlformats.org/spreadsheetml/2006/main" count="930" uniqueCount="204">
  <si>
    <t>Усього</t>
  </si>
  <si>
    <t xml:space="preserve">Total </t>
  </si>
  <si>
    <t>Переробна промисловість</t>
  </si>
  <si>
    <t>C</t>
  </si>
  <si>
    <t xml:space="preserve">Manufacturing </t>
  </si>
  <si>
    <t>Виробництво харчових продуктів, напоїв і тютюнових виробів; текстильне виробництво, виробництво одягу, шкіри, виробів зі шкіри та інших матеріалів; виготовлення виробів з деревини, паперу та поліграфічна діяльність</t>
  </si>
  <si>
    <t>10+11+12+13+14+15+16+17+18</t>
  </si>
  <si>
    <t>Виробництво харчових продуктів, напоїв і тютюнових виробів</t>
  </si>
  <si>
    <t>10+11+12</t>
  </si>
  <si>
    <t>Текстильне виробництво, виробництво одягу, шкіри, виробів зі шкіри та інших матеріалів</t>
  </si>
  <si>
    <t>13+14+15</t>
  </si>
  <si>
    <t>Виготовлення виробів з деревини, паперу та поліграфічна діяльність</t>
  </si>
  <si>
    <t>16+17+18</t>
  </si>
  <si>
    <t>Виробництво коксу та продуктів нафтоперероблення; виробництво хімічних речовин і хімічної продукції; виробництво основних фармацевтичних продуктів і фармацевтичних препаратів; виробництво гумових і пластмасових виробів; виробництво іншої неметалевої мінеральної продукції</t>
  </si>
  <si>
    <t>19+20+21+
22+23</t>
  </si>
  <si>
    <t>Виробництво коксу та продуктів нафтоперероблення</t>
  </si>
  <si>
    <t>Виробництво хімічних речовин і хімічної продукції</t>
  </si>
  <si>
    <t>Виробництво основних фармацевтичних продуктів і фармацевтичних препаратів</t>
  </si>
  <si>
    <t>Виробництво гумових і пластмасових виробів, іншої неметалевої мінеральної продукції</t>
  </si>
  <si>
    <t>22+23</t>
  </si>
  <si>
    <t>Manufacture of rubber and plastic products, other non-metallic mineral products</t>
  </si>
  <si>
    <t>Металургійне виробництво, виробництво готових металевих виробів, крім машин і устатковання</t>
  </si>
  <si>
    <t>24+25</t>
  </si>
  <si>
    <t>Машинобудування; виробництво меблів, іншої продукції, ремонт і монтаж машин і устаткування</t>
  </si>
  <si>
    <t>26+27+28+29+
30+31+32+33</t>
  </si>
  <si>
    <t>Виробництво комп’ютерів, електронної та оптичної продукції</t>
  </si>
  <si>
    <t>Manufacture of computers, electronic and optical products</t>
  </si>
  <si>
    <t>Виробництво електричного устатковання</t>
  </si>
  <si>
    <t>Manufacture of electrical equipment</t>
  </si>
  <si>
    <t>Виробництво машин і устатковання, н.в.і.у.</t>
  </si>
  <si>
    <t xml:space="preserve">Виробництво автотранспортних засобів, причепів і напівпричепів та інших транспортних засобів </t>
  </si>
  <si>
    <t>29+30</t>
  </si>
  <si>
    <t>Виробництво меблів, іншої продукції, ремонт і монтаж машин і устаткування</t>
  </si>
  <si>
    <t>31+32+33</t>
  </si>
  <si>
    <t>Постачання електроенергії, газу, пари та кондиційованого повітря; водопостачання; каналізація, поводження з відходами</t>
  </si>
  <si>
    <t>D+E</t>
  </si>
  <si>
    <t>Electricity, gas, steam and air conditioning supply; water supply; sewerage, waste management and remedation activities</t>
  </si>
  <si>
    <t>Постачання електроенергії, газу, пари та кондиційованого повітря</t>
  </si>
  <si>
    <t>D</t>
  </si>
  <si>
    <t xml:space="preserve">Eelectricity, gas, steam and air-conditioning supply </t>
  </si>
  <si>
    <t>Водопостачання; каналізація, поводження з відходами</t>
  </si>
  <si>
    <t>E</t>
  </si>
  <si>
    <t>Water supply; sewerage, waste management and remedation activities</t>
  </si>
  <si>
    <t>Будівництво</t>
  </si>
  <si>
    <t>F</t>
  </si>
  <si>
    <t xml:space="preserve">Construction </t>
  </si>
  <si>
    <t xml:space="preserve">Оптова та роздрібна торгівля; ремонт автотранспортних засобів і мотоциклів </t>
  </si>
  <si>
    <t>G</t>
  </si>
  <si>
    <t xml:space="preserve">Wholesale and retail trade; repair of motor vehicles and motorcycles </t>
  </si>
  <si>
    <t>Оптова та роздрібна торгівля автотранспортними засобами та мотоциклами, їх ремонт</t>
  </si>
  <si>
    <t>Оптова торгівля, крім торгівлі автотранспортними засобами та мотоциклами</t>
  </si>
  <si>
    <t>Wholesale trade, except of motor vehicles and motorcycles</t>
  </si>
  <si>
    <t>Роздрібна торгівля, крім торгівлі автотранспортними засобами та мотоциклами</t>
  </si>
  <si>
    <t>Retail trade, except of motor vehicles and motorcycles</t>
  </si>
  <si>
    <t>Транспорт, складське господарство, поштова та кур'єрська діяльність</t>
  </si>
  <si>
    <t>H</t>
  </si>
  <si>
    <t>Transportation and storage</t>
  </si>
  <si>
    <t>Тимчасове розміщування й організація харчування</t>
  </si>
  <si>
    <t>I</t>
  </si>
  <si>
    <t>Accommodation and food service activities</t>
  </si>
  <si>
    <t>Тимчасове розміщування</t>
  </si>
  <si>
    <t xml:space="preserve">Інформація та телекомунікації </t>
  </si>
  <si>
    <t>J</t>
  </si>
  <si>
    <t xml:space="preserve">Information and communication </t>
  </si>
  <si>
    <t>Видавнича діяльність; виробництво кіно- та відеофільмів, телевізійних програм, видання звукозаписів; діяльність у сфері радіомовлення та телевізійного мовлення</t>
  </si>
  <si>
    <t>58+59+60</t>
  </si>
  <si>
    <t>Телекомунікації (електрозв’язок)</t>
  </si>
  <si>
    <t>Комп’ютерне програмування, консультування та пов’язана з ними діяльність; надання інформаційних послуг</t>
  </si>
  <si>
    <t>62+63</t>
  </si>
  <si>
    <t>Операції з нерухомим майном</t>
  </si>
  <si>
    <t>L</t>
  </si>
  <si>
    <t>Real estate activities</t>
  </si>
  <si>
    <t>Професійна, наукова та технічна діяльність</t>
  </si>
  <si>
    <t>M</t>
  </si>
  <si>
    <t>Діяльність у сферах права та бухгалтерського обліку; діяльність головних управлінь (хед-офісів); консультування з питань керування; діяльність у сферах архітектури та інжинірингу; технічні випробування та дослідження</t>
  </si>
  <si>
    <t>69+70+71</t>
  </si>
  <si>
    <t>Наукові дослідження та розробки</t>
  </si>
  <si>
    <t>Рекламна діяльність і дослідження кон'юнктури ринку; інша професійна, наукова та технічна діяльність</t>
  </si>
  <si>
    <t>73+74</t>
  </si>
  <si>
    <t>Advertising and market research; other professional, scientific and technical activities</t>
  </si>
  <si>
    <t>Діяльність у сфері адміністративного та допоміжного обслуговування</t>
  </si>
  <si>
    <t>N</t>
  </si>
  <si>
    <t xml:space="preserve">Administrative and support service activities </t>
  </si>
  <si>
    <t>Оренда, прокат і лізинг; діяльність із працевлаштування; діяльність охоронних служб та проведення розслідувань; обслуговування будинків і територій; адміністративна та допоміжна офісна діяльність, інші допоміжні комерційні послуги</t>
  </si>
  <si>
    <t>77+78+80+
81+82</t>
  </si>
  <si>
    <t>Діяльність туристичних агентств, туристичних операторів, надання інших послуг із бронювання та пов’язана з цим діяльність</t>
  </si>
  <si>
    <t>Ремонт комп'ютерів і обладнання зв'язку</t>
  </si>
  <si>
    <t>95.1</t>
  </si>
  <si>
    <t>Repair of computers and communication equipment</t>
  </si>
  <si>
    <t xml:space="preserve">Інформаційно-комунікаційні технології </t>
  </si>
  <si>
    <t>26.1+26.2+26.3+26.4+26.8+46.5+58.2+61+62+63.1+95.1</t>
  </si>
  <si>
    <t>Information and communication technologies</t>
  </si>
  <si>
    <t>У тому числі за кількістю зайнятих працівників</t>
  </si>
  <si>
    <t>від 10 до 49 осіб</t>
  </si>
  <si>
    <t>10-49 persons</t>
  </si>
  <si>
    <t>від 50 до 249 осіб</t>
  </si>
  <si>
    <t>50-249 persons</t>
  </si>
  <si>
    <t>250 осіб і більше</t>
  </si>
  <si>
    <t>250 persons and more</t>
  </si>
  <si>
    <r>
      <t xml:space="preserve">одиниць/ 
</t>
    </r>
    <r>
      <rPr>
        <i/>
        <sz val="10"/>
        <rFont val="Verdana"/>
        <family val="2"/>
        <charset val="204"/>
      </rPr>
      <t>units</t>
    </r>
  </si>
  <si>
    <r>
      <t xml:space="preserve">тис.грн/ 
</t>
    </r>
    <r>
      <rPr>
        <i/>
        <sz val="10"/>
        <rFont val="Verdana"/>
        <family val="2"/>
        <charset val="204"/>
      </rPr>
      <t>thousand UAH</t>
    </r>
  </si>
  <si>
    <r>
      <t xml:space="preserve">Примітки/ </t>
    </r>
    <r>
      <rPr>
        <b/>
        <i/>
        <sz val="10"/>
        <rFont val="Verdana"/>
        <family val="2"/>
        <charset val="204"/>
      </rPr>
      <t>Notes</t>
    </r>
    <r>
      <rPr>
        <b/>
        <sz val="10"/>
        <rFont val="Verdana"/>
        <family val="2"/>
        <charset val="204"/>
      </rPr>
      <t>:</t>
    </r>
  </si>
  <si>
    <r>
      <t xml:space="preserve">Кількість підприємств, які здійснювали електронну торгівлю/ 
</t>
    </r>
    <r>
      <rPr>
        <i/>
        <sz val="10"/>
        <rFont val="Verdana"/>
        <family val="2"/>
        <charset val="204"/>
      </rPr>
      <t>Number of enterprises which have made e-commerce</t>
    </r>
  </si>
  <si>
    <r>
      <t xml:space="preserve">Україна/
</t>
    </r>
    <r>
      <rPr>
        <i/>
        <sz val="10"/>
        <rFont val="Verdana"/>
        <family val="2"/>
        <charset val="204"/>
      </rPr>
      <t>Ukraine</t>
    </r>
  </si>
  <si>
    <r>
      <t xml:space="preserve">Обсяг реалізованої продукції (товарів, послуг) підприємств, отриманий від електронної торгівлі/ 
</t>
    </r>
    <r>
      <rPr>
        <i/>
        <sz val="10"/>
        <rFont val="Verdana"/>
        <family val="2"/>
        <charset val="204"/>
      </rPr>
      <t>Value of the turnover of e-commerce sales</t>
    </r>
  </si>
  <si>
    <t>Примітки/ Notes:</t>
  </si>
  <si>
    <r>
      <t xml:space="preserve">2. Дані наведені по юридичних особах із кількістю зайнятих працівників 10 осіб і більше./ </t>
    </r>
    <r>
      <rPr>
        <i/>
        <sz val="10"/>
        <rFont val="Verdana"/>
        <family val="2"/>
        <charset val="204"/>
      </rPr>
      <t>Data are given for legal entities with 10 persons employed and more.</t>
    </r>
  </si>
  <si>
    <t>−</t>
  </si>
  <si>
    <t>решта світу/
other</t>
  </si>
  <si>
    <r>
      <t xml:space="preserve">Код за 
КВЕД-2010/
</t>
    </r>
    <r>
      <rPr>
        <i/>
        <sz val="10"/>
        <rFont val="Verdana"/>
        <family val="2"/>
        <charset val="204"/>
      </rPr>
      <t>Code NACE, Rev.2</t>
    </r>
  </si>
  <si>
    <r>
      <t xml:space="preserve">Код за 
КВЕД-2010/
</t>
    </r>
    <r>
      <rPr>
        <i/>
        <sz val="10"/>
        <rFont val="Verdana"/>
        <family val="2"/>
        <charset val="204"/>
      </rPr>
      <t xml:space="preserve"> Code NACE, Rev.2</t>
    </r>
  </si>
  <si>
    <r>
      <t xml:space="preserve">Код за 
КВЕД-2010/
 </t>
    </r>
    <r>
      <rPr>
        <i/>
        <sz val="10"/>
        <rFont val="Verdana"/>
        <family val="2"/>
        <charset val="204"/>
      </rPr>
      <t>Code NACE, Rev.2</t>
    </r>
  </si>
  <si>
    <t>Machine-building; manufacture of furniture, other products, repair and installation of machinery and equipment</t>
  </si>
  <si>
    <t xml:space="preserve">Manufacture of food products, beverages and tobacco products; textile production, production of clothing, leather, leather products and other materials; manufacture of wood, paper and printing </t>
  </si>
  <si>
    <t>Manufacture of food products, beverages and tobacco products</t>
  </si>
  <si>
    <t>Manufacture of textiles, wearing apparel, leather and related products</t>
  </si>
  <si>
    <t xml:space="preserve">Manufacture of wood, paper and printing </t>
  </si>
  <si>
    <t>Manufacture of coke and refined petroleum products; manufacture of chemicals and chemical products; manufacture of basic pharmaceutical products and pharmaceuticals preparations; manufacture of rubber and plastic products; manufacture of other non-metallic mineral products</t>
  </si>
  <si>
    <t>Manufacture of coke and refined petroleum products</t>
  </si>
  <si>
    <t>Manufacture of chemicals and chemical products</t>
  </si>
  <si>
    <t>Manufacture of basic pharmaceutical products and pharmaceuticals preparations</t>
  </si>
  <si>
    <t>Manufacture of basic metals; manufacture of fabricated metal products, except machinery and equipment</t>
  </si>
  <si>
    <t>Manufacture of machinery and equipment n.e.c.</t>
  </si>
  <si>
    <t>Manufacture of motor vehicles, trailers and semi-trailers; manufacture of other transport equipment</t>
  </si>
  <si>
    <t>Manufacture of furniture, other manufacturing, repair and installation of machinery and equipment</t>
  </si>
  <si>
    <t>Wholesale and retail trade and repair of motor vehicles and motorcycles</t>
  </si>
  <si>
    <t>Accommodation</t>
  </si>
  <si>
    <t>Publishing activities, motion picture, video and television programme production, sound recording and music publishing activities, programming and broadcasting activities</t>
  </si>
  <si>
    <t>Telecommunications</t>
  </si>
  <si>
    <t>Computer programming, consultancy and related activities; information service activities</t>
  </si>
  <si>
    <t xml:space="preserve">Professional, scientific and technical activities </t>
  </si>
  <si>
    <t>Legal and accounting activities, main departments activities (head offices); management consulting;  architectural and engineering activities; technical testing and analysis</t>
  </si>
  <si>
    <t>Scientific research and development</t>
  </si>
  <si>
    <t>Travel agency, tour operator and other reservation service and related activities</t>
  </si>
  <si>
    <t xml:space="preserve">Including by the number of persons employed </t>
  </si>
  <si>
    <r>
      <t xml:space="preserve">країни Європейського Союзу/
</t>
    </r>
    <r>
      <rPr>
        <i/>
        <sz val="10"/>
        <rFont val="Verdana"/>
        <family val="2"/>
        <charset val="204"/>
      </rPr>
      <t>EU countries</t>
    </r>
  </si>
  <si>
    <r>
      <t xml:space="preserve">Зміст/ 
</t>
    </r>
    <r>
      <rPr>
        <b/>
        <i/>
        <sz val="11"/>
        <rFont val="Verdana"/>
        <family val="2"/>
        <charset val="204"/>
      </rPr>
      <t>Content</t>
    </r>
  </si>
  <si>
    <t>Rental and leasing activities; employment activities; security and investigation activities; services to buildings and landscape activities; office administrative, office support and other business support activities</t>
  </si>
  <si>
    <r>
      <t>Частка кількості підприємств, які здійснювали електронну торгівлю, у загальній кількості підприємств за місцем розташування клієнтів за видами економічної діяльності та з розподілом за кількістю зайнятих працівників у 2021-2023 роках/</t>
    </r>
    <r>
      <rPr>
        <b/>
        <vertAlign val="superscript"/>
        <sz val="10"/>
        <rFont val="Verdana"/>
        <family val="2"/>
        <charset val="204"/>
      </rPr>
      <t xml:space="preserve">
</t>
    </r>
    <r>
      <rPr>
        <b/>
        <i/>
        <sz val="10"/>
        <rFont val="Verdana"/>
        <family val="2"/>
        <charset val="204"/>
      </rPr>
      <t>Share of the number of enterprises which have made e-commerce of the total number of enterprises by location of customers by types of economic activity and with a breakdown by number of persons employed in 2021-2023</t>
    </r>
  </si>
  <si>
    <r>
      <t>3. Інформація за 2021-2023 роки сформована на основі фактично поданих підприємствами звітів та проведених дооцінок показників./</t>
    </r>
    <r>
      <rPr>
        <i/>
        <sz val="10"/>
        <rFont val="Verdana"/>
        <family val="2"/>
        <charset val="204"/>
      </rPr>
      <t xml:space="preserve"> The information for 2021‒2023 has been compiled on the basis of reports actually submitted by enterprises and additional estimates of indicators. </t>
    </r>
  </si>
  <si>
    <r>
      <t xml:space="preserve">1. Дані за 2018-2021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областях; дані за 2022-2023 роки наведено без урахування тимчасово окупованих російською федерацією територій та частини територій, на яких ведуться (велися) бойові дії./ </t>
    </r>
    <r>
      <rPr>
        <i/>
        <sz val="10"/>
        <rFont val="Verdana"/>
        <family val="2"/>
        <charset val="204"/>
      </rPr>
      <t>Data for 2018-2021 exclude the temporarily occupied territory of the Autonomous Republic of Crimea, the city of Sevastopol and a part of temporarily occupied territories in the Donetsk and Luhansk regions; data for 2022-2023 exclude the territories which are temporarily occupied by the russian federation and part of territories where the military actions are/were conducted</t>
    </r>
    <r>
      <rPr>
        <sz val="10"/>
        <rFont val="Verdana"/>
        <family val="2"/>
        <charset val="204"/>
      </rPr>
      <t>.</t>
    </r>
  </si>
  <si>
    <r>
      <t>Кількість підприємств, які здійснювали електронну торгівлю, та обсяг реалізованої продукції (товарів, послуг), отриманий від електронної торгівлі, за видами економічної діяльності та з розподілом за кількістю зайнятих працівників у 2018-2023 роках/</t>
    </r>
    <r>
      <rPr>
        <b/>
        <vertAlign val="superscript"/>
        <sz val="10"/>
        <rFont val="Verdana"/>
        <family val="2"/>
        <charset val="204"/>
      </rPr>
      <t xml:space="preserve">
</t>
    </r>
    <r>
      <rPr>
        <b/>
        <i/>
        <sz val="10"/>
        <rFont val="Verdana"/>
        <family val="2"/>
        <charset val="204"/>
      </rPr>
      <t>Number of enterprises which have made e-commerce and value of the turnover of e-commerce sales by type of economic activity and with a breakdown by number of persons employed in 2018-2023</t>
    </r>
  </si>
  <si>
    <t>Manufacture of food products, beverages and tobacco; textile production, production of clothing, leather, leather products and other materials; manufacture of wood, paper and printing activities</t>
  </si>
  <si>
    <t>Manufacture of food products, beverages and tobacco</t>
  </si>
  <si>
    <t>Textile production, production of clothing, leather, leather products and other materials</t>
  </si>
  <si>
    <t>Manufacture of wood, paper and printing activities</t>
  </si>
  <si>
    <t>Manufacture of coke and refined petroleum products; production of chemicals and chemical products; production of basic pharmaceutical products and pharmaceuticals; production of rubber and plastic products; production of other non-metallic mineral products</t>
  </si>
  <si>
    <t>Production of coke and refined petroleum products</t>
  </si>
  <si>
    <t>Production of chemicals and chemical products</t>
  </si>
  <si>
    <t>Manufacture of basic pharmaceutical products and pharmaceuticals</t>
  </si>
  <si>
    <t>Metallurgical production, production of finished metal products, except for machines and equipment</t>
  </si>
  <si>
    <t>Engineering; manufacture of furniture, other products, repair and installation of machinery and equipment</t>
  </si>
  <si>
    <t>Manufacture of machinery and equipment</t>
  </si>
  <si>
    <t>Manufacture of motor vehicles, trailers and semi-trailers and other vehicles</t>
  </si>
  <si>
    <t>Manufacture of furniture, other products, repair and installation of machinery and equipment</t>
  </si>
  <si>
    <t>Wholesale and retail trade in motor vehicles and motorcycles, their repair</t>
  </si>
  <si>
    <t>Temporary accommodation</t>
  </si>
  <si>
    <t>Publishing activity; production of movies and videos, television programs, publication of sound recordings; activities in the field of radio and television broadcasting</t>
  </si>
  <si>
    <t>Telecommunications (telecommunications)</t>
  </si>
  <si>
    <t>Computer programming, consultancy and related activities; provision of information services</t>
  </si>
  <si>
    <t xml:space="preserve">Professional, scientific and technical activity </t>
  </si>
  <si>
    <t>Activities in the fields of law and accounting; activity of main departments (head offices); management consulting; activities in the fields of architecture and engineering; technical tests and research</t>
  </si>
  <si>
    <t>Research and development</t>
  </si>
  <si>
    <t>Rental, hire and leasing; employment activities; activities of security services and investigations; maintenance of buildings and territories; administrative and support service office activities, other ancillary commercial services</t>
  </si>
  <si>
    <t>Travel agency, tour operator, other reservation service and related activities</t>
  </si>
  <si>
    <t xml:space="preserve">Including by the number of employed </t>
  </si>
  <si>
    <r>
      <t xml:space="preserve">Код за 
КВЕД-2010/
</t>
    </r>
    <r>
      <rPr>
        <i/>
        <sz val="10"/>
        <rFont val="Verdana"/>
        <family val="2"/>
        <charset val="204"/>
      </rPr>
      <t xml:space="preserve"> Code NACE. Rev.2</t>
    </r>
  </si>
  <si>
    <r>
      <t xml:space="preserve">в електронній формі у стандартній структурі, 
придатній для автоматизованої обробки/ 
</t>
    </r>
    <r>
      <rPr>
        <i/>
        <sz val="10"/>
        <rFont val="Verdana"/>
        <family val="2"/>
        <charset val="204"/>
      </rPr>
      <t xml:space="preserve">invoices in electronic form, in a standard structure suitable for automated processing
  </t>
    </r>
  </si>
  <si>
    <r>
      <t xml:space="preserve">в електронній формі, не придатній для 
автоматизованої обробки/ 
</t>
    </r>
    <r>
      <rPr>
        <i/>
        <sz val="10"/>
        <rFont val="Verdana"/>
        <family val="2"/>
        <charset val="204"/>
      </rPr>
      <t>invoices in electronic form not suitable 
for automated processing</t>
    </r>
  </si>
  <si>
    <r>
      <t xml:space="preserve">у паперовому вигляді/ 
</t>
    </r>
    <r>
      <rPr>
        <i/>
        <sz val="10"/>
        <rFont val="Verdana"/>
        <family val="2"/>
        <charset val="204"/>
      </rPr>
      <t>invoices in paper form</t>
    </r>
  </si>
  <si>
    <r>
      <t xml:space="preserve">
у % до загальної кількості підприємств відповідного виду економічної діяльності/ 
</t>
    </r>
    <r>
      <rPr>
        <i/>
        <sz val="10"/>
        <rFont val="Verdana"/>
        <family val="2"/>
        <charset val="204"/>
      </rPr>
      <t>% of the total number of enterprisesof the relevant type of economic activity</t>
    </r>
    <r>
      <rPr>
        <sz val="10"/>
        <rFont val="Verdana"/>
        <family val="2"/>
        <charset val="204"/>
      </rPr>
      <t xml:space="preserve">
</t>
    </r>
  </si>
  <si>
    <r>
      <t xml:space="preserve">4. Символ (к) – дані не оприлюднюються з метою виконання вимог Закону України "Про офіційну статистику" щодо забезпечення гарантій органів державної статистики щодо статистичної конфіденційності./ </t>
    </r>
    <r>
      <rPr>
        <i/>
        <sz val="10"/>
        <rFont val="Verdana"/>
        <family val="2"/>
        <charset val="204"/>
      </rPr>
      <t>Symbol (с) – data are not released in order to comply with the requirements of Ukraine's law on official statistics regarding the provision of guarantees of the state statistics bodies on statistical confidentiality.  </t>
    </r>
  </si>
  <si>
    <t>к/c</t>
  </si>
  <si>
    <r>
      <t xml:space="preserve">решта світу/
</t>
    </r>
    <r>
      <rPr>
        <i/>
        <sz val="10"/>
        <rFont val="Verdana"/>
        <family val="2"/>
        <charset val="204"/>
      </rPr>
      <t>other</t>
    </r>
  </si>
  <si>
    <r>
      <t xml:space="preserve">1. Дані за 2018-2020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областях; дані за 2023 рік наведено без урахування тимчасово окупованих російською федерацією територій та частини територій, на яких ведуться (велися) бойові дії./ </t>
    </r>
    <r>
      <rPr>
        <i/>
        <sz val="10"/>
        <rFont val="Verdana"/>
        <family val="2"/>
        <charset val="204"/>
      </rPr>
      <t>Data for 2018-2020 exclude the temporarily occupied territory of the Autonomous Republic of Crimea, the city of Sevastopol and a part of temporarily occupied territories in the Donetsk and Luhansk regions; data for 2023 exclude the territories which are temporarily occupied by the russian federation and part of territories where the military actions are/were conducted</t>
    </r>
    <r>
      <rPr>
        <sz val="10"/>
        <rFont val="Verdana"/>
        <family val="2"/>
        <charset val="204"/>
      </rPr>
      <t>.</t>
    </r>
  </si>
  <si>
    <r>
      <t>3. Інформація за 2023 рік сформована на основі фактично поданих підприємствами звітів та проведених дооцінок показників./</t>
    </r>
    <r>
      <rPr>
        <i/>
        <sz val="10"/>
        <rFont val="Verdana"/>
        <family val="2"/>
        <charset val="204"/>
      </rPr>
      <t xml:space="preserve"> The information for 2023 has been compiled on the basis of reports actually submitted by enterprises and additional estimates of indicators. </t>
    </r>
  </si>
  <si>
    <r>
      <t xml:space="preserve">1. Кількість підприємств, які здійснювали електронну торгівлю, та обсяг реалізованої продукції (товарів, послуг), отриманий від електронної торгівлі, за видами економічної діяльності та з розподілом за кількістю зайнятих працівників у 2018-2023 роках/
</t>
    </r>
    <r>
      <rPr>
        <i/>
        <sz val="11"/>
        <rFont val="Verdana"/>
        <family val="2"/>
        <charset val="204"/>
      </rPr>
      <t>Number of enterprises which have made e-commerce and value of the turnover of e-commerce sales by type of economic activity and with a breakdown by number of persons employed in 2018-2023</t>
    </r>
  </si>
  <si>
    <t>ВИКОРИСТАННЯ ІНФОРМАЦІЙНО-КОМУНІКАЦІЙНИХ ТЕХНОЛОГІЙ НА ПІДПРИЄМСТВАХ: 
ЕЛЕКТРОННА ТОРГІВЛЯ, ВИСТАВЛЕННЯ РАХУНКІВ-ФАКТУР/
USE OF INFORMATION AND COMMUNICATION TECHNOLOGIES AT ENTERPRISES: 
E-COMMERCE, INVOICING</t>
  </si>
  <si>
    <r>
      <t xml:space="preserve">5. Частка кількості підприємств, що надсилали рахунки-фактури, у загальній кількості підприємств за видами рахунків, за видами економічної діяльності та з розподілом за кількістю зайнятих працівників у 2018-2020, 2023 роках
</t>
    </r>
    <r>
      <rPr>
        <i/>
        <sz val="11"/>
        <rFont val="Verdana"/>
        <family val="2"/>
        <charset val="204"/>
      </rPr>
      <t>Share of the number of enterprises that sent invoices by type of invoices, by type of economic activity and with a breakdown by number of employed in 2018-2020, 2023</t>
    </r>
  </si>
  <si>
    <r>
      <t>Частка кількості підприємств, які здійснювали електронну торгівлю через повідомлення типу EDI, у загальній кількості підприємств за місцем розташування клієнтів за видами економічної діяльності та з розподілом за кількістю зайнятих працівників у 2023 році/</t>
    </r>
    <r>
      <rPr>
        <b/>
        <vertAlign val="superscript"/>
        <sz val="10"/>
        <rFont val="Verdana"/>
        <family val="2"/>
        <charset val="204"/>
      </rPr>
      <t xml:space="preserve">
</t>
    </r>
    <r>
      <rPr>
        <b/>
        <i/>
        <sz val="10"/>
        <rFont val="Verdana"/>
        <family val="2"/>
        <charset val="204"/>
      </rPr>
      <t>Share of the number of enterprises which have made e-commerce via EDI-type messages  of the total number of enterprises by location of customers by types of economic activity and with a breakdown by number of persons employed in 2023</t>
    </r>
  </si>
  <si>
    <r>
      <t xml:space="preserve">Частка кількості підприємств, що надсилали рахунки-фактури, у загальній кількості підприємств відповідного виду економічної діяльності, %/ 
</t>
    </r>
    <r>
      <rPr>
        <i/>
        <sz val="10"/>
        <rFont val="Verdana"/>
        <family val="2"/>
        <charset val="204"/>
      </rPr>
      <t>Share of the number of enterprises that sent invoices of the total number of enterprises, of the relevant type of economic activity, %</t>
    </r>
  </si>
  <si>
    <r>
      <t xml:space="preserve">Частка кількості підприємств, що надсилали рахунки-фактури, у загальній кількості підприємств за видами рахунків, за видами економічної діяльності та з розподілом за кількістю зайнятих працівників у 2018-2020, 2023 роках
</t>
    </r>
    <r>
      <rPr>
        <b/>
        <i/>
        <sz val="11"/>
        <rFont val="Verdana"/>
        <family val="2"/>
        <charset val="204"/>
      </rPr>
      <t>Share of the number of enterprises that sent invoices by type of invoices, by type of economic activity and with a breakdown by number of employed in 2018-2020, 2023</t>
    </r>
  </si>
  <si>
    <r>
      <t xml:space="preserve">у % до загального обсягу реалізованої продукції (товарів, послуг) підприємств відповідного виду економічної діяльності/ 
</t>
    </r>
    <r>
      <rPr>
        <i/>
        <sz val="10"/>
        <rFont val="Verdana"/>
        <family val="2"/>
        <charset val="204"/>
      </rPr>
      <t>% of the total turnover of enterprises</t>
    </r>
    <r>
      <rPr>
        <sz val="10"/>
        <rFont val="Verdana"/>
        <family val="2"/>
        <charset val="204"/>
      </rPr>
      <t xml:space="preserve"> of the relevant type of economic activity</t>
    </r>
  </si>
  <si>
    <r>
      <t xml:space="preserve">Частка кількості підприємств, які здійснювали електронну торгівлю, у загальній кількості підприємств відповідного виду економічної діяльності за місцем розташування клієнтів, %/ 
</t>
    </r>
    <r>
      <rPr>
        <i/>
        <sz val="10"/>
        <rFont val="Verdana"/>
        <family val="2"/>
        <charset val="204"/>
      </rPr>
      <t>Share of the number of enterprises which have made e-commerce of the total number of enterprises of the relevant type of economic activity by location of customers, %</t>
    </r>
  </si>
  <si>
    <r>
      <t xml:space="preserve">Частка кількості підприємств, які здійснювали електронну торгівлю через повідомлення типу EDI, у загальній кількості підприємств відповідного виду економічної діяльності за місцем розташування клієнтів, %/ 
</t>
    </r>
    <r>
      <rPr>
        <i/>
        <sz val="10"/>
        <rFont val="Verdana"/>
        <family val="2"/>
        <charset val="204"/>
      </rPr>
      <t>Share of the number of enterprises which have made e-commerce via EDI-type messages  of the total number of enterprises  of the relevant type of economic activity by location of customers, %</t>
    </r>
  </si>
  <si>
    <t>Частка кількості підприємств, які здійснювали електронну торгівлю, у загальній кількості підприємств відповідного виду економічної діяльності за видами продажів, %/ 
Share of the number of enterprises which have made e-commerce of the total number of enterprises of the relevant type of economic activity by type sales, %</t>
  </si>
  <si>
    <t>Частка обсягу реалізованої продукції 
(товарів, послуг), отриманого від електронної торгівлі, у загальному обсязі реалізованої продукції (товарів, послуг) підприємств відповідного виду економічної діяльності за видами продажів, %/ 
Share of value of turnover of e-commerce sales via websites or apps of the total turnover of enterprises of the relevant type of economic activity by type sales, %</t>
  </si>
  <si>
    <t>Частка кількості підприємств, які здійснювали електронну торгівлю 
через вебсайти або вебдодатки, 
у загальній кількості підприємств відповідного виду економічної діяльності за типом замовника, %/ 
Share of the number of enterprises which have made e-commerce via websites or apps of the total number of enterprises of the relevant type of economic activity by type of customer, %</t>
  </si>
  <si>
    <t>Частка обсягу реалізованої продукції 
(товарів, послуг), отриманого від електронної торгівлі через вебсайти або вебдодатки, у загальному обсязі реалізованої продукції (товарів, послуг) підприємств відповідного виду економічної діяльності за типом замовника, %/ 
Share of value of turnover of e-commerce sales via websites or apps of the total turnover of enterprises of the relevant type of economic activity by type of customer, %</t>
  </si>
  <si>
    <t xml:space="preserve">через власний вебсайт/ вебдодатки/ 
via the enterprise’s own websites or apps   </t>
  </si>
  <si>
    <t xml:space="preserve">вебсайти/ вебдодатки для електронної торгівлі,
які використовуються декількома підприємствами/ 
via e-commerce marketplace websites or apps used by several enterprises </t>
  </si>
  <si>
    <t xml:space="preserve">через повідомлення 
типу EDI/ 
via EDI-type messages </t>
  </si>
  <si>
    <t>фізичні особи/ 
private consumers</t>
  </si>
  <si>
    <t xml:space="preserve">юридичні особи, включаючи державні органи/ 
other enterprises and 
public sector </t>
  </si>
  <si>
    <r>
      <t xml:space="preserve">4. Тире (–) – явищ не було./ </t>
    </r>
    <r>
      <rPr>
        <i/>
        <sz val="10"/>
        <rFont val="Verdana"/>
        <family val="2"/>
        <charset val="204"/>
      </rPr>
      <t>Dash (–) – not observed. </t>
    </r>
  </si>
  <si>
    <r>
      <t xml:space="preserve">Частка кількості підприємств, які здійснювали електронну торгівлю, у загальній кількості підприємств та частка обсягу реалізованої продукції (товарів, послуг), отриманого від електронної торгівлі, у загальному обсязі реалізованої продукції (товарів, послуг) підприємств за видами продажів та типом замовника за видами економічної діяльності та з розподілом за кількістю зайнятих працівників у 2022-2023 роках/ 
</t>
    </r>
    <r>
      <rPr>
        <b/>
        <i/>
        <sz val="10"/>
        <rFont val="Verdana"/>
        <family val="2"/>
        <charset val="204"/>
      </rPr>
      <t>Share of the number of enterprises which have made e-commerce of the total number of enterprises and share of value of turnover of e-commerce sales of the total turnover of enterprises by type of sales and by type of customer by type of economic activity and with a breakdown by number of persons employed in 2022-2023</t>
    </r>
  </si>
  <si>
    <r>
      <t xml:space="preserve">1. Дані наведено без урахування тимчасово окупованих російською федерацією територій та частини територій, на яких ведуться (велися) бойові дії./ </t>
    </r>
    <r>
      <rPr>
        <i/>
        <sz val="10"/>
        <rFont val="Verdana"/>
        <family val="2"/>
        <charset val="204"/>
      </rPr>
      <t>Data exclude the territories which are temporarily occupied by the russian federation and part of territories where the military actions are/were conducted</t>
    </r>
    <r>
      <rPr>
        <sz val="10"/>
        <rFont val="Verdana"/>
        <family val="2"/>
        <charset val="204"/>
      </rPr>
      <t>.</t>
    </r>
  </si>
  <si>
    <r>
      <t>3. Інформація сформована на основі фактично поданих підприємствами звітів та проведених дооцінок показників./</t>
    </r>
    <r>
      <rPr>
        <i/>
        <sz val="10"/>
        <rFont val="Verdana"/>
        <family val="2"/>
        <charset val="204"/>
      </rPr>
      <t xml:space="preserve"> The information has been compiled on the basis of reports actually submitted by enterprises and additional estimates of indicators. </t>
    </r>
  </si>
  <si>
    <r>
      <t xml:space="preserve">1. Дані за 2021 рік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областях; дані за 2022-2023 роки наведено без урахування тимчасово окупованих російською федерацією територій та частини територій, на яких ведуться (велися) бойові дії./ </t>
    </r>
    <r>
      <rPr>
        <i/>
        <sz val="10"/>
        <rFont val="Verdana"/>
        <family val="2"/>
        <charset val="204"/>
      </rPr>
      <t>Data for 2021 exclude the temporarily occupied territory of the Autonomous Republic of Crimea, the city of Sevastopol and a part of temporarily occupied territories in the Donetsk and Luhansk regions; data for 2022-2023 exclude the territories which are temporarily occupied by the russian federation and part of territories where the military actions are/were conducted</t>
    </r>
    <r>
      <rPr>
        <sz val="10"/>
        <rFont val="Verdana"/>
        <family val="2"/>
        <charset val="204"/>
      </rPr>
      <t>.</t>
    </r>
  </si>
  <si>
    <r>
      <t>4. Частка кількості підприємств, які здійснювали електронну торгівлю</t>
    </r>
    <r>
      <rPr>
        <sz val="11"/>
        <color rgb="FFFF0000"/>
        <rFont val="Verdana"/>
        <family val="2"/>
        <charset val="204"/>
      </rPr>
      <t xml:space="preserve"> </t>
    </r>
    <r>
      <rPr>
        <sz val="11"/>
        <rFont val="Verdana"/>
        <family val="2"/>
        <charset val="204"/>
      </rPr>
      <t xml:space="preserve">через повідомлення типу EDI, у загальній кількості підприємств за місцем розташування клієнтів, за видами економічної діяльності та з розподілом за кількістю зайнятих працівників у 2023 році/
</t>
    </r>
    <r>
      <rPr>
        <i/>
        <sz val="11"/>
        <rFont val="Verdana"/>
        <family val="2"/>
        <charset val="204"/>
      </rPr>
      <t>Share of the number of enterprises which have made e-commerce via EDI-type messages of the total number of enterprises by location of customers by types of economic activity and with a breakdown by number of persons employed in 2023</t>
    </r>
  </si>
  <si>
    <r>
      <t xml:space="preserve">2. Частка кількості підприємств, які здійснювали електронну торгівлю, у загальній кількості підприємств та частка обсягу реалізованої продукції (товарів, послуг), отриманого від електронної торгівлі, у загальному обсязі реалізованої продукції (товарів, послуг) підприємств за видами продажів та типом замовника за видами економічної діяльності та з розподілом за кількістю зайнятих працівників у 2022-2023 роках/ 
</t>
    </r>
    <r>
      <rPr>
        <i/>
        <sz val="11"/>
        <rFont val="Verdana"/>
        <family val="2"/>
        <charset val="204"/>
      </rPr>
      <t>Share of the number of enterprises which have made e-commerce of the total number of enterprises and share of value of turnover of e-commerce sales of the total turnover of enterprises by type of sales and by type of customer by type of economic activity and with a breakdown by number of persons employed in 2022-2023</t>
    </r>
  </si>
  <si>
    <r>
      <t xml:space="preserve">3. Частка кількості підприємств, які здійснювали електронну торгівлю, у загальній кількості підприємств за місцем розташування клієнтів за видами економічної діяльності та з розподілом за кількістю зайнятих працівників у 2021-2023 роках/
</t>
    </r>
    <r>
      <rPr>
        <i/>
        <sz val="11"/>
        <rFont val="Verdana"/>
        <family val="2"/>
        <charset val="204"/>
      </rPr>
      <t>Share of the number of enterprises which have made e-commerce of the total number of enterprises by location of customers by types of economic activity and with a breakdown by number of persons employed in 2021-2023</t>
    </r>
  </si>
  <si>
    <r>
      <t>5. Тире (–) – явищ не було./</t>
    </r>
    <r>
      <rPr>
        <i/>
        <sz val="10"/>
        <rFont val="Verdana"/>
        <family val="2"/>
        <charset val="204"/>
      </rPr>
      <t xml:space="preserve"> Dash (–) – not observed. </t>
    </r>
  </si>
  <si>
    <r>
      <t>3. Інформація за 2022-2023 роки сформована на основі фактично поданих підприємствами звітів та проведених дооцінок показників. Дані за 2022 рік уточнено. /</t>
    </r>
    <r>
      <rPr>
        <i/>
        <sz val="10"/>
        <rFont val="Verdana"/>
        <family val="2"/>
        <charset val="204"/>
      </rPr>
      <t xml:space="preserve"> The information for 2022‒2023 has been compiled on the basis of reports actually submitted by enterprises and additional estimates of indicators. Data for 2022 have been updated.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</si>
</sst>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0"/>
      <name val="Arial Cyr"/>
      <charset val="204"/>
    </font>
    <font>
      <sz val="12"/>
      <name val="Arial Cyr"/>
      <charset val="204"/>
    </font>
    <font>
      <b/>
      <sz val="10"/>
      <name val="Verdana"/>
      <family val="2"/>
      <charset val="204"/>
    </font>
    <font>
      <sz val="10"/>
      <name val="Verdana"/>
      <family val="2"/>
      <charset val="204"/>
    </font>
    <font>
      <i/>
      <sz val="10"/>
      <name val="Verdana"/>
      <family val="2"/>
      <charset val="204"/>
    </font>
    <font>
      <b/>
      <sz val="10"/>
      <color rgb="FFFF0000"/>
      <name val="Verdana"/>
      <family val="2"/>
      <charset val="204"/>
    </font>
    <font>
      <sz val="10"/>
      <color rgb="FFFF0000"/>
      <name val="Verdana"/>
      <family val="2"/>
      <charset val="204"/>
    </font>
    <font>
      <b/>
      <i/>
      <sz val="10"/>
      <name val="Verdana"/>
      <family val="2"/>
      <charset val="204"/>
    </font>
    <font>
      <b/>
      <i/>
      <sz val="11"/>
      <name val="Verdana"/>
      <family val="2"/>
      <charset val="204"/>
    </font>
    <font>
      <b/>
      <sz val="11"/>
      <name val="Verdana"/>
      <family val="2"/>
      <charset val="204"/>
    </font>
    <font>
      <sz val="11"/>
      <name val="Verdana"/>
      <family val="2"/>
      <charset val="204"/>
    </font>
    <font>
      <b/>
      <vertAlign val="superscript"/>
      <sz val="10"/>
      <name val="Verdana"/>
      <family val="2"/>
      <charset val="204"/>
    </font>
    <font>
      <i/>
      <sz val="11"/>
      <name val="Verdana"/>
      <family val="2"/>
      <charset val="204"/>
    </font>
    <font>
      <sz val="11"/>
      <color rgb="FFFF0000"/>
      <name val="Verdana"/>
      <family val="2"/>
      <charset val="204"/>
    </font>
    <font>
      <sz val="12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10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" fontId="3" fillId="0" borderId="1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2" fillId="0" borderId="0" xfId="0" applyFont="1"/>
    <xf numFmtId="164" fontId="2" fillId="0" borderId="0" xfId="0" applyNumberFormat="1" applyFont="1" applyAlignment="1">
      <alignment horizontal="right" wrapText="1"/>
    </xf>
    <xf numFmtId="164" fontId="2" fillId="0" borderId="0" xfId="0" applyNumberFormat="1" applyFont="1"/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" fontId="3" fillId="0" borderId="0" xfId="0" applyNumberFormat="1" applyFont="1"/>
    <xf numFmtId="164" fontId="3" fillId="0" borderId="0" xfId="0" applyNumberFormat="1" applyFont="1" applyAlignment="1">
      <alignment horizontal="right" wrapText="1"/>
    </xf>
    <xf numFmtId="164" fontId="3" fillId="0" borderId="0" xfId="0" applyNumberFormat="1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165" fontId="3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right"/>
    </xf>
    <xf numFmtId="0" fontId="10" fillId="0" borderId="0" xfId="0" applyFont="1" applyAlignment="1">
      <alignment horizontal="left"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164" fontId="3" fillId="2" borderId="0" xfId="0" applyNumberFormat="1" applyFont="1" applyFill="1"/>
    <xf numFmtId="0" fontId="3" fillId="2" borderId="0" xfId="0" applyFont="1" applyFill="1"/>
    <xf numFmtId="0" fontId="7" fillId="2" borderId="0" xfId="0" applyFont="1" applyFill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wrapText="1"/>
    </xf>
    <xf numFmtId="0" fontId="3" fillId="0" borderId="15" xfId="0" applyFont="1" applyBorder="1" applyAlignment="1">
      <alignment wrapText="1"/>
    </xf>
    <xf numFmtId="0" fontId="2" fillId="0" borderId="0" xfId="0" applyFont="1" applyAlignment="1">
      <alignment wrapText="1"/>
    </xf>
    <xf numFmtId="0" fontId="14" fillId="0" borderId="0" xfId="0" applyFont="1"/>
    <xf numFmtId="1" fontId="2" fillId="0" borderId="0" xfId="0" applyNumberFormat="1" applyFont="1"/>
    <xf numFmtId="0" fontId="3" fillId="0" borderId="12" xfId="0" applyFont="1" applyBorder="1" applyAlignment="1">
      <alignment horizontal="center" vertical="center" wrapText="1"/>
    </xf>
    <xf numFmtId="165" fontId="2" fillId="0" borderId="0" xfId="0" applyNumberFormat="1" applyFont="1"/>
    <xf numFmtId="1" fontId="3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wrapText="1"/>
    </xf>
    <xf numFmtId="1" fontId="2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9" xfId="0" applyFont="1" applyBorder="1" applyAlignment="1">
      <alignment horizontal="center" vertical="center"/>
    </xf>
    <xf numFmtId="164" fontId="3" fillId="2" borderId="0" xfId="0" applyNumberFormat="1" applyFont="1" applyFill="1" applyAlignment="1">
      <alignment horizontal="right" wrapText="1"/>
    </xf>
    <xf numFmtId="0" fontId="3" fillId="2" borderId="0" xfId="0" applyFont="1" applyFill="1" applyAlignment="1">
      <alignment horizontal="right" wrapText="1"/>
    </xf>
    <xf numFmtId="1" fontId="3" fillId="2" borderId="0" xfId="0" applyNumberFormat="1" applyFont="1" applyFill="1"/>
    <xf numFmtId="0" fontId="5" fillId="0" borderId="0" xfId="0" applyFont="1"/>
    <xf numFmtId="0" fontId="3" fillId="0" borderId="0" xfId="0" applyFont="1" applyAlignment="1">
      <alignment horizontal="center"/>
    </xf>
    <xf numFmtId="164" fontId="3" fillId="2" borderId="0" xfId="0" applyNumberFormat="1" applyFont="1" applyFill="1" applyAlignment="1">
      <alignment horizontal="right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center" wrapText="1"/>
    </xf>
    <xf numFmtId="164" fontId="3" fillId="0" borderId="0" xfId="0" applyNumberFormat="1" applyFont="1" applyFill="1" applyAlignment="1">
      <alignment horizontal="right"/>
    </xf>
    <xf numFmtId="164" fontId="3" fillId="0" borderId="0" xfId="0" applyNumberFormat="1" applyFont="1" applyFill="1" applyAlignment="1">
      <alignment horizontal="right" wrapText="1"/>
    </xf>
    <xf numFmtId="0" fontId="4" fillId="0" borderId="0" xfId="0" applyFont="1" applyFill="1" applyAlignment="1">
      <alignment wrapText="1"/>
    </xf>
    <xf numFmtId="0" fontId="3" fillId="0" borderId="0" xfId="0" applyFont="1" applyFill="1"/>
    <xf numFmtId="1" fontId="3" fillId="0" borderId="1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Alignment="1">
      <alignment horizontal="right" wrapText="1"/>
    </xf>
    <xf numFmtId="164" fontId="2" fillId="0" borderId="0" xfId="0" applyNumberFormat="1" applyFont="1" applyFill="1" applyAlignment="1">
      <alignment horizontal="right"/>
    </xf>
    <xf numFmtId="164" fontId="3" fillId="0" borderId="0" xfId="0" applyNumberFormat="1" applyFont="1" applyFill="1"/>
    <xf numFmtId="165" fontId="3" fillId="0" borderId="0" xfId="0" applyNumberFormat="1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5" fontId="3" fillId="0" borderId="13" xfId="0" applyNumberFormat="1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164" fontId="3" fillId="0" borderId="5" xfId="0" applyNumberFormat="1" applyFont="1" applyFill="1" applyBorder="1" applyAlignment="1">
      <alignment horizontal="center" vertical="center" wrapText="1"/>
    </xf>
    <xf numFmtId="164" fontId="3" fillId="0" borderId="9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right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wrapText="1"/>
    </xf>
  </cellXfs>
  <cellStyles count="2">
    <cellStyle name="Звичайний" xfId="0" builtinId="0"/>
    <cellStyle name="Обычный_бюлетень-послуги 2011 ПОСЛЕДНИЙ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zoomScaleNormal="100" workbookViewId="0"/>
  </sheetViews>
  <sheetFormatPr defaultRowHeight="14.25" x14ac:dyDescent="0.2"/>
  <cols>
    <col min="1" max="1" width="184.5703125" style="1" customWidth="1"/>
    <col min="2" max="2" width="107.7109375" style="1" customWidth="1"/>
    <col min="3" max="16384" width="9.140625" style="1"/>
  </cols>
  <sheetData>
    <row r="1" spans="1:1" ht="81.75" customHeight="1" x14ac:dyDescent="0.2">
      <c r="A1" s="30" t="s">
        <v>177</v>
      </c>
    </row>
    <row r="2" spans="1:1" ht="28.5" x14ac:dyDescent="0.2">
      <c r="A2" s="31" t="s">
        <v>136</v>
      </c>
    </row>
    <row r="3" spans="1:1" ht="72" customHeight="1" x14ac:dyDescent="0.2">
      <c r="A3" s="29" t="s">
        <v>176</v>
      </c>
    </row>
    <row r="4" spans="1:1" ht="78" customHeight="1" x14ac:dyDescent="0.2">
      <c r="A4" s="29" t="s">
        <v>200</v>
      </c>
    </row>
    <row r="5" spans="1:1" ht="61.5" customHeight="1" x14ac:dyDescent="0.2">
      <c r="A5" s="29" t="s">
        <v>201</v>
      </c>
    </row>
    <row r="6" spans="1:1" ht="60" customHeight="1" x14ac:dyDescent="0.2">
      <c r="A6" s="29" t="s">
        <v>199</v>
      </c>
    </row>
    <row r="7" spans="1:1" ht="48.75" customHeight="1" x14ac:dyDescent="0.2">
      <c r="A7" s="29" t="s">
        <v>178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63"/>
  <sheetViews>
    <sheetView topLeftCell="A37" zoomScale="70" zoomScaleNormal="70" workbookViewId="0">
      <selection activeCell="AB32" sqref="AB32"/>
    </sheetView>
  </sheetViews>
  <sheetFormatPr defaultRowHeight="12.75" x14ac:dyDescent="0.2"/>
  <cols>
    <col min="1" max="1" width="51.5703125" style="2" customWidth="1"/>
    <col min="2" max="2" width="21.7109375" style="2" customWidth="1"/>
    <col min="3" max="12" width="12" style="2" customWidth="1"/>
    <col min="13" max="14" width="12" style="17" customWidth="1"/>
    <col min="15" max="20" width="17.85546875" style="24" bestFit="1" customWidth="1"/>
    <col min="21" max="22" width="11.85546875" style="2" customWidth="1"/>
    <col min="23" max="24" width="11.85546875" style="17" customWidth="1"/>
    <col min="25" max="26" width="11.85546875" style="2" customWidth="1"/>
    <col min="27" max="27" width="64" style="2" customWidth="1"/>
    <col min="28" max="16384" width="9.140625" style="2"/>
  </cols>
  <sheetData>
    <row r="1" spans="1:28" ht="46.5" customHeight="1" x14ac:dyDescent="0.2">
      <c r="A1" s="72" t="s">
        <v>141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spans="1:28" ht="14.2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39.75" customHeight="1" x14ac:dyDescent="0.2">
      <c r="A3" s="76"/>
      <c r="B3" s="79" t="s">
        <v>109</v>
      </c>
      <c r="C3" s="80" t="s">
        <v>102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2"/>
      <c r="O3" s="79" t="s">
        <v>104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3"/>
    </row>
    <row r="4" spans="1:28" ht="70.5" customHeight="1" x14ac:dyDescent="0.2">
      <c r="A4" s="77"/>
      <c r="B4" s="79"/>
      <c r="C4" s="80" t="s">
        <v>99</v>
      </c>
      <c r="D4" s="81"/>
      <c r="E4" s="81"/>
      <c r="F4" s="81"/>
      <c r="G4" s="81"/>
      <c r="H4" s="82"/>
      <c r="I4" s="80" t="s">
        <v>170</v>
      </c>
      <c r="J4" s="81"/>
      <c r="K4" s="81"/>
      <c r="L4" s="81"/>
      <c r="M4" s="81"/>
      <c r="N4" s="82"/>
      <c r="O4" s="83" t="s">
        <v>100</v>
      </c>
      <c r="P4" s="83"/>
      <c r="Q4" s="83"/>
      <c r="R4" s="83"/>
      <c r="S4" s="83"/>
      <c r="T4" s="83"/>
      <c r="U4" s="79" t="s">
        <v>182</v>
      </c>
      <c r="V4" s="79"/>
      <c r="W4" s="79"/>
      <c r="X4" s="79"/>
      <c r="Y4" s="79"/>
      <c r="Z4" s="79"/>
      <c r="AA4" s="74"/>
    </row>
    <row r="5" spans="1:28" ht="18.75" customHeight="1" x14ac:dyDescent="0.2">
      <c r="A5" s="78"/>
      <c r="B5" s="79"/>
      <c r="C5" s="43">
        <v>2018</v>
      </c>
      <c r="D5" s="43">
        <v>2019</v>
      </c>
      <c r="E5" s="43">
        <v>2020</v>
      </c>
      <c r="F5" s="43">
        <v>2021</v>
      </c>
      <c r="G5" s="4">
        <v>2022</v>
      </c>
      <c r="H5" s="43">
        <v>2023</v>
      </c>
      <c r="I5" s="43">
        <v>2018</v>
      </c>
      <c r="J5" s="43">
        <v>2019</v>
      </c>
      <c r="K5" s="43">
        <v>2020</v>
      </c>
      <c r="L5" s="43">
        <v>2021</v>
      </c>
      <c r="M5" s="45">
        <v>2022</v>
      </c>
      <c r="N5" s="43">
        <v>2023</v>
      </c>
      <c r="O5" s="43">
        <v>2018</v>
      </c>
      <c r="P5" s="43">
        <v>2019</v>
      </c>
      <c r="Q5" s="43">
        <v>2020</v>
      </c>
      <c r="R5" s="43">
        <v>2021</v>
      </c>
      <c r="S5" s="4">
        <v>2022</v>
      </c>
      <c r="T5" s="43">
        <v>2023</v>
      </c>
      <c r="U5" s="5">
        <v>2018</v>
      </c>
      <c r="V5" s="5">
        <v>2019</v>
      </c>
      <c r="W5" s="6">
        <v>2020</v>
      </c>
      <c r="X5" s="5">
        <v>2021</v>
      </c>
      <c r="Y5" s="52">
        <v>2022</v>
      </c>
      <c r="Z5" s="6">
        <v>2023</v>
      </c>
      <c r="AA5" s="75"/>
    </row>
    <row r="6" spans="1:28" ht="20.25" customHeight="1" x14ac:dyDescent="0.2">
      <c r="A6" s="7" t="s">
        <v>0</v>
      </c>
      <c r="B6" s="8"/>
      <c r="C6" s="46">
        <v>2476</v>
      </c>
      <c r="D6" s="46">
        <v>2440</v>
      </c>
      <c r="E6" s="47">
        <v>2494</v>
      </c>
      <c r="F6" s="42">
        <v>2513</v>
      </c>
      <c r="G6" s="42">
        <v>2346.362245313333</v>
      </c>
      <c r="H6" s="42">
        <v>2478.0327867893229</v>
      </c>
      <c r="I6" s="10">
        <v>5</v>
      </c>
      <c r="J6" s="10">
        <v>4.8</v>
      </c>
      <c r="K6" s="10">
        <v>4.9000000000000004</v>
      </c>
      <c r="L6" s="10">
        <v>5</v>
      </c>
      <c r="M6" s="11">
        <v>6.0909668379454152</v>
      </c>
      <c r="N6" s="11">
        <v>6.9278782934645164</v>
      </c>
      <c r="O6" s="44">
        <v>228035634.69999999</v>
      </c>
      <c r="P6" s="44">
        <v>292731939.10000002</v>
      </c>
      <c r="Q6" s="44">
        <v>364571488</v>
      </c>
      <c r="R6" s="44">
        <v>435909793.89999992</v>
      </c>
      <c r="S6" s="44">
        <v>465316898.66568303</v>
      </c>
      <c r="T6" s="44">
        <v>547590249.28345561</v>
      </c>
      <c r="U6" s="9">
        <v>3.5</v>
      </c>
      <c r="V6" s="9">
        <v>4.5</v>
      </c>
      <c r="W6" s="11">
        <v>5</v>
      </c>
      <c r="X6" s="11">
        <v>5.3</v>
      </c>
      <c r="Y6" s="11">
        <v>5.9376423065513508</v>
      </c>
      <c r="Z6" s="11">
        <v>5.6596519336909186</v>
      </c>
      <c r="AA6" s="12" t="s">
        <v>1</v>
      </c>
    </row>
    <row r="7" spans="1:28" ht="19.5" customHeight="1" x14ac:dyDescent="0.2">
      <c r="A7" s="13" t="s">
        <v>2</v>
      </c>
      <c r="B7" s="14" t="s">
        <v>3</v>
      </c>
      <c r="C7" s="48">
        <v>673</v>
      </c>
      <c r="D7" s="48">
        <v>661</v>
      </c>
      <c r="E7" s="49">
        <v>684</v>
      </c>
      <c r="F7" s="15">
        <v>690</v>
      </c>
      <c r="G7" s="15">
        <v>679.54567173000009</v>
      </c>
      <c r="H7" s="15">
        <v>738.54186212233913</v>
      </c>
      <c r="I7" s="16">
        <v>5.6</v>
      </c>
      <c r="J7" s="16">
        <v>5.3</v>
      </c>
      <c r="K7" s="16">
        <v>5.4</v>
      </c>
      <c r="L7" s="16">
        <v>5.4</v>
      </c>
      <c r="M7" s="17">
        <v>7.1591410843868521</v>
      </c>
      <c r="N7" s="17">
        <v>8.138202337436244</v>
      </c>
      <c r="O7" s="24">
        <v>52600790.700000003</v>
      </c>
      <c r="P7" s="24">
        <v>56297178.5</v>
      </c>
      <c r="Q7" s="24">
        <v>61018044.799999997</v>
      </c>
      <c r="R7" s="24">
        <v>65987521.399999999</v>
      </c>
      <c r="S7" s="24">
        <v>106669804.9671022</v>
      </c>
      <c r="T7" s="24">
        <v>108987875.13794391</v>
      </c>
      <c r="U7" s="17">
        <v>2.7</v>
      </c>
      <c r="V7" s="17">
        <v>3.1</v>
      </c>
      <c r="W7" s="17">
        <v>3.1</v>
      </c>
      <c r="X7" s="17">
        <v>3.2</v>
      </c>
      <c r="Y7" s="17">
        <v>5.9071059985991941</v>
      </c>
      <c r="Z7" s="17">
        <v>4.8174400094913645</v>
      </c>
      <c r="AA7" s="18" t="s">
        <v>4</v>
      </c>
    </row>
    <row r="8" spans="1:28" ht="66.75" customHeight="1" x14ac:dyDescent="0.2">
      <c r="A8" s="13" t="s">
        <v>5</v>
      </c>
      <c r="B8" s="14" t="s">
        <v>6</v>
      </c>
      <c r="C8" s="48">
        <v>289</v>
      </c>
      <c r="D8" s="48">
        <v>280</v>
      </c>
      <c r="E8" s="49">
        <v>290</v>
      </c>
      <c r="F8" s="15">
        <v>296</v>
      </c>
      <c r="G8" s="15">
        <v>361.05620923000004</v>
      </c>
      <c r="H8" s="15">
        <v>434.84805194805182</v>
      </c>
      <c r="I8" s="16">
        <v>6</v>
      </c>
      <c r="J8" s="16">
        <v>5.8</v>
      </c>
      <c r="K8" s="16">
        <v>5.9</v>
      </c>
      <c r="L8" s="16">
        <v>5.9</v>
      </c>
      <c r="M8" s="17">
        <v>9.7005967015045691</v>
      </c>
      <c r="N8" s="17">
        <v>12.18403059535029</v>
      </c>
      <c r="O8" s="24">
        <v>37010819.399999999</v>
      </c>
      <c r="P8" s="24">
        <v>39917973.600000001</v>
      </c>
      <c r="Q8" s="24">
        <v>42757189.700000003</v>
      </c>
      <c r="R8" s="24">
        <v>45693647.700000003</v>
      </c>
      <c r="S8" s="24">
        <v>85614935.14971447</v>
      </c>
      <c r="T8" s="24">
        <v>87752191.508020431</v>
      </c>
      <c r="U8" s="17">
        <v>4.8</v>
      </c>
      <c r="V8" s="17">
        <v>5.3</v>
      </c>
      <c r="W8" s="17">
        <v>5</v>
      </c>
      <c r="X8" s="17">
        <v>5.0999999999999996</v>
      </c>
      <c r="Y8" s="17">
        <v>9.2611477661006862</v>
      </c>
      <c r="Z8" s="17">
        <v>7.9488921348948516</v>
      </c>
      <c r="AA8" s="18" t="s">
        <v>113</v>
      </c>
    </row>
    <row r="9" spans="1:28" ht="28.5" customHeight="1" x14ac:dyDescent="0.2">
      <c r="A9" s="19" t="s">
        <v>7</v>
      </c>
      <c r="B9" s="14" t="s">
        <v>8</v>
      </c>
      <c r="C9" s="48">
        <v>156</v>
      </c>
      <c r="D9" s="48">
        <v>146</v>
      </c>
      <c r="E9" s="49">
        <v>152</v>
      </c>
      <c r="F9" s="15">
        <v>159</v>
      </c>
      <c r="G9" s="15">
        <v>223.7641306000001</v>
      </c>
      <c r="H9" s="15">
        <v>282.00714285714275</v>
      </c>
      <c r="I9" s="16">
        <v>6.8</v>
      </c>
      <c r="J9" s="16">
        <v>6.4</v>
      </c>
      <c r="K9" s="16">
        <v>6.6</v>
      </c>
      <c r="L9" s="16">
        <v>6.7</v>
      </c>
      <c r="M9" s="17">
        <v>11.600006770347337</v>
      </c>
      <c r="N9" s="17">
        <v>15.427086589559233</v>
      </c>
      <c r="O9" s="24">
        <v>33785262.299999997</v>
      </c>
      <c r="P9" s="24">
        <v>36430174.200000003</v>
      </c>
      <c r="Q9" s="24">
        <v>38513850.299999997</v>
      </c>
      <c r="R9" s="24">
        <v>40872601.399999999</v>
      </c>
      <c r="S9" s="24">
        <v>77843081.68241252</v>
      </c>
      <c r="T9" s="24">
        <v>80819477.275308311</v>
      </c>
      <c r="U9" s="17">
        <v>5.2</v>
      </c>
      <c r="V9" s="17">
        <v>5.7</v>
      </c>
      <c r="W9" s="17">
        <v>5.2</v>
      </c>
      <c r="X9" s="17">
        <v>5.3</v>
      </c>
      <c r="Y9" s="17">
        <v>10.077729236042138</v>
      </c>
      <c r="Z9" s="17">
        <v>8.8472179193519338</v>
      </c>
      <c r="AA9" s="18" t="s">
        <v>114</v>
      </c>
    </row>
    <row r="10" spans="1:28" ht="27" customHeight="1" x14ac:dyDescent="0.2">
      <c r="A10" s="19" t="s">
        <v>9</v>
      </c>
      <c r="B10" s="14" t="s">
        <v>10</v>
      </c>
      <c r="C10" s="48">
        <v>66</v>
      </c>
      <c r="D10" s="48">
        <v>61</v>
      </c>
      <c r="E10" s="49">
        <v>63</v>
      </c>
      <c r="F10" s="15">
        <v>61</v>
      </c>
      <c r="G10" s="15">
        <v>67.498099999999994</v>
      </c>
      <c r="H10" s="15">
        <v>83.790909090909082</v>
      </c>
      <c r="I10" s="16">
        <v>6.1</v>
      </c>
      <c r="J10" s="16">
        <v>5.4</v>
      </c>
      <c r="K10" s="16">
        <v>5.7</v>
      </c>
      <c r="L10" s="16">
        <v>5.8</v>
      </c>
      <c r="M10" s="17">
        <v>9.1959264305177104</v>
      </c>
      <c r="N10" s="17">
        <v>11.818181818181817</v>
      </c>
      <c r="O10" s="24">
        <v>1028147.8</v>
      </c>
      <c r="P10" s="24">
        <v>962585.3</v>
      </c>
      <c r="Q10" s="24">
        <v>1048813.3</v>
      </c>
      <c r="R10" s="24">
        <v>1134597.8</v>
      </c>
      <c r="S10" s="24">
        <v>3170717.4582829745</v>
      </c>
      <c r="T10" s="24">
        <v>2471838.4012121214</v>
      </c>
      <c r="U10" s="17">
        <v>3.4</v>
      </c>
      <c r="V10" s="17">
        <v>3.1</v>
      </c>
      <c r="W10" s="17">
        <v>3.3</v>
      </c>
      <c r="X10" s="17">
        <v>3.3</v>
      </c>
      <c r="Y10" s="17">
        <v>8.0607000094392429</v>
      </c>
      <c r="Z10" s="17">
        <v>4.1689668902820269</v>
      </c>
      <c r="AA10" s="18" t="s">
        <v>115</v>
      </c>
    </row>
    <row r="11" spans="1:28" ht="27" customHeight="1" x14ac:dyDescent="0.2">
      <c r="A11" s="19" t="s">
        <v>11</v>
      </c>
      <c r="B11" s="14" t="s">
        <v>12</v>
      </c>
      <c r="C11" s="48">
        <v>67</v>
      </c>
      <c r="D11" s="48">
        <v>73</v>
      </c>
      <c r="E11" s="49">
        <v>75</v>
      </c>
      <c r="F11" s="15">
        <v>76</v>
      </c>
      <c r="G11" s="15">
        <v>69.793978629999998</v>
      </c>
      <c r="H11" s="15">
        <v>69.05</v>
      </c>
      <c r="I11" s="16">
        <v>4.7</v>
      </c>
      <c r="J11" s="16">
        <v>5</v>
      </c>
      <c r="K11" s="16">
        <v>5.0999999999999996</v>
      </c>
      <c r="L11" s="16">
        <v>4.7</v>
      </c>
      <c r="M11" s="17">
        <v>6.5905551114258731</v>
      </c>
      <c r="N11" s="17">
        <v>6.6908914728682172</v>
      </c>
      <c r="O11" s="24">
        <v>2197409.2999999998</v>
      </c>
      <c r="P11" s="24">
        <v>2525214.1</v>
      </c>
      <c r="Q11" s="24">
        <v>3194526.1</v>
      </c>
      <c r="R11" s="24">
        <v>3686448.5</v>
      </c>
      <c r="S11" s="24">
        <v>4601136.0090189762</v>
      </c>
      <c r="T11" s="24">
        <v>4460875.8314999994</v>
      </c>
      <c r="U11" s="17">
        <v>2.4</v>
      </c>
      <c r="V11" s="17">
        <v>2.8</v>
      </c>
      <c r="W11" s="17">
        <v>3.5</v>
      </c>
      <c r="X11" s="17">
        <v>3.4</v>
      </c>
      <c r="Y11" s="17">
        <v>4.082987099372053</v>
      </c>
      <c r="Z11" s="17">
        <v>3.4010428098696486</v>
      </c>
      <c r="AA11" s="18" t="s">
        <v>116</v>
      </c>
    </row>
    <row r="12" spans="1:28" ht="90.75" customHeight="1" x14ac:dyDescent="0.2">
      <c r="A12" s="13" t="s">
        <v>13</v>
      </c>
      <c r="B12" s="14" t="s">
        <v>14</v>
      </c>
      <c r="C12" s="48">
        <v>122</v>
      </c>
      <c r="D12" s="48">
        <v>126</v>
      </c>
      <c r="E12" s="49">
        <v>129</v>
      </c>
      <c r="F12" s="15">
        <v>127</v>
      </c>
      <c r="G12" s="15">
        <v>103.18773999999999</v>
      </c>
      <c r="H12" s="15">
        <v>90.621758892236144</v>
      </c>
      <c r="I12" s="16">
        <v>5</v>
      </c>
      <c r="J12" s="16">
        <v>5.0999999999999996</v>
      </c>
      <c r="K12" s="16">
        <v>5.2</v>
      </c>
      <c r="L12" s="16">
        <v>5.0999999999999996</v>
      </c>
      <c r="M12" s="17">
        <v>5.1801074297188752</v>
      </c>
      <c r="N12" s="17">
        <v>4.8177436944304173</v>
      </c>
      <c r="O12" s="24">
        <v>5943896.5</v>
      </c>
      <c r="P12" s="24">
        <v>5223764</v>
      </c>
      <c r="Q12" s="24">
        <v>6286532.4000000004</v>
      </c>
      <c r="R12" s="24">
        <v>7249345.5999999996</v>
      </c>
      <c r="S12" s="24">
        <v>8992808.234283505</v>
      </c>
      <c r="T12" s="24">
        <v>7605187.1690306086</v>
      </c>
      <c r="U12" s="17">
        <v>1.7</v>
      </c>
      <c r="V12" s="17">
        <v>1.4</v>
      </c>
      <c r="W12" s="17">
        <v>1.6</v>
      </c>
      <c r="X12" s="17">
        <v>1.5</v>
      </c>
      <c r="Y12" s="17">
        <v>2.8531257502669582</v>
      </c>
      <c r="Z12" s="17">
        <v>1.9226651976113114</v>
      </c>
      <c r="AA12" s="18" t="s">
        <v>117</v>
      </c>
    </row>
    <row r="13" spans="1:28" ht="30" customHeight="1" x14ac:dyDescent="0.2">
      <c r="A13" s="13" t="s">
        <v>15</v>
      </c>
      <c r="B13" s="20">
        <v>19</v>
      </c>
      <c r="C13" s="50">
        <v>2</v>
      </c>
      <c r="D13" s="50">
        <v>4</v>
      </c>
      <c r="E13" s="51">
        <v>4</v>
      </c>
      <c r="F13" s="15">
        <v>3</v>
      </c>
      <c r="G13" s="15">
        <v>1</v>
      </c>
      <c r="H13" s="15">
        <v>2</v>
      </c>
      <c r="I13" s="21">
        <v>3.7</v>
      </c>
      <c r="J13" s="21">
        <v>9.3000000000000007</v>
      </c>
      <c r="K13" s="21">
        <v>8.3000000000000007</v>
      </c>
      <c r="L13" s="21">
        <v>7.4</v>
      </c>
      <c r="M13" s="17">
        <v>3.125</v>
      </c>
      <c r="N13" s="17">
        <v>6.4516129032258061</v>
      </c>
      <c r="O13" s="24">
        <v>39347.5</v>
      </c>
      <c r="P13" s="24">
        <v>136292</v>
      </c>
      <c r="Q13" s="24">
        <v>140904</v>
      </c>
      <c r="R13" s="21" t="s">
        <v>172</v>
      </c>
      <c r="S13" s="21" t="s">
        <v>172</v>
      </c>
      <c r="T13" s="21" t="s">
        <v>172</v>
      </c>
      <c r="U13" s="17">
        <v>0.1</v>
      </c>
      <c r="V13" s="17">
        <v>0.1</v>
      </c>
      <c r="W13" s="17">
        <v>0.2</v>
      </c>
      <c r="X13" s="21" t="s">
        <v>172</v>
      </c>
      <c r="Y13" s="21" t="s">
        <v>172</v>
      </c>
      <c r="Z13" s="21" t="s">
        <v>172</v>
      </c>
      <c r="AA13" s="18" t="s">
        <v>118</v>
      </c>
      <c r="AB13" s="56"/>
    </row>
    <row r="14" spans="1:28" ht="30" customHeight="1" x14ac:dyDescent="0.2">
      <c r="A14" s="13" t="s">
        <v>16</v>
      </c>
      <c r="B14" s="20">
        <v>20</v>
      </c>
      <c r="C14" s="50">
        <v>30</v>
      </c>
      <c r="D14" s="50">
        <v>36</v>
      </c>
      <c r="E14" s="51">
        <v>37</v>
      </c>
      <c r="F14" s="15">
        <v>37</v>
      </c>
      <c r="G14" s="15">
        <v>24.074940000000002</v>
      </c>
      <c r="H14" s="15">
        <v>26.52943396226415</v>
      </c>
      <c r="I14" s="21">
        <v>6.5</v>
      </c>
      <c r="J14" s="21">
        <v>7.3</v>
      </c>
      <c r="K14" s="21">
        <v>7.4</v>
      </c>
      <c r="L14" s="21">
        <v>7</v>
      </c>
      <c r="M14" s="17">
        <v>5.8011903614457836</v>
      </c>
      <c r="N14" s="17">
        <v>6.2569419722321111</v>
      </c>
      <c r="O14" s="24">
        <v>1732169.4</v>
      </c>
      <c r="P14" s="24">
        <v>1668148.6</v>
      </c>
      <c r="Q14" s="24">
        <v>1725564.8</v>
      </c>
      <c r="R14" s="24">
        <v>1798754.8</v>
      </c>
      <c r="S14" s="21" t="s">
        <v>172</v>
      </c>
      <c r="T14" s="24">
        <v>1174013.3599801888</v>
      </c>
      <c r="U14" s="17">
        <v>2.2999999999999998</v>
      </c>
      <c r="V14" s="17">
        <v>2.1</v>
      </c>
      <c r="W14" s="17">
        <v>2.2000000000000002</v>
      </c>
      <c r="X14" s="17">
        <v>2.2999999999999998</v>
      </c>
      <c r="Y14" s="21" t="s">
        <v>172</v>
      </c>
      <c r="Z14" s="17">
        <v>1.5276932493542794</v>
      </c>
      <c r="AA14" s="18" t="s">
        <v>119</v>
      </c>
    </row>
    <row r="15" spans="1:28" ht="30" customHeight="1" x14ac:dyDescent="0.2">
      <c r="A15" s="13" t="s">
        <v>17</v>
      </c>
      <c r="B15" s="20">
        <v>21</v>
      </c>
      <c r="C15" s="50">
        <v>2</v>
      </c>
      <c r="D15" s="50">
        <v>4</v>
      </c>
      <c r="E15" s="51">
        <v>5</v>
      </c>
      <c r="F15" s="15">
        <v>5</v>
      </c>
      <c r="G15" s="15">
        <v>6</v>
      </c>
      <c r="H15" s="15">
        <v>6</v>
      </c>
      <c r="I15" s="21">
        <v>1.7</v>
      </c>
      <c r="J15" s="21">
        <v>3.5</v>
      </c>
      <c r="K15" s="21">
        <v>4.5</v>
      </c>
      <c r="L15" s="21">
        <v>4.4000000000000004</v>
      </c>
      <c r="M15" s="17">
        <v>6.1855670103092786</v>
      </c>
      <c r="N15" s="17">
        <v>5.5045871559633035</v>
      </c>
      <c r="O15" s="24">
        <v>16990.2</v>
      </c>
      <c r="P15" s="24">
        <v>288807.09999999998</v>
      </c>
      <c r="Q15" s="24">
        <v>335551.3</v>
      </c>
      <c r="R15" s="21">
        <v>391457.5</v>
      </c>
      <c r="S15" s="21">
        <v>887331.8</v>
      </c>
      <c r="T15" s="21" t="s">
        <v>172</v>
      </c>
      <c r="U15" s="17">
        <v>0</v>
      </c>
      <c r="V15" s="17">
        <v>0.7</v>
      </c>
      <c r="W15" s="17">
        <v>0.7</v>
      </c>
      <c r="X15" s="21">
        <v>0.8</v>
      </c>
      <c r="Y15" s="21">
        <v>1.5</v>
      </c>
      <c r="Z15" s="21" t="s">
        <v>172</v>
      </c>
      <c r="AA15" s="18" t="s">
        <v>120</v>
      </c>
    </row>
    <row r="16" spans="1:28" ht="27.75" customHeight="1" x14ac:dyDescent="0.2">
      <c r="A16" s="13" t="s">
        <v>18</v>
      </c>
      <c r="B16" s="20" t="s">
        <v>19</v>
      </c>
      <c r="C16" s="50">
        <v>88</v>
      </c>
      <c r="D16" s="50">
        <v>82</v>
      </c>
      <c r="E16" s="51">
        <v>83</v>
      </c>
      <c r="F16" s="15">
        <v>82</v>
      </c>
      <c r="G16" s="15">
        <v>72.112799999999993</v>
      </c>
      <c r="H16" s="15">
        <v>56.092324929971987</v>
      </c>
      <c r="I16" s="21">
        <v>4.9000000000000004</v>
      </c>
      <c r="J16" s="21">
        <v>4.5</v>
      </c>
      <c r="K16" s="21">
        <v>4.5</v>
      </c>
      <c r="L16" s="21">
        <v>4.5</v>
      </c>
      <c r="M16" s="17">
        <v>4.9801657458563531</v>
      </c>
      <c r="N16" s="17">
        <v>4.2590983242195888</v>
      </c>
      <c r="O16" s="24">
        <v>4155389.4</v>
      </c>
      <c r="P16" s="24">
        <v>3130516.3</v>
      </c>
      <c r="Q16" s="24">
        <v>4084512.3</v>
      </c>
      <c r="R16" s="24">
        <v>4916279.3</v>
      </c>
      <c r="S16" s="24">
        <v>2217059.8046245454</v>
      </c>
      <c r="T16" s="24">
        <v>2221415.79005042</v>
      </c>
      <c r="U16" s="17">
        <v>2.5</v>
      </c>
      <c r="V16" s="17">
        <v>2</v>
      </c>
      <c r="W16" s="17">
        <v>2.1</v>
      </c>
      <c r="X16" s="17">
        <v>2.2000000000000002</v>
      </c>
      <c r="Y16" s="17">
        <v>1.4536510884033971</v>
      </c>
      <c r="Z16" s="17">
        <v>1.0065368567429294</v>
      </c>
      <c r="AA16" s="18" t="s">
        <v>20</v>
      </c>
    </row>
    <row r="17" spans="1:28" ht="37.5" customHeight="1" x14ac:dyDescent="0.2">
      <c r="A17" s="19" t="s">
        <v>21</v>
      </c>
      <c r="B17" s="14" t="s">
        <v>22</v>
      </c>
      <c r="C17" s="48">
        <v>66</v>
      </c>
      <c r="D17" s="48">
        <v>60</v>
      </c>
      <c r="E17" s="49">
        <v>64</v>
      </c>
      <c r="F17" s="15">
        <v>63</v>
      </c>
      <c r="G17" s="15">
        <v>63.234900000000003</v>
      </c>
      <c r="H17" s="15">
        <v>62.686666666666653</v>
      </c>
      <c r="I17" s="16">
        <v>4.7</v>
      </c>
      <c r="J17" s="16">
        <v>4.0999999999999996</v>
      </c>
      <c r="K17" s="16">
        <v>4.3</v>
      </c>
      <c r="L17" s="16">
        <v>4.5999999999999996</v>
      </c>
      <c r="M17" s="17">
        <v>5.5762698412698413</v>
      </c>
      <c r="N17" s="17">
        <v>5.9194208372678618</v>
      </c>
      <c r="O17" s="24">
        <v>3237743.9</v>
      </c>
      <c r="P17" s="24">
        <v>4577280.4000000004</v>
      </c>
      <c r="Q17" s="24">
        <v>4630050.2</v>
      </c>
      <c r="R17" s="24">
        <v>4887804.3</v>
      </c>
      <c r="S17" s="24">
        <v>1293778.2836500001</v>
      </c>
      <c r="T17" s="24">
        <v>1191911.9235999999</v>
      </c>
      <c r="U17" s="17">
        <v>0.6</v>
      </c>
      <c r="V17" s="17">
        <v>1.1000000000000001</v>
      </c>
      <c r="W17" s="17">
        <v>1.1000000000000001</v>
      </c>
      <c r="X17" s="17">
        <v>1.1000000000000001</v>
      </c>
      <c r="Y17" s="17">
        <v>0.42429813860817533</v>
      </c>
      <c r="Z17" s="17">
        <v>0.31570637114564487</v>
      </c>
      <c r="AA17" s="18" t="s">
        <v>121</v>
      </c>
    </row>
    <row r="18" spans="1:28" ht="43.5" customHeight="1" x14ac:dyDescent="0.2">
      <c r="A18" s="13" t="s">
        <v>23</v>
      </c>
      <c r="B18" s="14" t="s">
        <v>24</v>
      </c>
      <c r="C18" s="48">
        <v>196</v>
      </c>
      <c r="D18" s="48">
        <v>195</v>
      </c>
      <c r="E18" s="49">
        <v>201</v>
      </c>
      <c r="F18" s="15">
        <v>204</v>
      </c>
      <c r="G18" s="15">
        <v>152.0668225</v>
      </c>
      <c r="H18" s="15">
        <v>150.38538461538462</v>
      </c>
      <c r="I18" s="16">
        <v>5.7</v>
      </c>
      <c r="J18" s="16">
        <v>5.4</v>
      </c>
      <c r="K18" s="16">
        <v>5.5</v>
      </c>
      <c r="L18" s="16">
        <v>5.4</v>
      </c>
      <c r="M18" s="17">
        <v>5.7513926815431171</v>
      </c>
      <c r="N18" s="17">
        <v>5.8606930871155347</v>
      </c>
      <c r="O18" s="24">
        <v>6408330.7999999998</v>
      </c>
      <c r="P18" s="24">
        <v>6578160.5999999996</v>
      </c>
      <c r="Q18" s="24">
        <v>7344272.5</v>
      </c>
      <c r="R18" s="24">
        <v>8156723.7999999998</v>
      </c>
      <c r="S18" s="24">
        <v>10768283.299454238</v>
      </c>
      <c r="T18" s="24">
        <v>12438584.537292838</v>
      </c>
      <c r="U18" s="17">
        <v>2.4</v>
      </c>
      <c r="V18" s="17">
        <v>2.2999999999999998</v>
      </c>
      <c r="W18" s="17">
        <v>2.6</v>
      </c>
      <c r="X18" s="17">
        <v>2.7</v>
      </c>
      <c r="Y18" s="17">
        <v>4.1222771453896501</v>
      </c>
      <c r="Z18" s="17">
        <v>3.2281743920526349</v>
      </c>
      <c r="AA18" s="18" t="s">
        <v>112</v>
      </c>
    </row>
    <row r="19" spans="1:28" ht="31.5" customHeight="1" x14ac:dyDescent="0.2">
      <c r="A19" s="13" t="s">
        <v>25</v>
      </c>
      <c r="B19" s="20">
        <v>26</v>
      </c>
      <c r="C19" s="50">
        <v>21</v>
      </c>
      <c r="D19" s="50">
        <v>22</v>
      </c>
      <c r="E19" s="51">
        <v>22</v>
      </c>
      <c r="F19" s="15">
        <v>23</v>
      </c>
      <c r="G19" s="15">
        <v>12.25</v>
      </c>
      <c r="H19" s="15">
        <v>15</v>
      </c>
      <c r="I19" s="21">
        <v>8.1</v>
      </c>
      <c r="J19" s="21">
        <v>8</v>
      </c>
      <c r="K19" s="21">
        <v>7.9</v>
      </c>
      <c r="L19" s="21">
        <v>8.1</v>
      </c>
      <c r="M19" s="17">
        <v>6.7307692307692308</v>
      </c>
      <c r="N19" s="17">
        <v>7.6142131979695442</v>
      </c>
      <c r="O19" s="24">
        <v>456565.1</v>
      </c>
      <c r="P19" s="24">
        <v>529207</v>
      </c>
      <c r="Q19" s="24">
        <v>534581.80000000005</v>
      </c>
      <c r="R19" s="24">
        <v>540372.30000000005</v>
      </c>
      <c r="S19" s="24">
        <v>613213.78302500013</v>
      </c>
      <c r="T19" s="24">
        <v>666892.06500000006</v>
      </c>
      <c r="U19" s="17">
        <v>2.5</v>
      </c>
      <c r="V19" s="17">
        <v>3</v>
      </c>
      <c r="W19" s="17">
        <v>3.3</v>
      </c>
      <c r="X19" s="17">
        <v>3.4</v>
      </c>
      <c r="Y19" s="17">
        <v>3.2870814930932988</v>
      </c>
      <c r="Z19" s="17">
        <v>1.939999979636885</v>
      </c>
      <c r="AA19" s="18" t="s">
        <v>26</v>
      </c>
    </row>
    <row r="20" spans="1:28" ht="20.25" customHeight="1" x14ac:dyDescent="0.2">
      <c r="A20" s="13" t="s">
        <v>27</v>
      </c>
      <c r="B20" s="20">
        <v>27</v>
      </c>
      <c r="C20" s="50">
        <v>32</v>
      </c>
      <c r="D20" s="50">
        <v>34</v>
      </c>
      <c r="E20" s="51">
        <v>35</v>
      </c>
      <c r="F20" s="15">
        <v>34</v>
      </c>
      <c r="G20" s="15">
        <v>19.908749999999998</v>
      </c>
      <c r="H20" s="15">
        <v>17.123076923076923</v>
      </c>
      <c r="I20" s="21">
        <v>8.6</v>
      </c>
      <c r="J20" s="21">
        <v>8.1999999999999993</v>
      </c>
      <c r="K20" s="21">
        <v>8.4</v>
      </c>
      <c r="L20" s="21">
        <v>8.3000000000000007</v>
      </c>
      <c r="M20" s="17">
        <v>6.7487288135593211</v>
      </c>
      <c r="N20" s="17">
        <v>5.6141235813366963</v>
      </c>
      <c r="O20" s="24">
        <v>342673.3</v>
      </c>
      <c r="P20" s="24">
        <v>641030.9</v>
      </c>
      <c r="Q20" s="24">
        <v>656457.5</v>
      </c>
      <c r="R20" s="24">
        <v>709035.6</v>
      </c>
      <c r="S20" s="24">
        <v>588693.70050000004</v>
      </c>
      <c r="T20" s="24">
        <v>725463.57530769228</v>
      </c>
      <c r="U20" s="17">
        <v>0.8</v>
      </c>
      <c r="V20" s="17">
        <v>1.6</v>
      </c>
      <c r="W20" s="17">
        <v>1.8</v>
      </c>
      <c r="X20" s="17">
        <v>1.9</v>
      </c>
      <c r="Y20" s="17">
        <v>1.8759110008205417</v>
      </c>
      <c r="Z20" s="17">
        <v>1.644284836362818</v>
      </c>
      <c r="AA20" s="18" t="s">
        <v>28</v>
      </c>
    </row>
    <row r="21" spans="1:28" ht="20.25" customHeight="1" x14ac:dyDescent="0.2">
      <c r="A21" s="13" t="s">
        <v>29</v>
      </c>
      <c r="B21" s="20">
        <v>28</v>
      </c>
      <c r="C21" s="50">
        <v>50</v>
      </c>
      <c r="D21" s="50">
        <v>54</v>
      </c>
      <c r="E21" s="51">
        <v>53</v>
      </c>
      <c r="F21" s="15">
        <v>53</v>
      </c>
      <c r="G21" s="15">
        <v>35.341899999999995</v>
      </c>
      <c r="H21" s="15">
        <v>36.67</v>
      </c>
      <c r="I21" s="21">
        <v>5.2</v>
      </c>
      <c r="J21" s="21">
        <v>5.4</v>
      </c>
      <c r="K21" s="21">
        <v>5.2</v>
      </c>
      <c r="L21" s="21">
        <v>4.9000000000000004</v>
      </c>
      <c r="M21" s="17">
        <v>4.712253333333333</v>
      </c>
      <c r="N21" s="17">
        <v>5.2838616714697411</v>
      </c>
      <c r="O21" s="24">
        <v>860112.5</v>
      </c>
      <c r="P21" s="24">
        <v>1288252.8999999999</v>
      </c>
      <c r="Q21" s="24">
        <v>1356841</v>
      </c>
      <c r="R21" s="24">
        <v>1444383.9</v>
      </c>
      <c r="S21" s="24">
        <v>588365.28947276995</v>
      </c>
      <c r="T21" s="24">
        <v>769858.47200000007</v>
      </c>
      <c r="U21" s="17">
        <v>1.2</v>
      </c>
      <c r="V21" s="17">
        <v>1.8</v>
      </c>
      <c r="W21" s="17">
        <v>1.8</v>
      </c>
      <c r="X21" s="17">
        <v>1.7</v>
      </c>
      <c r="Y21" s="17">
        <v>1.0834519611463758</v>
      </c>
      <c r="Z21" s="17">
        <v>1.1068609657745561</v>
      </c>
      <c r="AA21" s="18" t="s">
        <v>122</v>
      </c>
    </row>
    <row r="22" spans="1:28" ht="43.5" customHeight="1" x14ac:dyDescent="0.2">
      <c r="A22" s="13" t="s">
        <v>30</v>
      </c>
      <c r="B22" s="20" t="s">
        <v>31</v>
      </c>
      <c r="C22" s="50">
        <v>20</v>
      </c>
      <c r="D22" s="50">
        <v>18</v>
      </c>
      <c r="E22" s="51">
        <v>18</v>
      </c>
      <c r="F22" s="15">
        <v>20</v>
      </c>
      <c r="G22" s="15">
        <v>16.404096000000003</v>
      </c>
      <c r="H22" s="15">
        <v>19.22</v>
      </c>
      <c r="I22" s="21">
        <v>6.4</v>
      </c>
      <c r="J22" s="21">
        <v>5.5</v>
      </c>
      <c r="K22" s="21">
        <v>5.5</v>
      </c>
      <c r="L22" s="21">
        <v>5.8</v>
      </c>
      <c r="M22" s="17">
        <v>6.9508881355932211</v>
      </c>
      <c r="N22" s="17">
        <v>7.5372549019607842</v>
      </c>
      <c r="O22" s="24">
        <v>3992341.7</v>
      </c>
      <c r="P22" s="24">
        <v>3351196.7</v>
      </c>
      <c r="Q22" s="24">
        <v>4004793.4</v>
      </c>
      <c r="R22" s="24">
        <v>4650574.5</v>
      </c>
      <c r="S22" s="24">
        <v>8041310.1634911997</v>
      </c>
      <c r="T22" s="24">
        <v>8501883.4452</v>
      </c>
      <c r="U22" s="17">
        <v>5.3</v>
      </c>
      <c r="V22" s="17">
        <v>4.4000000000000004</v>
      </c>
      <c r="W22" s="17">
        <v>5.2</v>
      </c>
      <c r="X22" s="17">
        <v>5.4</v>
      </c>
      <c r="Y22" s="17">
        <v>8.8448087671686544</v>
      </c>
      <c r="Z22" s="17">
        <v>5.7392753594332069</v>
      </c>
      <c r="AA22" s="18" t="s">
        <v>123</v>
      </c>
    </row>
    <row r="23" spans="1:28" ht="27" customHeight="1" x14ac:dyDescent="0.2">
      <c r="A23" s="13" t="s">
        <v>32</v>
      </c>
      <c r="B23" s="20" t="s">
        <v>33</v>
      </c>
      <c r="C23" s="50">
        <v>73</v>
      </c>
      <c r="D23" s="50">
        <v>67</v>
      </c>
      <c r="E23" s="51">
        <v>73</v>
      </c>
      <c r="F23" s="15">
        <v>74</v>
      </c>
      <c r="G23" s="15">
        <v>68.162076499999998</v>
      </c>
      <c r="H23" s="15">
        <v>62.372307692307693</v>
      </c>
      <c r="I23" s="21">
        <v>4.7</v>
      </c>
      <c r="J23" s="21">
        <v>4.2</v>
      </c>
      <c r="K23" s="21">
        <v>4.4000000000000004</v>
      </c>
      <c r="L23" s="21">
        <v>4.4000000000000004</v>
      </c>
      <c r="M23" s="17">
        <v>5.7715560118543605</v>
      </c>
      <c r="N23" s="17">
        <v>5.5939289410141431</v>
      </c>
      <c r="O23" s="24">
        <v>756638.2</v>
      </c>
      <c r="P23" s="24">
        <v>768473.1</v>
      </c>
      <c r="Q23" s="24">
        <v>791598.8</v>
      </c>
      <c r="R23" s="24">
        <v>812357.5</v>
      </c>
      <c r="S23" s="24">
        <v>936700.36296526936</v>
      </c>
      <c r="T23" s="24">
        <v>1774486.979785146</v>
      </c>
      <c r="U23" s="17">
        <v>1.2</v>
      </c>
      <c r="V23" s="17">
        <v>1.1000000000000001</v>
      </c>
      <c r="W23" s="17">
        <v>1</v>
      </c>
      <c r="X23" s="17">
        <v>1.1000000000000001</v>
      </c>
      <c r="Y23" s="17">
        <v>1.4200085158413891</v>
      </c>
      <c r="Z23" s="17">
        <v>1.990928010819268</v>
      </c>
      <c r="AA23" s="18" t="s">
        <v>124</v>
      </c>
    </row>
    <row r="24" spans="1:28" ht="42.75" customHeight="1" x14ac:dyDescent="0.2">
      <c r="A24" s="13" t="s">
        <v>34</v>
      </c>
      <c r="B24" s="20" t="s">
        <v>35</v>
      </c>
      <c r="C24" s="50">
        <v>29</v>
      </c>
      <c r="D24" s="50">
        <v>29</v>
      </c>
      <c r="E24" s="51">
        <v>32</v>
      </c>
      <c r="F24" s="15">
        <v>31</v>
      </c>
      <c r="G24" s="15">
        <v>26.439999999999998</v>
      </c>
      <c r="H24" s="15">
        <v>17.596679438058747</v>
      </c>
      <c r="I24" s="21">
        <v>1.4</v>
      </c>
      <c r="J24" s="21">
        <v>1.5</v>
      </c>
      <c r="K24" s="21">
        <v>1.5</v>
      </c>
      <c r="L24" s="21">
        <v>1.5</v>
      </c>
      <c r="M24" s="17">
        <v>1.4640088593576965</v>
      </c>
      <c r="N24" s="17">
        <v>1.0212814531664971</v>
      </c>
      <c r="O24" s="24">
        <v>532496.30000000005</v>
      </c>
      <c r="P24" s="24">
        <v>510337.1</v>
      </c>
      <c r="Q24" s="24">
        <v>594134.9</v>
      </c>
      <c r="R24" s="24">
        <v>676082.5</v>
      </c>
      <c r="S24" s="21" t="s">
        <v>172</v>
      </c>
      <c r="T24" s="21" t="s">
        <v>172</v>
      </c>
      <c r="U24" s="17">
        <v>0.1</v>
      </c>
      <c r="V24" s="17">
        <v>0.1</v>
      </c>
      <c r="W24" s="17">
        <v>0.1</v>
      </c>
      <c r="X24" s="17">
        <v>0.1</v>
      </c>
      <c r="Y24" s="21" t="s">
        <v>172</v>
      </c>
      <c r="Z24" s="21" t="s">
        <v>172</v>
      </c>
      <c r="AA24" s="18" t="s">
        <v>36</v>
      </c>
    </row>
    <row r="25" spans="1:28" ht="31.5" customHeight="1" x14ac:dyDescent="0.2">
      <c r="A25" s="13" t="s">
        <v>37</v>
      </c>
      <c r="B25" s="14" t="s">
        <v>38</v>
      </c>
      <c r="C25" s="48">
        <v>17</v>
      </c>
      <c r="D25" s="48">
        <v>12</v>
      </c>
      <c r="E25" s="49">
        <v>15</v>
      </c>
      <c r="F25" s="15">
        <v>15</v>
      </c>
      <c r="G25" s="15">
        <v>20.77</v>
      </c>
      <c r="H25" s="15">
        <v>11.918518518518518</v>
      </c>
      <c r="I25" s="16">
        <v>2.2999999999999998</v>
      </c>
      <c r="J25" s="16">
        <v>1.6</v>
      </c>
      <c r="K25" s="16">
        <v>1.8</v>
      </c>
      <c r="L25" s="16">
        <v>2</v>
      </c>
      <c r="M25" s="17">
        <v>2.8927576601671312</v>
      </c>
      <c r="N25" s="17">
        <v>1.6576520888064699</v>
      </c>
      <c r="O25" s="24">
        <v>441913.2</v>
      </c>
      <c r="P25" s="24">
        <v>338606.4</v>
      </c>
      <c r="Q25" s="24">
        <v>423456.7</v>
      </c>
      <c r="R25" s="24">
        <v>503724.6</v>
      </c>
      <c r="S25" s="21" t="s">
        <v>172</v>
      </c>
      <c r="T25" s="21" t="s">
        <v>172</v>
      </c>
      <c r="U25" s="17">
        <v>0.1</v>
      </c>
      <c r="V25" s="17">
        <v>0.1</v>
      </c>
      <c r="W25" s="17">
        <v>0.1</v>
      </c>
      <c r="X25" s="17">
        <v>0.1</v>
      </c>
      <c r="Y25" s="21" t="s">
        <v>172</v>
      </c>
      <c r="Z25" s="21" t="s">
        <v>172</v>
      </c>
      <c r="AA25" s="18" t="s">
        <v>39</v>
      </c>
    </row>
    <row r="26" spans="1:28" ht="31.5" customHeight="1" x14ac:dyDescent="0.2">
      <c r="A26" s="13" t="s">
        <v>40</v>
      </c>
      <c r="B26" s="14" t="s">
        <v>41</v>
      </c>
      <c r="C26" s="48">
        <v>12</v>
      </c>
      <c r="D26" s="48">
        <v>17</v>
      </c>
      <c r="E26" s="49">
        <v>17</v>
      </c>
      <c r="F26" s="15">
        <v>16</v>
      </c>
      <c r="G26" s="15">
        <v>5.67</v>
      </c>
      <c r="H26" s="15">
        <v>5.6781609195402298</v>
      </c>
      <c r="I26" s="16">
        <v>1</v>
      </c>
      <c r="J26" s="16">
        <v>1.4</v>
      </c>
      <c r="K26" s="16">
        <v>1.3</v>
      </c>
      <c r="L26" s="16">
        <v>1.2</v>
      </c>
      <c r="M26" s="17">
        <v>0.52113970588235292</v>
      </c>
      <c r="N26" s="17">
        <v>0.56555387644823008</v>
      </c>
      <c r="O26" s="24">
        <v>90583</v>
      </c>
      <c r="P26" s="24">
        <v>171730.7</v>
      </c>
      <c r="Q26" s="24">
        <v>170678.2</v>
      </c>
      <c r="R26" s="24">
        <v>172357.9</v>
      </c>
      <c r="S26" s="24">
        <v>24262</v>
      </c>
      <c r="T26" s="24">
        <v>29117.389425287358</v>
      </c>
      <c r="U26" s="17">
        <v>0.3</v>
      </c>
      <c r="V26" s="17">
        <v>0.4</v>
      </c>
      <c r="W26" s="17">
        <v>0.4</v>
      </c>
      <c r="X26" s="17">
        <v>0.4</v>
      </c>
      <c r="Y26" s="17">
        <v>5.6649139250511946E-2</v>
      </c>
      <c r="Z26" s="17">
        <v>6.0094584488877271E-2</v>
      </c>
      <c r="AA26" s="18" t="s">
        <v>42</v>
      </c>
    </row>
    <row r="27" spans="1:28" ht="15.75" customHeight="1" x14ac:dyDescent="0.2">
      <c r="A27" s="13" t="s">
        <v>43</v>
      </c>
      <c r="B27" s="14" t="s">
        <v>44</v>
      </c>
      <c r="C27" s="48">
        <v>107</v>
      </c>
      <c r="D27" s="48">
        <v>93</v>
      </c>
      <c r="E27" s="49">
        <v>98</v>
      </c>
      <c r="F27" s="15">
        <v>101</v>
      </c>
      <c r="G27" s="15">
        <v>64.581510000000009</v>
      </c>
      <c r="H27" s="15">
        <v>50.822458791208788</v>
      </c>
      <c r="I27" s="16">
        <v>2</v>
      </c>
      <c r="J27" s="16">
        <v>1.6</v>
      </c>
      <c r="K27" s="16">
        <v>1.6</v>
      </c>
      <c r="L27" s="16">
        <v>1.8</v>
      </c>
      <c r="M27" s="17">
        <v>1.5569312921890071</v>
      </c>
      <c r="N27" s="17">
        <v>1.3859410632999396</v>
      </c>
      <c r="O27" s="24">
        <v>1358493.2</v>
      </c>
      <c r="P27" s="24">
        <v>1933818.5</v>
      </c>
      <c r="Q27" s="24">
        <v>2063877.6</v>
      </c>
      <c r="R27" s="24">
        <v>2421364.7000000002</v>
      </c>
      <c r="S27" s="24">
        <v>692530.57052705996</v>
      </c>
      <c r="T27" s="24">
        <v>444736.21381881868</v>
      </c>
      <c r="U27" s="17">
        <v>0.6</v>
      </c>
      <c r="V27" s="17">
        <v>0.7</v>
      </c>
      <c r="W27" s="17">
        <v>0.7</v>
      </c>
      <c r="X27" s="17">
        <v>0.6</v>
      </c>
      <c r="Y27" s="17">
        <v>0.35142281927259822</v>
      </c>
      <c r="Z27" s="17">
        <v>0.16703802696092382</v>
      </c>
      <c r="AA27" s="18" t="s">
        <v>45</v>
      </c>
    </row>
    <row r="28" spans="1:28" ht="26.25" customHeight="1" x14ac:dyDescent="0.2">
      <c r="A28" s="13" t="s">
        <v>46</v>
      </c>
      <c r="B28" s="14" t="s">
        <v>47</v>
      </c>
      <c r="C28" s="48">
        <v>914</v>
      </c>
      <c r="D28" s="48">
        <v>924</v>
      </c>
      <c r="E28" s="49">
        <v>929</v>
      </c>
      <c r="F28" s="15">
        <v>931</v>
      </c>
      <c r="G28" s="15">
        <v>1010.5744912499996</v>
      </c>
      <c r="H28" s="15">
        <v>1055.6525693481265</v>
      </c>
      <c r="I28" s="16">
        <v>7.5</v>
      </c>
      <c r="J28" s="16">
        <v>7.4</v>
      </c>
      <c r="K28" s="16">
        <v>7.7</v>
      </c>
      <c r="L28" s="16">
        <v>7.7</v>
      </c>
      <c r="M28" s="17">
        <v>10.338357966751914</v>
      </c>
      <c r="N28" s="17">
        <v>11.956649330027483</v>
      </c>
      <c r="O28" s="24">
        <v>128502264.3</v>
      </c>
      <c r="P28" s="24">
        <v>104074764.40000001</v>
      </c>
      <c r="Q28" s="24">
        <v>144775433</v>
      </c>
      <c r="R28" s="24">
        <v>185025520.90000001</v>
      </c>
      <c r="S28" s="24">
        <v>234032795.58125728</v>
      </c>
      <c r="T28" s="24">
        <v>312354846.63563418</v>
      </c>
      <c r="U28" s="17">
        <v>4.7</v>
      </c>
      <c r="V28" s="17">
        <v>3.7</v>
      </c>
      <c r="W28" s="17">
        <v>4.5</v>
      </c>
      <c r="X28" s="17">
        <v>4.9000000000000004</v>
      </c>
      <c r="Y28" s="17">
        <v>6.9132816925295204</v>
      </c>
      <c r="Z28" s="17">
        <v>7.1309146326676736</v>
      </c>
      <c r="AA28" s="18" t="s">
        <v>48</v>
      </c>
    </row>
    <row r="29" spans="1:28" ht="39" customHeight="1" x14ac:dyDescent="0.2">
      <c r="A29" s="13" t="s">
        <v>49</v>
      </c>
      <c r="B29" s="20">
        <v>45</v>
      </c>
      <c r="C29" s="50">
        <v>90</v>
      </c>
      <c r="D29" s="50">
        <v>94</v>
      </c>
      <c r="E29" s="51">
        <v>91</v>
      </c>
      <c r="F29" s="15">
        <v>90</v>
      </c>
      <c r="G29" s="15">
        <v>76.493741750000012</v>
      </c>
      <c r="H29" s="15">
        <v>90.699999999999974</v>
      </c>
      <c r="I29" s="21">
        <v>7.4</v>
      </c>
      <c r="J29" s="21">
        <v>7.4</v>
      </c>
      <c r="K29" s="21">
        <v>7</v>
      </c>
      <c r="L29" s="21">
        <v>7.2</v>
      </c>
      <c r="M29" s="17">
        <v>7.5736377970297042</v>
      </c>
      <c r="N29" s="17">
        <v>9.5473684210526297</v>
      </c>
      <c r="O29" s="24">
        <v>10596482.9</v>
      </c>
      <c r="P29" s="24">
        <v>12806923.6</v>
      </c>
      <c r="Q29" s="24">
        <v>14186523.699999999</v>
      </c>
      <c r="R29" s="24">
        <v>16985523.100000001</v>
      </c>
      <c r="S29" s="24">
        <v>14180575.155345395</v>
      </c>
      <c r="T29" s="24">
        <v>19887568.194639999</v>
      </c>
      <c r="U29" s="17">
        <v>5.6</v>
      </c>
      <c r="V29" s="17">
        <v>6.3</v>
      </c>
      <c r="W29" s="17">
        <v>6.3</v>
      </c>
      <c r="X29" s="17">
        <v>6.4</v>
      </c>
      <c r="Y29" s="17">
        <v>7.0585982935655807</v>
      </c>
      <c r="Z29" s="17">
        <v>5.4621454271344261</v>
      </c>
      <c r="AA29" s="18" t="s">
        <v>125</v>
      </c>
    </row>
    <row r="30" spans="1:28" ht="28.5" customHeight="1" x14ac:dyDescent="0.2">
      <c r="A30" s="13" t="s">
        <v>50</v>
      </c>
      <c r="B30" s="20">
        <v>46</v>
      </c>
      <c r="C30" s="50">
        <v>651</v>
      </c>
      <c r="D30" s="50">
        <v>647</v>
      </c>
      <c r="E30" s="51">
        <v>653</v>
      </c>
      <c r="F30" s="15">
        <v>655</v>
      </c>
      <c r="G30" s="15">
        <v>765.9154294999995</v>
      </c>
      <c r="H30" s="15">
        <v>757.10006934812623</v>
      </c>
      <c r="I30" s="21">
        <v>8</v>
      </c>
      <c r="J30" s="21">
        <v>7.7</v>
      </c>
      <c r="K30" s="21">
        <v>8</v>
      </c>
      <c r="L30" s="21">
        <v>8.1</v>
      </c>
      <c r="M30" s="17">
        <v>11.496779187931544</v>
      </c>
      <c r="N30" s="17">
        <v>12.540998332750144</v>
      </c>
      <c r="O30" s="24">
        <v>95627358.5</v>
      </c>
      <c r="P30" s="24">
        <v>64929627</v>
      </c>
      <c r="Q30" s="24">
        <v>102459945.5</v>
      </c>
      <c r="R30" s="24">
        <v>138121454</v>
      </c>
      <c r="S30" s="24">
        <v>186686644.76365188</v>
      </c>
      <c r="T30" s="24">
        <v>229166479.91439366</v>
      </c>
      <c r="U30" s="17">
        <v>5</v>
      </c>
      <c r="V30" s="17">
        <v>3.3</v>
      </c>
      <c r="W30" s="17">
        <v>4.7</v>
      </c>
      <c r="X30" s="17">
        <v>4.9000000000000004</v>
      </c>
      <c r="Y30" s="17">
        <v>8.3045006761215117</v>
      </c>
      <c r="Z30" s="17">
        <v>8.1659068546367966</v>
      </c>
      <c r="AA30" s="18" t="s">
        <v>51</v>
      </c>
    </row>
    <row r="31" spans="1:28" ht="27.75" customHeight="1" x14ac:dyDescent="0.2">
      <c r="A31" s="13" t="s">
        <v>52</v>
      </c>
      <c r="B31" s="20">
        <v>47</v>
      </c>
      <c r="C31" s="50">
        <v>173</v>
      </c>
      <c r="D31" s="50">
        <v>183</v>
      </c>
      <c r="E31" s="51">
        <v>185</v>
      </c>
      <c r="F31" s="15">
        <v>186</v>
      </c>
      <c r="G31" s="15">
        <v>168.16532000000004</v>
      </c>
      <c r="H31" s="15">
        <v>207.85250000000022</v>
      </c>
      <c r="I31" s="21">
        <v>6.1</v>
      </c>
      <c r="J31" s="21">
        <v>6.5</v>
      </c>
      <c r="K31" s="21">
        <v>6.8</v>
      </c>
      <c r="L31" s="21">
        <v>6.7</v>
      </c>
      <c r="M31" s="17">
        <v>7.9964488825487416</v>
      </c>
      <c r="N31" s="17">
        <v>11.284066232356146</v>
      </c>
      <c r="O31" s="24">
        <v>22278422.899999999</v>
      </c>
      <c r="P31" s="24">
        <v>26338213.800000001</v>
      </c>
      <c r="Q31" s="24">
        <v>28128963.800000001</v>
      </c>
      <c r="R31" s="24">
        <v>29918543.800000001</v>
      </c>
      <c r="S31" s="24">
        <v>33165575.662260003</v>
      </c>
      <c r="T31" s="24">
        <v>63300798.526600488</v>
      </c>
      <c r="U31" s="17">
        <v>3.5</v>
      </c>
      <c r="V31" s="17">
        <v>3.9</v>
      </c>
      <c r="W31" s="17">
        <v>3.4</v>
      </c>
      <c r="X31" s="17">
        <v>3.7</v>
      </c>
      <c r="Y31" s="17">
        <v>3.5420145020158911</v>
      </c>
      <c r="Z31" s="17">
        <v>5.2322834012544099</v>
      </c>
      <c r="AA31" s="18" t="s">
        <v>53</v>
      </c>
    </row>
    <row r="32" spans="1:28" ht="28.5" customHeight="1" x14ac:dyDescent="0.2">
      <c r="A32" s="13" t="s">
        <v>54</v>
      </c>
      <c r="B32" s="14" t="s">
        <v>55</v>
      </c>
      <c r="C32" s="48">
        <v>131</v>
      </c>
      <c r="D32" s="48">
        <v>125</v>
      </c>
      <c r="E32" s="49">
        <v>127</v>
      </c>
      <c r="F32" s="15">
        <v>127</v>
      </c>
      <c r="G32" s="15">
        <v>136.24</v>
      </c>
      <c r="H32" s="15">
        <v>132.89677096370463</v>
      </c>
      <c r="I32" s="16">
        <v>3.3</v>
      </c>
      <c r="J32" s="16">
        <v>3.1</v>
      </c>
      <c r="K32" s="16">
        <v>3</v>
      </c>
      <c r="L32" s="16">
        <v>3.2</v>
      </c>
      <c r="M32" s="17">
        <v>4.0035263003232444</v>
      </c>
      <c r="N32" s="17">
        <v>3.9777542940348583</v>
      </c>
      <c r="O32" s="24">
        <v>31257594.800000001</v>
      </c>
      <c r="P32" s="24">
        <v>117600857</v>
      </c>
      <c r="Q32" s="24">
        <v>141783125.09999999</v>
      </c>
      <c r="R32" s="24">
        <v>164784027.19999999</v>
      </c>
      <c r="S32" s="24">
        <v>105939152.84909999</v>
      </c>
      <c r="T32" s="24">
        <v>103505957.37324134</v>
      </c>
      <c r="U32" s="17">
        <v>7.1</v>
      </c>
      <c r="V32" s="17">
        <v>25.7</v>
      </c>
      <c r="W32" s="17">
        <v>31.1</v>
      </c>
      <c r="X32" s="17">
        <v>30.9</v>
      </c>
      <c r="Y32" s="17">
        <v>23.557832691916779</v>
      </c>
      <c r="Z32" s="17">
        <v>19.124147893829264</v>
      </c>
      <c r="AA32" s="18" t="s">
        <v>56</v>
      </c>
      <c r="AB32" s="56"/>
    </row>
    <row r="33" spans="1:27" ht="29.25" customHeight="1" x14ac:dyDescent="0.2">
      <c r="A33" s="13" t="s">
        <v>57</v>
      </c>
      <c r="B33" s="14" t="s">
        <v>58</v>
      </c>
      <c r="C33" s="48">
        <v>147</v>
      </c>
      <c r="D33" s="48">
        <v>166</v>
      </c>
      <c r="E33" s="49">
        <v>170</v>
      </c>
      <c r="F33" s="15">
        <v>171</v>
      </c>
      <c r="G33" s="15">
        <v>96.161862000000042</v>
      </c>
      <c r="H33" s="15">
        <v>120.2674038461538</v>
      </c>
      <c r="I33" s="16">
        <v>9.4</v>
      </c>
      <c r="J33" s="16">
        <v>10.199999999999999</v>
      </c>
      <c r="K33" s="16">
        <v>10.1</v>
      </c>
      <c r="L33" s="16">
        <v>9.9</v>
      </c>
      <c r="M33" s="17">
        <v>11.181611860465122</v>
      </c>
      <c r="N33" s="17">
        <v>15.993005830605558</v>
      </c>
      <c r="O33" s="24">
        <v>2105230</v>
      </c>
      <c r="P33" s="24">
        <v>2741067.6</v>
      </c>
      <c r="Q33" s="24">
        <v>2897865.9</v>
      </c>
      <c r="R33" s="24">
        <v>3148675.9</v>
      </c>
      <c r="S33" s="24">
        <v>3838509.4954335419</v>
      </c>
      <c r="T33" s="24">
        <v>3712369.8504942306</v>
      </c>
      <c r="U33" s="17">
        <v>6.8</v>
      </c>
      <c r="V33" s="17">
        <v>8.1999999999999993</v>
      </c>
      <c r="W33" s="17">
        <v>11.6</v>
      </c>
      <c r="X33" s="17">
        <v>12</v>
      </c>
      <c r="Y33" s="17">
        <v>13.156353534894347</v>
      </c>
      <c r="Z33" s="17">
        <v>7.5857248178454002</v>
      </c>
      <c r="AA33" s="18" t="s">
        <v>59</v>
      </c>
    </row>
    <row r="34" spans="1:27" ht="17.25" customHeight="1" x14ac:dyDescent="0.2">
      <c r="A34" s="13" t="s">
        <v>60</v>
      </c>
      <c r="B34" s="20">
        <v>55</v>
      </c>
      <c r="C34" s="50">
        <v>115</v>
      </c>
      <c r="D34" s="50">
        <v>120</v>
      </c>
      <c r="E34" s="51">
        <v>111</v>
      </c>
      <c r="F34" s="15">
        <v>118</v>
      </c>
      <c r="G34" s="15">
        <v>67.989568000000034</v>
      </c>
      <c r="H34" s="15">
        <v>88.821249999999949</v>
      </c>
      <c r="I34" s="21">
        <v>24</v>
      </c>
      <c r="J34" s="21">
        <v>24</v>
      </c>
      <c r="K34" s="21">
        <v>22.1</v>
      </c>
      <c r="L34" s="21">
        <v>22.999999999999996</v>
      </c>
      <c r="M34" s="17">
        <v>24.195575800711755</v>
      </c>
      <c r="N34" s="17">
        <v>35.386952191235039</v>
      </c>
      <c r="O34" s="24">
        <v>1923729.2</v>
      </c>
      <c r="P34" s="24">
        <v>2010628.5</v>
      </c>
      <c r="Q34" s="24">
        <v>2021741.3</v>
      </c>
      <c r="R34" s="24">
        <v>2047459.1</v>
      </c>
      <c r="S34" s="24">
        <v>1462406.3474062721</v>
      </c>
      <c r="T34" s="24">
        <v>2689716.0181249999</v>
      </c>
      <c r="U34" s="17">
        <v>20.399999999999999</v>
      </c>
      <c r="V34" s="17">
        <v>21.2</v>
      </c>
      <c r="W34" s="17">
        <v>40.799999999999997</v>
      </c>
      <c r="X34" s="17">
        <v>41.1</v>
      </c>
      <c r="Y34" s="17">
        <v>22.373563598380333</v>
      </c>
      <c r="Z34" s="17">
        <v>30.536922897232259</v>
      </c>
      <c r="AA34" s="18" t="s">
        <v>126</v>
      </c>
    </row>
    <row r="35" spans="1:27" ht="17.25" customHeight="1" x14ac:dyDescent="0.2">
      <c r="A35" s="13" t="s">
        <v>61</v>
      </c>
      <c r="B35" s="14" t="s">
        <v>62</v>
      </c>
      <c r="C35" s="48">
        <v>204</v>
      </c>
      <c r="D35" s="48">
        <v>197</v>
      </c>
      <c r="E35" s="49">
        <v>209</v>
      </c>
      <c r="F35" s="15">
        <v>210</v>
      </c>
      <c r="G35" s="15">
        <v>166.14999999999998</v>
      </c>
      <c r="H35" s="15">
        <v>180.24022962112514</v>
      </c>
      <c r="I35" s="16">
        <v>9.4</v>
      </c>
      <c r="J35" s="16">
        <v>9</v>
      </c>
      <c r="K35" s="16">
        <v>9.5</v>
      </c>
      <c r="L35" s="16">
        <v>9.6</v>
      </c>
      <c r="M35" s="17">
        <v>10.542512690355329</v>
      </c>
      <c r="N35" s="17">
        <v>12.032058052144535</v>
      </c>
      <c r="O35" s="24">
        <v>3993376.1</v>
      </c>
      <c r="P35" s="24">
        <v>5065412.5999999996</v>
      </c>
      <c r="Q35" s="24">
        <v>5924611.5999999996</v>
      </c>
      <c r="R35" s="24">
        <v>7050032.9000000004</v>
      </c>
      <c r="S35" s="24">
        <v>7456266.35659</v>
      </c>
      <c r="T35" s="24">
        <v>8861097.5956807118</v>
      </c>
      <c r="U35" s="17">
        <v>3</v>
      </c>
      <c r="V35" s="17">
        <v>3.5</v>
      </c>
      <c r="W35" s="17">
        <v>3.5</v>
      </c>
      <c r="X35" s="17">
        <v>3.6</v>
      </c>
      <c r="Y35" s="17">
        <v>3.5727003572924922</v>
      </c>
      <c r="Z35" s="17">
        <v>3.7256542985442849</v>
      </c>
      <c r="AA35" s="18" t="s">
        <v>63</v>
      </c>
    </row>
    <row r="36" spans="1:27" ht="53.25" customHeight="1" x14ac:dyDescent="0.2">
      <c r="A36" s="19" t="s">
        <v>64</v>
      </c>
      <c r="B36" s="14" t="s">
        <v>65</v>
      </c>
      <c r="C36" s="48">
        <v>62</v>
      </c>
      <c r="D36" s="48">
        <v>62</v>
      </c>
      <c r="E36" s="49">
        <v>64</v>
      </c>
      <c r="F36" s="15">
        <v>63</v>
      </c>
      <c r="G36" s="15">
        <v>43.52</v>
      </c>
      <c r="H36" s="15">
        <v>56</v>
      </c>
      <c r="I36" s="16">
        <v>8.1</v>
      </c>
      <c r="J36" s="16">
        <v>8.4</v>
      </c>
      <c r="K36" s="16">
        <v>8.8000000000000007</v>
      </c>
      <c r="L36" s="16">
        <v>8.6</v>
      </c>
      <c r="M36" s="17">
        <v>10.215962441314556</v>
      </c>
      <c r="N36" s="17">
        <v>13.930348258706468</v>
      </c>
      <c r="O36" s="24">
        <v>782807.1</v>
      </c>
      <c r="P36" s="24">
        <v>942352.8</v>
      </c>
      <c r="Q36" s="24">
        <v>923497</v>
      </c>
      <c r="R36" s="24">
        <v>935712</v>
      </c>
      <c r="S36" s="24">
        <v>673473.01439000003</v>
      </c>
      <c r="T36" s="24">
        <v>1097282.3605</v>
      </c>
      <c r="U36" s="17">
        <v>3.5</v>
      </c>
      <c r="V36" s="17">
        <v>3.6</v>
      </c>
      <c r="W36" s="17">
        <v>3.9</v>
      </c>
      <c r="X36" s="17">
        <v>4</v>
      </c>
      <c r="Y36" s="17">
        <v>4.5363296931359498</v>
      </c>
      <c r="Z36" s="17">
        <v>4.7976756249902603</v>
      </c>
      <c r="AA36" s="18" t="s">
        <v>127</v>
      </c>
    </row>
    <row r="37" spans="1:27" ht="18.75" customHeight="1" x14ac:dyDescent="0.2">
      <c r="A37" s="13" t="s">
        <v>66</v>
      </c>
      <c r="B37" s="20">
        <v>61</v>
      </c>
      <c r="C37" s="50">
        <v>40</v>
      </c>
      <c r="D37" s="50">
        <v>35</v>
      </c>
      <c r="E37" s="51">
        <v>42</v>
      </c>
      <c r="F37" s="15">
        <v>42</v>
      </c>
      <c r="G37" s="15">
        <v>31.85</v>
      </c>
      <c r="H37" s="15">
        <v>26.307692307692307</v>
      </c>
      <c r="I37" s="21">
        <v>10.5</v>
      </c>
      <c r="J37" s="21">
        <v>9</v>
      </c>
      <c r="K37" s="21">
        <v>10.6</v>
      </c>
      <c r="L37" s="21">
        <v>10.6</v>
      </c>
      <c r="M37" s="17">
        <v>10.241157556270098</v>
      </c>
      <c r="N37" s="17">
        <v>8.569280881984465</v>
      </c>
      <c r="O37" s="24">
        <v>1069452.8999999999</v>
      </c>
      <c r="P37" s="24">
        <v>1038489</v>
      </c>
      <c r="Q37" s="24">
        <v>1413769.5</v>
      </c>
      <c r="R37" s="24">
        <v>1912369.5</v>
      </c>
      <c r="S37" s="24">
        <v>820181.13619999995</v>
      </c>
      <c r="T37" s="24">
        <v>592408.09255384631</v>
      </c>
      <c r="U37" s="17">
        <v>1.9</v>
      </c>
      <c r="V37" s="17">
        <v>1.8</v>
      </c>
      <c r="W37" s="17">
        <v>2</v>
      </c>
      <c r="X37" s="17">
        <v>2</v>
      </c>
      <c r="Y37" s="17">
        <v>1.0214529139920361</v>
      </c>
      <c r="Z37" s="17">
        <v>0.65482559408864605</v>
      </c>
      <c r="AA37" s="18" t="s">
        <v>128</v>
      </c>
    </row>
    <row r="38" spans="1:27" ht="43.5" customHeight="1" x14ac:dyDescent="0.2">
      <c r="A38" s="13" t="s">
        <v>67</v>
      </c>
      <c r="B38" s="20" t="s">
        <v>68</v>
      </c>
      <c r="C38" s="50">
        <v>102</v>
      </c>
      <c r="D38" s="50">
        <v>100</v>
      </c>
      <c r="E38" s="51">
        <v>103</v>
      </c>
      <c r="F38" s="15">
        <v>105</v>
      </c>
      <c r="G38" s="15">
        <v>90.78</v>
      </c>
      <c r="H38" s="15">
        <v>97.932537313432832</v>
      </c>
      <c r="I38" s="21">
        <v>10</v>
      </c>
      <c r="J38" s="21">
        <v>9.5</v>
      </c>
      <c r="K38" s="21">
        <v>9.5</v>
      </c>
      <c r="L38" s="21">
        <v>9.9</v>
      </c>
      <c r="M38" s="17">
        <v>10.820023837902266</v>
      </c>
      <c r="N38" s="17">
        <v>12.412235400942057</v>
      </c>
      <c r="O38" s="24">
        <v>2141116.1</v>
      </c>
      <c r="P38" s="24">
        <v>3084570.8</v>
      </c>
      <c r="Q38" s="24">
        <v>3587345.1</v>
      </c>
      <c r="R38" s="24">
        <v>4201951.4000000004</v>
      </c>
      <c r="S38" s="24">
        <v>5962612.2060000002</v>
      </c>
      <c r="T38" s="24">
        <v>7171407.1426268658</v>
      </c>
      <c r="U38" s="17">
        <v>4.0999999999999996</v>
      </c>
      <c r="V38" s="17">
        <v>5.0999999999999996</v>
      </c>
      <c r="W38" s="17">
        <v>5</v>
      </c>
      <c r="X38" s="17">
        <v>5.2</v>
      </c>
      <c r="Y38" s="17">
        <v>5.2506553856996057</v>
      </c>
      <c r="Z38" s="17">
        <v>5.760127465216673</v>
      </c>
      <c r="AA38" s="18" t="s">
        <v>129</v>
      </c>
    </row>
    <row r="39" spans="1:27" ht="20.25" customHeight="1" x14ac:dyDescent="0.2">
      <c r="A39" s="13" t="s">
        <v>69</v>
      </c>
      <c r="B39" s="14" t="s">
        <v>70</v>
      </c>
      <c r="C39" s="48">
        <v>33</v>
      </c>
      <c r="D39" s="48">
        <v>22</v>
      </c>
      <c r="E39" s="49">
        <v>25</v>
      </c>
      <c r="F39" s="15">
        <v>26</v>
      </c>
      <c r="G39" s="15">
        <v>26.93333333333333</v>
      </c>
      <c r="H39" s="15">
        <v>29.935353535353535</v>
      </c>
      <c r="I39" s="16">
        <v>1.1000000000000001</v>
      </c>
      <c r="J39" s="16">
        <v>0.7</v>
      </c>
      <c r="K39" s="16">
        <v>0.8</v>
      </c>
      <c r="L39" s="16">
        <v>1</v>
      </c>
      <c r="M39" s="17">
        <v>1.1833626244874047</v>
      </c>
      <c r="N39" s="17">
        <v>1.400156853851896</v>
      </c>
      <c r="O39" s="24">
        <v>1043018.9</v>
      </c>
      <c r="P39" s="24">
        <v>109060.2</v>
      </c>
      <c r="Q39" s="24">
        <v>511958.6</v>
      </c>
      <c r="R39" s="24">
        <v>894158.6</v>
      </c>
      <c r="S39" s="24">
        <v>768933.22383599996</v>
      </c>
      <c r="T39" s="24">
        <v>1017887.2621969697</v>
      </c>
      <c r="U39" s="17">
        <v>1.7</v>
      </c>
      <c r="V39" s="17">
        <v>0.2</v>
      </c>
      <c r="W39" s="17">
        <v>0.7</v>
      </c>
      <c r="X39" s="17">
        <v>0.9</v>
      </c>
      <c r="Y39" s="17">
        <v>1.1901241082770211</v>
      </c>
      <c r="Z39" s="17">
        <v>1.2466487532919468</v>
      </c>
      <c r="AA39" s="18" t="s">
        <v>71</v>
      </c>
    </row>
    <row r="40" spans="1:27" ht="18" customHeight="1" x14ac:dyDescent="0.2">
      <c r="A40" s="13" t="s">
        <v>72</v>
      </c>
      <c r="B40" s="14" t="s">
        <v>73</v>
      </c>
      <c r="C40" s="48">
        <v>88</v>
      </c>
      <c r="D40" s="48">
        <v>83</v>
      </c>
      <c r="E40" s="49">
        <v>80</v>
      </c>
      <c r="F40" s="15">
        <v>85</v>
      </c>
      <c r="G40" s="15">
        <v>59.548439999999992</v>
      </c>
      <c r="H40" s="15">
        <v>69.45057023436334</v>
      </c>
      <c r="I40" s="16">
        <v>3</v>
      </c>
      <c r="J40" s="16">
        <v>2.7</v>
      </c>
      <c r="K40" s="16">
        <v>2.6</v>
      </c>
      <c r="L40" s="16">
        <v>2.7</v>
      </c>
      <c r="M40" s="17">
        <v>2.7403791992636903</v>
      </c>
      <c r="N40" s="17">
        <v>3.4296577893512756</v>
      </c>
      <c r="O40" s="24">
        <v>2119916.1</v>
      </c>
      <c r="P40" s="24">
        <v>1713579.3</v>
      </c>
      <c r="Q40" s="24">
        <v>1689638.3</v>
      </c>
      <c r="R40" s="24">
        <v>1921357</v>
      </c>
      <c r="S40" s="24">
        <v>1053751.1159063801</v>
      </c>
      <c r="T40" s="24">
        <v>1821424.2976422901</v>
      </c>
      <c r="U40" s="17">
        <v>0.7</v>
      </c>
      <c r="V40" s="17">
        <v>0.6</v>
      </c>
      <c r="W40" s="17">
        <v>1.5</v>
      </c>
      <c r="X40" s="17">
        <v>1.4</v>
      </c>
      <c r="Y40" s="17">
        <v>0.41573283524171667</v>
      </c>
      <c r="Z40" s="17">
        <v>0.62697320075232865</v>
      </c>
      <c r="AA40" s="18" t="s">
        <v>130</v>
      </c>
    </row>
    <row r="41" spans="1:27" ht="72" customHeight="1" x14ac:dyDescent="0.2">
      <c r="A41" s="13" t="s">
        <v>74</v>
      </c>
      <c r="B41" s="20" t="s">
        <v>75</v>
      </c>
      <c r="C41" s="50">
        <v>47</v>
      </c>
      <c r="D41" s="50">
        <v>44</v>
      </c>
      <c r="E41" s="51">
        <v>42</v>
      </c>
      <c r="F41" s="15">
        <v>45</v>
      </c>
      <c r="G41" s="15">
        <v>35.267939999999996</v>
      </c>
      <c r="H41" s="15">
        <v>47.368752052545162</v>
      </c>
      <c r="I41" s="21">
        <v>2.4</v>
      </c>
      <c r="J41" s="21">
        <v>2.1</v>
      </c>
      <c r="K41" s="21">
        <v>2</v>
      </c>
      <c r="L41" s="21">
        <v>2.1</v>
      </c>
      <c r="M41" s="17">
        <v>2.3480652463382152</v>
      </c>
      <c r="N41" s="17">
        <v>3.3714414272274138</v>
      </c>
      <c r="O41" s="24">
        <v>267556.40000000002</v>
      </c>
      <c r="P41" s="24">
        <v>232011.4</v>
      </c>
      <c r="Q41" s="24">
        <v>241921.7</v>
      </c>
      <c r="R41" s="24">
        <v>250915</v>
      </c>
      <c r="S41" s="24">
        <v>227450.85813459998</v>
      </c>
      <c r="T41" s="24">
        <v>621022.51467865356</v>
      </c>
      <c r="U41" s="17">
        <v>0.1</v>
      </c>
      <c r="V41" s="17">
        <v>0.1</v>
      </c>
      <c r="W41" s="17">
        <v>0.5</v>
      </c>
      <c r="X41" s="17">
        <v>0.3</v>
      </c>
      <c r="Y41" s="17">
        <v>0.10574424723611135</v>
      </c>
      <c r="Z41" s="17">
        <v>0.26466291662541064</v>
      </c>
      <c r="AA41" s="18" t="s">
        <v>131</v>
      </c>
    </row>
    <row r="42" spans="1:27" ht="15" customHeight="1" x14ac:dyDescent="0.2">
      <c r="A42" s="13" t="s">
        <v>76</v>
      </c>
      <c r="B42" s="20">
        <v>72</v>
      </c>
      <c r="C42" s="50">
        <v>14</v>
      </c>
      <c r="D42" s="50">
        <v>11</v>
      </c>
      <c r="E42" s="51">
        <v>12</v>
      </c>
      <c r="F42" s="15">
        <v>13</v>
      </c>
      <c r="G42" s="15">
        <v>8.8149999999999995</v>
      </c>
      <c r="H42" s="15">
        <v>5.7818181818181822</v>
      </c>
      <c r="I42" s="21">
        <v>4.2</v>
      </c>
      <c r="J42" s="21">
        <v>3.3</v>
      </c>
      <c r="K42" s="21">
        <v>3.6</v>
      </c>
      <c r="L42" s="21">
        <v>3.4</v>
      </c>
      <c r="M42" s="17">
        <v>3.6729166666666666</v>
      </c>
      <c r="N42" s="17">
        <v>2.481467030823254</v>
      </c>
      <c r="O42" s="24">
        <v>322441</v>
      </c>
      <c r="P42" s="24">
        <v>913622.9</v>
      </c>
      <c r="Q42" s="24">
        <v>679552.3</v>
      </c>
      <c r="R42" s="24">
        <v>699437.9</v>
      </c>
      <c r="S42" s="24">
        <v>455321.87800000003</v>
      </c>
      <c r="T42" s="24">
        <v>325502.48596363637</v>
      </c>
      <c r="U42" s="17">
        <v>2.1</v>
      </c>
      <c r="V42" s="17">
        <v>4.2</v>
      </c>
      <c r="W42" s="17">
        <v>3.9</v>
      </c>
      <c r="X42" s="17">
        <v>4</v>
      </c>
      <c r="Y42" s="17">
        <v>3.1122667328725804</v>
      </c>
      <c r="Z42" s="17">
        <v>1.5598548189448236</v>
      </c>
      <c r="AA42" s="18" t="s">
        <v>132</v>
      </c>
    </row>
    <row r="43" spans="1:27" ht="45" customHeight="1" x14ac:dyDescent="0.2">
      <c r="A43" s="13" t="s">
        <v>77</v>
      </c>
      <c r="B43" s="20" t="s">
        <v>78</v>
      </c>
      <c r="C43" s="50">
        <v>27</v>
      </c>
      <c r="D43" s="50">
        <v>28</v>
      </c>
      <c r="E43" s="51">
        <v>26</v>
      </c>
      <c r="F43" s="15">
        <v>27</v>
      </c>
      <c r="G43" s="15">
        <v>15.465499999999999</v>
      </c>
      <c r="H43" s="15">
        <v>16.3</v>
      </c>
      <c r="I43" s="21">
        <v>4.0999999999999996</v>
      </c>
      <c r="J43" s="21">
        <v>4.2</v>
      </c>
      <c r="K43" s="21">
        <v>4.0999999999999996</v>
      </c>
      <c r="L43" s="21">
        <v>4.3</v>
      </c>
      <c r="M43" s="17">
        <v>3.8092364532019705</v>
      </c>
      <c r="N43" s="17">
        <v>4.4535519125683063</v>
      </c>
      <c r="O43" s="24">
        <v>1529918.7</v>
      </c>
      <c r="P43" s="24">
        <v>567945</v>
      </c>
      <c r="Q43" s="24">
        <v>768164.3</v>
      </c>
      <c r="R43" s="24">
        <v>971004.10000000009</v>
      </c>
      <c r="S43" s="24">
        <v>370978.37977177999</v>
      </c>
      <c r="T43" s="24">
        <v>874899.29700000014</v>
      </c>
      <c r="U43" s="17">
        <v>5</v>
      </c>
      <c r="V43" s="17">
        <v>1.5</v>
      </c>
      <c r="W43" s="17">
        <v>1.7</v>
      </c>
      <c r="X43" s="17">
        <v>1.8</v>
      </c>
      <c r="Y43" s="17">
        <v>1.572705469153491</v>
      </c>
      <c r="Z43" s="17">
        <v>2.5093520750218685</v>
      </c>
      <c r="AA43" s="18" t="s">
        <v>79</v>
      </c>
    </row>
    <row r="44" spans="1:27" ht="27.75" customHeight="1" x14ac:dyDescent="0.2">
      <c r="A44" s="13" t="s">
        <v>80</v>
      </c>
      <c r="B44" s="14" t="s">
        <v>81</v>
      </c>
      <c r="C44" s="48">
        <v>145</v>
      </c>
      <c r="D44" s="48">
        <v>137</v>
      </c>
      <c r="E44" s="49">
        <v>134</v>
      </c>
      <c r="F44" s="15">
        <v>136</v>
      </c>
      <c r="G44" s="15">
        <v>76.212773999999996</v>
      </c>
      <c r="H44" s="15">
        <v>78.928888888888878</v>
      </c>
      <c r="I44" s="16">
        <v>3.9</v>
      </c>
      <c r="J44" s="16">
        <v>3.5</v>
      </c>
      <c r="K44" s="16">
        <v>3.3</v>
      </c>
      <c r="L44" s="16">
        <v>3.3</v>
      </c>
      <c r="M44" s="17">
        <v>2.5704139629005058</v>
      </c>
      <c r="N44" s="17">
        <v>2.9374353884960507</v>
      </c>
      <c r="O44" s="24">
        <v>4506051</v>
      </c>
      <c r="P44" s="24">
        <v>2672497.7999999998</v>
      </c>
      <c r="Q44" s="24">
        <v>3295710.8</v>
      </c>
      <c r="R44" s="24">
        <v>3981929.4</v>
      </c>
      <c r="S44" s="24">
        <v>2057015.6849966999</v>
      </c>
      <c r="T44" s="24">
        <v>2999158.1215999997</v>
      </c>
      <c r="U44" s="17">
        <v>7.6</v>
      </c>
      <c r="V44" s="17">
        <v>3.7</v>
      </c>
      <c r="W44" s="17">
        <v>4.0999999999999996</v>
      </c>
      <c r="X44" s="17">
        <v>4.5</v>
      </c>
      <c r="Y44" s="17">
        <v>2.7992040281089299</v>
      </c>
      <c r="Z44" s="17">
        <v>3.3594422817813703</v>
      </c>
      <c r="AA44" s="18" t="s">
        <v>82</v>
      </c>
    </row>
    <row r="45" spans="1:27" ht="78" customHeight="1" x14ac:dyDescent="0.2">
      <c r="A45" s="13" t="s">
        <v>83</v>
      </c>
      <c r="B45" s="14" t="s">
        <v>84</v>
      </c>
      <c r="C45" s="48">
        <v>88</v>
      </c>
      <c r="D45" s="48">
        <v>78</v>
      </c>
      <c r="E45" s="49">
        <v>80</v>
      </c>
      <c r="F45" s="15">
        <v>81</v>
      </c>
      <c r="G45" s="15">
        <v>44.282773999999989</v>
      </c>
      <c r="H45" s="15">
        <v>49.128888888888888</v>
      </c>
      <c r="I45" s="16">
        <v>2.5</v>
      </c>
      <c r="J45" s="16">
        <v>2.1</v>
      </c>
      <c r="K45" s="16">
        <v>2.1</v>
      </c>
      <c r="L45" s="16">
        <v>2.1</v>
      </c>
      <c r="M45" s="17">
        <v>1.5397348400556323</v>
      </c>
      <c r="N45" s="17">
        <v>1.8808916113663434</v>
      </c>
      <c r="O45" s="24">
        <v>1861321.2</v>
      </c>
      <c r="P45" s="24">
        <v>1529634.3</v>
      </c>
      <c r="Q45" s="24">
        <v>1738346</v>
      </c>
      <c r="R45" s="24">
        <v>2042997.2</v>
      </c>
      <c r="S45" s="24">
        <v>1414219.3071186999</v>
      </c>
      <c r="T45" s="24">
        <v>2144492.9095999999</v>
      </c>
      <c r="U45" s="17">
        <v>3.5</v>
      </c>
      <c r="V45" s="17">
        <v>2.4</v>
      </c>
      <c r="W45" s="17">
        <v>2.2999999999999998</v>
      </c>
      <c r="X45" s="17">
        <v>2.5</v>
      </c>
      <c r="Y45" s="17">
        <v>1.9725570720411707</v>
      </c>
      <c r="Z45" s="17">
        <v>2.4768611428314142</v>
      </c>
      <c r="AA45" s="18" t="s">
        <v>137</v>
      </c>
    </row>
    <row r="46" spans="1:27" ht="41.25" customHeight="1" x14ac:dyDescent="0.2">
      <c r="A46" s="13" t="s">
        <v>85</v>
      </c>
      <c r="B46" s="20">
        <v>79</v>
      </c>
      <c r="C46" s="50">
        <v>57</v>
      </c>
      <c r="D46" s="50">
        <v>59</v>
      </c>
      <c r="E46" s="51">
        <v>54</v>
      </c>
      <c r="F46" s="15">
        <v>55</v>
      </c>
      <c r="G46" s="15">
        <v>31.930000000000007</v>
      </c>
      <c r="H46" s="15">
        <v>29.8</v>
      </c>
      <c r="I46" s="21">
        <v>30.8</v>
      </c>
      <c r="J46" s="21">
        <v>30.6</v>
      </c>
      <c r="K46" s="21">
        <v>27.6</v>
      </c>
      <c r="L46" s="21">
        <v>28.2</v>
      </c>
      <c r="M46" s="17">
        <v>35.876404494382029</v>
      </c>
      <c r="N46" s="17">
        <v>39.733333333333334</v>
      </c>
      <c r="O46" s="24">
        <v>2644729.7999999998</v>
      </c>
      <c r="P46" s="24">
        <v>1142863.5</v>
      </c>
      <c r="Q46" s="24">
        <v>1557364.8</v>
      </c>
      <c r="R46" s="24">
        <v>1938932.2000000002</v>
      </c>
      <c r="S46" s="24">
        <v>642796.37787799991</v>
      </c>
      <c r="T46" s="24">
        <v>854665.21199999982</v>
      </c>
      <c r="U46" s="17">
        <v>39.799999999999997</v>
      </c>
      <c r="V46" s="17">
        <v>11.8</v>
      </c>
      <c r="W46" s="17">
        <v>33.200000000000003</v>
      </c>
      <c r="X46" s="17">
        <v>34.1</v>
      </c>
      <c r="Y46" s="17">
        <v>35.890077134955163</v>
      </c>
      <c r="Z46" s="17">
        <v>31.719988577815556</v>
      </c>
      <c r="AA46" s="18" t="s">
        <v>133</v>
      </c>
    </row>
    <row r="47" spans="1:27" ht="20.25" customHeight="1" x14ac:dyDescent="0.2">
      <c r="A47" s="13" t="s">
        <v>86</v>
      </c>
      <c r="B47" s="14" t="s">
        <v>87</v>
      </c>
      <c r="C47" s="48">
        <v>5</v>
      </c>
      <c r="D47" s="48">
        <v>3</v>
      </c>
      <c r="E47" s="49">
        <v>6</v>
      </c>
      <c r="F47" s="15">
        <v>5</v>
      </c>
      <c r="G47" s="15">
        <v>3.9741630000000003</v>
      </c>
      <c r="H47" s="15">
        <v>3.7</v>
      </c>
      <c r="I47" s="16">
        <v>7.4</v>
      </c>
      <c r="J47" s="16">
        <v>4.5</v>
      </c>
      <c r="K47" s="16">
        <v>8.5</v>
      </c>
      <c r="L47" s="16">
        <v>7.9</v>
      </c>
      <c r="M47" s="17">
        <v>8.2795062500000007</v>
      </c>
      <c r="N47" s="17">
        <v>10.882352941176471</v>
      </c>
      <c r="O47" s="24">
        <v>16403.400000000001</v>
      </c>
      <c r="P47" s="24">
        <v>13366.1</v>
      </c>
      <c r="Q47" s="24">
        <v>17087.400000000001</v>
      </c>
      <c r="R47" s="24">
        <v>19123.400000000001</v>
      </c>
      <c r="S47" s="21" t="s">
        <v>172</v>
      </c>
      <c r="T47" s="21" t="s">
        <v>172</v>
      </c>
      <c r="U47" s="17">
        <v>0.9</v>
      </c>
      <c r="V47" s="17">
        <v>0.8</v>
      </c>
      <c r="W47" s="17">
        <v>1</v>
      </c>
      <c r="X47" s="17">
        <v>1</v>
      </c>
      <c r="Y47" s="21" t="s">
        <v>172</v>
      </c>
      <c r="Z47" s="21" t="s">
        <v>172</v>
      </c>
      <c r="AA47" s="18" t="s">
        <v>88</v>
      </c>
    </row>
    <row r="48" spans="1:27" ht="53.25" customHeight="1" x14ac:dyDescent="0.2">
      <c r="A48" s="13" t="s">
        <v>89</v>
      </c>
      <c r="B48" s="14" t="s">
        <v>90</v>
      </c>
      <c r="C48" s="48">
        <v>177</v>
      </c>
      <c r="D48" s="48">
        <v>169</v>
      </c>
      <c r="E48" s="49">
        <v>173</v>
      </c>
      <c r="F48" s="15">
        <v>173</v>
      </c>
      <c r="G48" s="15">
        <v>158.655844</v>
      </c>
      <c r="H48" s="15">
        <v>174.07606873346907</v>
      </c>
      <c r="I48" s="16">
        <v>10.9</v>
      </c>
      <c r="J48" s="16">
        <v>9.5</v>
      </c>
      <c r="K48" s="16">
        <v>9.1</v>
      </c>
      <c r="L48" s="16">
        <v>9.3000000000000007</v>
      </c>
      <c r="M48" s="17">
        <v>11.017766944444444</v>
      </c>
      <c r="N48" s="17">
        <v>12.425129816807214</v>
      </c>
      <c r="O48" s="24">
        <v>13594673.699999999</v>
      </c>
      <c r="P48" s="24">
        <v>18690083.800000001</v>
      </c>
      <c r="Q48" s="24">
        <v>19409614.699999999</v>
      </c>
      <c r="R48" s="24">
        <v>20387614</v>
      </c>
      <c r="S48" s="24">
        <v>25376843.472525835</v>
      </c>
      <c r="T48" s="24">
        <v>35727208.484672181</v>
      </c>
      <c r="U48" s="17">
        <v>7.7</v>
      </c>
      <c r="V48" s="17">
        <v>10.5</v>
      </c>
      <c r="W48" s="17">
        <v>9.3000000000000007</v>
      </c>
      <c r="X48" s="17">
        <v>10.199999999999999</v>
      </c>
      <c r="Y48" s="17">
        <v>8.6331348596008972</v>
      </c>
      <c r="Z48" s="17">
        <v>10.256795167866727</v>
      </c>
      <c r="AA48" s="18" t="s">
        <v>91</v>
      </c>
    </row>
    <row r="49" spans="1:27" x14ac:dyDescent="0.2">
      <c r="A49" s="32"/>
      <c r="B49" s="33"/>
      <c r="C49" s="54"/>
      <c r="D49" s="54"/>
      <c r="E49" s="54"/>
      <c r="F49" s="54"/>
      <c r="G49" s="55"/>
      <c r="H49" s="55"/>
      <c r="I49" s="53"/>
      <c r="J49" s="53"/>
      <c r="K49" s="53"/>
      <c r="L49" s="53"/>
      <c r="M49" s="34"/>
      <c r="N49" s="34"/>
      <c r="O49" s="34"/>
      <c r="P49" s="34"/>
      <c r="Q49" s="34"/>
      <c r="R49" s="34"/>
      <c r="S49" s="34"/>
      <c r="T49" s="34"/>
      <c r="U49" s="35"/>
      <c r="V49" s="35"/>
      <c r="W49" s="34"/>
      <c r="X49" s="34"/>
      <c r="Y49" s="34"/>
      <c r="Z49" s="34"/>
      <c r="AA49" s="36"/>
    </row>
    <row r="50" spans="1:27" ht="17.25" customHeight="1" x14ac:dyDescent="0.2">
      <c r="A50" s="40" t="s">
        <v>92</v>
      </c>
      <c r="B50" s="40"/>
      <c r="C50" s="46"/>
      <c r="D50" s="46"/>
      <c r="E50" s="46"/>
      <c r="G50" s="15"/>
      <c r="H50" s="15"/>
      <c r="I50" s="10"/>
      <c r="J50" s="10"/>
      <c r="K50" s="10"/>
      <c r="L50" s="10"/>
      <c r="O50" s="17"/>
      <c r="P50" s="17"/>
      <c r="Q50" s="17"/>
      <c r="R50" s="17"/>
      <c r="S50" s="17"/>
      <c r="T50" s="17"/>
      <c r="Y50" s="17"/>
      <c r="Z50" s="17"/>
      <c r="AA50" s="22" t="s">
        <v>134</v>
      </c>
    </row>
    <row r="51" spans="1:27" ht="17.25" customHeight="1" x14ac:dyDescent="0.2">
      <c r="A51" s="13" t="s">
        <v>93</v>
      </c>
      <c r="B51" s="13"/>
      <c r="C51" s="48">
        <v>1619</v>
      </c>
      <c r="D51" s="48">
        <v>1595</v>
      </c>
      <c r="E51" s="49">
        <v>1637</v>
      </c>
      <c r="F51" s="49">
        <f>1668-15-9</f>
        <v>1644</v>
      </c>
      <c r="G51" s="15">
        <v>1541.9266677133328</v>
      </c>
      <c r="H51" s="15">
        <v>1499.2278978688955</v>
      </c>
      <c r="I51" s="16">
        <v>4.2</v>
      </c>
      <c r="J51" s="16">
        <v>4.0999999999999996</v>
      </c>
      <c r="K51" s="16">
        <v>4.0999999999999996</v>
      </c>
      <c r="L51" s="16">
        <v>4.2</v>
      </c>
      <c r="M51" s="17">
        <v>5.2890840315347738</v>
      </c>
      <c r="N51" s="17">
        <v>5.5514622597530012</v>
      </c>
      <c r="O51" s="24">
        <v>24408158.600000001</v>
      </c>
      <c r="P51" s="24">
        <v>25337980.699999999</v>
      </c>
      <c r="Q51" s="24">
        <v>29337599.800000001</v>
      </c>
      <c r="R51" s="24">
        <v>32915982</v>
      </c>
      <c r="S51" s="24">
        <v>63424104.378507167</v>
      </c>
      <c r="T51" s="24">
        <v>35564106.231513448</v>
      </c>
      <c r="U51" s="2">
        <v>1.9</v>
      </c>
      <c r="V51" s="2">
        <v>1.9</v>
      </c>
      <c r="W51" s="17">
        <v>2.1</v>
      </c>
      <c r="X51" s="17">
        <v>2.2000000000000002</v>
      </c>
      <c r="Y51" s="17">
        <v>4.3190597630332688</v>
      </c>
      <c r="Z51" s="17">
        <v>1.9071214519709161</v>
      </c>
      <c r="AA51" s="23" t="s">
        <v>94</v>
      </c>
    </row>
    <row r="52" spans="1:27" ht="17.25" customHeight="1" x14ac:dyDescent="0.2">
      <c r="A52" s="13" t="s">
        <v>95</v>
      </c>
      <c r="B52" s="13"/>
      <c r="C52" s="48">
        <v>619</v>
      </c>
      <c r="D52" s="48">
        <v>608</v>
      </c>
      <c r="E52" s="49">
        <v>612</v>
      </c>
      <c r="F52" s="49">
        <f>618-1</f>
        <v>617</v>
      </c>
      <c r="G52" s="15">
        <v>535.43557759999999</v>
      </c>
      <c r="H52" s="15">
        <v>673.80488892042558</v>
      </c>
      <c r="I52" s="16">
        <v>7</v>
      </c>
      <c r="J52" s="16">
        <v>6.7</v>
      </c>
      <c r="K52" s="16">
        <v>6.7</v>
      </c>
      <c r="L52" s="16">
        <v>6.8</v>
      </c>
      <c r="M52" s="17">
        <v>6.9133063602324079</v>
      </c>
      <c r="N52" s="17">
        <v>9.561584914437713</v>
      </c>
      <c r="O52" s="24">
        <v>62450066</v>
      </c>
      <c r="P52" s="24">
        <v>56896897.200000003</v>
      </c>
      <c r="Q52" s="24">
        <v>77297895.100000009</v>
      </c>
      <c r="R52" s="24">
        <v>98338620.099999994</v>
      </c>
      <c r="S52" s="24">
        <v>163547961.44517598</v>
      </c>
      <c r="T52" s="24">
        <v>86961503.652181953</v>
      </c>
      <c r="U52" s="2">
        <v>3.7</v>
      </c>
      <c r="V52" s="2">
        <v>3.6</v>
      </c>
      <c r="W52" s="17">
        <v>3.9</v>
      </c>
      <c r="X52" s="17">
        <v>4</v>
      </c>
      <c r="Y52" s="17">
        <v>6.8748458358418807</v>
      </c>
      <c r="Z52" s="17">
        <v>3.1093651631626846</v>
      </c>
      <c r="AA52" s="18" t="s">
        <v>96</v>
      </c>
    </row>
    <row r="53" spans="1:27" ht="17.25" customHeight="1" x14ac:dyDescent="0.2">
      <c r="A53" s="39" t="s">
        <v>97</v>
      </c>
      <c r="B53" s="39"/>
      <c r="C53" s="48">
        <v>238</v>
      </c>
      <c r="D53" s="48">
        <v>237</v>
      </c>
      <c r="E53" s="49">
        <v>245</v>
      </c>
      <c r="F53" s="49">
        <v>252</v>
      </c>
      <c r="G53" s="15">
        <v>269</v>
      </c>
      <c r="H53" s="15">
        <v>305</v>
      </c>
      <c r="I53" s="16">
        <v>10.6</v>
      </c>
      <c r="J53" s="16">
        <v>10.3</v>
      </c>
      <c r="K53" s="16">
        <v>10.5</v>
      </c>
      <c r="L53" s="16">
        <v>10.5</v>
      </c>
      <c r="M53" s="17">
        <v>16.564039408866996</v>
      </c>
      <c r="N53" s="17">
        <v>17.773892773892776</v>
      </c>
      <c r="O53" s="24">
        <v>141177410.09999999</v>
      </c>
      <c r="P53" s="24">
        <v>210497061.19999999</v>
      </c>
      <c r="Q53" s="24">
        <v>257935993.09999999</v>
      </c>
      <c r="R53" s="24">
        <v>304655191.80000001</v>
      </c>
      <c r="S53" s="24">
        <v>238344832.84199989</v>
      </c>
      <c r="T53" s="24">
        <v>425064639.39976007</v>
      </c>
      <c r="U53" s="17">
        <v>4</v>
      </c>
      <c r="V53" s="17">
        <v>6</v>
      </c>
      <c r="W53" s="17">
        <v>6.6</v>
      </c>
      <c r="X53" s="17">
        <v>6.8</v>
      </c>
      <c r="Y53" s="17">
        <v>5.9745648364807566</v>
      </c>
      <c r="Z53" s="17">
        <v>8.4779476930052819</v>
      </c>
      <c r="AA53" s="18" t="s">
        <v>98</v>
      </c>
    </row>
    <row r="54" spans="1:27" x14ac:dyDescent="0.2">
      <c r="G54" s="15"/>
      <c r="H54" s="15"/>
    </row>
    <row r="55" spans="1:27" ht="17.25" customHeight="1" x14ac:dyDescent="0.2">
      <c r="A55" s="9" t="s">
        <v>105</v>
      </c>
      <c r="G55" s="15"/>
      <c r="H55" s="15"/>
      <c r="I55" s="17"/>
      <c r="J55" s="17"/>
      <c r="K55" s="17"/>
      <c r="L55" s="17"/>
    </row>
    <row r="56" spans="1:27" ht="29.25" customHeight="1" x14ac:dyDescent="0.2">
      <c r="A56" s="71" t="s">
        <v>140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</row>
    <row r="57" spans="1:27" ht="21" customHeight="1" x14ac:dyDescent="0.2">
      <c r="A57" s="71" t="s">
        <v>106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</row>
    <row r="58" spans="1:27" ht="21" customHeight="1" x14ac:dyDescent="0.2">
      <c r="A58" s="71" t="s">
        <v>139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</row>
    <row r="59" spans="1:27" x14ac:dyDescent="0.2">
      <c r="A59" s="70" t="s">
        <v>171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</row>
    <row r="60" spans="1:27" x14ac:dyDescent="0.2">
      <c r="G60" s="15"/>
      <c r="H60" s="15"/>
    </row>
    <row r="61" spans="1:27" x14ac:dyDescent="0.2">
      <c r="G61" s="15"/>
      <c r="H61" s="15"/>
      <c r="P61" s="2"/>
      <c r="Q61" s="17"/>
      <c r="R61" s="17"/>
      <c r="S61" s="2"/>
      <c r="T61" s="2"/>
    </row>
    <row r="62" spans="1:27" x14ac:dyDescent="0.2">
      <c r="P62" s="17"/>
      <c r="Q62" s="17"/>
      <c r="R62" s="17"/>
      <c r="S62" s="2"/>
      <c r="T62" s="2"/>
    </row>
    <row r="63" spans="1:27" x14ac:dyDescent="0.2">
      <c r="P63" s="2"/>
      <c r="Q63" s="17"/>
      <c r="R63" s="17"/>
      <c r="T63" s="2"/>
    </row>
  </sheetData>
  <mergeCells count="14">
    <mergeCell ref="A59:AA59"/>
    <mergeCell ref="A56:AA56"/>
    <mergeCell ref="A57:AA57"/>
    <mergeCell ref="A58:AA58"/>
    <mergeCell ref="A1:AA1"/>
    <mergeCell ref="AA3:AA5"/>
    <mergeCell ref="A3:A5"/>
    <mergeCell ref="B3:B5"/>
    <mergeCell ref="C4:H4"/>
    <mergeCell ref="I4:N4"/>
    <mergeCell ref="C3:N3"/>
    <mergeCell ref="O3:Z3"/>
    <mergeCell ref="O4:T4"/>
    <mergeCell ref="U4:Z4"/>
  </mergeCells>
  <printOptions horizontalCentered="1"/>
  <pageMargins left="0.59055118110236227" right="0.39370078740157483" top="0.31496062992125984" bottom="0.31496062992125984" header="0.27559055118110237" footer="0.23622047244094491"/>
  <pageSetup paperSize="9" scale="30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1013-87E1-4655-8675-86D15B4350FC}">
  <dimension ref="A1:W60"/>
  <sheetViews>
    <sheetView zoomScale="70" zoomScaleNormal="70" workbookViewId="0">
      <selection activeCell="A56" sqref="A56:W56"/>
    </sheetView>
  </sheetViews>
  <sheetFormatPr defaultRowHeight="12.75" x14ac:dyDescent="0.2"/>
  <cols>
    <col min="1" max="1" width="45.7109375" style="2" customWidth="1"/>
    <col min="2" max="2" width="20.28515625" style="2" customWidth="1"/>
    <col min="3" max="6" width="13.5703125" style="17" customWidth="1"/>
    <col min="7" max="12" width="13.5703125" style="64" customWidth="1"/>
    <col min="13" max="22" width="13.5703125" style="2" customWidth="1"/>
    <col min="23" max="23" width="49.42578125" style="26" customWidth="1"/>
    <col min="24" max="16384" width="9.140625" style="2"/>
  </cols>
  <sheetData>
    <row r="1" spans="1:23" ht="70.5" customHeight="1" x14ac:dyDescent="0.2">
      <c r="A1" s="90" t="s">
        <v>195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3" ht="15.75" customHeight="1" x14ac:dyDescent="0.2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25"/>
      <c r="O2" s="25"/>
      <c r="P2" s="25"/>
      <c r="Q2" s="25"/>
      <c r="R2" s="25"/>
    </row>
    <row r="3" spans="1:23" ht="154.5" customHeight="1" x14ac:dyDescent="0.2">
      <c r="A3" s="92"/>
      <c r="B3" s="79" t="s">
        <v>110</v>
      </c>
      <c r="C3" s="80" t="s">
        <v>185</v>
      </c>
      <c r="D3" s="81"/>
      <c r="E3" s="81"/>
      <c r="F3" s="81"/>
      <c r="G3" s="81"/>
      <c r="H3" s="82"/>
      <c r="I3" s="80" t="s">
        <v>186</v>
      </c>
      <c r="J3" s="81"/>
      <c r="K3" s="81"/>
      <c r="L3" s="81"/>
      <c r="M3" s="81"/>
      <c r="N3" s="82"/>
      <c r="O3" s="80" t="s">
        <v>187</v>
      </c>
      <c r="P3" s="81"/>
      <c r="Q3" s="81"/>
      <c r="R3" s="82"/>
      <c r="S3" s="80" t="s">
        <v>188</v>
      </c>
      <c r="T3" s="81"/>
      <c r="U3" s="81"/>
      <c r="V3" s="82"/>
      <c r="W3" s="95"/>
    </row>
    <row r="4" spans="1:23" ht="168.75" customHeight="1" x14ac:dyDescent="0.2">
      <c r="A4" s="93"/>
      <c r="B4" s="79"/>
      <c r="C4" s="98" t="s">
        <v>189</v>
      </c>
      <c r="D4" s="99"/>
      <c r="E4" s="98" t="s">
        <v>190</v>
      </c>
      <c r="F4" s="99"/>
      <c r="G4" s="84" t="s">
        <v>191</v>
      </c>
      <c r="H4" s="85"/>
      <c r="I4" s="87" t="s">
        <v>189</v>
      </c>
      <c r="J4" s="88"/>
      <c r="K4" s="87" t="s">
        <v>190</v>
      </c>
      <c r="L4" s="88"/>
      <c r="M4" s="80" t="s">
        <v>191</v>
      </c>
      <c r="N4" s="82"/>
      <c r="O4" s="80" t="s">
        <v>192</v>
      </c>
      <c r="P4" s="82"/>
      <c r="Q4" s="80" t="s">
        <v>193</v>
      </c>
      <c r="R4" s="82"/>
      <c r="S4" s="80" t="s">
        <v>192</v>
      </c>
      <c r="T4" s="82"/>
      <c r="U4" s="80" t="s">
        <v>193</v>
      </c>
      <c r="V4" s="82"/>
      <c r="W4" s="96"/>
    </row>
    <row r="5" spans="1:23" s="15" customFormat="1" ht="23.25" customHeight="1" x14ac:dyDescent="0.2">
      <c r="A5" s="94"/>
      <c r="B5" s="79"/>
      <c r="C5" s="6">
        <v>2022</v>
      </c>
      <c r="D5" s="6">
        <v>2023</v>
      </c>
      <c r="E5" s="6">
        <v>2022</v>
      </c>
      <c r="F5" s="6">
        <v>2023</v>
      </c>
      <c r="G5" s="65">
        <v>2022</v>
      </c>
      <c r="H5" s="65">
        <v>2023</v>
      </c>
      <c r="I5" s="65">
        <v>2022</v>
      </c>
      <c r="J5" s="65">
        <v>2023</v>
      </c>
      <c r="K5" s="65">
        <v>2022</v>
      </c>
      <c r="L5" s="65">
        <v>2023</v>
      </c>
      <c r="M5" s="6">
        <v>2022</v>
      </c>
      <c r="N5" s="6">
        <v>2023</v>
      </c>
      <c r="O5" s="6">
        <v>2022</v>
      </c>
      <c r="P5" s="6">
        <v>2023</v>
      </c>
      <c r="Q5" s="6">
        <v>2022</v>
      </c>
      <c r="R5" s="6">
        <v>2023</v>
      </c>
      <c r="S5" s="6">
        <v>2022</v>
      </c>
      <c r="T5" s="6">
        <v>2023</v>
      </c>
      <c r="U5" s="6">
        <v>2022</v>
      </c>
      <c r="V5" s="6">
        <v>2023</v>
      </c>
      <c r="W5" s="97"/>
    </row>
    <row r="6" spans="1:23" ht="16.5" customHeight="1" x14ac:dyDescent="0.2">
      <c r="A6" s="7" t="s">
        <v>0</v>
      </c>
      <c r="B6" s="27"/>
      <c r="C6" s="28">
        <v>4.2017685333171819</v>
      </c>
      <c r="D6" s="28">
        <v>4.4926415697877191</v>
      </c>
      <c r="E6" s="28">
        <v>2.6353717558711049</v>
      </c>
      <c r="F6" s="28">
        <v>2.4013024668133429</v>
      </c>
      <c r="G6" s="66">
        <v>1.6964478718856184</v>
      </c>
      <c r="H6" s="66">
        <v>2.5631220199422411</v>
      </c>
      <c r="I6" s="67">
        <v>3.3475170917977701</v>
      </c>
      <c r="J6" s="67">
        <v>3.2170544957669605</v>
      </c>
      <c r="K6" s="67">
        <v>0.60820084427752763</v>
      </c>
      <c r="L6" s="67">
        <v>0.59872869555016772</v>
      </c>
      <c r="M6" s="28">
        <v>1.9819243704760563</v>
      </c>
      <c r="N6" s="28">
        <v>1.8815782755574166</v>
      </c>
      <c r="O6" s="28">
        <v>3.8603255904302878</v>
      </c>
      <c r="P6" s="28">
        <v>4.4052847080215933</v>
      </c>
      <c r="Q6" s="28">
        <v>3.1976625276898067</v>
      </c>
      <c r="R6" s="28">
        <v>3.3862389636451553</v>
      </c>
      <c r="S6" s="28">
        <v>1.9979229358296671</v>
      </c>
      <c r="T6" s="28">
        <v>2.1206690203804435</v>
      </c>
      <c r="U6" s="28">
        <v>1.9577950002456304</v>
      </c>
      <c r="V6" s="28">
        <v>1.6919316291710382</v>
      </c>
      <c r="W6" s="12" t="s">
        <v>1</v>
      </c>
    </row>
    <row r="7" spans="1:23" x14ac:dyDescent="0.2">
      <c r="A7" s="13" t="s">
        <v>2</v>
      </c>
      <c r="B7" s="14" t="s">
        <v>3</v>
      </c>
      <c r="C7" s="21">
        <v>3.9661771129372103</v>
      </c>
      <c r="D7" s="21">
        <v>4.5262068153852306</v>
      </c>
      <c r="E7" s="21">
        <v>3.1597434674462708</v>
      </c>
      <c r="F7" s="21">
        <v>2.4691440179043478</v>
      </c>
      <c r="G7" s="62">
        <v>3.223063373683102</v>
      </c>
      <c r="H7" s="62">
        <v>4.0767785091963367</v>
      </c>
      <c r="I7" s="61">
        <v>1.7425062020696718</v>
      </c>
      <c r="J7" s="61">
        <v>1.530163267788953</v>
      </c>
      <c r="K7" s="61">
        <v>0.50671023232360402</v>
      </c>
      <c r="L7" s="61">
        <v>0.38792936901688008</v>
      </c>
      <c r="M7" s="21">
        <v>3.6578895642059175</v>
      </c>
      <c r="N7" s="21">
        <v>2.8999705698739091</v>
      </c>
      <c r="O7" s="21">
        <v>4.0365893345975543</v>
      </c>
      <c r="P7" s="21">
        <v>4.126368262177694</v>
      </c>
      <c r="Q7" s="21">
        <v>3.5035116556047199</v>
      </c>
      <c r="R7" s="21">
        <v>3.0358713211022401</v>
      </c>
      <c r="S7" s="21">
        <v>1.2130984084102592</v>
      </c>
      <c r="T7" s="21">
        <v>1.3003335761102328</v>
      </c>
      <c r="U7" s="21">
        <v>1.0361180259830169</v>
      </c>
      <c r="V7" s="21">
        <v>0.61778789340854345</v>
      </c>
      <c r="W7" s="18" t="s">
        <v>4</v>
      </c>
    </row>
    <row r="8" spans="1:23" ht="76.5" x14ac:dyDescent="0.2">
      <c r="A8" s="13" t="s">
        <v>5</v>
      </c>
      <c r="B8" s="14" t="s">
        <v>6</v>
      </c>
      <c r="C8" s="21">
        <v>4.5553884486835035</v>
      </c>
      <c r="D8" s="21">
        <v>5.1560515696127904</v>
      </c>
      <c r="E8" s="21">
        <v>3.0656200008060179</v>
      </c>
      <c r="F8" s="21">
        <v>2.5170732259552659</v>
      </c>
      <c r="G8" s="62">
        <v>6.0265892243417527</v>
      </c>
      <c r="H8" s="62">
        <v>7.6259745515839628</v>
      </c>
      <c r="I8" s="61">
        <v>2.8464426577502739</v>
      </c>
      <c r="J8" s="61">
        <v>2.3670749142220742</v>
      </c>
      <c r="K8" s="61">
        <v>0.77762125206859256</v>
      </c>
      <c r="L8" s="61">
        <v>0.73267171608461401</v>
      </c>
      <c r="M8" s="21">
        <v>5.6370838562818166</v>
      </c>
      <c r="N8" s="21">
        <v>4.849145504588166</v>
      </c>
      <c r="O8" s="21">
        <v>4.3589931526061259</v>
      </c>
      <c r="P8" s="21">
        <v>4.5143930195765449</v>
      </c>
      <c r="Q8" s="21">
        <v>3.3413342651800106</v>
      </c>
      <c r="R8" s="21">
        <v>2.7325086109059216</v>
      </c>
      <c r="S8" s="21">
        <v>1.9909126219557383</v>
      </c>
      <c r="T8" s="21">
        <v>2.3236170812385675</v>
      </c>
      <c r="U8" s="21">
        <v>1.6331512878631289</v>
      </c>
      <c r="V8" s="21">
        <v>0.77612954906811971</v>
      </c>
      <c r="W8" s="18" t="s">
        <v>113</v>
      </c>
    </row>
    <row r="9" spans="1:23" ht="25.5" x14ac:dyDescent="0.2">
      <c r="A9" s="19" t="s">
        <v>7</v>
      </c>
      <c r="B9" s="14" t="s">
        <v>8</v>
      </c>
      <c r="C9" s="21">
        <v>3.6449127734577496</v>
      </c>
      <c r="D9" s="21">
        <v>4.4180473064499317</v>
      </c>
      <c r="E9" s="21">
        <v>3.1442210057024358</v>
      </c>
      <c r="F9" s="21">
        <v>2.0787746170678334</v>
      </c>
      <c r="G9" s="62">
        <v>9.157658621047176</v>
      </c>
      <c r="H9" s="62">
        <v>11.992093883505257</v>
      </c>
      <c r="I9" s="61">
        <v>2.873139004442125</v>
      </c>
      <c r="J9" s="61">
        <v>2.4182173360993939</v>
      </c>
      <c r="K9" s="61">
        <v>0.88016742642269452</v>
      </c>
      <c r="L9" s="61">
        <v>0.85766220479821942</v>
      </c>
      <c r="M9" s="21">
        <v>6.3244228051773153</v>
      </c>
      <c r="N9" s="21">
        <v>5.5713383784543238</v>
      </c>
      <c r="O9" s="21">
        <v>4.1912646345256608</v>
      </c>
      <c r="P9" s="21">
        <v>4.3216630196936539</v>
      </c>
      <c r="Q9" s="21">
        <v>2.6887120684292372</v>
      </c>
      <c r="R9" s="21">
        <v>1.6411378555798686</v>
      </c>
      <c r="S9" s="21">
        <v>2.2196731480353611</v>
      </c>
      <c r="T9" s="21">
        <v>2.6309508748651496</v>
      </c>
      <c r="U9" s="21">
        <v>1.5336332828294588</v>
      </c>
      <c r="V9" s="21">
        <v>0.64492866603246368</v>
      </c>
      <c r="W9" s="18" t="s">
        <v>114</v>
      </c>
    </row>
    <row r="10" spans="1:23" ht="38.25" x14ac:dyDescent="0.2">
      <c r="A10" s="19" t="s">
        <v>9</v>
      </c>
      <c r="B10" s="14" t="s">
        <v>10</v>
      </c>
      <c r="C10" s="21">
        <v>6.3825885558583106</v>
      </c>
      <c r="D10" s="21">
        <v>7.3212377655254954</v>
      </c>
      <c r="E10" s="21">
        <v>3.6612942779291551</v>
      </c>
      <c r="F10" s="21">
        <v>3.2347451952529527</v>
      </c>
      <c r="G10" s="62">
        <v>3.384891008174387</v>
      </c>
      <c r="H10" s="62">
        <v>4.2250430966933079</v>
      </c>
      <c r="I10" s="61">
        <v>2.3399508071812165</v>
      </c>
      <c r="J10" s="61">
        <v>3.2701572238207084</v>
      </c>
      <c r="K10" s="61">
        <v>0.57637713936390544</v>
      </c>
      <c r="L10" s="61">
        <v>7.7669433160243412E-2</v>
      </c>
      <c r="M10" s="21">
        <v>5.1443720628941207</v>
      </c>
      <c r="N10" s="21">
        <v>0.82114023330107422</v>
      </c>
      <c r="O10" s="21">
        <v>5.6868119891008169</v>
      </c>
      <c r="P10" s="21">
        <v>4.5230870054565404</v>
      </c>
      <c r="Q10" s="21">
        <v>4.4707629427792908</v>
      </c>
      <c r="R10" s="21">
        <v>4.9186505392429227</v>
      </c>
      <c r="S10" s="21">
        <v>1.7843588896634233</v>
      </c>
      <c r="T10" s="21">
        <v>2.1538563879467922</v>
      </c>
      <c r="U10" s="21">
        <v>1.1319690568816985</v>
      </c>
      <c r="V10" s="21">
        <v>1.1939702690341603</v>
      </c>
      <c r="W10" s="18" t="s">
        <v>115</v>
      </c>
    </row>
    <row r="11" spans="1:23" ht="25.5" x14ac:dyDescent="0.2">
      <c r="A11" s="19" t="s">
        <v>11</v>
      </c>
      <c r="B11" s="14" t="s">
        <v>12</v>
      </c>
      <c r="C11" s="21">
        <v>4.947402328611898</v>
      </c>
      <c r="D11" s="21">
        <v>4.9757751937984498</v>
      </c>
      <c r="E11" s="21">
        <v>2.5095800972615674</v>
      </c>
      <c r="F11" s="21">
        <v>2.8003875968992245</v>
      </c>
      <c r="G11" s="62">
        <v>2.15423192917847</v>
      </c>
      <c r="H11" s="62">
        <v>2.2286821705426356</v>
      </c>
      <c r="I11" s="61">
        <v>2.8402499543296473</v>
      </c>
      <c r="J11" s="61">
        <v>1.6026485719014085</v>
      </c>
      <c r="K11" s="61">
        <v>0.14497330454633589</v>
      </c>
      <c r="L11" s="61">
        <v>0.1582445582002393</v>
      </c>
      <c r="M11" s="21">
        <v>1.0977638404960699</v>
      </c>
      <c r="N11" s="21">
        <v>1.6401496797680006</v>
      </c>
      <c r="O11" s="21">
        <v>3.7441954995278559</v>
      </c>
      <c r="P11" s="21">
        <v>4.8498062015503871</v>
      </c>
      <c r="Q11" s="21">
        <v>3.7472904202077433</v>
      </c>
      <c r="R11" s="21">
        <v>3.1637596899224802</v>
      </c>
      <c r="S11" s="21">
        <v>0.4949927410129093</v>
      </c>
      <c r="T11" s="21">
        <v>0.25987482978854626</v>
      </c>
      <c r="U11" s="21">
        <v>2.4902305178630733</v>
      </c>
      <c r="V11" s="21">
        <v>1.5010183003131017</v>
      </c>
      <c r="W11" s="18" t="s">
        <v>116</v>
      </c>
    </row>
    <row r="12" spans="1:23" ht="102" x14ac:dyDescent="0.2">
      <c r="A12" s="13" t="s">
        <v>13</v>
      </c>
      <c r="B12" s="14" t="s">
        <v>14</v>
      </c>
      <c r="C12" s="21">
        <v>2.7642871485943776</v>
      </c>
      <c r="D12" s="21">
        <v>3.0463443218861177</v>
      </c>
      <c r="E12" s="21">
        <v>2.9063890562248997</v>
      </c>
      <c r="F12" s="21">
        <v>1.9333940912888279</v>
      </c>
      <c r="G12" s="62">
        <v>1.9345416666666666</v>
      </c>
      <c r="H12" s="62">
        <v>2.3652023476779598</v>
      </c>
      <c r="I12" s="61">
        <v>0.33062768170109419</v>
      </c>
      <c r="J12" s="61">
        <v>0.64454990278162261</v>
      </c>
      <c r="K12" s="61">
        <v>0.27595615894213366</v>
      </c>
      <c r="L12" s="61">
        <v>4.4813405308180031E-2</v>
      </c>
      <c r="M12" s="21">
        <v>2.2465419096237307</v>
      </c>
      <c r="N12" s="21">
        <v>1.2368662458504218</v>
      </c>
      <c r="O12" s="21">
        <v>3.3696184738955823</v>
      </c>
      <c r="P12" s="21">
        <v>3.0560804864210436</v>
      </c>
      <c r="Q12" s="21">
        <v>2.6440898594377509</v>
      </c>
      <c r="R12" s="21">
        <v>2.418805480724985</v>
      </c>
      <c r="S12" s="21">
        <v>0.37348903477619544</v>
      </c>
      <c r="T12" s="21">
        <v>0.48741648931558534</v>
      </c>
      <c r="U12" s="21">
        <v>0.23309480586703235</v>
      </c>
      <c r="V12" s="21">
        <v>0.20211172655104467</v>
      </c>
      <c r="W12" s="18" t="s">
        <v>117</v>
      </c>
    </row>
    <row r="13" spans="1:23" ht="25.5" x14ac:dyDescent="0.2">
      <c r="A13" s="13" t="s">
        <v>15</v>
      </c>
      <c r="B13" s="20">
        <v>19</v>
      </c>
      <c r="C13" s="21">
        <v>3.125</v>
      </c>
      <c r="D13" s="21">
        <v>6.4516129032258061</v>
      </c>
      <c r="E13" s="21">
        <v>3.125</v>
      </c>
      <c r="F13" s="21">
        <v>3.225806451612903</v>
      </c>
      <c r="G13" s="61">
        <v>3.125</v>
      </c>
      <c r="H13" s="61" t="s">
        <v>107</v>
      </c>
      <c r="I13" s="61" t="s">
        <v>172</v>
      </c>
      <c r="J13" s="61" t="s">
        <v>172</v>
      </c>
      <c r="K13" s="61" t="s">
        <v>172</v>
      </c>
      <c r="L13" s="61" t="s">
        <v>172</v>
      </c>
      <c r="M13" s="21" t="s">
        <v>172</v>
      </c>
      <c r="N13" s="21" t="s">
        <v>172</v>
      </c>
      <c r="O13" s="21">
        <v>3.125</v>
      </c>
      <c r="P13" s="21">
        <v>6.4516129032258061</v>
      </c>
      <c r="Q13" s="21">
        <v>3.125</v>
      </c>
      <c r="R13" s="21">
        <v>3.225806451612903</v>
      </c>
      <c r="S13" s="21" t="s">
        <v>172</v>
      </c>
      <c r="T13" s="21" t="s">
        <v>172</v>
      </c>
      <c r="U13" s="21" t="s">
        <v>172</v>
      </c>
      <c r="V13" s="21" t="s">
        <v>172</v>
      </c>
      <c r="W13" s="18" t="s">
        <v>118</v>
      </c>
    </row>
    <row r="14" spans="1:23" ht="25.5" x14ac:dyDescent="0.2">
      <c r="A14" s="13" t="s">
        <v>16</v>
      </c>
      <c r="B14" s="20">
        <v>20</v>
      </c>
      <c r="C14" s="21">
        <v>0.24096385542168677</v>
      </c>
      <c r="D14" s="21">
        <v>2.2830188679245285</v>
      </c>
      <c r="E14" s="21">
        <v>1.5178</v>
      </c>
      <c r="F14" s="21">
        <v>2.7948113207547172</v>
      </c>
      <c r="G14" s="61">
        <v>4.5243542168674704</v>
      </c>
      <c r="H14" s="61">
        <v>6.1365254538981855</v>
      </c>
      <c r="I14" s="61" t="s">
        <v>172</v>
      </c>
      <c r="J14" s="61">
        <v>0.45476464167457603</v>
      </c>
      <c r="K14" s="61" t="s">
        <v>172</v>
      </c>
      <c r="L14" s="61">
        <v>0.17258295015594322</v>
      </c>
      <c r="M14" s="21" t="s">
        <v>172</v>
      </c>
      <c r="N14" s="21">
        <v>0.90034565752376028</v>
      </c>
      <c r="O14" s="21">
        <v>0.24096385542168677</v>
      </c>
      <c r="P14" s="21">
        <v>3.3066037735849054</v>
      </c>
      <c r="Q14" s="21">
        <v>1.5178</v>
      </c>
      <c r="R14" s="21">
        <v>1.7712264150943395</v>
      </c>
      <c r="S14" s="21" t="s">
        <v>172</v>
      </c>
      <c r="T14" s="21">
        <v>0.10104554229537392</v>
      </c>
      <c r="U14" s="21" t="s">
        <v>172</v>
      </c>
      <c r="V14" s="21">
        <v>0.52630204953514526</v>
      </c>
      <c r="W14" s="18" t="s">
        <v>119</v>
      </c>
    </row>
    <row r="15" spans="1:23" ht="25.5" x14ac:dyDescent="0.2">
      <c r="A15" s="13" t="s">
        <v>17</v>
      </c>
      <c r="B15" s="57">
        <v>21</v>
      </c>
      <c r="C15" s="21">
        <v>3.0927835051546393</v>
      </c>
      <c r="D15" s="21">
        <v>2.7522935779816518</v>
      </c>
      <c r="E15" s="21">
        <v>1.0309278350515463</v>
      </c>
      <c r="F15" s="21">
        <v>0.9</v>
      </c>
      <c r="G15" s="61">
        <v>3.0927835051546393</v>
      </c>
      <c r="H15" s="61">
        <v>2.7522935779816518</v>
      </c>
      <c r="I15" s="61">
        <v>0.4</v>
      </c>
      <c r="J15" s="61" t="s">
        <v>172</v>
      </c>
      <c r="K15" s="61">
        <v>1E-3</v>
      </c>
      <c r="L15" s="61" t="s">
        <v>172</v>
      </c>
      <c r="M15" s="21">
        <v>1.1000000000000001</v>
      </c>
      <c r="N15" s="21" t="s">
        <v>172</v>
      </c>
      <c r="O15" s="21">
        <v>3.0927835051546393</v>
      </c>
      <c r="P15" s="21">
        <v>2.7522935779816518</v>
      </c>
      <c r="Q15" s="21">
        <v>1.0309278350515463</v>
      </c>
      <c r="R15" s="21">
        <v>2.8440366972477067</v>
      </c>
      <c r="S15" s="21">
        <v>0.4</v>
      </c>
      <c r="T15" s="21" t="s">
        <v>172</v>
      </c>
      <c r="U15" s="21">
        <v>1.1000000000000001</v>
      </c>
      <c r="V15" s="21" t="s">
        <v>172</v>
      </c>
      <c r="W15" s="18" t="s">
        <v>120</v>
      </c>
    </row>
    <row r="16" spans="1:23" ht="38.25" x14ac:dyDescent="0.2">
      <c r="A16" s="13" t="s">
        <v>18</v>
      </c>
      <c r="B16" s="20" t="s">
        <v>19</v>
      </c>
      <c r="C16" s="21">
        <v>3.4575</v>
      </c>
      <c r="D16" s="21">
        <v>3.2362746161486609</v>
      </c>
      <c r="E16" s="21">
        <v>3.4251657458563538</v>
      </c>
      <c r="F16" s="21">
        <v>1.5502766026684021</v>
      </c>
      <c r="G16" s="61">
        <v>1.0883977900552486</v>
      </c>
      <c r="H16" s="61">
        <v>1.1746839966054761</v>
      </c>
      <c r="I16" s="61">
        <v>0.46432734206051218</v>
      </c>
      <c r="J16" s="61">
        <v>0.58754691020502103</v>
      </c>
      <c r="K16" s="61">
        <v>0.31360441065505196</v>
      </c>
      <c r="L16" s="61">
        <v>2.9536645366549899E-3</v>
      </c>
      <c r="M16" s="21">
        <v>0.67571933568783293</v>
      </c>
      <c r="N16" s="21">
        <v>0.41603628200125337</v>
      </c>
      <c r="O16" s="21">
        <v>4.2902486187845303</v>
      </c>
      <c r="P16" s="21">
        <v>2.92064342821411</v>
      </c>
      <c r="Q16" s="21">
        <v>3.0643232044198898</v>
      </c>
      <c r="R16" s="21">
        <v>2.57310031073933</v>
      </c>
      <c r="S16" s="21">
        <v>0.60122120671273149</v>
      </c>
      <c r="T16" s="21">
        <v>0.41422108933098811</v>
      </c>
      <c r="U16" s="21">
        <v>0.17671054600283262</v>
      </c>
      <c r="V16" s="21">
        <v>0.17627948541068783</v>
      </c>
      <c r="W16" s="18" t="s">
        <v>20</v>
      </c>
    </row>
    <row r="17" spans="1:23" ht="38.25" x14ac:dyDescent="0.2">
      <c r="A17" s="19" t="s">
        <v>21</v>
      </c>
      <c r="B17" s="14" t="s">
        <v>22</v>
      </c>
      <c r="C17" s="21">
        <v>3.9837830687830684</v>
      </c>
      <c r="D17" s="21">
        <v>4.8681145734970093</v>
      </c>
      <c r="E17" s="21">
        <v>3.9401851851851855</v>
      </c>
      <c r="F17" s="21">
        <v>2.6754800125904943</v>
      </c>
      <c r="G17" s="62">
        <v>1.4117107583774251</v>
      </c>
      <c r="H17" s="62">
        <v>1.4353163361661945</v>
      </c>
      <c r="I17" s="61">
        <v>0.19117398958208781</v>
      </c>
      <c r="J17" s="61">
        <v>0.18281338099198999</v>
      </c>
      <c r="K17" s="61">
        <v>3.0296630993012219E-2</v>
      </c>
      <c r="L17" s="61">
        <v>1.6339579332766092E-2</v>
      </c>
      <c r="M17" s="21">
        <v>0.20282751803307519</v>
      </c>
      <c r="N17" s="21">
        <v>0.11655341082088891</v>
      </c>
      <c r="O17" s="21">
        <v>4.6992416225749558</v>
      </c>
      <c r="P17" s="21">
        <v>4.484104501101668</v>
      </c>
      <c r="Q17" s="21">
        <v>3.2135626102292774</v>
      </c>
      <c r="R17" s="21">
        <v>4.2008183821214979</v>
      </c>
      <c r="S17" s="21">
        <v>5.2115518303423744E-2</v>
      </c>
      <c r="T17" s="21">
        <v>4.0953198761071001E-2</v>
      </c>
      <c r="U17" s="21">
        <v>0.1693551022716763</v>
      </c>
      <c r="V17" s="21">
        <v>0.15819976156368501</v>
      </c>
      <c r="W17" s="18" t="s">
        <v>121</v>
      </c>
    </row>
    <row r="18" spans="1:23" ht="38.25" x14ac:dyDescent="0.2">
      <c r="A18" s="13" t="s">
        <v>23</v>
      </c>
      <c r="B18" s="14" t="s">
        <v>24</v>
      </c>
      <c r="C18" s="21">
        <v>4.0346926437216348</v>
      </c>
      <c r="D18" s="21">
        <v>4.5938705358035046</v>
      </c>
      <c r="E18" s="21">
        <v>3.1483927193645989</v>
      </c>
      <c r="F18" s="21">
        <v>2.7100545596258763</v>
      </c>
      <c r="G18" s="62">
        <v>1.0241548600605144</v>
      </c>
      <c r="H18" s="62">
        <v>1.4850803508851727</v>
      </c>
      <c r="I18" s="61">
        <v>1.3501583786408828</v>
      </c>
      <c r="J18" s="61">
        <v>1.3616547873033114</v>
      </c>
      <c r="K18" s="61">
        <v>0.3825101885883101</v>
      </c>
      <c r="L18" s="61">
        <v>0.11654062750896428</v>
      </c>
      <c r="M18" s="21">
        <v>2.3896085781604572</v>
      </c>
      <c r="N18" s="21">
        <v>1.7499789772403598</v>
      </c>
      <c r="O18" s="21">
        <v>3.8010262670196671</v>
      </c>
      <c r="P18" s="21">
        <v>4.223604532645842</v>
      </c>
      <c r="Q18" s="21">
        <v>4.503660930408472</v>
      </c>
      <c r="R18" s="21">
        <v>3.4293722645242517</v>
      </c>
      <c r="S18" s="21">
        <v>0.82872915922381585</v>
      </c>
      <c r="T18" s="21">
        <v>0.43703117656040136</v>
      </c>
      <c r="U18" s="21">
        <v>0.90393940800537698</v>
      </c>
      <c r="V18" s="21">
        <v>1.0411642382518742</v>
      </c>
      <c r="W18" s="18" t="s">
        <v>112</v>
      </c>
    </row>
    <row r="19" spans="1:23" ht="25.5" x14ac:dyDescent="0.2">
      <c r="A19" s="13" t="s">
        <v>25</v>
      </c>
      <c r="B19" s="20">
        <v>26</v>
      </c>
      <c r="C19" s="21">
        <v>5.4890109890109891</v>
      </c>
      <c r="D19" s="21">
        <v>5.3299492385786804</v>
      </c>
      <c r="E19" s="21">
        <v>3.7142857142857144</v>
      </c>
      <c r="F19" s="21">
        <v>1.7766497461928936</v>
      </c>
      <c r="G19" s="61">
        <v>1.2362637362637363</v>
      </c>
      <c r="H19" s="61">
        <v>0.50761421319796951</v>
      </c>
      <c r="I19" s="61">
        <v>2.0263068982384271</v>
      </c>
      <c r="J19" s="61">
        <v>1.8770243554492281</v>
      </c>
      <c r="K19" s="61">
        <v>7.241792117663555E-2</v>
      </c>
      <c r="L19" s="61">
        <v>2.3272131506160715E-2</v>
      </c>
      <c r="M19" s="21">
        <v>1.1883566736782358</v>
      </c>
      <c r="N19" s="21">
        <v>3.9703492681496443E-2</v>
      </c>
      <c r="O19" s="21">
        <v>6.7307692307692308</v>
      </c>
      <c r="P19" s="21">
        <v>7.1065989847715745</v>
      </c>
      <c r="Q19" s="21">
        <v>4.2527472527472527</v>
      </c>
      <c r="R19" s="21">
        <v>5.3299492385786804</v>
      </c>
      <c r="S19" s="21">
        <v>0.45900475882396469</v>
      </c>
      <c r="T19" s="21">
        <v>0.99094688950508336</v>
      </c>
      <c r="U19" s="21">
        <v>1.6397200605910978</v>
      </c>
      <c r="V19" s="21">
        <v>0.90934959745030541</v>
      </c>
      <c r="W19" s="18" t="s">
        <v>26</v>
      </c>
    </row>
    <row r="20" spans="1:23" x14ac:dyDescent="0.2">
      <c r="A20" s="13" t="s">
        <v>27</v>
      </c>
      <c r="B20" s="20">
        <v>27</v>
      </c>
      <c r="C20" s="21">
        <v>4.1601694915254237</v>
      </c>
      <c r="D20" s="21">
        <v>3.414880201765448</v>
      </c>
      <c r="E20" s="21">
        <v>4.1601694915254237</v>
      </c>
      <c r="F20" s="21">
        <v>1.871374527112232</v>
      </c>
      <c r="G20" s="61">
        <v>0.67796610169491522</v>
      </c>
      <c r="H20" s="61">
        <v>0.65573770491803274</v>
      </c>
      <c r="I20" s="61">
        <v>0.66163899779330382</v>
      </c>
      <c r="J20" s="61">
        <v>0.8961613831588271</v>
      </c>
      <c r="K20" s="61">
        <v>0.30317252642061088</v>
      </c>
      <c r="L20" s="61">
        <v>2.0789224674479738E-2</v>
      </c>
      <c r="M20" s="21">
        <v>0.91109947660662682</v>
      </c>
      <c r="N20" s="21">
        <v>0.72733422852951124</v>
      </c>
      <c r="O20" s="21">
        <v>4.1601694915254237</v>
      </c>
      <c r="P20" s="21">
        <v>3.414880201765448</v>
      </c>
      <c r="Q20" s="21">
        <v>4.1601694915254237</v>
      </c>
      <c r="R20" s="21">
        <v>1.871374527112232</v>
      </c>
      <c r="S20" s="61">
        <v>0.47254519332095907</v>
      </c>
      <c r="T20" s="61">
        <v>1.9406389926262396E-2</v>
      </c>
      <c r="U20" s="61">
        <v>0.49226633089295552</v>
      </c>
      <c r="V20" s="61">
        <v>0.89754421790704431</v>
      </c>
      <c r="W20" s="18" t="s">
        <v>28</v>
      </c>
    </row>
    <row r="21" spans="1:23" ht="25.5" x14ac:dyDescent="0.2">
      <c r="A21" s="13" t="s">
        <v>29</v>
      </c>
      <c r="B21" s="20">
        <v>28</v>
      </c>
      <c r="C21" s="21">
        <v>3.9385733333333333</v>
      </c>
      <c r="D21" s="21">
        <v>3.7122958693563879</v>
      </c>
      <c r="E21" s="21">
        <v>1.8989866666666668</v>
      </c>
      <c r="F21" s="21">
        <v>2.2853025936599423</v>
      </c>
      <c r="G21" s="61">
        <v>0.56265333333333334</v>
      </c>
      <c r="H21" s="61">
        <v>0.57636887608069165</v>
      </c>
      <c r="I21" s="61">
        <v>0.59210605521781035</v>
      </c>
      <c r="J21" s="61">
        <v>0.82548962117735458</v>
      </c>
      <c r="K21" s="61">
        <v>0.48835344892468158</v>
      </c>
      <c r="L21" s="61">
        <v>0.27935385335275104</v>
      </c>
      <c r="M21" s="21" t="s">
        <v>107</v>
      </c>
      <c r="N21" s="21">
        <v>2.0174912444501382E-3</v>
      </c>
      <c r="O21" s="21">
        <v>2.4616400000000001</v>
      </c>
      <c r="P21" s="21">
        <v>2.9985590778097979</v>
      </c>
      <c r="Q21" s="21">
        <v>4.712253333333333</v>
      </c>
      <c r="R21" s="21">
        <v>2.429394812680115</v>
      </c>
      <c r="S21" s="61">
        <v>0.29555343069883616</v>
      </c>
      <c r="T21" s="61">
        <v>0.36821420713632991</v>
      </c>
      <c r="U21" s="61">
        <v>0.78490607344365582</v>
      </c>
      <c r="V21" s="61">
        <v>0.73662926739377577</v>
      </c>
      <c r="W21" s="18" t="s">
        <v>122</v>
      </c>
    </row>
    <row r="22" spans="1:23" ht="38.25" x14ac:dyDescent="0.2">
      <c r="A22" s="13" t="s">
        <v>30</v>
      </c>
      <c r="B22" s="20" t="s">
        <v>31</v>
      </c>
      <c r="C22" s="21">
        <v>5.1701830508474576</v>
      </c>
      <c r="D22" s="21">
        <v>6.7529411764705882</v>
      </c>
      <c r="E22" s="21">
        <v>1.8467932203389832</v>
      </c>
      <c r="F22" s="21" t="s">
        <v>107</v>
      </c>
      <c r="G22" s="61">
        <v>2.2044338983050844</v>
      </c>
      <c r="H22" s="61">
        <v>1.1764705882352942</v>
      </c>
      <c r="I22" s="61">
        <v>2.4960236648642575</v>
      </c>
      <c r="J22" s="61">
        <v>2.115839900037221</v>
      </c>
      <c r="K22" s="61">
        <v>0.49614933975405823</v>
      </c>
      <c r="L22" s="61">
        <v>0</v>
      </c>
      <c r="M22" s="21">
        <v>5.8526357625503405</v>
      </c>
      <c r="N22" s="21">
        <v>3.6234354593959859</v>
      </c>
      <c r="O22" s="21">
        <v>3.2916474576271191</v>
      </c>
      <c r="P22" s="21">
        <v>5.9686274509803923</v>
      </c>
      <c r="Q22" s="21">
        <v>5.1850101694915258</v>
      </c>
      <c r="R22" s="21">
        <v>3.0392156862745097</v>
      </c>
      <c r="S22" s="61">
        <v>1.5528770246061046</v>
      </c>
      <c r="T22" s="61">
        <v>0.55555987869522183</v>
      </c>
      <c r="U22" s="61">
        <v>1.4392959800122114</v>
      </c>
      <c r="V22" s="61">
        <v>1.5602800213419994</v>
      </c>
      <c r="W22" s="18" t="s">
        <v>123</v>
      </c>
    </row>
    <row r="23" spans="1:23" ht="38.25" x14ac:dyDescent="0.2">
      <c r="A23" s="13" t="s">
        <v>32</v>
      </c>
      <c r="B23" s="20" t="s">
        <v>33</v>
      </c>
      <c r="C23" s="21">
        <v>3.6133650719729045</v>
      </c>
      <c r="D23" s="21">
        <v>4.8412556053811659</v>
      </c>
      <c r="E23" s="21">
        <v>3.8619958933107537</v>
      </c>
      <c r="F23" s="21">
        <v>3.9885477750948599</v>
      </c>
      <c r="G23" s="61">
        <v>1.1351643099068587</v>
      </c>
      <c r="H23" s="61">
        <v>2.5208216864317068</v>
      </c>
      <c r="I23" s="61">
        <v>0.53126226413233291</v>
      </c>
      <c r="J23" s="61">
        <v>0.55823375593339031</v>
      </c>
      <c r="K23" s="61">
        <v>0.26419263970572809</v>
      </c>
      <c r="L23" s="61">
        <v>0.26655224524498583</v>
      </c>
      <c r="M23" s="21">
        <v>0.62455361200332826</v>
      </c>
      <c r="N23" s="21">
        <v>1.1661420096408917</v>
      </c>
      <c r="O23" s="21">
        <v>4.2121969940728201</v>
      </c>
      <c r="P23" s="21">
        <v>4.2988616764401515</v>
      </c>
      <c r="Q23" s="21">
        <v>4.359506435224386</v>
      </c>
      <c r="R23" s="21">
        <v>4.231390134529148</v>
      </c>
      <c r="S23" s="61">
        <v>0.54361480781772853</v>
      </c>
      <c r="T23" s="61">
        <v>0.28682779867093533</v>
      </c>
      <c r="U23" s="61">
        <v>0.25184009602033236</v>
      </c>
      <c r="V23" s="61">
        <v>0.53795820250744109</v>
      </c>
      <c r="W23" s="18" t="s">
        <v>124</v>
      </c>
    </row>
    <row r="24" spans="1:23" ht="38.25" x14ac:dyDescent="0.2">
      <c r="A24" s="13" t="s">
        <v>34</v>
      </c>
      <c r="B24" s="20" t="s">
        <v>35</v>
      </c>
      <c r="C24" s="21">
        <v>0.75968992248062017</v>
      </c>
      <c r="D24" s="21">
        <v>0.84716653732203984</v>
      </c>
      <c r="E24" s="21">
        <v>0.70431893687707647</v>
      </c>
      <c r="F24" s="21">
        <v>0.17411491584445735</v>
      </c>
      <c r="G24" s="61" t="s">
        <v>172</v>
      </c>
      <c r="H24" s="61" t="s">
        <v>172</v>
      </c>
      <c r="I24" s="61" t="s">
        <v>172</v>
      </c>
      <c r="J24" s="61" t="s">
        <v>172</v>
      </c>
      <c r="K24" s="61" t="s">
        <v>172</v>
      </c>
      <c r="L24" s="61" t="s">
        <v>172</v>
      </c>
      <c r="M24" s="21" t="s">
        <v>107</v>
      </c>
      <c r="N24" s="21">
        <v>9.5745365713181679E-3</v>
      </c>
      <c r="O24" s="21">
        <v>1.0841638981173862</v>
      </c>
      <c r="P24" s="21">
        <v>0.57565400571784786</v>
      </c>
      <c r="Q24" s="21">
        <v>0.82558139534883723</v>
      </c>
      <c r="R24" s="21">
        <v>0.67778066857459252</v>
      </c>
      <c r="S24" s="61" t="s">
        <v>172</v>
      </c>
      <c r="T24" s="61" t="s">
        <v>172</v>
      </c>
      <c r="U24" s="61" t="s">
        <v>172</v>
      </c>
      <c r="V24" s="61" t="s">
        <v>172</v>
      </c>
      <c r="W24" s="18" t="s">
        <v>36</v>
      </c>
    </row>
    <row r="25" spans="1:23" ht="25.5" x14ac:dyDescent="0.2">
      <c r="A25" s="13" t="s">
        <v>37</v>
      </c>
      <c r="B25" s="14" t="s">
        <v>38</v>
      </c>
      <c r="C25" s="21">
        <v>1.1211699164345406</v>
      </c>
      <c r="D25" s="21">
        <v>1.2404059135630763</v>
      </c>
      <c r="E25" s="21">
        <v>1.7715877437325906</v>
      </c>
      <c r="F25" s="21">
        <v>0.41724617524339358</v>
      </c>
      <c r="G25" s="61" t="s">
        <v>172</v>
      </c>
      <c r="H25" s="61" t="s">
        <v>172</v>
      </c>
      <c r="I25" s="61" t="s">
        <v>172</v>
      </c>
      <c r="J25" s="61" t="s">
        <v>172</v>
      </c>
      <c r="K25" s="61" t="s">
        <v>172</v>
      </c>
      <c r="L25" s="61" t="s">
        <v>172</v>
      </c>
      <c r="M25" s="21" t="s">
        <v>107</v>
      </c>
      <c r="N25" s="21">
        <v>9.8155746449434672E-3</v>
      </c>
      <c r="O25" s="21">
        <v>1.9373259052924789</v>
      </c>
      <c r="P25" s="21">
        <v>1.2404059135630763</v>
      </c>
      <c r="Q25" s="21">
        <v>2.0766016713091919</v>
      </c>
      <c r="R25" s="21">
        <v>0.83449235048678716</v>
      </c>
      <c r="S25" s="61" t="s">
        <v>172</v>
      </c>
      <c r="T25" s="61" t="s">
        <v>172</v>
      </c>
      <c r="U25" s="61" t="s">
        <v>172</v>
      </c>
      <c r="V25" s="61" t="s">
        <v>172</v>
      </c>
      <c r="W25" s="18" t="s">
        <v>39</v>
      </c>
    </row>
    <row r="26" spans="1:23" ht="25.5" x14ac:dyDescent="0.2">
      <c r="A26" s="13" t="s">
        <v>40</v>
      </c>
      <c r="B26" s="14" t="s">
        <v>41</v>
      </c>
      <c r="C26" s="21">
        <v>0.52113970588235292</v>
      </c>
      <c r="D26" s="21">
        <v>0.56555387644823008</v>
      </c>
      <c r="E26" s="21" t="s">
        <v>107</v>
      </c>
      <c r="F26" s="21">
        <v>0</v>
      </c>
      <c r="G26" s="61" t="s">
        <v>107</v>
      </c>
      <c r="H26" s="61">
        <v>9.9601593625498003E-2</v>
      </c>
      <c r="I26" s="61">
        <v>5.6649139250511946E-2</v>
      </c>
      <c r="J26" s="61">
        <v>5.7617937275304447E-2</v>
      </c>
      <c r="K26" s="61" t="s">
        <v>107</v>
      </c>
      <c r="L26" s="61" t="s">
        <v>107</v>
      </c>
      <c r="M26" s="21" t="s">
        <v>107</v>
      </c>
      <c r="N26" s="21">
        <v>2.4766472135728233E-3</v>
      </c>
      <c r="O26" s="21">
        <v>0.52113970588235292</v>
      </c>
      <c r="P26" s="21">
        <v>9.9601593625498003E-2</v>
      </c>
      <c r="Q26" s="21" t="s">
        <v>107</v>
      </c>
      <c r="R26" s="21">
        <v>0.56555387644823008</v>
      </c>
      <c r="S26" s="61">
        <v>5.6649139250511946E-2</v>
      </c>
      <c r="T26" s="61">
        <v>2.0432339511975792E-3</v>
      </c>
      <c r="U26" s="61" t="s">
        <v>107</v>
      </c>
      <c r="V26" s="61">
        <v>5.5574703324106862E-2</v>
      </c>
      <c r="W26" s="18" t="s">
        <v>42</v>
      </c>
    </row>
    <row r="27" spans="1:23" x14ac:dyDescent="0.2">
      <c r="A27" s="13" t="s">
        <v>43</v>
      </c>
      <c r="B27" s="14" t="s">
        <v>44</v>
      </c>
      <c r="C27" s="21">
        <v>1.5569312921890071</v>
      </c>
      <c r="D27" s="21">
        <v>0.84378193391010403</v>
      </c>
      <c r="E27" s="21">
        <v>0.9336082449373192</v>
      </c>
      <c r="F27" s="21">
        <v>0.40825584287542294</v>
      </c>
      <c r="G27" s="61" t="s">
        <v>107</v>
      </c>
      <c r="H27" s="61">
        <v>0.67868080923712226</v>
      </c>
      <c r="I27" s="61">
        <v>0.32225405234803745</v>
      </c>
      <c r="J27" s="61">
        <v>7.8938850351745415E-2</v>
      </c>
      <c r="K27" s="61">
        <v>2.916876692456075E-2</v>
      </c>
      <c r="L27" s="61">
        <v>3.0653665684417658E-2</v>
      </c>
      <c r="M27" s="21" t="s">
        <v>107</v>
      </c>
      <c r="N27" s="21">
        <v>5.7445510924760766E-2</v>
      </c>
      <c r="O27" s="21">
        <v>0.78084329797492769</v>
      </c>
      <c r="P27" s="21">
        <v>0.84378193391010403</v>
      </c>
      <c r="Q27" s="21">
        <v>1.2452697685631631</v>
      </c>
      <c r="R27" s="21">
        <v>0.67999000590355918</v>
      </c>
      <c r="S27" s="61">
        <v>4.5648362739256626E-2</v>
      </c>
      <c r="T27" s="61">
        <v>5.7182257229328813E-2</v>
      </c>
      <c r="U27" s="61">
        <v>0.30577445653334157</v>
      </c>
      <c r="V27" s="61">
        <v>5.2410258806834253E-2</v>
      </c>
      <c r="W27" s="18" t="s">
        <v>45</v>
      </c>
    </row>
    <row r="28" spans="1:23" ht="25.5" x14ac:dyDescent="0.2">
      <c r="A28" s="13" t="s">
        <v>46</v>
      </c>
      <c r="B28" s="14" t="s">
        <v>47</v>
      </c>
      <c r="C28" s="21">
        <v>6.9479993595907956</v>
      </c>
      <c r="D28" s="21">
        <v>7.485543244279631</v>
      </c>
      <c r="E28" s="21">
        <v>4.2352549790281335</v>
      </c>
      <c r="F28" s="21">
        <v>4.461984517356985</v>
      </c>
      <c r="G28" s="62">
        <v>2.9340921534526854</v>
      </c>
      <c r="H28" s="62">
        <v>4.0855431421700246</v>
      </c>
      <c r="I28" s="61">
        <v>3.2724032034946253</v>
      </c>
      <c r="J28" s="61">
        <v>3.7843240659540576</v>
      </c>
      <c r="K28" s="61">
        <v>1.0395294170037004</v>
      </c>
      <c r="L28" s="61">
        <v>0.90616491902127172</v>
      </c>
      <c r="M28" s="21">
        <v>2.6013490720311965</v>
      </c>
      <c r="N28" s="21">
        <v>2.5211793539849991</v>
      </c>
      <c r="O28" s="21">
        <v>6.5381300946291576</v>
      </c>
      <c r="P28" s="21">
        <v>8.3055838713331163</v>
      </c>
      <c r="Q28" s="21">
        <v>5.0313983314578019</v>
      </c>
      <c r="R28" s="21">
        <v>5.3018304795271076</v>
      </c>
      <c r="S28" s="61">
        <v>2.2174056384760967</v>
      </c>
      <c r="T28" s="61">
        <v>2.3757643867359439</v>
      </c>
      <c r="U28" s="61">
        <v>2.0945269820222285</v>
      </c>
      <c r="V28" s="61">
        <v>2.3147245982393838</v>
      </c>
      <c r="W28" s="18" t="s">
        <v>48</v>
      </c>
    </row>
    <row r="29" spans="1:23" ht="38.25" x14ac:dyDescent="0.2">
      <c r="A29" s="13" t="s">
        <v>49</v>
      </c>
      <c r="B29" s="20">
        <v>45</v>
      </c>
      <c r="C29" s="21">
        <v>6.5146860792079222</v>
      </c>
      <c r="D29" s="21">
        <v>7.6315789473684186</v>
      </c>
      <c r="E29" s="21">
        <v>3.0593232376237616</v>
      </c>
      <c r="F29" s="21">
        <v>5.3999999999999995</v>
      </c>
      <c r="G29" s="61">
        <v>0.47070990099009902</v>
      </c>
      <c r="H29" s="61">
        <v>1.1494736842105262</v>
      </c>
      <c r="I29" s="61">
        <v>6.8634865268959429</v>
      </c>
      <c r="J29" s="61">
        <v>4.9863790791361469</v>
      </c>
      <c r="K29" s="61">
        <v>9.8620843763653349E-2</v>
      </c>
      <c r="L29" s="61">
        <v>0.25778264061957734</v>
      </c>
      <c r="M29" s="21">
        <v>9.6490922905987098E-2</v>
      </c>
      <c r="N29" s="21">
        <v>0.21798370737870276</v>
      </c>
      <c r="O29" s="21">
        <v>7.2019377970297045</v>
      </c>
      <c r="P29" s="21">
        <v>9.0947368421052595</v>
      </c>
      <c r="Q29" s="21">
        <v>5.2015662772277222</v>
      </c>
      <c r="R29" s="21">
        <v>6.5157894736842099</v>
      </c>
      <c r="S29" s="21">
        <v>5.0194360035743619</v>
      </c>
      <c r="T29" s="21">
        <v>3.9173491828223788</v>
      </c>
      <c r="U29" s="21">
        <v>1.9426713670852322</v>
      </c>
      <c r="V29" s="21">
        <v>1.3268125369333443</v>
      </c>
      <c r="W29" s="18" t="s">
        <v>125</v>
      </c>
    </row>
    <row r="30" spans="1:23" ht="38.25" x14ac:dyDescent="0.2">
      <c r="A30" s="13" t="s">
        <v>50</v>
      </c>
      <c r="B30" s="20">
        <v>46</v>
      </c>
      <c r="C30" s="21">
        <v>7.1142985289702834</v>
      </c>
      <c r="D30" s="21">
        <v>7.4457282265603553</v>
      </c>
      <c r="E30" s="21">
        <v>4.5680914064845402</v>
      </c>
      <c r="F30" s="21">
        <v>4.4434091939282467</v>
      </c>
      <c r="G30" s="61">
        <v>4.1464313719603716</v>
      </c>
      <c r="H30" s="61">
        <v>5.0840666559912444</v>
      </c>
      <c r="I30" s="61">
        <v>3.1748657275913437</v>
      </c>
      <c r="J30" s="61">
        <v>3.920787158848654</v>
      </c>
      <c r="K30" s="61">
        <v>1.251255455899652</v>
      </c>
      <c r="L30" s="61">
        <v>1.0355056032657213</v>
      </c>
      <c r="M30" s="21">
        <v>3.8783794926305202</v>
      </c>
      <c r="N30" s="21">
        <v>3.3298782086172625</v>
      </c>
      <c r="O30" s="21">
        <v>6.0795485589912959</v>
      </c>
      <c r="P30" s="21">
        <v>7.6809673678979742</v>
      </c>
      <c r="Q30" s="21">
        <v>5.8155726133293335</v>
      </c>
      <c r="R30" s="21">
        <v>5.857190873570457</v>
      </c>
      <c r="S30" s="21">
        <v>1.5879551105784226</v>
      </c>
      <c r="T30" s="21">
        <v>1.6567487807551957</v>
      </c>
      <c r="U30" s="21">
        <v>2.8381660729125717</v>
      </c>
      <c r="V30" s="21">
        <v>3.2995439813591778</v>
      </c>
      <c r="W30" s="18" t="s">
        <v>51</v>
      </c>
    </row>
    <row r="31" spans="1:23" ht="38.25" x14ac:dyDescent="0.2">
      <c r="A31" s="13" t="s">
        <v>52</v>
      </c>
      <c r="B31" s="20">
        <v>47</v>
      </c>
      <c r="C31" s="21">
        <v>6.6292933903946718</v>
      </c>
      <c r="D31" s="21">
        <v>7.5407166123778486</v>
      </c>
      <c r="E31" s="21">
        <v>3.7456376604850212</v>
      </c>
      <c r="F31" s="21">
        <v>4.0390879478827344</v>
      </c>
      <c r="G31" s="61">
        <v>0.27665620542082742</v>
      </c>
      <c r="H31" s="61">
        <v>2.3272258414766598</v>
      </c>
      <c r="I31" s="61">
        <v>2.736090644561306</v>
      </c>
      <c r="J31" s="61">
        <v>3.1060092986901893</v>
      </c>
      <c r="K31" s="61">
        <v>0.73308631263506829</v>
      </c>
      <c r="L31" s="61">
        <v>0.80126886958864985</v>
      </c>
      <c r="M31" s="21">
        <v>7.2837544819516056E-2</v>
      </c>
      <c r="N31" s="21">
        <v>1.3384104634546337</v>
      </c>
      <c r="O31" s="21">
        <v>7.6720456490727544</v>
      </c>
      <c r="P31" s="21">
        <v>9.9457111834962078</v>
      </c>
      <c r="Q31" s="21">
        <v>2.4655216357584404</v>
      </c>
      <c r="R31" s="21">
        <v>2.8555917480998909</v>
      </c>
      <c r="S31" s="21">
        <v>3.1274242364452141</v>
      </c>
      <c r="T31" s="21">
        <v>3.5797065497864224</v>
      </c>
      <c r="U31" s="21">
        <v>0.34175272075116092</v>
      </c>
      <c r="V31" s="21">
        <v>0.32757161849241806</v>
      </c>
      <c r="W31" s="18" t="s">
        <v>53</v>
      </c>
    </row>
    <row r="32" spans="1:23" s="64" customFormat="1" ht="25.5" x14ac:dyDescent="0.2">
      <c r="A32" s="59" t="s">
        <v>54</v>
      </c>
      <c r="B32" s="60" t="s">
        <v>55</v>
      </c>
      <c r="C32" s="61">
        <v>2.9212459594475466</v>
      </c>
      <c r="D32" s="61">
        <v>2.9655791679137984</v>
      </c>
      <c r="E32" s="61">
        <v>1.7478695268880395</v>
      </c>
      <c r="F32" s="61">
        <v>2.2505237952708774</v>
      </c>
      <c r="G32" s="62">
        <v>0.49955921245959445</v>
      </c>
      <c r="H32" s="62">
        <v>1.1856484778376442</v>
      </c>
      <c r="I32" s="61">
        <v>23.31229362834662</v>
      </c>
      <c r="J32" s="61">
        <v>17.802048736686352</v>
      </c>
      <c r="K32" s="61">
        <v>0.18390786059152733</v>
      </c>
      <c r="L32" s="61">
        <v>0.58998196320914886</v>
      </c>
      <c r="M32" s="61">
        <v>2.2999999999999998</v>
      </c>
      <c r="N32" s="61">
        <v>0.73211719393376207</v>
      </c>
      <c r="O32" s="61">
        <v>2.2650602409638556</v>
      </c>
      <c r="P32" s="61">
        <v>2.62855432505238</v>
      </c>
      <c r="Q32" s="61">
        <v>2.688216279753159</v>
      </c>
      <c r="R32" s="61">
        <v>3.3813229571984431</v>
      </c>
      <c r="S32" s="61">
        <v>11.477824388313147</v>
      </c>
      <c r="T32" s="61">
        <v>11.373790455803924</v>
      </c>
      <c r="U32" s="61">
        <v>12.018377100625001</v>
      </c>
      <c r="V32" s="61">
        <v>7.0182402440915697</v>
      </c>
      <c r="W32" s="63" t="s">
        <v>56</v>
      </c>
    </row>
    <row r="33" spans="1:23" ht="25.5" x14ac:dyDescent="0.2">
      <c r="A33" s="13" t="s">
        <v>57</v>
      </c>
      <c r="B33" s="14" t="s">
        <v>58</v>
      </c>
      <c r="C33" s="21">
        <v>8.6670062790697706</v>
      </c>
      <c r="D33" s="21">
        <v>11.258579684942717</v>
      </c>
      <c r="E33" s="21">
        <v>8.4681260465116335</v>
      </c>
      <c r="F33" s="21">
        <v>9.2102981792144014</v>
      </c>
      <c r="G33" s="62">
        <v>0.67990558139534885</v>
      </c>
      <c r="H33" s="62">
        <v>2.5269793371522096</v>
      </c>
      <c r="I33" s="61">
        <v>7.5072362418784895</v>
      </c>
      <c r="J33" s="61">
        <v>3.3394222706161525</v>
      </c>
      <c r="K33" s="61">
        <v>5.4206319133125414</v>
      </c>
      <c r="L33" s="61">
        <v>3.9331633813767386</v>
      </c>
      <c r="M33" s="21">
        <v>0.22848537970331712</v>
      </c>
      <c r="N33" s="21">
        <v>0.31313916585250978</v>
      </c>
      <c r="O33" s="21">
        <v>10.50789790697675</v>
      </c>
      <c r="P33" s="21">
        <v>12.794177066284778</v>
      </c>
      <c r="Q33" s="21">
        <v>5.4916804651162794</v>
      </c>
      <c r="R33" s="21">
        <v>8.0188088175122747</v>
      </c>
      <c r="S33" s="21">
        <v>10.12246243704819</v>
      </c>
      <c r="T33" s="21">
        <v>4.7021670118081671</v>
      </c>
      <c r="U33" s="21">
        <v>2.8054057181428416</v>
      </c>
      <c r="V33" s="21">
        <v>2.5704186401847235</v>
      </c>
      <c r="W33" s="18" t="s">
        <v>59</v>
      </c>
    </row>
    <row r="34" spans="1:23" x14ac:dyDescent="0.2">
      <c r="A34" s="13" t="s">
        <v>60</v>
      </c>
      <c r="B34" s="20">
        <v>55</v>
      </c>
      <c r="C34" s="21">
        <v>18.976091103202855</v>
      </c>
      <c r="D34" s="21">
        <v>25.113047808764939</v>
      </c>
      <c r="E34" s="21">
        <v>20.653619928825638</v>
      </c>
      <c r="F34" s="21">
        <v>25.638944223107568</v>
      </c>
      <c r="G34" s="61">
        <v>1.5959914590747331</v>
      </c>
      <c r="H34" s="61">
        <v>3.6603585657370519</v>
      </c>
      <c r="I34" s="61">
        <v>9.7935717896868653</v>
      </c>
      <c r="J34" s="61">
        <v>6.9910861626840015</v>
      </c>
      <c r="K34" s="61">
        <v>12.227143368892554</v>
      </c>
      <c r="L34" s="61">
        <v>21.85134839605362</v>
      </c>
      <c r="M34" s="21">
        <v>0.35284843980091024</v>
      </c>
      <c r="N34" s="21">
        <v>1.6944883384946374</v>
      </c>
      <c r="O34" s="21">
        <v>22.618533807829195</v>
      </c>
      <c r="P34" s="21">
        <v>27.758466135458164</v>
      </c>
      <c r="Q34" s="21">
        <v>13.089366548042705</v>
      </c>
      <c r="R34" s="21">
        <v>22.069223107569719</v>
      </c>
      <c r="S34" s="21">
        <v>16.067190442736457</v>
      </c>
      <c r="T34" s="21">
        <v>14.755476628749465</v>
      </c>
      <c r="U34" s="21">
        <v>5.9535247158429669</v>
      </c>
      <c r="V34" s="21">
        <v>14.086957929988156</v>
      </c>
      <c r="W34" s="18" t="s">
        <v>126</v>
      </c>
    </row>
    <row r="35" spans="1:23" x14ac:dyDescent="0.2">
      <c r="A35" s="13" t="s">
        <v>61</v>
      </c>
      <c r="B35" s="14" t="s">
        <v>62</v>
      </c>
      <c r="C35" s="21">
        <v>10.479060913705581</v>
      </c>
      <c r="D35" s="21">
        <v>10.897709766868644</v>
      </c>
      <c r="E35" s="21">
        <v>4.3451776649746181</v>
      </c>
      <c r="F35" s="21">
        <v>1.3898531375166889</v>
      </c>
      <c r="G35" s="62">
        <v>0.58629441624365486</v>
      </c>
      <c r="H35" s="62">
        <v>2.2281449893390195</v>
      </c>
      <c r="I35" s="61">
        <v>3.4578227942785151</v>
      </c>
      <c r="J35" s="61">
        <v>3.52494838548537</v>
      </c>
      <c r="K35" s="61">
        <v>3.1349057583847081E-2</v>
      </c>
      <c r="L35" s="61">
        <v>5.4010703048243984E-3</v>
      </c>
      <c r="M35" s="21">
        <v>8.3528505430129699E-2</v>
      </c>
      <c r="N35" s="21">
        <v>0.19530484275409096</v>
      </c>
      <c r="O35" s="21">
        <v>9.0945431472081211</v>
      </c>
      <c r="P35" s="21">
        <v>8.474376091198522</v>
      </c>
      <c r="Q35" s="21">
        <v>5.277918781725889</v>
      </c>
      <c r="R35" s="21">
        <v>9.1713053301838343</v>
      </c>
      <c r="S35" s="21">
        <v>0.90617666372636207</v>
      </c>
      <c r="T35" s="21">
        <v>2.1109049535218003</v>
      </c>
      <c r="U35" s="21">
        <v>2.5829951881360009</v>
      </c>
      <c r="V35" s="21">
        <v>1.4194445022683935</v>
      </c>
      <c r="W35" s="18" t="s">
        <v>63</v>
      </c>
    </row>
    <row r="36" spans="1:23" ht="51" x14ac:dyDescent="0.2">
      <c r="A36" s="19" t="s">
        <v>64</v>
      </c>
      <c r="B36" s="14" t="s">
        <v>65</v>
      </c>
      <c r="C36" s="21">
        <v>10.215962441314556</v>
      </c>
      <c r="D36" s="21">
        <v>10.945273631840797</v>
      </c>
      <c r="E36" s="21">
        <v>0.97183098591549311</v>
      </c>
      <c r="F36" s="21">
        <v>2.08955223880597</v>
      </c>
      <c r="G36" s="62">
        <v>1.9342723004694837</v>
      </c>
      <c r="H36" s="62">
        <v>4.5771144278606961</v>
      </c>
      <c r="I36" s="61">
        <v>4.1020674351115183</v>
      </c>
      <c r="J36" s="61">
        <v>4.1879991498800129</v>
      </c>
      <c r="K36" s="61">
        <v>0.12408380924380857</v>
      </c>
      <c r="L36" s="61">
        <v>2.6226859489251873E-2</v>
      </c>
      <c r="M36" s="21">
        <v>0.31017844878062339</v>
      </c>
      <c r="N36" s="21">
        <v>0.58344961562099673</v>
      </c>
      <c r="O36" s="21">
        <v>8.9131455399061039</v>
      </c>
      <c r="P36" s="21">
        <v>9.5522388059701502</v>
      </c>
      <c r="Q36" s="21">
        <v>2.504694835680751</v>
      </c>
      <c r="R36" s="21">
        <v>6.9651741293532341</v>
      </c>
      <c r="S36" s="21">
        <v>3.549280193174694</v>
      </c>
      <c r="T36" s="21">
        <v>2.73625782080045</v>
      </c>
      <c r="U36" s="21">
        <v>0.67687105118063251</v>
      </c>
      <c r="V36" s="21">
        <v>1.4779681885688138</v>
      </c>
      <c r="W36" s="18" t="s">
        <v>127</v>
      </c>
    </row>
    <row r="37" spans="1:23" x14ac:dyDescent="0.2">
      <c r="A37" s="13" t="s">
        <v>66</v>
      </c>
      <c r="B37" s="20">
        <v>61</v>
      </c>
      <c r="C37" s="21">
        <v>10.241157556270098</v>
      </c>
      <c r="D37" s="21">
        <v>8.569280881984465</v>
      </c>
      <c r="E37" s="21">
        <v>3.967845659163987</v>
      </c>
      <c r="F37" s="21" t="s">
        <v>107</v>
      </c>
      <c r="G37" s="61">
        <v>0.32154340836012862</v>
      </c>
      <c r="H37" s="61" t="s">
        <v>107</v>
      </c>
      <c r="I37" s="61">
        <v>0.86169908517322691</v>
      </c>
      <c r="J37" s="61">
        <v>0.65482559408864605</v>
      </c>
      <c r="K37" s="61" t="s">
        <v>107</v>
      </c>
      <c r="L37" s="61" t="s">
        <v>107</v>
      </c>
      <c r="M37" s="21">
        <v>0.1597538288188092</v>
      </c>
      <c r="N37" s="21">
        <v>0</v>
      </c>
      <c r="O37" s="21">
        <v>8.2572347266881021</v>
      </c>
      <c r="P37" s="21">
        <v>6.6599849661738899</v>
      </c>
      <c r="Q37" s="21">
        <v>6.2733118971061081</v>
      </c>
      <c r="R37" s="21">
        <v>6.6599849661738899</v>
      </c>
      <c r="S37" s="21">
        <v>0.49383419062689826</v>
      </c>
      <c r="T37" s="21">
        <v>0.3764062610548457</v>
      </c>
      <c r="U37" s="21">
        <v>0.36786489454632865</v>
      </c>
      <c r="V37" s="21">
        <v>0.27841933303380018</v>
      </c>
      <c r="W37" s="18" t="s">
        <v>128</v>
      </c>
    </row>
    <row r="38" spans="1:23" ht="38.25" x14ac:dyDescent="0.2">
      <c r="A38" s="13" t="s">
        <v>67</v>
      </c>
      <c r="B38" s="20" t="s">
        <v>68</v>
      </c>
      <c r="C38" s="21">
        <v>10.700834326579262</v>
      </c>
      <c r="D38" s="21">
        <v>11.779467680608365</v>
      </c>
      <c r="E38" s="21">
        <v>6.1978545887961856</v>
      </c>
      <c r="F38" s="21">
        <v>1.5741444866920151</v>
      </c>
      <c r="G38" s="61" t="s">
        <v>107</v>
      </c>
      <c r="H38" s="61">
        <v>1.8983031610010783</v>
      </c>
      <c r="I38" s="61">
        <v>5.2092637419389556</v>
      </c>
      <c r="J38" s="61">
        <v>5.4887082911442286</v>
      </c>
      <c r="K38" s="61">
        <v>4.1391643760649431E-2</v>
      </c>
      <c r="L38" s="61">
        <v>5.4999869394456663E-3</v>
      </c>
      <c r="M38" s="21" t="s">
        <v>107</v>
      </c>
      <c r="N38" s="21">
        <v>0.26591918713299817</v>
      </c>
      <c r="O38" s="21">
        <v>9.4970202622169264</v>
      </c>
      <c r="P38" s="21">
        <v>8.6311787072243344</v>
      </c>
      <c r="Q38" s="21">
        <v>6.3170441001191904</v>
      </c>
      <c r="R38" s="21">
        <v>11.272496831432193</v>
      </c>
      <c r="S38" s="21">
        <v>0.85218898953997158</v>
      </c>
      <c r="T38" s="21">
        <v>3.2563930386330542</v>
      </c>
      <c r="U38" s="21">
        <v>4.398466396159634</v>
      </c>
      <c r="V38" s="21">
        <v>2.2378152394506197</v>
      </c>
      <c r="W38" s="18" t="s">
        <v>129</v>
      </c>
    </row>
    <row r="39" spans="1:23" x14ac:dyDescent="0.2">
      <c r="A39" s="13" t="s">
        <v>69</v>
      </c>
      <c r="B39" s="14" t="s">
        <v>70</v>
      </c>
      <c r="C39" s="21">
        <v>0.98613552040617058</v>
      </c>
      <c r="D39" s="21">
        <v>1.2160898035547241</v>
      </c>
      <c r="E39" s="21">
        <v>0.59168131224370235</v>
      </c>
      <c r="F39" s="21">
        <v>0.60804490177736203</v>
      </c>
      <c r="G39" s="62">
        <v>0.39445420816246823</v>
      </c>
      <c r="H39" s="62">
        <v>0.46470315880980056</v>
      </c>
      <c r="I39" s="61">
        <v>0.48244683151002349</v>
      </c>
      <c r="J39" s="61">
        <v>0.32221316319051574</v>
      </c>
      <c r="K39" s="61">
        <v>0.31521829187996064</v>
      </c>
      <c r="L39" s="61">
        <v>0.25660640000834978</v>
      </c>
      <c r="M39" s="21">
        <v>0.39245898488703701</v>
      </c>
      <c r="N39" s="21">
        <v>0.66782919009308128</v>
      </c>
      <c r="O39" s="21">
        <v>0.78890841632493647</v>
      </c>
      <c r="P39" s="21">
        <v>1.2160898035547241</v>
      </c>
      <c r="Q39" s="21">
        <v>0.59168131224370235</v>
      </c>
      <c r="R39" s="21">
        <v>0.912067352666043</v>
      </c>
      <c r="S39" s="21">
        <v>0.41788622734870656</v>
      </c>
      <c r="T39" s="21">
        <v>0.55785005700945001</v>
      </c>
      <c r="U39" s="21">
        <v>0.37977889604127757</v>
      </c>
      <c r="V39" s="21">
        <v>2.0969506189415395E-2</v>
      </c>
      <c r="W39" s="18" t="s">
        <v>71</v>
      </c>
    </row>
    <row r="40" spans="1:23" x14ac:dyDescent="0.2">
      <c r="A40" s="13" t="s">
        <v>72</v>
      </c>
      <c r="B40" s="14" t="s">
        <v>73</v>
      </c>
      <c r="C40" s="21">
        <v>2.2300248504371836</v>
      </c>
      <c r="D40" s="21">
        <v>1.9457687991021322</v>
      </c>
      <c r="E40" s="21">
        <v>0.43282558674643351</v>
      </c>
      <c r="F40" s="21">
        <v>0.77589225589225586</v>
      </c>
      <c r="G40" s="62">
        <v>0.5103543488265071</v>
      </c>
      <c r="H40" s="62">
        <v>1.9431482495084025</v>
      </c>
      <c r="I40" s="61">
        <v>0.27294570942443008</v>
      </c>
      <c r="J40" s="61">
        <v>0.47248151023410656</v>
      </c>
      <c r="K40" s="61">
        <v>6.8200250993161696E-2</v>
      </c>
      <c r="L40" s="61">
        <v>9.2881007440946323E-2</v>
      </c>
      <c r="M40" s="21">
        <v>7.4586874824124808E-2</v>
      </c>
      <c r="N40" s="21">
        <v>6.9301992208600963E-2</v>
      </c>
      <c r="O40" s="21">
        <v>0.70968568798895526</v>
      </c>
      <c r="P40" s="21">
        <v>1.9170370370370367</v>
      </c>
      <c r="Q40" s="21">
        <v>2.2300248504371836</v>
      </c>
      <c r="R40" s="21">
        <v>1.7313580246913582</v>
      </c>
      <c r="S40" s="21">
        <v>3.6744338805802905E-2</v>
      </c>
      <c r="T40" s="21">
        <v>0.36843608387299487</v>
      </c>
      <c r="U40" s="21">
        <v>0.30440162161178891</v>
      </c>
      <c r="V40" s="21">
        <v>0.19813175680539735</v>
      </c>
      <c r="W40" s="18" t="s">
        <v>130</v>
      </c>
    </row>
    <row r="41" spans="1:23" ht="77.25" customHeight="1" x14ac:dyDescent="0.2">
      <c r="A41" s="13" t="s">
        <v>74</v>
      </c>
      <c r="B41" s="20" t="s">
        <v>75</v>
      </c>
      <c r="C41" s="21">
        <v>1.6097163781624499</v>
      </c>
      <c r="D41" s="21">
        <v>1.4142348754448397</v>
      </c>
      <c r="E41" s="21" t="s">
        <v>107</v>
      </c>
      <c r="F41" s="21">
        <v>0.41494661921708187</v>
      </c>
      <c r="G41" s="61">
        <v>0.73834886817576562</v>
      </c>
      <c r="H41" s="61">
        <v>2.8006229218893344</v>
      </c>
      <c r="I41" s="61">
        <v>1.7851042205673497E-2</v>
      </c>
      <c r="J41" s="61">
        <v>7.9941253360933717E-2</v>
      </c>
      <c r="K41" s="61" t="s">
        <v>107</v>
      </c>
      <c r="L41" s="61">
        <v>0.10844285127444518</v>
      </c>
      <c r="M41" s="21">
        <v>8.7893205030437863E-2</v>
      </c>
      <c r="N41" s="21">
        <v>8.5801250208249746E-2</v>
      </c>
      <c r="O41" s="21">
        <v>0.80485818908122497</v>
      </c>
      <c r="P41" s="21">
        <v>1.485409252669039</v>
      </c>
      <c r="Q41" s="21">
        <v>1.6097163781624499</v>
      </c>
      <c r="R41" s="21">
        <v>1.0576512455516014</v>
      </c>
      <c r="S41" s="21">
        <v>6.2069884268283774E-3</v>
      </c>
      <c r="T41" s="21">
        <v>0.11469335530560217</v>
      </c>
      <c r="U41" s="21">
        <v>1.164405377884512E-2</v>
      </c>
      <c r="V41" s="21">
        <v>7.3690749329776734E-2</v>
      </c>
      <c r="W41" s="18" t="s">
        <v>131</v>
      </c>
    </row>
    <row r="42" spans="1:23" x14ac:dyDescent="0.2">
      <c r="A42" s="13" t="s">
        <v>76</v>
      </c>
      <c r="B42" s="20">
        <v>72</v>
      </c>
      <c r="C42" s="21">
        <v>3.6729166666666666</v>
      </c>
      <c r="D42" s="21">
        <v>2.481467030823254</v>
      </c>
      <c r="E42" s="21">
        <v>1.3885416666666668</v>
      </c>
      <c r="F42" s="21">
        <v>2.0522824814670311</v>
      </c>
      <c r="G42" s="61" t="s">
        <v>107</v>
      </c>
      <c r="H42" s="61">
        <v>0</v>
      </c>
      <c r="I42" s="61">
        <v>1.9306735260017087</v>
      </c>
      <c r="J42" s="61">
        <v>1.5354253242528073</v>
      </c>
      <c r="K42" s="61">
        <v>1.1815932068708714</v>
      </c>
      <c r="L42" s="61">
        <v>2.442949469201644E-2</v>
      </c>
      <c r="M42" s="21" t="s">
        <v>107</v>
      </c>
      <c r="N42" s="21" t="s">
        <v>107</v>
      </c>
      <c r="O42" s="21">
        <v>1.3885416666666668</v>
      </c>
      <c r="P42" s="21">
        <v>1.8025751072961373</v>
      </c>
      <c r="Q42" s="21">
        <v>3.6729166666666666</v>
      </c>
      <c r="R42" s="21">
        <v>3.8626609442060089</v>
      </c>
      <c r="S42" s="21">
        <v>0.54535071086347908</v>
      </c>
      <c r="T42" s="21">
        <v>0.99778720282661915</v>
      </c>
      <c r="U42" s="21">
        <v>2.5669160220091003</v>
      </c>
      <c r="V42" s="21">
        <v>0.57884775156911583</v>
      </c>
      <c r="W42" s="18" t="s">
        <v>132</v>
      </c>
    </row>
    <row r="43" spans="1:23" ht="38.25" x14ac:dyDescent="0.2">
      <c r="A43" s="13" t="s">
        <v>77</v>
      </c>
      <c r="B43" s="20" t="s">
        <v>78</v>
      </c>
      <c r="C43" s="21">
        <v>3.8092364532019705</v>
      </c>
      <c r="D43" s="21">
        <v>3.7568306010928962</v>
      </c>
      <c r="E43" s="21">
        <v>1.4957635467980295</v>
      </c>
      <c r="F43" s="21">
        <v>1.3934426229508194</v>
      </c>
      <c r="G43" s="61" t="s">
        <v>107</v>
      </c>
      <c r="H43" s="61" t="s">
        <v>107</v>
      </c>
      <c r="I43" s="61">
        <v>1.572705469153491</v>
      </c>
      <c r="J43" s="61">
        <v>2.4798845946074355</v>
      </c>
      <c r="K43" s="61" t="s">
        <v>107</v>
      </c>
      <c r="L43" s="61">
        <v>2.946748041443251E-2</v>
      </c>
      <c r="M43" s="21" t="s">
        <v>107</v>
      </c>
      <c r="N43" s="21" t="s">
        <v>107</v>
      </c>
      <c r="O43" s="21" t="s">
        <v>107</v>
      </c>
      <c r="P43" s="21">
        <v>3.7568306010928962</v>
      </c>
      <c r="Q43" s="21">
        <v>3.8092364532019705</v>
      </c>
      <c r="R43" s="21">
        <v>3.0601092896174862</v>
      </c>
      <c r="S43" s="21" t="s">
        <v>107</v>
      </c>
      <c r="T43" s="21">
        <v>1.7008456783143198</v>
      </c>
      <c r="U43" s="21">
        <v>1.572705469153491</v>
      </c>
      <c r="V43" s="21">
        <v>0.80850639670754809</v>
      </c>
      <c r="W43" s="18" t="s">
        <v>79</v>
      </c>
    </row>
    <row r="44" spans="1:23" ht="25.5" x14ac:dyDescent="0.2">
      <c r="A44" s="13" t="s">
        <v>80</v>
      </c>
      <c r="B44" s="14" t="s">
        <v>81</v>
      </c>
      <c r="C44" s="21">
        <v>2.4186433052276559</v>
      </c>
      <c r="D44" s="21">
        <v>2.7424223628168551</v>
      </c>
      <c r="E44" s="21">
        <v>0.78312242833052281</v>
      </c>
      <c r="F44" s="21">
        <v>0.93950295662242078</v>
      </c>
      <c r="G44" s="62">
        <v>0.12647554806070826</v>
      </c>
      <c r="H44" s="62">
        <v>0.48529959062151096</v>
      </c>
      <c r="I44" s="61">
        <v>2.4892324324212325</v>
      </c>
      <c r="J44" s="61">
        <v>2.7563731244583578</v>
      </c>
      <c r="K44" s="61">
        <v>0.12888697472273219</v>
      </c>
      <c r="L44" s="61">
        <v>0.25545190516316169</v>
      </c>
      <c r="M44" s="21">
        <v>0.18108462096496558</v>
      </c>
      <c r="N44" s="21">
        <v>0.43143944221098968</v>
      </c>
      <c r="O44" s="21">
        <v>2.217188431703204</v>
      </c>
      <c r="P44" s="21">
        <v>1.7714923706736139</v>
      </c>
      <c r="Q44" s="21">
        <v>1.790203507588533</v>
      </c>
      <c r="R44" s="21">
        <v>2.310714138030848</v>
      </c>
      <c r="S44" s="21">
        <v>1.4755486146289334</v>
      </c>
      <c r="T44" s="21">
        <v>1.0762646202383226</v>
      </c>
      <c r="U44" s="21">
        <v>1.1425707925150315</v>
      </c>
      <c r="V44" s="21">
        <v>1.5859958251469228</v>
      </c>
      <c r="W44" s="18" t="s">
        <v>82</v>
      </c>
    </row>
    <row r="45" spans="1:23" ht="78" customHeight="1" x14ac:dyDescent="0.2">
      <c r="A45" s="13" t="s">
        <v>83</v>
      </c>
      <c r="B45" s="14" t="s">
        <v>84</v>
      </c>
      <c r="C45" s="21">
        <v>1.5049643254520164</v>
      </c>
      <c r="D45" s="21">
        <v>1.6802790539390846</v>
      </c>
      <c r="E45" s="21">
        <v>0.40749582753824753</v>
      </c>
      <c r="F45" s="21">
        <v>0.58363110430491749</v>
      </c>
      <c r="G45" s="62">
        <v>6.9541029207232263E-2</v>
      </c>
      <c r="H45" s="62">
        <v>0.42266462480857575</v>
      </c>
      <c r="I45" s="61">
        <v>1.7826970169287728</v>
      </c>
      <c r="J45" s="61">
        <v>1.9371952316062362</v>
      </c>
      <c r="K45" s="61">
        <v>2.6068890452061007E-2</v>
      </c>
      <c r="L45" s="61">
        <v>0.1791008181012203</v>
      </c>
      <c r="M45" s="21">
        <v>0.16379116466033747</v>
      </c>
      <c r="N45" s="21">
        <v>0.36056509312395763</v>
      </c>
      <c r="O45" s="21">
        <v>1.3177898817802502</v>
      </c>
      <c r="P45" s="21">
        <v>0.86523736600306289</v>
      </c>
      <c r="Q45" s="21">
        <v>1.0396221835883173</v>
      </c>
      <c r="R45" s="21">
        <v>1.4199421473540923</v>
      </c>
      <c r="S45" s="21">
        <v>0.87431508315797668</v>
      </c>
      <c r="T45" s="21">
        <v>0.47807626454961211</v>
      </c>
      <c r="U45" s="21">
        <v>0.93445082422285719</v>
      </c>
      <c r="V45" s="21">
        <v>1.3536474224171993</v>
      </c>
      <c r="W45" s="18" t="s">
        <v>137</v>
      </c>
    </row>
    <row r="46" spans="1:23" ht="51" x14ac:dyDescent="0.2">
      <c r="A46" s="13" t="s">
        <v>85</v>
      </c>
      <c r="B46" s="20">
        <v>79</v>
      </c>
      <c r="C46" s="21">
        <v>31.943820224719111</v>
      </c>
      <c r="D46" s="21">
        <v>39.733333333333334</v>
      </c>
      <c r="E46" s="21">
        <v>12.921348314606742</v>
      </c>
      <c r="F46" s="21">
        <v>13.333333333333334</v>
      </c>
      <c r="G46" s="61">
        <v>1.9662921348314606</v>
      </c>
      <c r="H46" s="61">
        <v>2.666666666666667</v>
      </c>
      <c r="I46" s="61">
        <v>30.772012170422773</v>
      </c>
      <c r="J46" s="61">
        <v>29.079542212980687</v>
      </c>
      <c r="K46" s="61">
        <v>4.2447191987645887</v>
      </c>
      <c r="L46" s="61">
        <v>2.7088903980239354</v>
      </c>
      <c r="M46" s="21">
        <v>0.8733457657677981</v>
      </c>
      <c r="N46" s="21">
        <v>2.7088903980239354</v>
      </c>
      <c r="O46" s="21">
        <v>31.2808988764045</v>
      </c>
      <c r="P46" s="21">
        <v>33.333333333333329</v>
      </c>
      <c r="Q46" s="21">
        <v>26.04494382022472</v>
      </c>
      <c r="R46" s="21">
        <v>33.333333333333329</v>
      </c>
      <c r="S46" s="21">
        <v>25.54306903728402</v>
      </c>
      <c r="T46" s="21">
        <v>20.298235050562912</v>
      </c>
      <c r="U46" s="21">
        <v>9.4736623319033448</v>
      </c>
      <c r="V46" s="21">
        <v>9.0521962022201716</v>
      </c>
      <c r="W46" s="18" t="s">
        <v>133</v>
      </c>
    </row>
    <row r="47" spans="1:23" ht="25.5" x14ac:dyDescent="0.2">
      <c r="A47" s="13" t="s">
        <v>86</v>
      </c>
      <c r="B47" s="14" t="s">
        <v>87</v>
      </c>
      <c r="C47" s="21">
        <v>6.1570479166666674</v>
      </c>
      <c r="D47" s="21">
        <v>10.882352941176471</v>
      </c>
      <c r="E47" s="21">
        <v>6.1570479166666674</v>
      </c>
      <c r="F47" s="21">
        <v>10.882352941176471</v>
      </c>
      <c r="G47" s="61" t="s">
        <v>107</v>
      </c>
      <c r="H47" s="61" t="s">
        <v>107</v>
      </c>
      <c r="I47" s="61" t="s">
        <v>172</v>
      </c>
      <c r="J47" s="61" t="s">
        <v>172</v>
      </c>
      <c r="K47" s="61" t="s">
        <v>172</v>
      </c>
      <c r="L47" s="61" t="s">
        <v>172</v>
      </c>
      <c r="M47" s="21" t="s">
        <v>107</v>
      </c>
      <c r="N47" s="21" t="s">
        <v>107</v>
      </c>
      <c r="O47" s="21">
        <v>6.1570479166666674</v>
      </c>
      <c r="P47" s="21">
        <v>10.882352941176471</v>
      </c>
      <c r="Q47" s="21">
        <v>8.2795062500000007</v>
      </c>
      <c r="R47" s="21">
        <v>10.882352941176471</v>
      </c>
      <c r="S47" s="61" t="s">
        <v>172</v>
      </c>
      <c r="T47" s="61" t="s">
        <v>172</v>
      </c>
      <c r="U47" s="61" t="s">
        <v>172</v>
      </c>
      <c r="V47" s="61" t="s">
        <v>172</v>
      </c>
      <c r="W47" s="63" t="s">
        <v>88</v>
      </c>
    </row>
    <row r="48" spans="1:23" ht="38.25" x14ac:dyDescent="0.2">
      <c r="A48" s="13" t="s">
        <v>89</v>
      </c>
      <c r="B48" s="14" t="s">
        <v>90</v>
      </c>
      <c r="C48" s="21">
        <v>10.651185</v>
      </c>
      <c r="D48" s="21">
        <v>10.352440564431998</v>
      </c>
      <c r="E48" s="21">
        <v>6.7442405555555558</v>
      </c>
      <c r="F48" s="21">
        <v>2.321199143468951</v>
      </c>
      <c r="G48" s="62">
        <v>0.22569444444444442</v>
      </c>
      <c r="H48" s="62">
        <v>2.5391471129652019</v>
      </c>
      <c r="I48" s="61">
        <v>2.7878676165392386</v>
      </c>
      <c r="J48" s="61">
        <v>2.7912079347369443</v>
      </c>
      <c r="K48" s="61">
        <v>5.7262096379056251</v>
      </c>
      <c r="L48" s="61">
        <v>6.6220907779827627</v>
      </c>
      <c r="M48" s="21">
        <v>0.11905760515603374</v>
      </c>
      <c r="N48" s="21">
        <v>0.86118182823661926</v>
      </c>
      <c r="O48" s="21">
        <v>8.1288460416666659</v>
      </c>
      <c r="P48" s="21">
        <v>8.8070059847361772</v>
      </c>
      <c r="Q48" s="21">
        <v>7.3802669444444451</v>
      </c>
      <c r="R48" s="21">
        <v>9.6485477406248279</v>
      </c>
      <c r="S48" s="21">
        <v>3.8915838679221908</v>
      </c>
      <c r="T48" s="21">
        <v>6.382212537903154</v>
      </c>
      <c r="U48" s="21">
        <v>4.6224933865226729</v>
      </c>
      <c r="V48" s="21">
        <v>3.0310861748165525</v>
      </c>
      <c r="W48" s="18" t="s">
        <v>91</v>
      </c>
    </row>
    <row r="49" spans="1:23" x14ac:dyDescent="0.2">
      <c r="A49" s="32"/>
      <c r="B49" s="33"/>
      <c r="C49" s="58"/>
      <c r="D49" s="58"/>
      <c r="E49" s="58"/>
      <c r="F49" s="58"/>
      <c r="G49" s="53"/>
      <c r="H49" s="53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36"/>
    </row>
    <row r="50" spans="1:23" ht="25.5" x14ac:dyDescent="0.2">
      <c r="A50" s="86" t="s">
        <v>92</v>
      </c>
      <c r="B50" s="86"/>
      <c r="C50" s="21"/>
      <c r="D50" s="21"/>
      <c r="E50" s="21"/>
      <c r="F50" s="21"/>
      <c r="G50" s="66"/>
      <c r="H50" s="66"/>
      <c r="I50" s="61"/>
      <c r="J50" s="61"/>
      <c r="K50" s="61"/>
      <c r="L50" s="6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2" t="s">
        <v>134</v>
      </c>
    </row>
    <row r="51" spans="1:23" x14ac:dyDescent="0.2">
      <c r="A51" s="71" t="s">
        <v>93</v>
      </c>
      <c r="B51" s="71"/>
      <c r="C51" s="21">
        <v>3.6933110326705432</v>
      </c>
      <c r="D51" s="21">
        <v>3.704946785678545</v>
      </c>
      <c r="E51" s="21">
        <v>2.4555821118809922</v>
      </c>
      <c r="F51" s="21">
        <v>2.1204292325111216</v>
      </c>
      <c r="G51" s="61">
        <v>1.2426501929399301</v>
      </c>
      <c r="H51" s="61">
        <v>1.7205711156303241</v>
      </c>
      <c r="I51" s="61">
        <v>2.1136326131129204</v>
      </c>
      <c r="J51" s="61">
        <v>1.1728158623620775</v>
      </c>
      <c r="K51" s="61">
        <v>1.1799298293612428</v>
      </c>
      <c r="L51" s="61">
        <v>0.28387110877669908</v>
      </c>
      <c r="M51" s="21">
        <v>1.0254973205591056</v>
      </c>
      <c r="N51" s="21">
        <v>0.52123757753890221</v>
      </c>
      <c r="O51" s="21">
        <v>3.2181411911829105</v>
      </c>
      <c r="P51" s="21">
        <v>3.5458442208570675</v>
      </c>
      <c r="Q51" s="21">
        <v>3.0940444725299798</v>
      </c>
      <c r="R51" s="21">
        <v>3.0753051024488274</v>
      </c>
      <c r="S51" s="21">
        <v>1.2085238972624022</v>
      </c>
      <c r="T51" s="21">
        <v>0.80294523613322322</v>
      </c>
      <c r="U51" s="21">
        <v>2.0850385452117601</v>
      </c>
      <c r="V51" s="21">
        <v>0.65025411395985799</v>
      </c>
      <c r="W51" s="23" t="s">
        <v>94</v>
      </c>
    </row>
    <row r="52" spans="1:23" x14ac:dyDescent="0.2">
      <c r="A52" s="71" t="s">
        <v>95</v>
      </c>
      <c r="B52" s="71"/>
      <c r="C52" s="21">
        <v>4.8275572504841842</v>
      </c>
      <c r="D52" s="21">
        <v>5.8807298730952136</v>
      </c>
      <c r="E52" s="21">
        <v>2.6252040635248557</v>
      </c>
      <c r="F52" s="21">
        <v>3.0974707084221778</v>
      </c>
      <c r="G52" s="61">
        <v>2.4691522073595875</v>
      </c>
      <c r="H52" s="61">
        <v>4.5997684096213209</v>
      </c>
      <c r="I52" s="61">
        <v>3.1719681383152745</v>
      </c>
      <c r="J52" s="61">
        <v>1.6983122861320625</v>
      </c>
      <c r="K52" s="61">
        <v>0.21398700726042133</v>
      </c>
      <c r="L52" s="61">
        <v>0.35299203180162064</v>
      </c>
      <c r="M52" s="21">
        <v>3.4888906902661825</v>
      </c>
      <c r="N52" s="21">
        <v>1.1413065568853151</v>
      </c>
      <c r="O52" s="21">
        <v>4.8404121688831516</v>
      </c>
      <c r="P52" s="21">
        <v>5.8483836657809363</v>
      </c>
      <c r="Q52" s="21">
        <v>2.9670338778566818</v>
      </c>
      <c r="R52" s="21">
        <v>3.9691630330481669</v>
      </c>
      <c r="S52" s="21">
        <v>1.3784897590938443</v>
      </c>
      <c r="T52" s="21">
        <v>0.88856630035121287</v>
      </c>
      <c r="U52" s="21">
        <v>2.0074653864818508</v>
      </c>
      <c r="V52" s="21">
        <v>1.1628632192983637</v>
      </c>
      <c r="W52" s="18" t="s">
        <v>96</v>
      </c>
    </row>
    <row r="53" spans="1:23" x14ac:dyDescent="0.2">
      <c r="A53" s="89" t="s">
        <v>97</v>
      </c>
      <c r="B53" s="89"/>
      <c r="C53" s="21">
        <v>10.344827586206897</v>
      </c>
      <c r="D53" s="21">
        <v>11.188811188811188</v>
      </c>
      <c r="E53" s="21">
        <v>5.9113300492610836</v>
      </c>
      <c r="F53" s="21">
        <v>3.9627039627039626</v>
      </c>
      <c r="G53" s="61">
        <v>6.1576354679802954</v>
      </c>
      <c r="H53" s="61">
        <v>7.4592074592074589</v>
      </c>
      <c r="I53" s="61">
        <v>3.9063939665763909</v>
      </c>
      <c r="J53" s="61">
        <v>4.8245612363874306</v>
      </c>
      <c r="K53" s="61">
        <v>0.63282687729502174</v>
      </c>
      <c r="L53" s="61">
        <v>0.85291173409005272</v>
      </c>
      <c r="M53" s="21">
        <v>1.4353439926093479</v>
      </c>
      <c r="N53" s="21">
        <v>2.8004747225277984</v>
      </c>
      <c r="O53" s="21">
        <v>10.714285714285714</v>
      </c>
      <c r="P53" s="21">
        <v>12.004662004662006</v>
      </c>
      <c r="Q53" s="21">
        <v>6.1576354679802954</v>
      </c>
      <c r="R53" s="21">
        <v>5.8857808857808855</v>
      </c>
      <c r="S53" s="21">
        <v>2.6578838483699387</v>
      </c>
      <c r="T53" s="21">
        <v>3.2980659280627171</v>
      </c>
      <c r="U53" s="21">
        <v>1.8813369955014738</v>
      </c>
      <c r="V53" s="21">
        <v>2.3744928582388032</v>
      </c>
      <c r="W53" s="18" t="s">
        <v>98</v>
      </c>
    </row>
    <row r="54" spans="1:23" x14ac:dyDescent="0.2">
      <c r="G54" s="68"/>
      <c r="H54" s="68"/>
      <c r="I54" s="68"/>
      <c r="J54" s="68"/>
      <c r="K54" s="68"/>
      <c r="L54" s="68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spans="1:23" ht="17.25" customHeight="1" x14ac:dyDescent="0.2">
      <c r="A55" s="9" t="s">
        <v>105</v>
      </c>
      <c r="C55" s="2"/>
      <c r="D55" s="2"/>
      <c r="G55" s="68"/>
      <c r="H55" s="68"/>
      <c r="I55" s="69"/>
      <c r="J55" s="69"/>
      <c r="K55" s="69"/>
      <c r="L55" s="69"/>
      <c r="M55" s="17"/>
      <c r="N55" s="17"/>
      <c r="W55" s="2"/>
    </row>
    <row r="56" spans="1:23" s="37" customFormat="1" ht="37.5" customHeight="1" x14ac:dyDescent="0.2">
      <c r="A56" s="71" t="s">
        <v>196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</row>
    <row r="57" spans="1:23" s="37" customFormat="1" ht="19.5" customHeight="1" x14ac:dyDescent="0.2">
      <c r="A57" s="71" t="s">
        <v>106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</row>
    <row r="58" spans="1:23" s="37" customFormat="1" ht="19.5" customHeight="1" x14ac:dyDescent="0.2">
      <c r="A58" s="108" t="s">
        <v>203</v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</row>
    <row r="59" spans="1:23" ht="37.5" customHeight="1" x14ac:dyDescent="0.2">
      <c r="A59" s="71" t="s">
        <v>171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</row>
    <row r="60" spans="1:23" x14ac:dyDescent="0.2">
      <c r="A60" s="2" t="s">
        <v>202</v>
      </c>
    </row>
  </sheetData>
  <mergeCells count="27">
    <mergeCell ref="A1:W1"/>
    <mergeCell ref="A2:M2"/>
    <mergeCell ref="A3:A5"/>
    <mergeCell ref="B3:B5"/>
    <mergeCell ref="W3:W5"/>
    <mergeCell ref="E4:F4"/>
    <mergeCell ref="C4:D4"/>
    <mergeCell ref="C3:H3"/>
    <mergeCell ref="I3:N3"/>
    <mergeCell ref="O3:R3"/>
    <mergeCell ref="S3:V3"/>
    <mergeCell ref="S4:T4"/>
    <mergeCell ref="U4:V4"/>
    <mergeCell ref="O4:P4"/>
    <mergeCell ref="Q4:R4"/>
    <mergeCell ref="M4:N4"/>
    <mergeCell ref="K4:L4"/>
    <mergeCell ref="I4:J4"/>
    <mergeCell ref="A56:W56"/>
    <mergeCell ref="A57:W57"/>
    <mergeCell ref="G4:H4"/>
    <mergeCell ref="A58:W58"/>
    <mergeCell ref="A59:W59"/>
    <mergeCell ref="A50:B50"/>
    <mergeCell ref="A51:B51"/>
    <mergeCell ref="A52:B52"/>
    <mergeCell ref="A53:B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66"/>
  <sheetViews>
    <sheetView topLeftCell="A37" zoomScale="70" zoomScaleNormal="70" workbookViewId="0">
      <selection activeCell="A58" sqref="A58:L58"/>
    </sheetView>
  </sheetViews>
  <sheetFormatPr defaultRowHeight="12.75" x14ac:dyDescent="0.2"/>
  <cols>
    <col min="1" max="1" width="51.5703125" style="2" customWidth="1"/>
    <col min="2" max="2" width="19.5703125" style="2" customWidth="1"/>
    <col min="3" max="11" width="18.42578125" style="2" customWidth="1"/>
    <col min="12" max="12" width="51.28515625" style="26" customWidth="1"/>
    <col min="13" max="16384" width="9.140625" style="2"/>
  </cols>
  <sheetData>
    <row r="1" spans="1:12" ht="61.5" customHeight="1" x14ac:dyDescent="0.2">
      <c r="A1" s="90" t="s">
        <v>138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 ht="18.7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2" ht="82.5" customHeight="1" x14ac:dyDescent="0.2">
      <c r="A3" s="76"/>
      <c r="B3" s="100" t="s">
        <v>111</v>
      </c>
      <c r="C3" s="79" t="s">
        <v>183</v>
      </c>
      <c r="D3" s="79"/>
      <c r="E3" s="79"/>
      <c r="F3" s="79"/>
      <c r="G3" s="79"/>
      <c r="H3" s="79"/>
      <c r="I3" s="79"/>
      <c r="J3" s="79"/>
      <c r="K3" s="79"/>
      <c r="L3" s="95"/>
    </row>
    <row r="4" spans="1:12" ht="55.5" customHeight="1" x14ac:dyDescent="0.2">
      <c r="A4" s="77"/>
      <c r="B4" s="101"/>
      <c r="C4" s="79" t="s">
        <v>103</v>
      </c>
      <c r="D4" s="79"/>
      <c r="E4" s="79"/>
      <c r="F4" s="79" t="s">
        <v>135</v>
      </c>
      <c r="G4" s="79"/>
      <c r="H4" s="79"/>
      <c r="I4" s="79" t="s">
        <v>108</v>
      </c>
      <c r="J4" s="79"/>
      <c r="K4" s="79"/>
      <c r="L4" s="96"/>
    </row>
    <row r="5" spans="1:12" ht="18.75" customHeight="1" x14ac:dyDescent="0.2">
      <c r="A5" s="78"/>
      <c r="B5" s="102"/>
      <c r="C5" s="5">
        <v>2021</v>
      </c>
      <c r="D5" s="5">
        <v>2022</v>
      </c>
      <c r="E5" s="5">
        <v>2023</v>
      </c>
      <c r="F5" s="5">
        <v>2021</v>
      </c>
      <c r="G5" s="5">
        <v>2022</v>
      </c>
      <c r="H5" s="5">
        <v>2023</v>
      </c>
      <c r="I5" s="5">
        <v>2021</v>
      </c>
      <c r="J5" s="4">
        <v>2022</v>
      </c>
      <c r="K5" s="5">
        <v>2023</v>
      </c>
      <c r="L5" s="97"/>
    </row>
    <row r="6" spans="1:12" ht="20.25" customHeight="1" x14ac:dyDescent="0.2">
      <c r="A6" s="7" t="s">
        <v>0</v>
      </c>
      <c r="B6" s="27"/>
      <c r="C6" s="10">
        <v>4.1744929551626999</v>
      </c>
      <c r="D6" s="10">
        <v>4.8700371869407979</v>
      </c>
      <c r="E6" s="10">
        <v>5.2820763266803299</v>
      </c>
      <c r="F6" s="10">
        <v>0.52579703043667858</v>
      </c>
      <c r="G6" s="11">
        <v>0.68639684385257471</v>
      </c>
      <c r="H6" s="11">
        <v>0.84287326006268481</v>
      </c>
      <c r="I6" s="11">
        <v>0.32509558027847313</v>
      </c>
      <c r="J6" s="11">
        <v>0.42996079655492703</v>
      </c>
      <c r="K6" s="11">
        <v>0.49928003435990959</v>
      </c>
      <c r="L6" s="12" t="s">
        <v>1</v>
      </c>
    </row>
    <row r="7" spans="1:12" ht="19.5" customHeight="1" x14ac:dyDescent="0.2">
      <c r="A7" s="13" t="s">
        <v>2</v>
      </c>
      <c r="B7" s="14" t="s">
        <v>3</v>
      </c>
      <c r="C7" s="16">
        <v>3.4870472955782947</v>
      </c>
      <c r="D7" s="16">
        <v>5.008686858091024</v>
      </c>
      <c r="E7" s="16">
        <v>5.0505200778803117</v>
      </c>
      <c r="F7" s="16">
        <v>0.50582942099907158</v>
      </c>
      <c r="G7" s="17">
        <v>0.78629554835651061</v>
      </c>
      <c r="H7" s="17">
        <v>0.70654639082446569</v>
      </c>
      <c r="I7" s="17">
        <v>0.16364746229420488</v>
      </c>
      <c r="J7" s="17">
        <v>0.42551767973029919</v>
      </c>
      <c r="K7" s="17">
        <v>0.41938601703307582</v>
      </c>
      <c r="L7" s="18" t="s">
        <v>4</v>
      </c>
    </row>
    <row r="8" spans="1:12" ht="66.75" customHeight="1" x14ac:dyDescent="0.2">
      <c r="A8" s="13" t="s">
        <v>5</v>
      </c>
      <c r="B8" s="14" t="s">
        <v>6</v>
      </c>
      <c r="C8" s="16">
        <v>3.3795278451095347</v>
      </c>
      <c r="D8" s="16">
        <v>5.6047648594841473</v>
      </c>
      <c r="E8" s="16">
        <v>5.7357124056479618</v>
      </c>
      <c r="F8" s="16">
        <v>0.42037741131437162</v>
      </c>
      <c r="G8" s="17">
        <v>0.89091551450832895</v>
      </c>
      <c r="H8" s="17">
        <v>0.61470688957379915</v>
      </c>
      <c r="I8" s="17">
        <v>0.14091155542806558</v>
      </c>
      <c r="J8" s="17">
        <v>0.20296948307361634</v>
      </c>
      <c r="K8" s="17">
        <v>0.22384110083745837</v>
      </c>
      <c r="L8" s="18" t="s">
        <v>113</v>
      </c>
    </row>
    <row r="9" spans="1:12" ht="28.5" customHeight="1" x14ac:dyDescent="0.2">
      <c r="A9" s="19" t="s">
        <v>7</v>
      </c>
      <c r="B9" s="14" t="s">
        <v>8</v>
      </c>
      <c r="C9" s="16">
        <v>3.1528822313288978</v>
      </c>
      <c r="D9" s="16">
        <v>5.3371151166407458</v>
      </c>
      <c r="E9" s="16">
        <v>5.361050328227571</v>
      </c>
      <c r="F9" s="16">
        <v>9.272137227630968E-2</v>
      </c>
      <c r="G9" s="17">
        <v>0.35004458268532918</v>
      </c>
      <c r="H9" s="17">
        <v>0.54704595185995619</v>
      </c>
      <c r="I9" s="17">
        <v>9.272137227630968E-2</v>
      </c>
      <c r="J9" s="17">
        <v>5.1840331778123382E-2</v>
      </c>
      <c r="K9" s="17">
        <v>5.4704595185995623E-2</v>
      </c>
      <c r="L9" s="18" t="s">
        <v>114</v>
      </c>
    </row>
    <row r="10" spans="1:12" ht="27" customHeight="1" x14ac:dyDescent="0.2">
      <c r="A10" s="19" t="s">
        <v>9</v>
      </c>
      <c r="B10" s="14" t="s">
        <v>10</v>
      </c>
      <c r="C10" s="16">
        <v>3.9246180966550499</v>
      </c>
      <c r="D10" s="16">
        <v>6.9044414168937331</v>
      </c>
      <c r="E10" s="16">
        <v>7.3212377655254954</v>
      </c>
      <c r="F10" s="16">
        <v>0.7110055130672629</v>
      </c>
      <c r="G10" s="17">
        <v>1.0150817438692097</v>
      </c>
      <c r="H10" s="17">
        <v>1.5428616204356684</v>
      </c>
      <c r="I10" s="17">
        <v>0.45117415798541766</v>
      </c>
      <c r="J10" s="17">
        <v>0.46587193460490456</v>
      </c>
      <c r="K10" s="17">
        <v>0.84469518884187422</v>
      </c>
      <c r="L10" s="18" t="s">
        <v>115</v>
      </c>
    </row>
    <row r="11" spans="1:12" ht="27" customHeight="1" x14ac:dyDescent="0.2">
      <c r="A11" s="19" t="s">
        <v>11</v>
      </c>
      <c r="B11" s="14" t="s">
        <v>12</v>
      </c>
      <c r="C11" s="16">
        <v>3.3717886193935511</v>
      </c>
      <c r="D11" s="16">
        <v>5.1914822917847028</v>
      </c>
      <c r="E11" s="16">
        <v>5.3100775193798446</v>
      </c>
      <c r="F11" s="16">
        <v>0.76558443018767175</v>
      </c>
      <c r="G11" s="17">
        <v>1.7900675590179413</v>
      </c>
      <c r="H11" s="17">
        <v>9.6899224806201556E-2</v>
      </c>
      <c r="I11" s="21" t="s">
        <v>107</v>
      </c>
      <c r="J11" s="17">
        <v>0.29603627573182251</v>
      </c>
      <c r="K11" s="17">
        <v>9.6899224806201556E-2</v>
      </c>
      <c r="L11" s="18" t="s">
        <v>116</v>
      </c>
    </row>
    <row r="12" spans="1:12" ht="90.75" customHeight="1" x14ac:dyDescent="0.2">
      <c r="A12" s="13" t="s">
        <v>13</v>
      </c>
      <c r="B12" s="14" t="s">
        <v>14</v>
      </c>
      <c r="C12" s="16">
        <v>3.3522803362328144</v>
      </c>
      <c r="D12" s="16">
        <v>3.6858268072289162</v>
      </c>
      <c r="E12" s="16">
        <v>3.277072657877611</v>
      </c>
      <c r="F12" s="16">
        <v>0.58534685766018868</v>
      </c>
      <c r="G12" s="17">
        <v>0.41792168674698793</v>
      </c>
      <c r="H12" s="17">
        <v>0.27415538251451566</v>
      </c>
      <c r="I12" s="17">
        <v>0.30269462448460754</v>
      </c>
      <c r="J12" s="17">
        <v>0.44845381526104411</v>
      </c>
      <c r="K12" s="17">
        <v>0.44198434291313549</v>
      </c>
      <c r="L12" s="18" t="s">
        <v>117</v>
      </c>
    </row>
    <row r="13" spans="1:12" ht="30" customHeight="1" x14ac:dyDescent="0.2">
      <c r="A13" s="13" t="s">
        <v>15</v>
      </c>
      <c r="B13" s="20">
        <v>19</v>
      </c>
      <c r="C13" s="21">
        <v>5.8823529411764701</v>
      </c>
      <c r="D13" s="21">
        <v>3.125</v>
      </c>
      <c r="E13" s="21">
        <v>6.4516129032258061</v>
      </c>
      <c r="F13" s="21">
        <v>2.9411764705882351</v>
      </c>
      <c r="G13" s="17">
        <v>3.125</v>
      </c>
      <c r="H13" s="21" t="s">
        <v>107</v>
      </c>
      <c r="I13" s="17">
        <v>2.9411764705882351</v>
      </c>
      <c r="J13" s="17">
        <v>3.125</v>
      </c>
      <c r="K13" s="21" t="s">
        <v>107</v>
      </c>
      <c r="L13" s="18" t="s">
        <v>118</v>
      </c>
    </row>
    <row r="14" spans="1:12" ht="30" customHeight="1" x14ac:dyDescent="0.2">
      <c r="A14" s="13" t="s">
        <v>16</v>
      </c>
      <c r="B14" s="20">
        <v>20</v>
      </c>
      <c r="C14" s="21">
        <v>5.4473306584394328</v>
      </c>
      <c r="D14" s="21">
        <v>1.5178</v>
      </c>
      <c r="E14" s="21">
        <v>3.3066037735849054</v>
      </c>
      <c r="F14" s="21" t="s">
        <v>107</v>
      </c>
      <c r="G14" s="21" t="s">
        <v>107</v>
      </c>
      <c r="H14" s="21" t="s">
        <v>107</v>
      </c>
      <c r="I14" s="21" t="s">
        <v>107</v>
      </c>
      <c r="J14" s="21" t="s">
        <v>107</v>
      </c>
      <c r="K14" s="21" t="s">
        <v>107</v>
      </c>
      <c r="L14" s="18" t="s">
        <v>119</v>
      </c>
    </row>
    <row r="15" spans="1:12" ht="30" customHeight="1" x14ac:dyDescent="0.2">
      <c r="A15" s="13" t="s">
        <v>17</v>
      </c>
      <c r="B15" s="20">
        <v>21</v>
      </c>
      <c r="C15" s="21">
        <v>5.8035742447468186</v>
      </c>
      <c r="D15" s="21">
        <v>3.0927835051546393</v>
      </c>
      <c r="E15" s="21">
        <v>2.7522935779816518</v>
      </c>
      <c r="F15" s="21" t="s">
        <v>107</v>
      </c>
      <c r="G15" s="21" t="s">
        <v>107</v>
      </c>
      <c r="H15" s="21" t="s">
        <v>107</v>
      </c>
      <c r="I15" s="21" t="s">
        <v>107</v>
      </c>
      <c r="J15" s="21" t="s">
        <v>107</v>
      </c>
      <c r="K15" s="21" t="s">
        <v>107</v>
      </c>
      <c r="L15" s="18" t="s">
        <v>120</v>
      </c>
    </row>
    <row r="16" spans="1:12" ht="27.75" customHeight="1" x14ac:dyDescent="0.2">
      <c r="A16" s="13" t="s">
        <v>18</v>
      </c>
      <c r="B16" s="20" t="s">
        <v>19</v>
      </c>
      <c r="C16" s="21">
        <v>2.5667715119867096</v>
      </c>
      <c r="D16" s="21">
        <v>4.3593093922651933</v>
      </c>
      <c r="E16" s="21">
        <v>3.2362746161486609</v>
      </c>
      <c r="F16" s="21">
        <v>0.73778969868173583</v>
      </c>
      <c r="G16" s="17">
        <v>0.5058701657458563</v>
      </c>
      <c r="H16" s="17">
        <v>0.39156133220182532</v>
      </c>
      <c r="I16" s="17">
        <v>0.35340241594150185</v>
      </c>
      <c r="J16" s="17">
        <v>0.54787292817679556</v>
      </c>
      <c r="K16" s="17">
        <v>0.6312623758691025</v>
      </c>
      <c r="L16" s="18" t="s">
        <v>20</v>
      </c>
    </row>
    <row r="17" spans="1:12" ht="37.5" customHeight="1" x14ac:dyDescent="0.2">
      <c r="A17" s="19" t="s">
        <v>21</v>
      </c>
      <c r="B17" s="14" t="s">
        <v>22</v>
      </c>
      <c r="C17" s="16">
        <v>3.9117301412161334</v>
      </c>
      <c r="D17" s="16">
        <v>5.0004320987654323</v>
      </c>
      <c r="E17" s="16">
        <v>4.9625432798237323</v>
      </c>
      <c r="F17" s="16">
        <v>0.53009616025602468</v>
      </c>
      <c r="G17" s="17">
        <v>1.1048236331569663</v>
      </c>
      <c r="H17" s="17">
        <v>0.66729619137551144</v>
      </c>
      <c r="I17" s="21" t="s">
        <v>107</v>
      </c>
      <c r="J17" s="17">
        <v>0.62687830687830681</v>
      </c>
      <c r="K17" s="17">
        <v>9.442870632672333E-2</v>
      </c>
      <c r="L17" s="18" t="s">
        <v>121</v>
      </c>
    </row>
    <row r="18" spans="1:12" ht="43.5" customHeight="1" x14ac:dyDescent="0.2">
      <c r="A18" s="13" t="s">
        <v>23</v>
      </c>
      <c r="B18" s="14" t="s">
        <v>24</v>
      </c>
      <c r="C18" s="16">
        <v>3.5540414048474274</v>
      </c>
      <c r="D18" s="16">
        <v>5.169766962934947</v>
      </c>
      <c r="E18" s="16">
        <v>5.4338289665647421</v>
      </c>
      <c r="F18" s="16">
        <v>0.55146197910137995</v>
      </c>
      <c r="G18" s="17">
        <v>0.77993940998487132</v>
      </c>
      <c r="H18" s="17">
        <v>1.1674460898934786</v>
      </c>
      <c r="I18" s="17">
        <v>0.16021978055089733</v>
      </c>
      <c r="J18" s="17">
        <v>0.63515937972768544</v>
      </c>
      <c r="K18" s="17">
        <v>0.8089114055598855</v>
      </c>
      <c r="L18" s="18" t="s">
        <v>112</v>
      </c>
    </row>
    <row r="19" spans="1:12" ht="31.5" customHeight="1" x14ac:dyDescent="0.2">
      <c r="A19" s="13" t="s">
        <v>25</v>
      </c>
      <c r="B19" s="20">
        <v>26</v>
      </c>
      <c r="C19" s="21">
        <v>2.320350171219999</v>
      </c>
      <c r="D19" s="21">
        <v>6.7307692307692308</v>
      </c>
      <c r="E19" s="21">
        <v>7.1065989847715745</v>
      </c>
      <c r="F19" s="21" t="s">
        <v>107</v>
      </c>
      <c r="G19" s="17">
        <v>1.7912087912087913</v>
      </c>
      <c r="H19" s="17">
        <v>1.7766497461928936</v>
      </c>
      <c r="I19" s="21" t="s">
        <v>107</v>
      </c>
      <c r="J19" s="17">
        <v>1.7912087912087913</v>
      </c>
      <c r="K19" s="17">
        <v>1.7766497461928936</v>
      </c>
      <c r="L19" s="18" t="s">
        <v>26</v>
      </c>
    </row>
    <row r="20" spans="1:12" ht="20.25" customHeight="1" x14ac:dyDescent="0.2">
      <c r="A20" s="13" t="s">
        <v>27</v>
      </c>
      <c r="B20" s="20">
        <v>27</v>
      </c>
      <c r="C20" s="21">
        <v>2.7529585804600036</v>
      </c>
      <c r="D20" s="21">
        <v>6.0707627118644059</v>
      </c>
      <c r="E20" s="21">
        <v>4.9583858764186628</v>
      </c>
      <c r="F20" s="21" t="s">
        <v>107</v>
      </c>
      <c r="G20" s="21" t="s">
        <v>107</v>
      </c>
      <c r="H20" s="21" t="s">
        <v>107</v>
      </c>
      <c r="I20" s="21" t="s">
        <v>107</v>
      </c>
      <c r="J20" s="21" t="s">
        <v>107</v>
      </c>
      <c r="K20" s="21" t="s">
        <v>107</v>
      </c>
      <c r="L20" s="18" t="s">
        <v>28</v>
      </c>
    </row>
    <row r="21" spans="1:12" ht="20.25" customHeight="1" x14ac:dyDescent="0.2">
      <c r="A21" s="13" t="s">
        <v>29</v>
      </c>
      <c r="B21" s="20">
        <v>28</v>
      </c>
      <c r="C21" s="21">
        <v>3.7318370559104044</v>
      </c>
      <c r="D21" s="21">
        <v>4.712253333333333</v>
      </c>
      <c r="E21" s="21">
        <v>4.5701248799231511</v>
      </c>
      <c r="F21" s="21">
        <v>1.2312762166652371</v>
      </c>
      <c r="G21" s="17">
        <v>0.56265333333333334</v>
      </c>
      <c r="H21" s="17">
        <v>2.1407300672430356</v>
      </c>
      <c r="I21" s="17">
        <v>0.5722860871897274</v>
      </c>
      <c r="J21" s="17">
        <v>1.1253066666666667</v>
      </c>
      <c r="K21" s="17">
        <v>2.1407300672430356</v>
      </c>
      <c r="L21" s="18" t="s">
        <v>122</v>
      </c>
    </row>
    <row r="22" spans="1:12" ht="43.5" customHeight="1" x14ac:dyDescent="0.2">
      <c r="A22" s="13" t="s">
        <v>30</v>
      </c>
      <c r="B22" s="20" t="s">
        <v>31</v>
      </c>
      <c r="C22" s="21">
        <v>2.1230932594363443</v>
      </c>
      <c r="D22" s="21">
        <v>5.2229288135593226</v>
      </c>
      <c r="E22" s="21">
        <v>6.3607843137254898</v>
      </c>
      <c r="F22" s="21">
        <v>0.65146579804560267</v>
      </c>
      <c r="G22" s="17">
        <v>2.8117830508474575</v>
      </c>
      <c r="H22" s="17">
        <v>0.78431372549019607</v>
      </c>
      <c r="I22" s="21" t="s">
        <v>107</v>
      </c>
      <c r="J22" s="17">
        <v>0.45677288135593225</v>
      </c>
      <c r="K22" s="21" t="s">
        <v>107</v>
      </c>
      <c r="L22" s="18" t="s">
        <v>123</v>
      </c>
    </row>
    <row r="23" spans="1:12" ht="27" customHeight="1" x14ac:dyDescent="0.2">
      <c r="A23" s="13" t="s">
        <v>32</v>
      </c>
      <c r="B23" s="20" t="s">
        <v>33</v>
      </c>
      <c r="C23" s="21">
        <v>4.1513195678166293</v>
      </c>
      <c r="D23" s="21">
        <v>4.9840708298052494</v>
      </c>
      <c r="E23" s="21">
        <v>5.5939289410141431</v>
      </c>
      <c r="F23" s="21">
        <v>0.3344082672154583</v>
      </c>
      <c r="G23" s="17">
        <v>0.55087976291278584</v>
      </c>
      <c r="H23" s="17">
        <v>0.86098654708520184</v>
      </c>
      <c r="I23" s="21" t="s">
        <v>107</v>
      </c>
      <c r="J23" s="17">
        <v>0.34003640982218458</v>
      </c>
      <c r="K23" s="17">
        <v>0.21524663677130046</v>
      </c>
      <c r="L23" s="18" t="s">
        <v>124</v>
      </c>
    </row>
    <row r="24" spans="1:12" ht="42.75" customHeight="1" x14ac:dyDescent="0.2">
      <c r="A24" s="13" t="s">
        <v>34</v>
      </c>
      <c r="B24" s="20" t="s">
        <v>35</v>
      </c>
      <c r="C24" s="21">
        <v>0.4086608088003516</v>
      </c>
      <c r="D24" s="21">
        <v>1.4640088593576965</v>
      </c>
      <c r="E24" s="21">
        <v>1.0212814531664971</v>
      </c>
      <c r="F24" s="21" t="s">
        <v>107</v>
      </c>
      <c r="G24" s="21" t="s">
        <v>107</v>
      </c>
      <c r="H24" s="21">
        <v>0.28546247931041896</v>
      </c>
      <c r="I24" s="21" t="s">
        <v>107</v>
      </c>
      <c r="J24" s="21" t="s">
        <v>107</v>
      </c>
      <c r="K24" s="21" t="s">
        <v>107</v>
      </c>
      <c r="L24" s="18" t="s">
        <v>36</v>
      </c>
    </row>
    <row r="25" spans="1:12" ht="31.5" customHeight="1" x14ac:dyDescent="0.2">
      <c r="A25" s="13" t="s">
        <v>37</v>
      </c>
      <c r="B25" s="14" t="s">
        <v>38</v>
      </c>
      <c r="C25" s="16">
        <v>0.90268191255790176</v>
      </c>
      <c r="D25" s="16">
        <v>2.8927576601671312</v>
      </c>
      <c r="E25" s="16">
        <v>1.6576520888064699</v>
      </c>
      <c r="F25" s="21" t="s">
        <v>107</v>
      </c>
      <c r="G25" s="21" t="s">
        <v>107</v>
      </c>
      <c r="H25" s="21">
        <v>0.68407767990521817</v>
      </c>
      <c r="I25" s="21" t="s">
        <v>107</v>
      </c>
      <c r="J25" s="21" t="s">
        <v>107</v>
      </c>
      <c r="K25" s="21" t="s">
        <v>107</v>
      </c>
      <c r="L25" s="18" t="s">
        <v>39</v>
      </c>
    </row>
    <row r="26" spans="1:12" ht="31.5" customHeight="1" x14ac:dyDescent="0.2">
      <c r="A26" s="13" t="s">
        <v>40</v>
      </c>
      <c r="B26" s="14" t="s">
        <v>41</v>
      </c>
      <c r="C26" s="16">
        <v>8.4459459459459457E-2</v>
      </c>
      <c r="D26" s="16">
        <v>0.52113970588235292</v>
      </c>
      <c r="E26" s="16">
        <v>0.56555387644823008</v>
      </c>
      <c r="F26" s="21" t="s">
        <v>107</v>
      </c>
      <c r="G26" s="21" t="s">
        <v>107</v>
      </c>
      <c r="H26" s="21" t="s">
        <v>107</v>
      </c>
      <c r="I26" s="21" t="s">
        <v>107</v>
      </c>
      <c r="J26" s="21" t="s">
        <v>107</v>
      </c>
      <c r="K26" s="21" t="s">
        <v>107</v>
      </c>
      <c r="L26" s="18" t="s">
        <v>42</v>
      </c>
    </row>
    <row r="27" spans="1:12" ht="15.75" customHeight="1" x14ac:dyDescent="0.2">
      <c r="A27" s="13" t="s">
        <v>43</v>
      </c>
      <c r="B27" s="14" t="s">
        <v>44</v>
      </c>
      <c r="C27" s="16">
        <v>1.1714149696094094</v>
      </c>
      <c r="D27" s="16">
        <v>1.5569312921890071</v>
      </c>
      <c r="E27" s="16">
        <v>0.97899441709095369</v>
      </c>
      <c r="F27" s="21" t="s">
        <v>107</v>
      </c>
      <c r="G27" s="21" t="s">
        <v>107</v>
      </c>
      <c r="H27" s="21" t="s">
        <v>107</v>
      </c>
      <c r="I27" s="21" t="s">
        <v>107</v>
      </c>
      <c r="J27" s="21" t="s">
        <v>107</v>
      </c>
      <c r="K27" s="21" t="s">
        <v>107</v>
      </c>
      <c r="L27" s="18" t="s">
        <v>45</v>
      </c>
    </row>
    <row r="28" spans="1:12" ht="26.25" customHeight="1" x14ac:dyDescent="0.2">
      <c r="A28" s="13" t="s">
        <v>46</v>
      </c>
      <c r="B28" s="14" t="s">
        <v>47</v>
      </c>
      <c r="C28" s="16">
        <v>7.1437283497050013</v>
      </c>
      <c r="D28" s="16">
        <v>8.0717523401534557</v>
      </c>
      <c r="E28" s="16">
        <v>9.461418201805964</v>
      </c>
      <c r="F28" s="16">
        <v>0.29714213864506323</v>
      </c>
      <c r="G28" s="17">
        <v>0.16207583478260867</v>
      </c>
      <c r="H28" s="17">
        <v>0.34941669498244421</v>
      </c>
      <c r="I28" s="17">
        <v>0.29714213864506323</v>
      </c>
      <c r="J28" s="17">
        <v>4.8636010230179036E-2</v>
      </c>
      <c r="K28" s="17">
        <v>0.21463359383848682</v>
      </c>
      <c r="L28" s="18" t="s">
        <v>48</v>
      </c>
    </row>
    <row r="29" spans="1:12" ht="39" customHeight="1" x14ac:dyDescent="0.2">
      <c r="A29" s="13" t="s">
        <v>49</v>
      </c>
      <c r="B29" s="20">
        <v>45</v>
      </c>
      <c r="C29" s="21">
        <v>5.977559212786562</v>
      </c>
      <c r="D29" s="21">
        <v>7.5736377970297042</v>
      </c>
      <c r="E29" s="21">
        <v>9.5473684210526297</v>
      </c>
      <c r="F29" s="21">
        <v>0.5573442842644305</v>
      </c>
      <c r="G29" s="17">
        <v>0.31555171782178215</v>
      </c>
      <c r="H29" s="17">
        <v>1.1157894736842104</v>
      </c>
      <c r="I29" s="17">
        <v>0.5573442842644305</v>
      </c>
      <c r="J29" s="17">
        <v>0.37169999999999997</v>
      </c>
      <c r="K29" s="17">
        <v>0.45263157894736838</v>
      </c>
      <c r="L29" s="18" t="s">
        <v>125</v>
      </c>
    </row>
    <row r="30" spans="1:12" ht="28.5" customHeight="1" x14ac:dyDescent="0.2">
      <c r="A30" s="13" t="s">
        <v>50</v>
      </c>
      <c r="B30" s="20">
        <v>46</v>
      </c>
      <c r="C30" s="21">
        <v>7.0049729279672661</v>
      </c>
      <c r="D30" s="21">
        <v>8.1860511783248295</v>
      </c>
      <c r="E30" s="21">
        <v>9.2454631942595391</v>
      </c>
      <c r="F30" s="21">
        <v>0.34040331625404835</v>
      </c>
      <c r="G30" s="17">
        <v>0.18997058691083757</v>
      </c>
      <c r="H30" s="17">
        <v>0.25923471923140634</v>
      </c>
      <c r="I30" s="17">
        <v>0.34040331625404835</v>
      </c>
      <c r="J30" s="17">
        <v>1.5010507355148604E-2</v>
      </c>
      <c r="K30" s="17">
        <v>0.24267020043067747</v>
      </c>
      <c r="L30" s="18" t="s">
        <v>51</v>
      </c>
    </row>
    <row r="31" spans="1:12" ht="27.75" customHeight="1" x14ac:dyDescent="0.2">
      <c r="A31" s="13" t="s">
        <v>52</v>
      </c>
      <c r="B31" s="20">
        <v>47</v>
      </c>
      <c r="C31" s="21">
        <v>8.1230800131657546</v>
      </c>
      <c r="D31" s="21">
        <v>7.9488977650974819</v>
      </c>
      <c r="E31" s="21">
        <v>10.12486427795875</v>
      </c>
      <c r="F31" s="21">
        <v>4.0518638573743923E-2</v>
      </c>
      <c r="G31" s="21" t="s">
        <v>107</v>
      </c>
      <c r="H31" s="21">
        <v>0.249728555917481</v>
      </c>
      <c r="I31" s="21">
        <v>4.0518638573743923E-2</v>
      </c>
      <c r="J31" s="21" t="s">
        <v>107</v>
      </c>
      <c r="K31" s="21" t="s">
        <v>107</v>
      </c>
      <c r="L31" s="18" t="s">
        <v>53</v>
      </c>
    </row>
    <row r="32" spans="1:12" ht="28.5" customHeight="1" x14ac:dyDescent="0.2">
      <c r="A32" s="13" t="s">
        <v>54</v>
      </c>
      <c r="B32" s="14" t="s">
        <v>55</v>
      </c>
      <c r="C32" s="16">
        <v>2.4514373245966099</v>
      </c>
      <c r="D32" s="16">
        <v>3.5139582721128417</v>
      </c>
      <c r="E32" s="16">
        <v>4.6806345405567198</v>
      </c>
      <c r="F32" s="16">
        <v>0.52201014274750712</v>
      </c>
      <c r="G32" s="17">
        <v>1.6940934469585656</v>
      </c>
      <c r="H32" s="17">
        <v>2.5088296917090696</v>
      </c>
      <c r="I32" s="17">
        <v>7.6824583866837381E-2</v>
      </c>
      <c r="J32" s="17">
        <v>0.75609756097560976</v>
      </c>
      <c r="K32" s="17">
        <v>0.39688715953307391</v>
      </c>
      <c r="L32" s="18" t="s">
        <v>56</v>
      </c>
    </row>
    <row r="33" spans="1:12" ht="29.25" customHeight="1" x14ac:dyDescent="0.2">
      <c r="A33" s="13" t="s">
        <v>57</v>
      </c>
      <c r="B33" s="14" t="s">
        <v>58</v>
      </c>
      <c r="C33" s="16">
        <v>14.141117231005754</v>
      </c>
      <c r="D33" s="16">
        <v>10.793057441860471</v>
      </c>
      <c r="E33" s="16">
        <v>14.118645151391156</v>
      </c>
      <c r="F33" s="16">
        <v>5.0366913633535448</v>
      </c>
      <c r="G33" s="17">
        <v>5.1429767441860479</v>
      </c>
      <c r="H33" s="17">
        <v>6.0417220744680851</v>
      </c>
      <c r="I33" s="17">
        <v>4.8396375833958212</v>
      </c>
      <c r="J33" s="17">
        <v>4.008393488372092</v>
      </c>
      <c r="K33" s="17">
        <v>5.6002327127659566</v>
      </c>
      <c r="L33" s="18" t="s">
        <v>59</v>
      </c>
    </row>
    <row r="34" spans="1:12" ht="17.25" customHeight="1" x14ac:dyDescent="0.2">
      <c r="A34" s="13" t="s">
        <v>60</v>
      </c>
      <c r="B34" s="20">
        <v>55</v>
      </c>
      <c r="C34" s="21">
        <v>28.388599961810151</v>
      </c>
      <c r="D34" s="21">
        <v>23.006405693950192</v>
      </c>
      <c r="E34" s="21">
        <v>31.726593625497994</v>
      </c>
      <c r="F34" s="21">
        <v>15.187764248795526</v>
      </c>
      <c r="G34" s="17">
        <v>14.589198576512457</v>
      </c>
      <c r="H34" s="17">
        <v>18.101095617529882</v>
      </c>
      <c r="I34" s="17">
        <v>14.565033569497601</v>
      </c>
      <c r="J34" s="17">
        <v>11.404526690391457</v>
      </c>
      <c r="K34" s="17">
        <v>16.778386454183266</v>
      </c>
      <c r="L34" s="18" t="s">
        <v>126</v>
      </c>
    </row>
    <row r="35" spans="1:12" ht="17.25" customHeight="1" x14ac:dyDescent="0.2">
      <c r="A35" s="13" t="s">
        <v>61</v>
      </c>
      <c r="B35" s="14" t="s">
        <v>62</v>
      </c>
      <c r="C35" s="16">
        <v>9.1937342088241163</v>
      </c>
      <c r="D35" s="16">
        <v>10.087563451776651</v>
      </c>
      <c r="E35" s="16">
        <v>9.6540515559207165</v>
      </c>
      <c r="F35" s="16">
        <v>1.4957952019475005</v>
      </c>
      <c r="G35" s="17">
        <v>2.2328680203045685</v>
      </c>
      <c r="H35" s="17">
        <v>2.6770052377529012</v>
      </c>
      <c r="I35" s="17">
        <v>0.92739612955744488</v>
      </c>
      <c r="J35" s="17">
        <v>1.5850253807106598</v>
      </c>
      <c r="K35" s="17">
        <v>2.9279038718291055</v>
      </c>
      <c r="L35" s="18" t="s">
        <v>63</v>
      </c>
    </row>
    <row r="36" spans="1:12" ht="53.25" customHeight="1" x14ac:dyDescent="0.2">
      <c r="A36" s="19" t="s">
        <v>64</v>
      </c>
      <c r="B36" s="14" t="s">
        <v>65</v>
      </c>
      <c r="C36" s="16">
        <v>9.1713669968132159</v>
      </c>
      <c r="D36" s="16">
        <v>10.215962441314556</v>
      </c>
      <c r="E36" s="16">
        <v>10.945273631840797</v>
      </c>
      <c r="F36" s="21" t="s">
        <v>107</v>
      </c>
      <c r="G36" s="21">
        <v>2.035211267605634</v>
      </c>
      <c r="H36" s="21">
        <v>2.08955223880597</v>
      </c>
      <c r="I36" s="21" t="s">
        <v>107</v>
      </c>
      <c r="J36" s="21">
        <v>1.068075117370892</v>
      </c>
      <c r="K36" s="21">
        <v>1.3930348258706466</v>
      </c>
      <c r="L36" s="18" t="s">
        <v>127</v>
      </c>
    </row>
    <row r="37" spans="1:12" ht="18.75" customHeight="1" x14ac:dyDescent="0.2">
      <c r="A37" s="13" t="s">
        <v>66</v>
      </c>
      <c r="B37" s="20">
        <v>61</v>
      </c>
      <c r="C37" s="21">
        <v>10.024734312164419</v>
      </c>
      <c r="D37" s="21">
        <v>8.2572347266881021</v>
      </c>
      <c r="E37" s="21">
        <v>8.569280881984465</v>
      </c>
      <c r="F37" s="21" t="s">
        <v>107</v>
      </c>
      <c r="G37" s="21" t="s">
        <v>107</v>
      </c>
      <c r="H37" s="21">
        <v>1.5835630167877721</v>
      </c>
      <c r="I37" s="21" t="s">
        <v>107</v>
      </c>
      <c r="J37" s="21">
        <v>1.9839228295819935</v>
      </c>
      <c r="K37" s="21" t="s">
        <v>107</v>
      </c>
      <c r="L37" s="18" t="s">
        <v>128</v>
      </c>
    </row>
    <row r="38" spans="1:12" ht="43.5" customHeight="1" x14ac:dyDescent="0.2">
      <c r="A38" s="13" t="s">
        <v>67</v>
      </c>
      <c r="B38" s="20" t="s">
        <v>68</v>
      </c>
      <c r="C38" s="21">
        <v>8.8691992732549476</v>
      </c>
      <c r="D38" s="21">
        <v>10.700834326579262</v>
      </c>
      <c r="E38" s="21">
        <v>9.4182509505703429</v>
      </c>
      <c r="F38" s="21">
        <v>3.1083744143144316</v>
      </c>
      <c r="G38" s="21">
        <v>3.1609058402860546</v>
      </c>
      <c r="H38" s="21">
        <v>3.4017743979721167</v>
      </c>
      <c r="I38" s="21">
        <v>1.9271985879466478</v>
      </c>
      <c r="J38" s="21">
        <v>1.6996424314660312</v>
      </c>
      <c r="K38" s="21">
        <v>4.8491761723700888</v>
      </c>
      <c r="L38" s="18" t="s">
        <v>129</v>
      </c>
    </row>
    <row r="39" spans="1:12" ht="20.25" customHeight="1" x14ac:dyDescent="0.2">
      <c r="A39" s="13" t="s">
        <v>69</v>
      </c>
      <c r="B39" s="14" t="s">
        <v>70</v>
      </c>
      <c r="C39" s="16">
        <v>1.3859288372045573</v>
      </c>
      <c r="D39" s="16">
        <v>1.1833626244874047</v>
      </c>
      <c r="E39" s="16">
        <v>1.2160898035547241</v>
      </c>
      <c r="F39" s="16">
        <v>0.27672997566101554</v>
      </c>
      <c r="G39" s="21">
        <v>0.19722710408123412</v>
      </c>
      <c r="H39" s="21">
        <v>0.30402245088868102</v>
      </c>
      <c r="I39" s="21" t="s">
        <v>107</v>
      </c>
      <c r="J39" s="21">
        <v>0.19722710408123412</v>
      </c>
      <c r="K39" s="21">
        <v>0.30402245088868102</v>
      </c>
      <c r="L39" s="18" t="s">
        <v>71</v>
      </c>
    </row>
    <row r="40" spans="1:12" ht="18" customHeight="1" x14ac:dyDescent="0.2">
      <c r="A40" s="13" t="s">
        <v>72</v>
      </c>
      <c r="B40" s="14" t="s">
        <v>73</v>
      </c>
      <c r="C40" s="16">
        <v>2.5457548357552779</v>
      </c>
      <c r="D40" s="16">
        <v>2.2300248504371836</v>
      </c>
      <c r="E40" s="16">
        <v>1.8692255892255889</v>
      </c>
      <c r="F40" s="16">
        <v>0.7982837173358126</v>
      </c>
      <c r="G40" s="21">
        <v>0.53176714219972387</v>
      </c>
      <c r="H40" s="21">
        <v>0.30123456790123454</v>
      </c>
      <c r="I40" s="21">
        <v>0.32186410816887079</v>
      </c>
      <c r="J40" s="21">
        <v>0.53176714219972387</v>
      </c>
      <c r="K40" s="21">
        <v>4.938271604938272E-2</v>
      </c>
      <c r="L40" s="18" t="s">
        <v>130</v>
      </c>
    </row>
    <row r="41" spans="1:12" ht="78.75" customHeight="1" x14ac:dyDescent="0.2">
      <c r="A41" s="13" t="s">
        <v>74</v>
      </c>
      <c r="B41" s="20" t="s">
        <v>75</v>
      </c>
      <c r="C41" s="21">
        <v>1.2238509231713959</v>
      </c>
      <c r="D41" s="21">
        <v>1.6097163781624499</v>
      </c>
      <c r="E41" s="21">
        <v>1.485409252669039</v>
      </c>
      <c r="F41" s="21" t="s">
        <v>107</v>
      </c>
      <c r="G41" s="21"/>
      <c r="H41" s="21">
        <v>7.1174377224199295E-2</v>
      </c>
      <c r="I41" s="21" t="s">
        <v>107</v>
      </c>
      <c r="J41" s="21"/>
      <c r="K41" s="21">
        <v>7.1174377224199295E-2</v>
      </c>
      <c r="L41" s="18" t="s">
        <v>131</v>
      </c>
    </row>
    <row r="42" spans="1:12" ht="15" customHeight="1" x14ac:dyDescent="0.2">
      <c r="A42" s="13" t="s">
        <v>76</v>
      </c>
      <c r="B42" s="20">
        <v>72</v>
      </c>
      <c r="C42" s="21">
        <v>3.6164080858811944</v>
      </c>
      <c r="D42" s="21">
        <v>3.6729166666666666</v>
      </c>
      <c r="E42" s="21">
        <v>2.481467030823254</v>
      </c>
      <c r="F42" s="21" t="s">
        <v>107</v>
      </c>
      <c r="G42" s="21">
        <v>2.2843749999999998</v>
      </c>
      <c r="H42" s="21" t="s">
        <v>107</v>
      </c>
      <c r="I42" s="21" t="s">
        <v>107</v>
      </c>
      <c r="J42" s="21">
        <v>2.2843749999999998</v>
      </c>
      <c r="K42" s="21" t="s">
        <v>107</v>
      </c>
      <c r="L42" s="18" t="s">
        <v>132</v>
      </c>
    </row>
    <row r="43" spans="1:12" ht="45" customHeight="1" x14ac:dyDescent="0.2">
      <c r="A43" s="13" t="s">
        <v>77</v>
      </c>
      <c r="B43" s="20" t="s">
        <v>78</v>
      </c>
      <c r="C43" s="21">
        <v>6.6257814131617341</v>
      </c>
      <c r="D43" s="21">
        <v>3.8092364532019705</v>
      </c>
      <c r="E43" s="21">
        <v>3.0601092896174862</v>
      </c>
      <c r="F43" s="21">
        <v>4.0351202500368633</v>
      </c>
      <c r="G43" s="21">
        <v>1.4957635467980295</v>
      </c>
      <c r="H43" s="21">
        <v>1.3934426229508194</v>
      </c>
      <c r="I43" s="21">
        <v>1.6269408387368105</v>
      </c>
      <c r="J43" s="21">
        <v>1.4957635467980295</v>
      </c>
      <c r="K43" s="21" t="s">
        <v>107</v>
      </c>
      <c r="L43" s="18" t="s">
        <v>79</v>
      </c>
    </row>
    <row r="44" spans="1:12" ht="27.75" customHeight="1" x14ac:dyDescent="0.2">
      <c r="A44" s="13" t="s">
        <v>80</v>
      </c>
      <c r="B44" s="14" t="s">
        <v>81</v>
      </c>
      <c r="C44" s="16">
        <v>2.685864449120968</v>
      </c>
      <c r="D44" s="16">
        <v>2.3551310961214167</v>
      </c>
      <c r="E44" s="16">
        <v>2.5100277054128934</v>
      </c>
      <c r="F44" s="16">
        <v>0.31274939536654617</v>
      </c>
      <c r="G44" s="21">
        <v>0.66789669477234404</v>
      </c>
      <c r="H44" s="21">
        <v>0.73109208948434845</v>
      </c>
      <c r="I44" s="21">
        <v>0.25117178419505048</v>
      </c>
      <c r="J44" s="21">
        <v>0.64953851602023616</v>
      </c>
      <c r="K44" s="21">
        <v>0.55245420336600093</v>
      </c>
      <c r="L44" s="18" t="s">
        <v>82</v>
      </c>
    </row>
    <row r="45" spans="1:12" ht="78" customHeight="1" x14ac:dyDescent="0.2">
      <c r="A45" s="13" t="s">
        <v>83</v>
      </c>
      <c r="B45" s="14" t="s">
        <v>84</v>
      </c>
      <c r="C45" s="16">
        <v>1.6565456305915482</v>
      </c>
      <c r="D45" s="16">
        <v>1.3177898817802502</v>
      </c>
      <c r="E45" s="16">
        <v>1.4412115024672454</v>
      </c>
      <c r="F45" s="21" t="s">
        <v>107</v>
      </c>
      <c r="G45" s="21">
        <v>0.22194495827538244</v>
      </c>
      <c r="H45" s="21">
        <v>0.20078271226816402</v>
      </c>
      <c r="I45" s="21" t="s">
        <v>107</v>
      </c>
      <c r="J45" s="21">
        <v>0.38556387343532683</v>
      </c>
      <c r="K45" s="21">
        <v>0.20078271226816402</v>
      </c>
      <c r="L45" s="18" t="s">
        <v>137</v>
      </c>
    </row>
    <row r="46" spans="1:12" ht="41.25" customHeight="1" x14ac:dyDescent="0.2">
      <c r="A46" s="13" t="s">
        <v>85</v>
      </c>
      <c r="B46" s="20">
        <v>79</v>
      </c>
      <c r="C46" s="21">
        <v>28.967804948905485</v>
      </c>
      <c r="D46" s="21">
        <v>35.876404494382029</v>
      </c>
      <c r="E46" s="21">
        <v>39.733333333333334</v>
      </c>
      <c r="F46" s="21">
        <v>8.2982839570590237</v>
      </c>
      <c r="G46" s="21">
        <v>15.078651685393258</v>
      </c>
      <c r="H46" s="21">
        <v>19.2</v>
      </c>
      <c r="I46" s="21">
        <v>6.664424673975339</v>
      </c>
      <c r="J46" s="21">
        <v>9.1797752808988768</v>
      </c>
      <c r="K46" s="21">
        <v>12.8</v>
      </c>
      <c r="L46" s="18" t="s">
        <v>133</v>
      </c>
    </row>
    <row r="47" spans="1:12" ht="25.5" customHeight="1" x14ac:dyDescent="0.2">
      <c r="A47" s="13" t="s">
        <v>86</v>
      </c>
      <c r="B47" s="14" t="s">
        <v>87</v>
      </c>
      <c r="C47" s="16">
        <v>6.790192863757337</v>
      </c>
      <c r="D47" s="16">
        <v>8.2795062500000007</v>
      </c>
      <c r="E47" s="16">
        <v>10.882352941176471</v>
      </c>
      <c r="F47" s="21" t="s">
        <v>107</v>
      </c>
      <c r="G47" s="21">
        <v>2.1224583333333333</v>
      </c>
      <c r="H47" s="21" t="s">
        <v>107</v>
      </c>
      <c r="I47" s="21" t="s">
        <v>107</v>
      </c>
      <c r="J47" s="21" t="s">
        <v>107</v>
      </c>
      <c r="K47" s="21" t="s">
        <v>107</v>
      </c>
      <c r="L47" s="18" t="s">
        <v>88</v>
      </c>
    </row>
    <row r="48" spans="1:12" ht="53.25" customHeight="1" x14ac:dyDescent="0.2">
      <c r="A48" s="13" t="s">
        <v>89</v>
      </c>
      <c r="B48" s="14" t="s">
        <v>90</v>
      </c>
      <c r="C48" s="16">
        <v>9.9878237015104325</v>
      </c>
      <c r="D48" s="16">
        <v>10.519850277777778</v>
      </c>
      <c r="E48" s="16">
        <v>9.6686432767803208</v>
      </c>
      <c r="F48" s="16">
        <v>0.77921110970960461</v>
      </c>
      <c r="G48" s="21">
        <v>1.9818597222222221</v>
      </c>
      <c r="H48" s="21">
        <v>2.5340141657058144</v>
      </c>
      <c r="I48" s="21">
        <v>1.6740641294875742</v>
      </c>
      <c r="J48" s="21">
        <v>1.4881944444444444</v>
      </c>
      <c r="K48" s="21">
        <v>3.3269093504639544</v>
      </c>
      <c r="L48" s="18" t="s">
        <v>91</v>
      </c>
    </row>
    <row r="49" spans="1:30" x14ac:dyDescent="0.2">
      <c r="A49" s="32"/>
      <c r="B49" s="33"/>
      <c r="C49" s="53"/>
      <c r="D49" s="53"/>
      <c r="E49" s="53"/>
      <c r="F49" s="53"/>
      <c r="G49" s="53"/>
      <c r="H49" s="53"/>
      <c r="I49" s="53"/>
      <c r="J49" s="34"/>
      <c r="K49" s="34"/>
      <c r="L49" s="36"/>
    </row>
    <row r="50" spans="1:30" ht="28.5" customHeight="1" x14ac:dyDescent="0.2">
      <c r="A50" s="86" t="s">
        <v>92</v>
      </c>
      <c r="B50" s="86"/>
      <c r="C50" s="10"/>
      <c r="D50" s="10"/>
      <c r="E50" s="10"/>
      <c r="F50" s="10"/>
      <c r="G50" s="17"/>
      <c r="H50" s="17"/>
      <c r="I50" s="17"/>
      <c r="J50" s="17"/>
      <c r="K50" s="17"/>
      <c r="L50" s="22" t="s">
        <v>134</v>
      </c>
    </row>
    <row r="51" spans="1:30" ht="17.25" customHeight="1" x14ac:dyDescent="0.2">
      <c r="A51" s="71" t="s">
        <v>93</v>
      </c>
      <c r="B51" s="71"/>
      <c r="C51" s="16">
        <v>3.9192018450936832</v>
      </c>
      <c r="D51" s="16">
        <v>4.2995895849941075</v>
      </c>
      <c r="E51" s="16">
        <v>4.3742074582718118</v>
      </c>
      <c r="F51" s="16">
        <v>0.44603316831964862</v>
      </c>
      <c r="G51" s="16">
        <v>0.67272578245425485</v>
      </c>
      <c r="H51" s="16">
        <v>0.724039113746902</v>
      </c>
      <c r="I51" s="16">
        <v>0.2757298817348337</v>
      </c>
      <c r="J51" s="17">
        <v>0.40710826977974457</v>
      </c>
      <c r="K51" s="17">
        <v>0.42427908177267781</v>
      </c>
      <c r="L51" s="23" t="s">
        <v>94</v>
      </c>
    </row>
    <row r="52" spans="1:30" ht="17.25" customHeight="1" x14ac:dyDescent="0.2">
      <c r="A52" s="71" t="s">
        <v>95</v>
      </c>
      <c r="B52" s="71"/>
      <c r="C52" s="16">
        <v>4.1944617195315326</v>
      </c>
      <c r="D52" s="16">
        <v>5.5464993342801847</v>
      </c>
      <c r="E52" s="16">
        <v>6.9256054364892972</v>
      </c>
      <c r="F52" s="16">
        <v>0.75905508775697272</v>
      </c>
      <c r="G52" s="16">
        <v>0.58481658915429302</v>
      </c>
      <c r="H52" s="16">
        <v>1.2197152452580293</v>
      </c>
      <c r="I52" s="16">
        <v>0.45691737569216367</v>
      </c>
      <c r="J52" s="17">
        <v>0.42537410148482885</v>
      </c>
      <c r="K52" s="17">
        <v>0.79475899910127235</v>
      </c>
      <c r="L52" s="18" t="s">
        <v>96</v>
      </c>
    </row>
    <row r="53" spans="1:30" ht="17.25" customHeight="1" x14ac:dyDescent="0.2">
      <c r="A53" s="89" t="s">
        <v>97</v>
      </c>
      <c r="B53" s="89"/>
      <c r="C53" s="16">
        <v>8.1451630860524844</v>
      </c>
      <c r="D53" s="16">
        <v>11.88423645320197</v>
      </c>
      <c r="E53" s="16">
        <v>12.820512820512819</v>
      </c>
      <c r="F53" s="16">
        <v>0.86681983907310101</v>
      </c>
      <c r="G53" s="16">
        <v>1.416256157635468</v>
      </c>
      <c r="H53" s="16">
        <v>1.1655011655011656</v>
      </c>
      <c r="I53" s="16">
        <v>0.58584948174853535</v>
      </c>
      <c r="J53" s="17">
        <v>0.86206896551724133</v>
      </c>
      <c r="K53" s="17">
        <v>0.46620046620046618</v>
      </c>
      <c r="L53" s="18" t="s">
        <v>98</v>
      </c>
    </row>
    <row r="54" spans="1:30" x14ac:dyDescent="0.2">
      <c r="J54" s="15"/>
      <c r="K54" s="15"/>
    </row>
    <row r="55" spans="1:30" ht="17.25" customHeight="1" x14ac:dyDescent="0.2">
      <c r="A55" s="9" t="s">
        <v>105</v>
      </c>
      <c r="I55" s="15"/>
      <c r="J55" s="17"/>
      <c r="K55" s="17"/>
      <c r="L55" s="24"/>
      <c r="M55" s="24"/>
      <c r="N55" s="24"/>
      <c r="Q55" s="17"/>
      <c r="R55" s="17"/>
    </row>
    <row r="56" spans="1:30" s="37" customFormat="1" ht="42" customHeight="1" x14ac:dyDescent="0.2">
      <c r="A56" s="71" t="s">
        <v>198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</row>
    <row r="57" spans="1:30" s="37" customFormat="1" ht="26.25" customHeight="1" x14ac:dyDescent="0.2">
      <c r="A57" s="71" t="s">
        <v>106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</row>
    <row r="58" spans="1:30" s="37" customFormat="1" ht="26.25" customHeight="1" x14ac:dyDescent="0.2">
      <c r="A58" s="71" t="s">
        <v>139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</row>
    <row r="59" spans="1:30" x14ac:dyDescent="0.2">
      <c r="A59" s="2" t="s">
        <v>194</v>
      </c>
      <c r="J59" s="15"/>
      <c r="K59" s="15"/>
    </row>
    <row r="60" spans="1:30" x14ac:dyDescent="0.2">
      <c r="J60" s="15"/>
      <c r="K60" s="15"/>
    </row>
    <row r="61" spans="1:30" x14ac:dyDescent="0.2">
      <c r="J61" s="15"/>
      <c r="K61" s="15"/>
    </row>
    <row r="62" spans="1:30" x14ac:dyDescent="0.2">
      <c r="J62" s="15"/>
      <c r="K62" s="15"/>
    </row>
    <row r="63" spans="1:30" x14ac:dyDescent="0.2">
      <c r="J63" s="15"/>
      <c r="K63" s="15"/>
    </row>
    <row r="64" spans="1:30" x14ac:dyDescent="0.2">
      <c r="J64" s="15"/>
      <c r="K64" s="15"/>
    </row>
    <row r="65" spans="10:11" x14ac:dyDescent="0.2">
      <c r="J65" s="15"/>
      <c r="K65" s="15"/>
    </row>
    <row r="66" spans="10:11" x14ac:dyDescent="0.2">
      <c r="J66" s="15"/>
      <c r="K66" s="15"/>
    </row>
  </sheetData>
  <mergeCells count="15">
    <mergeCell ref="A58:L58"/>
    <mergeCell ref="A1:L1"/>
    <mergeCell ref="L3:L5"/>
    <mergeCell ref="A50:B50"/>
    <mergeCell ref="A51:B51"/>
    <mergeCell ref="A52:B52"/>
    <mergeCell ref="A53:B53"/>
    <mergeCell ref="C3:K3"/>
    <mergeCell ref="C4:E4"/>
    <mergeCell ref="F4:H4"/>
    <mergeCell ref="A3:A5"/>
    <mergeCell ref="B3:B5"/>
    <mergeCell ref="I4:K4"/>
    <mergeCell ref="A56:L56"/>
    <mergeCell ref="A57:L5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8"/>
  <sheetViews>
    <sheetView topLeftCell="A40" zoomScale="80" zoomScaleNormal="80" workbookViewId="0">
      <selection activeCell="C64" sqref="C64"/>
    </sheetView>
  </sheetViews>
  <sheetFormatPr defaultRowHeight="12.75" x14ac:dyDescent="0.2"/>
  <cols>
    <col min="1" max="1" width="51.5703125" style="2" customWidth="1"/>
    <col min="2" max="2" width="19.5703125" style="2" customWidth="1"/>
    <col min="3" max="5" width="44.28515625" style="2" customWidth="1"/>
    <col min="6" max="6" width="51.28515625" style="26" customWidth="1"/>
    <col min="7" max="16384" width="9.140625" style="2"/>
  </cols>
  <sheetData>
    <row r="1" spans="1:6" ht="61.5" customHeight="1" x14ac:dyDescent="0.2">
      <c r="A1" s="90" t="s">
        <v>179</v>
      </c>
      <c r="B1" s="90"/>
      <c r="C1" s="90"/>
      <c r="D1" s="90"/>
      <c r="E1" s="90"/>
      <c r="F1" s="90"/>
    </row>
    <row r="2" spans="1:6" ht="18.75" customHeight="1" x14ac:dyDescent="0.2">
      <c r="A2" s="7"/>
      <c r="B2" s="7"/>
      <c r="C2" s="7"/>
      <c r="D2" s="7"/>
      <c r="E2" s="7"/>
    </row>
    <row r="3" spans="1:6" ht="82.5" customHeight="1" x14ac:dyDescent="0.2">
      <c r="A3" s="76"/>
      <c r="B3" s="100" t="s">
        <v>111</v>
      </c>
      <c r="C3" s="79" t="s">
        <v>184</v>
      </c>
      <c r="D3" s="79"/>
      <c r="E3" s="79"/>
      <c r="F3" s="95"/>
    </row>
    <row r="4" spans="1:6" ht="41.25" customHeight="1" x14ac:dyDescent="0.2">
      <c r="A4" s="78"/>
      <c r="B4" s="102"/>
      <c r="C4" s="5" t="s">
        <v>103</v>
      </c>
      <c r="D4" s="5" t="s">
        <v>135</v>
      </c>
      <c r="E4" s="5" t="s">
        <v>173</v>
      </c>
      <c r="F4" s="97"/>
    </row>
    <row r="5" spans="1:6" ht="20.25" customHeight="1" x14ac:dyDescent="0.2">
      <c r="A5" s="7" t="s">
        <v>0</v>
      </c>
      <c r="B5" s="27"/>
      <c r="C5" s="10">
        <v>2.5293240273226556</v>
      </c>
      <c r="D5" s="10">
        <v>0.10104090878897067</v>
      </c>
      <c r="E5" s="10">
        <v>9.8745741030190418E-2</v>
      </c>
      <c r="F5" s="12" t="s">
        <v>1</v>
      </c>
    </row>
    <row r="6" spans="1:6" ht="19.5" customHeight="1" x14ac:dyDescent="0.2">
      <c r="A6" s="13" t="s">
        <v>2</v>
      </c>
      <c r="B6" s="14" t="s">
        <v>3</v>
      </c>
      <c r="C6" s="16">
        <v>3.9985783255416072</v>
      </c>
      <c r="D6" s="16">
        <v>0.17365261001624641</v>
      </c>
      <c r="E6" s="16">
        <v>1.1019283746556474E-2</v>
      </c>
      <c r="F6" s="18" t="s">
        <v>4</v>
      </c>
    </row>
    <row r="7" spans="1:6" ht="66.75" customHeight="1" x14ac:dyDescent="0.2">
      <c r="A7" s="13" t="s">
        <v>5</v>
      </c>
      <c r="B7" s="14" t="s">
        <v>6</v>
      </c>
      <c r="C7" s="16">
        <v>7.4844783341561127</v>
      </c>
      <c r="D7" s="16">
        <v>8.4057158868030252E-2</v>
      </c>
      <c r="E7" s="16">
        <v>2.801905295601009E-2</v>
      </c>
      <c r="F7" s="18" t="s">
        <v>113</v>
      </c>
    </row>
    <row r="8" spans="1:6" ht="28.5" customHeight="1" x14ac:dyDescent="0.2">
      <c r="A8" s="19" t="s">
        <v>7</v>
      </c>
      <c r="B8" s="14" t="s">
        <v>8</v>
      </c>
      <c r="C8" s="16">
        <v>11.992093883505257</v>
      </c>
      <c r="D8" s="16">
        <v>5.4704595185995623E-2</v>
      </c>
      <c r="E8" s="16">
        <v>5.4704595185995623E-2</v>
      </c>
      <c r="F8" s="18" t="s">
        <v>114</v>
      </c>
    </row>
    <row r="9" spans="1:6" ht="27" customHeight="1" x14ac:dyDescent="0.2">
      <c r="A9" s="19" t="s">
        <v>9</v>
      </c>
      <c r="B9" s="14" t="s">
        <v>10</v>
      </c>
      <c r="C9" s="16">
        <v>3.6538160162983857</v>
      </c>
      <c r="D9" s="21" t="s">
        <v>107</v>
      </c>
      <c r="E9" s="21" t="s">
        <v>107</v>
      </c>
      <c r="F9" s="18" t="s">
        <v>115</v>
      </c>
    </row>
    <row r="10" spans="1:6" ht="27" customHeight="1" x14ac:dyDescent="0.2">
      <c r="A10" s="19" t="s">
        <v>11</v>
      </c>
      <c r="B10" s="14" t="s">
        <v>12</v>
      </c>
      <c r="C10" s="16">
        <v>2.1317829457364339</v>
      </c>
      <c r="D10" s="16">
        <v>0.19379844961240311</v>
      </c>
      <c r="E10" s="21" t="s">
        <v>107</v>
      </c>
      <c r="F10" s="18" t="s">
        <v>116</v>
      </c>
    </row>
    <row r="11" spans="1:6" ht="90.75" customHeight="1" x14ac:dyDescent="0.2">
      <c r="A11" s="13" t="s">
        <v>13</v>
      </c>
      <c r="B11" s="14" t="s">
        <v>14</v>
      </c>
      <c r="C11" s="16">
        <v>2.3652023476779598</v>
      </c>
      <c r="D11" s="21" t="s">
        <v>107</v>
      </c>
      <c r="E11" s="21" t="s">
        <v>107</v>
      </c>
      <c r="F11" s="18" t="s">
        <v>117</v>
      </c>
    </row>
    <row r="12" spans="1:6" ht="30" customHeight="1" x14ac:dyDescent="0.2">
      <c r="A12" s="13" t="s">
        <v>15</v>
      </c>
      <c r="B12" s="20">
        <v>19</v>
      </c>
      <c r="C12" s="21" t="s">
        <v>107</v>
      </c>
      <c r="D12" s="21" t="s">
        <v>107</v>
      </c>
      <c r="E12" s="21" t="s">
        <v>107</v>
      </c>
      <c r="F12" s="18" t="s">
        <v>118</v>
      </c>
    </row>
    <row r="13" spans="1:6" ht="30" customHeight="1" x14ac:dyDescent="0.2">
      <c r="A13" s="13" t="s">
        <v>16</v>
      </c>
      <c r="B13" s="20">
        <v>20</v>
      </c>
      <c r="C13" s="21">
        <v>6.1365254538981855</v>
      </c>
      <c r="D13" s="21" t="s">
        <v>107</v>
      </c>
      <c r="E13" s="21" t="s">
        <v>107</v>
      </c>
      <c r="F13" s="18" t="s">
        <v>119</v>
      </c>
    </row>
    <row r="14" spans="1:6" ht="30" customHeight="1" x14ac:dyDescent="0.2">
      <c r="A14" s="13" t="s">
        <v>17</v>
      </c>
      <c r="B14" s="20">
        <v>21</v>
      </c>
      <c r="C14" s="21">
        <v>2.7522935779816518</v>
      </c>
      <c r="D14" s="21" t="s">
        <v>107</v>
      </c>
      <c r="E14" s="21" t="s">
        <v>107</v>
      </c>
      <c r="F14" s="18" t="s">
        <v>120</v>
      </c>
    </row>
    <row r="15" spans="1:6" ht="27.75" customHeight="1" x14ac:dyDescent="0.2">
      <c r="A15" s="13" t="s">
        <v>18</v>
      </c>
      <c r="B15" s="20" t="s">
        <v>19</v>
      </c>
      <c r="C15" s="21">
        <v>1.1746839966054761</v>
      </c>
      <c r="D15" s="21" t="s">
        <v>107</v>
      </c>
      <c r="E15" s="21" t="s">
        <v>107</v>
      </c>
      <c r="F15" s="18" t="s">
        <v>20</v>
      </c>
    </row>
    <row r="16" spans="1:6" ht="37.5" customHeight="1" x14ac:dyDescent="0.2">
      <c r="A16" s="19" t="s">
        <v>21</v>
      </c>
      <c r="B16" s="14" t="s">
        <v>22</v>
      </c>
      <c r="C16" s="16">
        <v>1.4353163361661945</v>
      </c>
      <c r="D16" s="16">
        <v>0.47843877872206481</v>
      </c>
      <c r="E16" s="21" t="s">
        <v>107</v>
      </c>
      <c r="F16" s="18" t="s">
        <v>121</v>
      </c>
    </row>
    <row r="17" spans="1:6" ht="43.5" customHeight="1" x14ac:dyDescent="0.2">
      <c r="A17" s="13" t="s">
        <v>23</v>
      </c>
      <c r="B17" s="14" t="s">
        <v>24</v>
      </c>
      <c r="C17" s="16">
        <v>1.4053193740080616</v>
      </c>
      <c r="D17" s="16">
        <v>0.29977816415852271</v>
      </c>
      <c r="E17" s="21" t="s">
        <v>107</v>
      </c>
      <c r="F17" s="18" t="s">
        <v>112</v>
      </c>
    </row>
    <row r="18" spans="1:6" ht="31.5" customHeight="1" x14ac:dyDescent="0.2">
      <c r="A18" s="13" t="s">
        <v>25</v>
      </c>
      <c r="B18" s="20">
        <v>26</v>
      </c>
      <c r="C18" s="21">
        <v>0.50761421319796951</v>
      </c>
      <c r="D18" s="21" t="s">
        <v>107</v>
      </c>
      <c r="E18" s="21" t="s">
        <v>107</v>
      </c>
      <c r="F18" s="18" t="s">
        <v>26</v>
      </c>
    </row>
    <row r="19" spans="1:6" ht="20.25" customHeight="1" x14ac:dyDescent="0.2">
      <c r="A19" s="13" t="s">
        <v>27</v>
      </c>
      <c r="B19" s="20">
        <v>27</v>
      </c>
      <c r="C19" s="21">
        <v>0.65573770491803274</v>
      </c>
      <c r="D19" s="21" t="s">
        <v>107</v>
      </c>
      <c r="E19" s="21" t="s">
        <v>107</v>
      </c>
      <c r="F19" s="18" t="s">
        <v>28</v>
      </c>
    </row>
    <row r="20" spans="1:6" ht="20.25" customHeight="1" x14ac:dyDescent="0.2">
      <c r="A20" s="13" t="s">
        <v>29</v>
      </c>
      <c r="B20" s="20">
        <v>28</v>
      </c>
      <c r="C20" s="21">
        <v>0.71373679154658975</v>
      </c>
      <c r="D20" s="21" t="s">
        <v>107</v>
      </c>
      <c r="E20" s="21" t="s">
        <v>107</v>
      </c>
      <c r="F20" s="18" t="s">
        <v>122</v>
      </c>
    </row>
    <row r="21" spans="1:6" ht="43.5" customHeight="1" x14ac:dyDescent="0.2">
      <c r="A21" s="13" t="s">
        <v>30</v>
      </c>
      <c r="B21" s="20" t="s">
        <v>31</v>
      </c>
      <c r="C21" s="21" t="s">
        <v>107</v>
      </c>
      <c r="D21" s="21">
        <v>1.1764705882352942</v>
      </c>
      <c r="E21" s="21" t="s">
        <v>107</v>
      </c>
      <c r="F21" s="18" t="s">
        <v>123</v>
      </c>
    </row>
    <row r="22" spans="1:6" ht="27" customHeight="1" x14ac:dyDescent="0.2">
      <c r="A22" s="13" t="s">
        <v>32</v>
      </c>
      <c r="B22" s="20" t="s">
        <v>33</v>
      </c>
      <c r="C22" s="21">
        <v>2.5208216864317068</v>
      </c>
      <c r="D22" s="21">
        <v>0.42083477061055535</v>
      </c>
      <c r="E22" s="21" t="s">
        <v>107</v>
      </c>
      <c r="F22" s="18" t="s">
        <v>124</v>
      </c>
    </row>
    <row r="23" spans="1:6" ht="42.75" customHeight="1" x14ac:dyDescent="0.2">
      <c r="A23" s="13" t="s">
        <v>34</v>
      </c>
      <c r="B23" s="20" t="s">
        <v>35</v>
      </c>
      <c r="C23" s="21">
        <v>0.40153908987339049</v>
      </c>
      <c r="D23" s="21">
        <v>0.28546247931041896</v>
      </c>
      <c r="E23" s="21">
        <v>0.28546247931041896</v>
      </c>
      <c r="F23" s="18" t="s">
        <v>36</v>
      </c>
    </row>
    <row r="24" spans="1:6" ht="31.5" customHeight="1" x14ac:dyDescent="0.2">
      <c r="A24" s="13" t="s">
        <v>37</v>
      </c>
      <c r="B24" s="14" t="s">
        <v>38</v>
      </c>
      <c r="C24" s="16">
        <v>0.8231597383196827</v>
      </c>
      <c r="D24" s="16">
        <v>0.68407767990521817</v>
      </c>
      <c r="E24" s="16">
        <v>0.68407767990521817</v>
      </c>
      <c r="F24" s="18" t="s">
        <v>39</v>
      </c>
    </row>
    <row r="25" spans="1:6" ht="31.5" customHeight="1" x14ac:dyDescent="0.2">
      <c r="A25" s="13" t="s">
        <v>40</v>
      </c>
      <c r="B25" s="14" t="s">
        <v>41</v>
      </c>
      <c r="C25" s="16">
        <v>9.9601593625498003E-2</v>
      </c>
      <c r="D25" s="21" t="s">
        <v>107</v>
      </c>
      <c r="E25" s="21" t="s">
        <v>107</v>
      </c>
      <c r="F25" s="18" t="s">
        <v>42</v>
      </c>
    </row>
    <row r="26" spans="1:6" ht="15.75" customHeight="1" x14ac:dyDescent="0.2">
      <c r="A26" s="13" t="s">
        <v>43</v>
      </c>
      <c r="B26" s="14" t="s">
        <v>44</v>
      </c>
      <c r="C26" s="16">
        <v>0.67868080923712226</v>
      </c>
      <c r="D26" s="21" t="s">
        <v>107</v>
      </c>
      <c r="E26" s="21" t="s">
        <v>107</v>
      </c>
      <c r="F26" s="18" t="s">
        <v>45</v>
      </c>
    </row>
    <row r="27" spans="1:6" ht="26.25" customHeight="1" x14ac:dyDescent="0.2">
      <c r="A27" s="13" t="s">
        <v>46</v>
      </c>
      <c r="B27" s="14" t="s">
        <v>47</v>
      </c>
      <c r="C27" s="16">
        <v>4.0855431421700246</v>
      </c>
      <c r="D27" s="16">
        <v>1.1326311020500622E-2</v>
      </c>
      <c r="E27" s="21" t="s">
        <v>107</v>
      </c>
      <c r="F27" s="18" t="s">
        <v>48</v>
      </c>
    </row>
    <row r="28" spans="1:6" ht="39" customHeight="1" x14ac:dyDescent="0.2">
      <c r="A28" s="13" t="s">
        <v>49</v>
      </c>
      <c r="B28" s="20">
        <v>45</v>
      </c>
      <c r="C28" s="21">
        <v>1.1494736842105262</v>
      </c>
      <c r="D28" s="21">
        <v>0.10526315789473684</v>
      </c>
      <c r="E28" s="21" t="s">
        <v>107</v>
      </c>
      <c r="F28" s="18" t="s">
        <v>125</v>
      </c>
    </row>
    <row r="29" spans="1:6" ht="28.5" customHeight="1" x14ac:dyDescent="0.2">
      <c r="A29" s="13" t="s">
        <v>50</v>
      </c>
      <c r="B29" s="20">
        <v>46</v>
      </c>
      <c r="C29" s="21">
        <v>5.0840666559912444</v>
      </c>
      <c r="D29" s="21">
        <v>0</v>
      </c>
      <c r="E29" s="21" t="s">
        <v>107</v>
      </c>
      <c r="F29" s="18" t="s">
        <v>51</v>
      </c>
    </row>
    <row r="30" spans="1:6" ht="27.75" customHeight="1" x14ac:dyDescent="0.2">
      <c r="A30" s="13" t="s">
        <v>52</v>
      </c>
      <c r="B30" s="20">
        <v>47</v>
      </c>
      <c r="C30" s="21">
        <v>2.3272258414766553</v>
      </c>
      <c r="D30" s="21">
        <v>0</v>
      </c>
      <c r="E30" s="21" t="s">
        <v>107</v>
      </c>
      <c r="F30" s="18" t="s">
        <v>53</v>
      </c>
    </row>
    <row r="31" spans="1:6" ht="28.5" customHeight="1" x14ac:dyDescent="0.2">
      <c r="A31" s="13" t="s">
        <v>54</v>
      </c>
      <c r="B31" s="14" t="s">
        <v>55</v>
      </c>
      <c r="C31" s="16">
        <v>1.1856484778376442</v>
      </c>
      <c r="D31" s="16">
        <v>0.29523585115935475</v>
      </c>
      <c r="E31" s="16">
        <v>0.44348311774033611</v>
      </c>
      <c r="F31" s="18" t="s">
        <v>56</v>
      </c>
    </row>
    <row r="32" spans="1:6" ht="29.25" customHeight="1" x14ac:dyDescent="0.2">
      <c r="A32" s="13" t="s">
        <v>57</v>
      </c>
      <c r="B32" s="14" t="s">
        <v>58</v>
      </c>
      <c r="C32" s="16">
        <v>2.5269793371522096</v>
      </c>
      <c r="D32" s="21" t="s">
        <v>107</v>
      </c>
      <c r="E32" s="21" t="s">
        <v>107</v>
      </c>
      <c r="F32" s="18" t="s">
        <v>59</v>
      </c>
    </row>
    <row r="33" spans="1:6" ht="17.25" customHeight="1" x14ac:dyDescent="0.2">
      <c r="A33" s="13" t="s">
        <v>60</v>
      </c>
      <c r="B33" s="20">
        <v>55</v>
      </c>
      <c r="C33" s="21">
        <v>3.6603585657370519</v>
      </c>
      <c r="D33" s="21" t="s">
        <v>107</v>
      </c>
      <c r="E33" s="21" t="s">
        <v>107</v>
      </c>
      <c r="F33" s="18" t="s">
        <v>126</v>
      </c>
    </row>
    <row r="34" spans="1:6" ht="17.25" customHeight="1" x14ac:dyDescent="0.2">
      <c r="A34" s="13" t="s">
        <v>61</v>
      </c>
      <c r="B34" s="14" t="s">
        <v>62</v>
      </c>
      <c r="C34" s="16">
        <v>1.8948647948508459</v>
      </c>
      <c r="D34" s="16">
        <v>0.30707610146862485</v>
      </c>
      <c r="E34" s="16">
        <v>0.97363649044497136</v>
      </c>
      <c r="F34" s="18" t="s">
        <v>63</v>
      </c>
    </row>
    <row r="35" spans="1:6" ht="53.25" customHeight="1" x14ac:dyDescent="0.2">
      <c r="A35" s="19" t="s">
        <v>64</v>
      </c>
      <c r="B35" s="14" t="s">
        <v>65</v>
      </c>
      <c r="C35" s="16">
        <v>4.5771144278606961</v>
      </c>
      <c r="D35" s="16">
        <v>1.144278606965174</v>
      </c>
      <c r="E35" s="16">
        <v>1.144278606965174</v>
      </c>
      <c r="F35" s="18" t="s">
        <v>127</v>
      </c>
    </row>
    <row r="36" spans="1:6" ht="18.75" customHeight="1" x14ac:dyDescent="0.2">
      <c r="A36" s="13" t="s">
        <v>66</v>
      </c>
      <c r="B36" s="20">
        <v>61</v>
      </c>
      <c r="C36" s="21" t="s">
        <v>107</v>
      </c>
      <c r="D36" s="21" t="s">
        <v>107</v>
      </c>
      <c r="E36" s="21" t="s">
        <v>107</v>
      </c>
      <c r="F36" s="18" t="s">
        <v>128</v>
      </c>
    </row>
    <row r="37" spans="1:6" ht="43.5" customHeight="1" x14ac:dyDescent="0.2">
      <c r="A37" s="13" t="s">
        <v>67</v>
      </c>
      <c r="B37" s="20" t="s">
        <v>68</v>
      </c>
      <c r="C37" s="21">
        <v>1.2655354406673855</v>
      </c>
      <c r="D37" s="21" t="s">
        <v>107</v>
      </c>
      <c r="E37" s="21">
        <v>1.2655354406673855</v>
      </c>
      <c r="F37" s="18" t="s">
        <v>129</v>
      </c>
    </row>
    <row r="38" spans="1:6" ht="20.25" customHeight="1" x14ac:dyDescent="0.2">
      <c r="A38" s="13" t="s">
        <v>69</v>
      </c>
      <c r="B38" s="14" t="s">
        <v>70</v>
      </c>
      <c r="C38" s="16">
        <v>0.46470315880980056</v>
      </c>
      <c r="D38" s="21" t="s">
        <v>107</v>
      </c>
      <c r="E38" s="21" t="s">
        <v>107</v>
      </c>
      <c r="F38" s="18" t="s">
        <v>71</v>
      </c>
    </row>
    <row r="39" spans="1:6" ht="18" customHeight="1" x14ac:dyDescent="0.2">
      <c r="A39" s="13" t="s">
        <v>72</v>
      </c>
      <c r="B39" s="14" t="s">
        <v>73</v>
      </c>
      <c r="C39" s="16">
        <v>1.9431482495084025</v>
      </c>
      <c r="D39" s="21" t="s">
        <v>107</v>
      </c>
      <c r="E39" s="21" t="s">
        <v>107</v>
      </c>
      <c r="F39" s="18" t="s">
        <v>130</v>
      </c>
    </row>
    <row r="40" spans="1:6" ht="78.75" customHeight="1" x14ac:dyDescent="0.2">
      <c r="A40" s="13" t="s">
        <v>74</v>
      </c>
      <c r="B40" s="20" t="s">
        <v>75</v>
      </c>
      <c r="C40" s="21">
        <v>2.8006229218893344</v>
      </c>
      <c r="D40" s="21" t="s">
        <v>107</v>
      </c>
      <c r="E40" s="21" t="s">
        <v>107</v>
      </c>
      <c r="F40" s="18" t="s">
        <v>131</v>
      </c>
    </row>
    <row r="41" spans="1:6" ht="15" customHeight="1" x14ac:dyDescent="0.2">
      <c r="A41" s="13" t="s">
        <v>76</v>
      </c>
      <c r="B41" s="20">
        <v>72</v>
      </c>
      <c r="C41" s="21" t="s">
        <v>107</v>
      </c>
      <c r="D41" s="21" t="s">
        <v>107</v>
      </c>
      <c r="E41" s="21" t="s">
        <v>107</v>
      </c>
      <c r="F41" s="18" t="s">
        <v>132</v>
      </c>
    </row>
    <row r="42" spans="1:6" ht="45" customHeight="1" x14ac:dyDescent="0.2">
      <c r="A42" s="13" t="s">
        <v>77</v>
      </c>
      <c r="B42" s="20" t="s">
        <v>78</v>
      </c>
      <c r="C42" s="21" t="s">
        <v>107</v>
      </c>
      <c r="D42" s="21" t="s">
        <v>107</v>
      </c>
      <c r="E42" s="21" t="s">
        <v>107</v>
      </c>
      <c r="F42" s="18" t="s">
        <v>79</v>
      </c>
    </row>
    <row r="43" spans="1:6" ht="27.75" customHeight="1" x14ac:dyDescent="0.2">
      <c r="A43" s="13" t="s">
        <v>80</v>
      </c>
      <c r="B43" s="14" t="s">
        <v>81</v>
      </c>
      <c r="C43" s="16">
        <v>0.48529959062151096</v>
      </c>
      <c r="D43" s="21" t="s">
        <v>107</v>
      </c>
      <c r="E43" s="21" t="s">
        <v>107</v>
      </c>
      <c r="F43" s="18" t="s">
        <v>82</v>
      </c>
    </row>
    <row r="44" spans="1:6" ht="78" customHeight="1" x14ac:dyDescent="0.2">
      <c r="A44" s="13" t="s">
        <v>83</v>
      </c>
      <c r="B44" s="14" t="s">
        <v>84</v>
      </c>
      <c r="C44" s="16">
        <v>0.42266462480857575</v>
      </c>
      <c r="D44" s="21" t="s">
        <v>107</v>
      </c>
      <c r="E44" s="21" t="s">
        <v>107</v>
      </c>
      <c r="F44" s="18" t="s">
        <v>137</v>
      </c>
    </row>
    <row r="45" spans="1:6" ht="41.25" customHeight="1" x14ac:dyDescent="0.2">
      <c r="A45" s="13" t="s">
        <v>85</v>
      </c>
      <c r="B45" s="20">
        <v>79</v>
      </c>
      <c r="C45" s="21">
        <v>2.666666666666667</v>
      </c>
      <c r="D45" s="21" t="s">
        <v>107</v>
      </c>
      <c r="E45" s="21" t="s">
        <v>107</v>
      </c>
      <c r="F45" s="18" t="s">
        <v>133</v>
      </c>
    </row>
    <row r="46" spans="1:6" ht="25.5" customHeight="1" x14ac:dyDescent="0.2">
      <c r="A46" s="13" t="s">
        <v>86</v>
      </c>
      <c r="B46" s="14" t="s">
        <v>87</v>
      </c>
      <c r="C46" s="21" t="s">
        <v>107</v>
      </c>
      <c r="D46" s="21" t="s">
        <v>107</v>
      </c>
      <c r="E46" s="21" t="s">
        <v>107</v>
      </c>
      <c r="F46" s="18" t="s">
        <v>88</v>
      </c>
    </row>
    <row r="47" spans="1:6" ht="53.25" customHeight="1" x14ac:dyDescent="0.2">
      <c r="A47" s="13" t="s">
        <v>89</v>
      </c>
      <c r="B47" s="14" t="s">
        <v>90</v>
      </c>
      <c r="C47" s="16">
        <v>2.1827918443404455</v>
      </c>
      <c r="D47" s="16">
        <v>0.32833690221270517</v>
      </c>
      <c r="E47" s="16">
        <v>1.0410474394622178</v>
      </c>
      <c r="F47" s="18" t="s">
        <v>91</v>
      </c>
    </row>
    <row r="48" spans="1:6" x14ac:dyDescent="0.2">
      <c r="A48" s="32"/>
      <c r="B48" s="33"/>
      <c r="C48" s="53"/>
      <c r="D48" s="53"/>
      <c r="E48" s="53"/>
      <c r="F48" s="36"/>
    </row>
    <row r="49" spans="1:24" ht="28.5" customHeight="1" x14ac:dyDescent="0.2">
      <c r="A49" s="86" t="s">
        <v>92</v>
      </c>
      <c r="B49" s="86"/>
      <c r="C49" s="10"/>
      <c r="D49" s="10"/>
      <c r="E49" s="10"/>
      <c r="F49" s="22" t="s">
        <v>134</v>
      </c>
    </row>
    <row r="50" spans="1:24" ht="17.25" customHeight="1" x14ac:dyDescent="0.2">
      <c r="A50" s="71" t="s">
        <v>93</v>
      </c>
      <c r="B50" s="71"/>
      <c r="C50" s="16">
        <v>1.7241011953656915</v>
      </c>
      <c r="D50" s="16">
        <v>5.4737274330713771E-2</v>
      </c>
      <c r="E50" s="16">
        <v>9.1564196088483998E-2</v>
      </c>
      <c r="F50" s="23" t="s">
        <v>94</v>
      </c>
    </row>
    <row r="51" spans="1:24" ht="17.25" customHeight="1" x14ac:dyDescent="0.2">
      <c r="A51" s="71" t="s">
        <v>95</v>
      </c>
      <c r="B51" s="71"/>
      <c r="C51" s="16">
        <v>4.4714508657951137</v>
      </c>
      <c r="D51" s="16">
        <v>0.20376010158896493</v>
      </c>
      <c r="E51" s="16">
        <v>0.13612228343171329</v>
      </c>
      <c r="F51" s="18" t="s">
        <v>96</v>
      </c>
    </row>
    <row r="52" spans="1:24" ht="17.25" customHeight="1" x14ac:dyDescent="0.2">
      <c r="A52" s="89" t="s">
        <v>97</v>
      </c>
      <c r="B52" s="89"/>
      <c r="C52" s="16">
        <v>7.2261072261072261</v>
      </c>
      <c r="D52" s="16">
        <v>0.40792540792540788</v>
      </c>
      <c r="E52" s="16">
        <v>5.8275058275058272E-2</v>
      </c>
      <c r="F52" s="18" t="s">
        <v>98</v>
      </c>
    </row>
    <row r="54" spans="1:24" ht="17.25" customHeight="1" x14ac:dyDescent="0.2">
      <c r="A54" s="9" t="s">
        <v>105</v>
      </c>
      <c r="F54" s="24"/>
      <c r="G54" s="24"/>
      <c r="H54" s="24"/>
      <c r="K54" s="17"/>
      <c r="L54" s="17"/>
    </row>
    <row r="55" spans="1:24" s="37" customFormat="1" ht="38.25" customHeight="1" x14ac:dyDescent="0.2">
      <c r="A55" s="71" t="s">
        <v>196</v>
      </c>
      <c r="B55" s="71"/>
      <c r="C55" s="71"/>
      <c r="D55" s="71"/>
      <c r="E55" s="71"/>
      <c r="F55" s="71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s="37" customFormat="1" ht="15.75" customHeight="1" x14ac:dyDescent="0.2">
      <c r="A56" s="71" t="s">
        <v>106</v>
      </c>
      <c r="B56" s="71"/>
      <c r="C56" s="71"/>
      <c r="D56" s="71"/>
      <c r="E56" s="71"/>
      <c r="F56" s="71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s="37" customFormat="1" ht="31.5" customHeight="1" x14ac:dyDescent="0.2">
      <c r="A57" s="71" t="s">
        <v>197</v>
      </c>
      <c r="B57" s="71"/>
      <c r="C57" s="71"/>
      <c r="D57" s="71"/>
      <c r="E57" s="71"/>
      <c r="F57" s="71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x14ac:dyDescent="0.2">
      <c r="A58" s="2" t="s">
        <v>194</v>
      </c>
    </row>
  </sheetData>
  <mergeCells count="12">
    <mergeCell ref="A57:F57"/>
    <mergeCell ref="A49:B49"/>
    <mergeCell ref="A50:B50"/>
    <mergeCell ref="A51:B51"/>
    <mergeCell ref="A52:B52"/>
    <mergeCell ref="A55:F55"/>
    <mergeCell ref="A56:F56"/>
    <mergeCell ref="A1:F1"/>
    <mergeCell ref="A3:A4"/>
    <mergeCell ref="B3:B4"/>
    <mergeCell ref="C3:E3"/>
    <mergeCell ref="F3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9EDF-9D05-42D4-B0AF-4F77A998F4FD}">
  <dimension ref="A1:AA59"/>
  <sheetViews>
    <sheetView topLeftCell="A40" zoomScale="70" zoomScaleNormal="70" workbookViewId="0">
      <selection sqref="A1:O1"/>
    </sheetView>
  </sheetViews>
  <sheetFormatPr defaultRowHeight="12.75" x14ac:dyDescent="0.2"/>
  <cols>
    <col min="1" max="1" width="45.7109375" style="2" customWidth="1"/>
    <col min="2" max="2" width="15.42578125" style="2" customWidth="1"/>
    <col min="3" max="14" width="17" style="2" customWidth="1"/>
    <col min="15" max="15" width="49" style="26" customWidth="1"/>
    <col min="16" max="16384" width="9.140625" style="2"/>
  </cols>
  <sheetData>
    <row r="1" spans="1:15" s="41" customFormat="1" ht="48" customHeight="1" x14ac:dyDescent="0.2">
      <c r="A1" s="103" t="s">
        <v>181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</row>
    <row r="2" spans="1:15" x14ac:dyDescent="0.2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</row>
    <row r="3" spans="1:15" ht="33.75" customHeight="1" x14ac:dyDescent="0.2">
      <c r="A3" s="76"/>
      <c r="B3" s="100" t="s">
        <v>166</v>
      </c>
      <c r="C3" s="80" t="s">
        <v>180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2"/>
      <c r="O3" s="95"/>
    </row>
    <row r="4" spans="1:15" ht="68.25" customHeight="1" x14ac:dyDescent="0.2">
      <c r="A4" s="77"/>
      <c r="B4" s="101"/>
      <c r="C4" s="105" t="s">
        <v>167</v>
      </c>
      <c r="D4" s="106"/>
      <c r="E4" s="106"/>
      <c r="F4" s="107"/>
      <c r="G4" s="105" t="s">
        <v>168</v>
      </c>
      <c r="H4" s="106"/>
      <c r="I4" s="106"/>
      <c r="J4" s="107"/>
      <c r="K4" s="80" t="s">
        <v>169</v>
      </c>
      <c r="L4" s="81"/>
      <c r="M4" s="81"/>
      <c r="N4" s="82"/>
      <c r="O4" s="96"/>
    </row>
    <row r="5" spans="1:15" ht="20.25" customHeight="1" x14ac:dyDescent="0.2">
      <c r="A5" s="78"/>
      <c r="B5" s="102"/>
      <c r="C5" s="5">
        <v>2018</v>
      </c>
      <c r="D5" s="5">
        <v>2019</v>
      </c>
      <c r="E5" s="5">
        <v>2020</v>
      </c>
      <c r="F5" s="5">
        <v>2023</v>
      </c>
      <c r="G5" s="5">
        <v>2018</v>
      </c>
      <c r="H5" s="5">
        <v>2019</v>
      </c>
      <c r="I5" s="5">
        <v>2020</v>
      </c>
      <c r="J5" s="5">
        <v>2023</v>
      </c>
      <c r="K5" s="5">
        <v>2018</v>
      </c>
      <c r="L5" s="5">
        <v>2019</v>
      </c>
      <c r="M5" s="5">
        <v>2020</v>
      </c>
      <c r="N5" s="5">
        <v>2023</v>
      </c>
      <c r="O5" s="97"/>
    </row>
    <row r="6" spans="1:15" s="9" customFormat="1" ht="15" customHeight="1" x14ac:dyDescent="0.2">
      <c r="A6" s="7" t="s">
        <v>0</v>
      </c>
      <c r="B6" s="8"/>
      <c r="C6" s="9">
        <v>39.9</v>
      </c>
      <c r="D6" s="9">
        <v>39.299999999999997</v>
      </c>
      <c r="E6" s="9">
        <v>39.799999999999997</v>
      </c>
      <c r="F6" s="11">
        <v>36.136100703231058</v>
      </c>
      <c r="G6" s="28">
        <v>29</v>
      </c>
      <c r="H6" s="28">
        <v>29.4</v>
      </c>
      <c r="I6" s="28">
        <v>32.299999999999997</v>
      </c>
      <c r="J6" s="11">
        <v>59.262174328066088</v>
      </c>
      <c r="K6" s="28">
        <v>78</v>
      </c>
      <c r="L6" s="28">
        <v>78.099999999999994</v>
      </c>
      <c r="M6" s="28">
        <v>74.400000000000006</v>
      </c>
      <c r="N6" s="11">
        <v>71.322564563412811</v>
      </c>
      <c r="O6" s="12" t="s">
        <v>1</v>
      </c>
    </row>
    <row r="7" spans="1:15" x14ac:dyDescent="0.2">
      <c r="A7" s="13" t="s">
        <v>2</v>
      </c>
      <c r="B7" s="14" t="s">
        <v>3</v>
      </c>
      <c r="C7" s="17">
        <v>43.5</v>
      </c>
      <c r="D7" s="2">
        <v>42.6</v>
      </c>
      <c r="E7" s="2">
        <v>43.9</v>
      </c>
      <c r="F7" s="17">
        <v>36.72259907628429</v>
      </c>
      <c r="G7" s="21">
        <v>34</v>
      </c>
      <c r="H7" s="21">
        <v>34.5</v>
      </c>
      <c r="I7" s="21">
        <v>34.700000000000003</v>
      </c>
      <c r="J7" s="17">
        <v>64.052308987417533</v>
      </c>
      <c r="K7" s="21">
        <v>81.3</v>
      </c>
      <c r="L7" s="21">
        <v>81.599999999999994</v>
      </c>
      <c r="M7" s="21">
        <v>79.400000000000006</v>
      </c>
      <c r="N7" s="17">
        <v>74.726660273056694</v>
      </c>
      <c r="O7" s="18" t="s">
        <v>4</v>
      </c>
    </row>
    <row r="8" spans="1:15" ht="76.5" x14ac:dyDescent="0.2">
      <c r="A8" s="13" t="s">
        <v>5</v>
      </c>
      <c r="B8" s="14" t="s">
        <v>6</v>
      </c>
      <c r="C8" s="17">
        <v>41.8</v>
      </c>
      <c r="D8" s="17">
        <v>41</v>
      </c>
      <c r="E8" s="17">
        <v>41.6</v>
      </c>
      <c r="F8" s="17">
        <v>37.695226289230241</v>
      </c>
      <c r="G8" s="17">
        <v>31.6</v>
      </c>
      <c r="H8" s="17">
        <v>31.2</v>
      </c>
      <c r="I8" s="17">
        <v>32.4</v>
      </c>
      <c r="J8" s="17">
        <v>62.577797346640281</v>
      </c>
      <c r="K8" s="17">
        <v>78.3</v>
      </c>
      <c r="L8" s="17">
        <v>78.400000000000006</v>
      </c>
      <c r="M8" s="17">
        <v>76.8</v>
      </c>
      <c r="N8" s="17">
        <v>74.3962167000834</v>
      </c>
      <c r="O8" s="18" t="s">
        <v>142</v>
      </c>
    </row>
    <row r="9" spans="1:15" ht="25.5" x14ac:dyDescent="0.2">
      <c r="A9" s="19" t="s">
        <v>7</v>
      </c>
      <c r="B9" s="14" t="s">
        <v>8</v>
      </c>
      <c r="C9" s="17">
        <v>41.8</v>
      </c>
      <c r="D9" s="17">
        <v>42</v>
      </c>
      <c r="E9" s="17">
        <v>41.5</v>
      </c>
      <c r="F9" s="17">
        <v>39.484318016046743</v>
      </c>
      <c r="G9" s="17">
        <v>30.2</v>
      </c>
      <c r="H9" s="17">
        <v>30.3</v>
      </c>
      <c r="I9" s="17">
        <v>30.5</v>
      </c>
      <c r="J9" s="17">
        <v>63.050718974679853</v>
      </c>
      <c r="K9" s="17">
        <v>78.099999999999994</v>
      </c>
      <c r="L9" s="17">
        <v>79</v>
      </c>
      <c r="M9" s="17">
        <v>78.099999999999994</v>
      </c>
      <c r="N9" s="17">
        <v>74.894589455038172</v>
      </c>
      <c r="O9" s="18" t="s">
        <v>143</v>
      </c>
    </row>
    <row r="10" spans="1:15" ht="38.25" x14ac:dyDescent="0.2">
      <c r="A10" s="19" t="s">
        <v>9</v>
      </c>
      <c r="B10" s="14" t="s">
        <v>10</v>
      </c>
      <c r="C10" s="17">
        <v>40.1</v>
      </c>
      <c r="D10" s="17">
        <v>36.9</v>
      </c>
      <c r="E10" s="17">
        <v>39.4</v>
      </c>
      <c r="F10" s="17">
        <v>34.487911555612541</v>
      </c>
      <c r="G10" s="17">
        <v>27.6</v>
      </c>
      <c r="H10" s="17">
        <v>25.8</v>
      </c>
      <c r="I10" s="17">
        <v>26.4</v>
      </c>
      <c r="J10" s="17">
        <v>58.932925873687502</v>
      </c>
      <c r="K10" s="17">
        <v>73.8</v>
      </c>
      <c r="L10" s="17">
        <v>72.099999999999994</v>
      </c>
      <c r="M10" s="17">
        <v>71.7</v>
      </c>
      <c r="N10" s="17">
        <v>66.23806470915072</v>
      </c>
      <c r="O10" s="18" t="s">
        <v>144</v>
      </c>
    </row>
    <row r="11" spans="1:15" ht="25.5" x14ac:dyDescent="0.2">
      <c r="A11" s="19" t="s">
        <v>11</v>
      </c>
      <c r="B11" s="14" t="s">
        <v>12</v>
      </c>
      <c r="C11" s="17">
        <v>43.1</v>
      </c>
      <c r="D11" s="17">
        <v>42.7</v>
      </c>
      <c r="E11" s="17">
        <v>41.2</v>
      </c>
      <c r="F11" s="17">
        <v>36.729651162790702</v>
      </c>
      <c r="G11" s="17">
        <v>36.799999999999997</v>
      </c>
      <c r="H11" s="17">
        <v>36.6</v>
      </c>
      <c r="I11" s="17">
        <v>36.9</v>
      </c>
      <c r="J11" s="17">
        <v>64.244186046511629</v>
      </c>
      <c r="K11" s="17">
        <v>82</v>
      </c>
      <c r="L11" s="17">
        <v>82.1</v>
      </c>
      <c r="M11" s="17">
        <v>78.7</v>
      </c>
      <c r="N11" s="17">
        <v>79.118217054263567</v>
      </c>
      <c r="O11" s="18" t="s">
        <v>145</v>
      </c>
    </row>
    <row r="12" spans="1:15" ht="102" x14ac:dyDescent="0.2">
      <c r="A12" s="13" t="s">
        <v>13</v>
      </c>
      <c r="B12" s="14" t="s">
        <v>14</v>
      </c>
      <c r="C12" s="17">
        <v>46</v>
      </c>
      <c r="D12" s="17">
        <v>45.9</v>
      </c>
      <c r="E12" s="17">
        <v>46.1</v>
      </c>
      <c r="F12" s="17">
        <v>38.973393842174261</v>
      </c>
      <c r="G12" s="17">
        <v>36.1</v>
      </c>
      <c r="H12" s="17">
        <v>36.200000000000003</v>
      </c>
      <c r="I12" s="17">
        <v>36.4</v>
      </c>
      <c r="J12" s="17">
        <v>64.523889100713234</v>
      </c>
      <c r="K12" s="17">
        <v>83</v>
      </c>
      <c r="L12" s="17">
        <v>82.8</v>
      </c>
      <c r="M12" s="17">
        <v>80.5</v>
      </c>
      <c r="N12" s="17">
        <v>75.864986932364431</v>
      </c>
      <c r="O12" s="18" t="s">
        <v>146</v>
      </c>
    </row>
    <row r="13" spans="1:15" ht="25.5" x14ac:dyDescent="0.2">
      <c r="A13" s="13" t="s">
        <v>15</v>
      </c>
      <c r="B13" s="20">
        <v>19</v>
      </c>
      <c r="C13" s="17">
        <v>35.200000000000003</v>
      </c>
      <c r="D13" s="17">
        <v>37.200000000000003</v>
      </c>
      <c r="E13" s="17">
        <v>36.299999999999997</v>
      </c>
      <c r="F13" s="17">
        <v>9.3548387096774199</v>
      </c>
      <c r="G13" s="17">
        <v>27.8</v>
      </c>
      <c r="H13" s="17">
        <v>27.9</v>
      </c>
      <c r="I13" s="17">
        <v>28</v>
      </c>
      <c r="J13" s="17">
        <v>40.967741935483879</v>
      </c>
      <c r="K13" s="17">
        <v>75.900000000000006</v>
      </c>
      <c r="L13" s="17">
        <v>79.099999999999994</v>
      </c>
      <c r="M13" s="17">
        <v>52.1</v>
      </c>
      <c r="N13" s="17">
        <v>50.322580645161295</v>
      </c>
      <c r="O13" s="18" t="s">
        <v>147</v>
      </c>
    </row>
    <row r="14" spans="1:15" ht="25.5" x14ac:dyDescent="0.2">
      <c r="A14" s="13" t="s">
        <v>16</v>
      </c>
      <c r="B14" s="20">
        <v>20</v>
      </c>
      <c r="C14" s="17">
        <v>40.9</v>
      </c>
      <c r="D14" s="17">
        <v>46.2</v>
      </c>
      <c r="E14" s="17">
        <v>43.1</v>
      </c>
      <c r="F14" s="17">
        <v>36.623353506585978</v>
      </c>
      <c r="G14" s="17">
        <v>36.6</v>
      </c>
      <c r="H14" s="17">
        <v>39.1</v>
      </c>
      <c r="I14" s="17">
        <v>39.4</v>
      </c>
      <c r="J14" s="17">
        <v>67.541829832680676</v>
      </c>
      <c r="K14" s="17">
        <v>84.2</v>
      </c>
      <c r="L14" s="17">
        <v>84.4</v>
      </c>
      <c r="M14" s="17">
        <v>78.900000000000006</v>
      </c>
      <c r="N14" s="17">
        <v>78.831434674261317</v>
      </c>
      <c r="O14" s="18" t="s">
        <v>148</v>
      </c>
    </row>
    <row r="15" spans="1:15" ht="25.5" x14ac:dyDescent="0.2">
      <c r="A15" s="13" t="s">
        <v>17</v>
      </c>
      <c r="B15" s="20">
        <v>21</v>
      </c>
      <c r="C15" s="17">
        <v>46.2</v>
      </c>
      <c r="D15" s="17">
        <v>43.5</v>
      </c>
      <c r="E15" s="17">
        <v>47.3</v>
      </c>
      <c r="F15" s="17">
        <v>54.646589549262067</v>
      </c>
      <c r="G15" s="17">
        <v>35</v>
      </c>
      <c r="H15" s="17">
        <v>38.299999999999997</v>
      </c>
      <c r="I15" s="17">
        <v>38.700000000000003</v>
      </c>
      <c r="J15" s="17">
        <v>61.986039090546477</v>
      </c>
      <c r="K15" s="17">
        <v>76.099999999999994</v>
      </c>
      <c r="L15" s="17">
        <v>79.099999999999994</v>
      </c>
      <c r="M15" s="17">
        <v>81.8</v>
      </c>
      <c r="N15" s="17">
        <v>79.895891503789358</v>
      </c>
      <c r="O15" s="18" t="s">
        <v>149</v>
      </c>
    </row>
    <row r="16" spans="1:15" ht="38.25" x14ac:dyDescent="0.2">
      <c r="A16" s="13" t="s">
        <v>18</v>
      </c>
      <c r="B16" s="20" t="s">
        <v>19</v>
      </c>
      <c r="C16" s="17">
        <v>47.7</v>
      </c>
      <c r="D16" s="17">
        <v>46.2</v>
      </c>
      <c r="E16" s="17">
        <v>45.9</v>
      </c>
      <c r="F16" s="17">
        <v>39.12997241417446</v>
      </c>
      <c r="G16" s="17">
        <v>36.299999999999997</v>
      </c>
      <c r="H16" s="17">
        <v>35.4</v>
      </c>
      <c r="I16" s="17">
        <v>36.1</v>
      </c>
      <c r="J16" s="17">
        <v>64.316796726283542</v>
      </c>
      <c r="K16" s="17">
        <v>83.3</v>
      </c>
      <c r="L16" s="17">
        <v>82.7</v>
      </c>
      <c r="M16" s="17">
        <v>81.599999999999994</v>
      </c>
      <c r="N16" s="17">
        <v>75.177570192845593</v>
      </c>
      <c r="O16" s="18" t="s">
        <v>20</v>
      </c>
    </row>
    <row r="17" spans="1:15" ht="38.25" x14ac:dyDescent="0.2">
      <c r="A17" s="19" t="s">
        <v>21</v>
      </c>
      <c r="B17" s="14" t="s">
        <v>22</v>
      </c>
      <c r="C17" s="17">
        <v>45.7</v>
      </c>
      <c r="D17" s="17">
        <v>44.5</v>
      </c>
      <c r="E17" s="17">
        <v>45.8</v>
      </c>
      <c r="F17" s="17">
        <v>32.07806106389674</v>
      </c>
      <c r="G17" s="17">
        <v>35.799999999999997</v>
      </c>
      <c r="H17" s="17">
        <v>36.1</v>
      </c>
      <c r="I17" s="17">
        <v>36.5</v>
      </c>
      <c r="J17" s="17">
        <v>62.519357884796946</v>
      </c>
      <c r="K17" s="17">
        <v>82.9</v>
      </c>
      <c r="L17" s="17">
        <v>83.1</v>
      </c>
      <c r="M17" s="17">
        <v>83.2</v>
      </c>
      <c r="N17" s="17">
        <v>75.597733711048249</v>
      </c>
      <c r="O17" s="18" t="s">
        <v>150</v>
      </c>
    </row>
    <row r="18" spans="1:15" ht="38.25" x14ac:dyDescent="0.2">
      <c r="A18" s="13" t="s">
        <v>23</v>
      </c>
      <c r="B18" s="14" t="s">
        <v>24</v>
      </c>
      <c r="C18" s="17">
        <v>43.2</v>
      </c>
      <c r="D18" s="17">
        <v>41.8</v>
      </c>
      <c r="E18" s="17">
        <v>42.9</v>
      </c>
      <c r="F18" s="17">
        <v>35.636673229626147</v>
      </c>
      <c r="G18" s="17">
        <v>35.1</v>
      </c>
      <c r="H18" s="17">
        <v>37.1</v>
      </c>
      <c r="I18" s="17">
        <v>36.9</v>
      </c>
      <c r="J18" s="17">
        <v>66.390144166879651</v>
      </c>
      <c r="K18" s="17">
        <v>83.6</v>
      </c>
      <c r="L18" s="17">
        <v>84.8</v>
      </c>
      <c r="M18" s="17">
        <v>80.5</v>
      </c>
      <c r="N18" s="17">
        <v>73.99232430070704</v>
      </c>
      <c r="O18" s="18" t="s">
        <v>151</v>
      </c>
    </row>
    <row r="19" spans="1:15" ht="25.5" x14ac:dyDescent="0.2">
      <c r="A19" s="13" t="s">
        <v>25</v>
      </c>
      <c r="B19" s="20">
        <v>26</v>
      </c>
      <c r="C19" s="17">
        <v>42.9</v>
      </c>
      <c r="D19" s="17">
        <v>40.9</v>
      </c>
      <c r="E19" s="17">
        <v>42.3</v>
      </c>
      <c r="F19" s="17">
        <v>51.393119007332189</v>
      </c>
      <c r="G19" s="17">
        <v>45.9</v>
      </c>
      <c r="H19" s="17">
        <v>44.9</v>
      </c>
      <c r="I19" s="17">
        <v>45.2</v>
      </c>
      <c r="J19" s="17">
        <v>78.353073886068813</v>
      </c>
      <c r="K19" s="17">
        <v>89.6</v>
      </c>
      <c r="L19" s="17">
        <v>89.4</v>
      </c>
      <c r="M19" s="17">
        <v>87.5</v>
      </c>
      <c r="N19" s="17">
        <v>81.150592216582069</v>
      </c>
      <c r="O19" s="18" t="s">
        <v>26</v>
      </c>
    </row>
    <row r="20" spans="1:15" x14ac:dyDescent="0.2">
      <c r="A20" s="13" t="s">
        <v>27</v>
      </c>
      <c r="B20" s="20">
        <v>27</v>
      </c>
      <c r="C20" s="17">
        <v>48.7</v>
      </c>
      <c r="D20" s="17">
        <v>47.7</v>
      </c>
      <c r="E20" s="17">
        <v>47.9</v>
      </c>
      <c r="F20" s="17">
        <v>36.908701134930652</v>
      </c>
      <c r="G20" s="17">
        <v>36.4</v>
      </c>
      <c r="H20" s="17">
        <v>40.799999999999997</v>
      </c>
      <c r="I20" s="17">
        <v>41</v>
      </c>
      <c r="J20" s="17">
        <v>59.830012610340468</v>
      </c>
      <c r="K20" s="17">
        <v>85</v>
      </c>
      <c r="L20" s="17">
        <v>87.3</v>
      </c>
      <c r="M20" s="17">
        <v>73.8</v>
      </c>
      <c r="N20" s="17">
        <v>71.617402269861259</v>
      </c>
      <c r="O20" s="18" t="s">
        <v>28</v>
      </c>
    </row>
    <row r="21" spans="1:15" ht="25.5" x14ac:dyDescent="0.2">
      <c r="A21" s="13" t="s">
        <v>29</v>
      </c>
      <c r="B21" s="20">
        <v>28</v>
      </c>
      <c r="C21" s="17">
        <v>44.7</v>
      </c>
      <c r="D21" s="17">
        <v>45.3</v>
      </c>
      <c r="E21" s="17">
        <v>41.7</v>
      </c>
      <c r="F21" s="17">
        <v>30.421229586935606</v>
      </c>
      <c r="G21" s="17">
        <v>40</v>
      </c>
      <c r="H21" s="17">
        <v>42.9</v>
      </c>
      <c r="I21" s="17">
        <v>42.1</v>
      </c>
      <c r="J21" s="17">
        <v>68.701729106628108</v>
      </c>
      <c r="K21" s="17">
        <v>87.1</v>
      </c>
      <c r="L21" s="17">
        <v>86.6</v>
      </c>
      <c r="M21" s="17">
        <v>81</v>
      </c>
      <c r="N21" s="17">
        <v>71.989433237271712</v>
      </c>
      <c r="O21" s="18" t="s">
        <v>152</v>
      </c>
    </row>
    <row r="22" spans="1:15" ht="38.25" x14ac:dyDescent="0.2">
      <c r="A22" s="13" t="s">
        <v>30</v>
      </c>
      <c r="B22" s="20" t="s">
        <v>31</v>
      </c>
      <c r="C22" s="17">
        <v>40.1</v>
      </c>
      <c r="D22" s="17">
        <v>36.299999999999997</v>
      </c>
      <c r="E22" s="17">
        <v>39.799999999999997</v>
      </c>
      <c r="F22" s="17">
        <v>24.831372549019605</v>
      </c>
      <c r="G22" s="17">
        <v>34.4</v>
      </c>
      <c r="H22" s="17">
        <v>32.299999999999997</v>
      </c>
      <c r="I22" s="17">
        <v>34.9</v>
      </c>
      <c r="J22" s="17">
        <v>67.643137254901958</v>
      </c>
      <c r="K22" s="17">
        <v>86</v>
      </c>
      <c r="L22" s="17">
        <v>87.5</v>
      </c>
      <c r="M22" s="17">
        <v>80.3</v>
      </c>
      <c r="N22" s="17">
        <v>71.956862745098022</v>
      </c>
      <c r="O22" s="18" t="s">
        <v>153</v>
      </c>
    </row>
    <row r="23" spans="1:15" ht="38.25" x14ac:dyDescent="0.2">
      <c r="A23" s="13" t="s">
        <v>32</v>
      </c>
      <c r="B23" s="20" t="s">
        <v>33</v>
      </c>
      <c r="C23" s="17">
        <v>41.7</v>
      </c>
      <c r="D23" s="17">
        <v>39.299999999999997</v>
      </c>
      <c r="E23" s="17">
        <v>40.700000000000003</v>
      </c>
      <c r="F23" s="17">
        <v>38.222216935685296</v>
      </c>
      <c r="G23" s="17">
        <v>30</v>
      </c>
      <c r="H23" s="17">
        <v>32</v>
      </c>
      <c r="I23" s="17">
        <v>32.700000000000003</v>
      </c>
      <c r="J23" s="17">
        <v>64.345650700003489</v>
      </c>
      <c r="K23" s="17">
        <v>79.599999999999994</v>
      </c>
      <c r="L23" s="17">
        <v>81.599999999999994</v>
      </c>
      <c r="M23" s="17">
        <v>80.8</v>
      </c>
      <c r="N23" s="17">
        <v>75.089383973070269</v>
      </c>
      <c r="O23" s="18" t="s">
        <v>154</v>
      </c>
    </row>
    <row r="24" spans="1:15" ht="38.25" x14ac:dyDescent="0.2">
      <c r="A24" s="13" t="s">
        <v>34</v>
      </c>
      <c r="B24" s="20" t="s">
        <v>35</v>
      </c>
      <c r="C24" s="17">
        <v>34.4</v>
      </c>
      <c r="D24" s="17">
        <v>33.9</v>
      </c>
      <c r="E24" s="17">
        <v>34.6</v>
      </c>
      <c r="F24" s="17">
        <v>31.668820257348685</v>
      </c>
      <c r="G24" s="17">
        <v>29.6</v>
      </c>
      <c r="H24" s="17">
        <v>28.4</v>
      </c>
      <c r="I24" s="17">
        <v>29.1</v>
      </c>
      <c r="J24" s="17">
        <v>51.681906883940222</v>
      </c>
      <c r="K24" s="17">
        <v>82.1</v>
      </c>
      <c r="L24" s="17">
        <v>81.8</v>
      </c>
      <c r="M24" s="17">
        <v>75.2</v>
      </c>
      <c r="N24" s="17">
        <v>76.83988501193862</v>
      </c>
      <c r="O24" s="18" t="s">
        <v>36</v>
      </c>
    </row>
    <row r="25" spans="1:15" ht="25.5" x14ac:dyDescent="0.2">
      <c r="A25" s="13" t="s">
        <v>37</v>
      </c>
      <c r="B25" s="14" t="s">
        <v>38</v>
      </c>
      <c r="C25" s="17">
        <v>35.5</v>
      </c>
      <c r="D25" s="17">
        <v>32.700000000000003</v>
      </c>
      <c r="E25" s="17">
        <v>35.5</v>
      </c>
      <c r="F25" s="17">
        <v>38.143512079534311</v>
      </c>
      <c r="G25" s="21">
        <v>28.9</v>
      </c>
      <c r="H25" s="21">
        <v>28.8</v>
      </c>
      <c r="I25" s="21">
        <v>29</v>
      </c>
      <c r="J25" s="17">
        <v>58.745170761860557</v>
      </c>
      <c r="K25" s="21">
        <v>83.4</v>
      </c>
      <c r="L25" s="21">
        <v>82.8</v>
      </c>
      <c r="M25" s="21">
        <v>77.099999999999994</v>
      </c>
      <c r="N25" s="17">
        <v>82.477721114716971</v>
      </c>
      <c r="O25" s="18" t="s">
        <v>39</v>
      </c>
    </row>
    <row r="26" spans="1:15" ht="25.5" x14ac:dyDescent="0.2">
      <c r="A26" s="13" t="s">
        <v>40</v>
      </c>
      <c r="B26" s="14" t="s">
        <v>41</v>
      </c>
      <c r="C26" s="17">
        <v>33.799999999999997</v>
      </c>
      <c r="D26" s="17">
        <v>34.6</v>
      </c>
      <c r="E26" s="17">
        <v>34.1</v>
      </c>
      <c r="F26" s="17">
        <v>27.032063862775509</v>
      </c>
      <c r="G26" s="21">
        <v>30.1</v>
      </c>
      <c r="H26" s="21">
        <v>28.2</v>
      </c>
      <c r="I26" s="21">
        <v>29.3</v>
      </c>
      <c r="J26" s="17">
        <v>46.623653170568986</v>
      </c>
      <c r="K26" s="21">
        <v>81.3</v>
      </c>
      <c r="L26" s="21">
        <v>81.2</v>
      </c>
      <c r="M26" s="21">
        <v>74</v>
      </c>
      <c r="N26" s="17">
        <v>72.802430671403101</v>
      </c>
      <c r="O26" s="18" t="s">
        <v>42</v>
      </c>
    </row>
    <row r="27" spans="1:15" x14ac:dyDescent="0.2">
      <c r="A27" s="13" t="s">
        <v>43</v>
      </c>
      <c r="B27" s="14" t="s">
        <v>44</v>
      </c>
      <c r="C27" s="17">
        <v>41.9</v>
      </c>
      <c r="D27" s="17">
        <v>39.700000000000003</v>
      </c>
      <c r="E27" s="17">
        <v>41.2</v>
      </c>
      <c r="F27" s="17">
        <v>32.012651033928897</v>
      </c>
      <c r="G27" s="21">
        <v>28.5</v>
      </c>
      <c r="H27" s="21">
        <v>27.9</v>
      </c>
      <c r="I27" s="21">
        <v>28.2</v>
      </c>
      <c r="J27" s="17">
        <v>56.051352543340869</v>
      </c>
      <c r="K27" s="21">
        <v>77.599999999999994</v>
      </c>
      <c r="L27" s="21">
        <v>75.400000000000006</v>
      </c>
      <c r="M27" s="21">
        <v>71.099999999999994</v>
      </c>
      <c r="N27" s="17">
        <v>69.779178894274764</v>
      </c>
      <c r="O27" s="18" t="s">
        <v>45</v>
      </c>
    </row>
    <row r="28" spans="1:15" ht="25.5" x14ac:dyDescent="0.2">
      <c r="A28" s="13" t="s">
        <v>46</v>
      </c>
      <c r="B28" s="14" t="s">
        <v>47</v>
      </c>
      <c r="C28" s="17">
        <v>42</v>
      </c>
      <c r="D28" s="17">
        <v>41.7</v>
      </c>
      <c r="E28" s="17">
        <v>41.9</v>
      </c>
      <c r="F28" s="17">
        <v>39.915877438004202</v>
      </c>
      <c r="G28" s="21">
        <v>29.9</v>
      </c>
      <c r="H28" s="21">
        <v>30.3</v>
      </c>
      <c r="I28" s="21">
        <v>30.1</v>
      </c>
      <c r="J28" s="17">
        <v>62.552076799301503</v>
      </c>
      <c r="K28" s="21">
        <v>78.7</v>
      </c>
      <c r="L28" s="21">
        <v>78.3</v>
      </c>
      <c r="M28" s="21">
        <v>76</v>
      </c>
      <c r="N28" s="17">
        <v>71.409040061367278</v>
      </c>
      <c r="O28" s="18" t="s">
        <v>48</v>
      </c>
    </row>
    <row r="29" spans="1:15" ht="38.25" x14ac:dyDescent="0.2">
      <c r="A29" s="13" t="s">
        <v>49</v>
      </c>
      <c r="B29" s="20">
        <v>45</v>
      </c>
      <c r="C29" s="17">
        <v>47.4</v>
      </c>
      <c r="D29" s="17">
        <v>47.9</v>
      </c>
      <c r="E29" s="17">
        <v>48.1</v>
      </c>
      <c r="F29" s="17">
        <v>48.15157894736835</v>
      </c>
      <c r="G29" s="17">
        <v>32.6</v>
      </c>
      <c r="H29" s="17">
        <v>34.5</v>
      </c>
      <c r="I29" s="17">
        <v>34.9</v>
      </c>
      <c r="J29" s="17">
        <v>62.14315789473681</v>
      </c>
      <c r="K29" s="17">
        <v>85.1</v>
      </c>
      <c r="L29" s="17">
        <v>84.6</v>
      </c>
      <c r="M29" s="17">
        <v>82.1</v>
      </c>
      <c r="N29" s="17">
        <v>71.856842105263198</v>
      </c>
      <c r="O29" s="18" t="s">
        <v>155</v>
      </c>
    </row>
    <row r="30" spans="1:15" ht="38.25" x14ac:dyDescent="0.2">
      <c r="A30" s="13" t="s">
        <v>50</v>
      </c>
      <c r="B30" s="20">
        <v>46</v>
      </c>
      <c r="C30" s="17">
        <v>43.5</v>
      </c>
      <c r="D30" s="17">
        <v>42.9</v>
      </c>
      <c r="E30" s="17">
        <v>42.9</v>
      </c>
      <c r="F30" s="17">
        <v>39.330301788991108</v>
      </c>
      <c r="G30" s="17">
        <v>31.7</v>
      </c>
      <c r="H30" s="17">
        <v>32.200000000000003</v>
      </c>
      <c r="I30" s="17">
        <v>32.700000000000003</v>
      </c>
      <c r="J30" s="17">
        <v>65.296345214681679</v>
      </c>
      <c r="K30" s="17">
        <v>79.900000000000006</v>
      </c>
      <c r="L30" s="17">
        <v>79.3</v>
      </c>
      <c r="M30" s="17">
        <v>76.2</v>
      </c>
      <c r="N30" s="17">
        <v>73.278352609211822</v>
      </c>
      <c r="O30" s="18" t="s">
        <v>51</v>
      </c>
    </row>
    <row r="31" spans="1:15" ht="38.25" x14ac:dyDescent="0.2">
      <c r="A31" s="13" t="s">
        <v>52</v>
      </c>
      <c r="B31" s="20">
        <v>47</v>
      </c>
      <c r="C31" s="17">
        <v>35.200000000000003</v>
      </c>
      <c r="D31" s="17">
        <v>35.4</v>
      </c>
      <c r="E31" s="17">
        <v>35.6</v>
      </c>
      <c r="F31" s="17">
        <v>37.587540716612303</v>
      </c>
      <c r="G31" s="17">
        <v>23.5</v>
      </c>
      <c r="H31" s="17">
        <v>22.4</v>
      </c>
      <c r="I31" s="17">
        <v>23.9</v>
      </c>
      <c r="J31" s="17">
        <v>53.768865363734932</v>
      </c>
      <c r="K31" s="17">
        <v>72.5</v>
      </c>
      <c r="L31" s="17">
        <v>72.599999999999994</v>
      </c>
      <c r="M31" s="17">
        <v>72.8</v>
      </c>
      <c r="N31" s="17">
        <v>65.051574375678584</v>
      </c>
      <c r="O31" s="18" t="s">
        <v>53</v>
      </c>
    </row>
    <row r="32" spans="1:15" ht="25.5" x14ac:dyDescent="0.2">
      <c r="A32" s="13" t="s">
        <v>54</v>
      </c>
      <c r="B32" s="14" t="s">
        <v>55</v>
      </c>
      <c r="C32" s="17">
        <v>38.1</v>
      </c>
      <c r="D32" s="17">
        <v>38.6</v>
      </c>
      <c r="E32" s="17">
        <v>38.5</v>
      </c>
      <c r="F32" s="17">
        <v>35.138413813435555</v>
      </c>
      <c r="G32" s="21">
        <v>27.3</v>
      </c>
      <c r="H32" s="21">
        <v>28.8</v>
      </c>
      <c r="I32" s="21">
        <v>29.2</v>
      </c>
      <c r="J32" s="17">
        <v>60.125676026490616</v>
      </c>
      <c r="K32" s="21">
        <v>78</v>
      </c>
      <c r="L32" s="21">
        <v>79.900000000000006</v>
      </c>
      <c r="M32" s="21">
        <v>73.8</v>
      </c>
      <c r="N32" s="17">
        <v>71.756185054724398</v>
      </c>
      <c r="O32" s="18" t="s">
        <v>56</v>
      </c>
    </row>
    <row r="33" spans="1:15" ht="25.5" x14ac:dyDescent="0.2">
      <c r="A33" s="13" t="s">
        <v>57</v>
      </c>
      <c r="B33" s="14" t="s">
        <v>58</v>
      </c>
      <c r="C33" s="17">
        <v>34.9</v>
      </c>
      <c r="D33" s="17">
        <v>32.6</v>
      </c>
      <c r="E33" s="17">
        <v>33.9</v>
      </c>
      <c r="F33" s="17">
        <v>22.804572422258595</v>
      </c>
      <c r="G33" s="21">
        <v>22.8</v>
      </c>
      <c r="H33" s="21">
        <v>23.2</v>
      </c>
      <c r="I33" s="21">
        <v>23.4</v>
      </c>
      <c r="J33" s="17">
        <v>40.842880523731608</v>
      </c>
      <c r="K33" s="21">
        <v>68.599999999999994</v>
      </c>
      <c r="L33" s="21">
        <v>66.5</v>
      </c>
      <c r="M33" s="21">
        <v>63</v>
      </c>
      <c r="N33" s="17">
        <v>50.211487315875644</v>
      </c>
      <c r="O33" s="18" t="s">
        <v>59</v>
      </c>
    </row>
    <row r="34" spans="1:15" x14ac:dyDescent="0.2">
      <c r="A34" s="13" t="s">
        <v>60</v>
      </c>
      <c r="B34" s="20">
        <v>55</v>
      </c>
      <c r="C34" s="17">
        <v>47.7</v>
      </c>
      <c r="D34" s="17">
        <v>43.4</v>
      </c>
      <c r="E34" s="17">
        <v>44.2</v>
      </c>
      <c r="F34" s="17">
        <v>37.798804780876495</v>
      </c>
      <c r="G34" s="17">
        <v>35</v>
      </c>
      <c r="H34" s="17">
        <v>35.200000000000003</v>
      </c>
      <c r="I34" s="17">
        <v>35.200000000000003</v>
      </c>
      <c r="J34" s="17">
        <v>59.760956175298809</v>
      </c>
      <c r="K34" s="17">
        <v>83.5</v>
      </c>
      <c r="L34" s="17">
        <v>81.2</v>
      </c>
      <c r="M34" s="17">
        <v>79.2</v>
      </c>
      <c r="N34" s="17">
        <v>67.878486055776889</v>
      </c>
      <c r="O34" s="18" t="s">
        <v>156</v>
      </c>
    </row>
    <row r="35" spans="1:15" x14ac:dyDescent="0.2">
      <c r="A35" s="13" t="s">
        <v>61</v>
      </c>
      <c r="B35" s="14" t="s">
        <v>62</v>
      </c>
      <c r="C35" s="17">
        <v>44.7</v>
      </c>
      <c r="D35" s="17">
        <v>46.6</v>
      </c>
      <c r="E35" s="17">
        <v>45.1</v>
      </c>
      <c r="F35" s="17">
        <v>41.99077655501145</v>
      </c>
      <c r="G35" s="17">
        <v>31.2</v>
      </c>
      <c r="H35" s="17">
        <v>32.5</v>
      </c>
      <c r="I35" s="17">
        <v>32.700000000000003</v>
      </c>
      <c r="J35" s="17">
        <v>65.240724542579727</v>
      </c>
      <c r="K35" s="17">
        <v>79.400000000000006</v>
      </c>
      <c r="L35" s="17">
        <v>80.7</v>
      </c>
      <c r="M35" s="17">
        <v>74.599999999999994</v>
      </c>
      <c r="N35" s="17">
        <v>67.045563308221972</v>
      </c>
      <c r="O35" s="18" t="s">
        <v>63</v>
      </c>
    </row>
    <row r="36" spans="1:15" ht="51" x14ac:dyDescent="0.2">
      <c r="A36" s="19" t="s">
        <v>64</v>
      </c>
      <c r="B36" s="14" t="s">
        <v>65</v>
      </c>
      <c r="C36" s="17">
        <v>47.2</v>
      </c>
      <c r="D36" s="17">
        <v>48.9</v>
      </c>
      <c r="E36" s="17">
        <v>47.4</v>
      </c>
      <c r="F36" s="17">
        <v>44.273631840796014</v>
      </c>
      <c r="G36" s="17">
        <v>30.4</v>
      </c>
      <c r="H36" s="17">
        <v>30.4</v>
      </c>
      <c r="I36" s="17">
        <v>30.5</v>
      </c>
      <c r="J36" s="17">
        <v>69.651741293532325</v>
      </c>
      <c r="K36" s="17">
        <v>83.6</v>
      </c>
      <c r="L36" s="17">
        <v>84.5</v>
      </c>
      <c r="M36" s="17">
        <v>78</v>
      </c>
      <c r="N36" s="17">
        <v>81.980099502487548</v>
      </c>
      <c r="O36" s="18" t="s">
        <v>157</v>
      </c>
    </row>
    <row r="37" spans="1:15" x14ac:dyDescent="0.2">
      <c r="A37" s="13" t="s">
        <v>66</v>
      </c>
      <c r="B37" s="20">
        <v>61</v>
      </c>
      <c r="C37" s="17">
        <v>53</v>
      </c>
      <c r="D37" s="17">
        <v>57.3</v>
      </c>
      <c r="E37" s="17">
        <v>55.9</v>
      </c>
      <c r="F37" s="17">
        <v>56.447005762966654</v>
      </c>
      <c r="G37" s="17">
        <v>37.799999999999997</v>
      </c>
      <c r="H37" s="17">
        <v>39.9</v>
      </c>
      <c r="I37" s="17">
        <v>39.1</v>
      </c>
      <c r="J37" s="17">
        <v>69.441242796291618</v>
      </c>
      <c r="K37" s="17">
        <v>89.5</v>
      </c>
      <c r="L37" s="17">
        <v>88.7</v>
      </c>
      <c r="M37" s="17">
        <v>87.2</v>
      </c>
      <c r="N37" s="17">
        <v>78.336256577298883</v>
      </c>
      <c r="O37" s="18" t="s">
        <v>158</v>
      </c>
    </row>
    <row r="38" spans="1:15" ht="38.25" x14ac:dyDescent="0.2">
      <c r="A38" s="13" t="s">
        <v>67</v>
      </c>
      <c r="B38" s="20" t="s">
        <v>68</v>
      </c>
      <c r="C38" s="17">
        <v>39.700000000000003</v>
      </c>
      <c r="D38" s="17">
        <v>40.9</v>
      </c>
      <c r="E38" s="17">
        <v>40.1</v>
      </c>
      <c r="F38" s="17">
        <v>35.202728149779972</v>
      </c>
      <c r="G38" s="17">
        <v>29.3</v>
      </c>
      <c r="H38" s="17">
        <v>31.3</v>
      </c>
      <c r="I38" s="17">
        <v>30.7</v>
      </c>
      <c r="J38" s="17">
        <v>61.358864165174801</v>
      </c>
      <c r="K38" s="17">
        <v>72.3</v>
      </c>
      <c r="L38" s="17">
        <v>75</v>
      </c>
      <c r="M38" s="17">
        <v>67.599999999999994</v>
      </c>
      <c r="N38" s="17">
        <v>55.043121757269645</v>
      </c>
      <c r="O38" s="18" t="s">
        <v>159</v>
      </c>
    </row>
    <row r="39" spans="1:15" x14ac:dyDescent="0.2">
      <c r="A39" s="13" t="s">
        <v>69</v>
      </c>
      <c r="B39" s="14" t="s">
        <v>70</v>
      </c>
      <c r="C39" s="17">
        <v>32.6</v>
      </c>
      <c r="D39" s="17">
        <v>32.799999999999997</v>
      </c>
      <c r="E39" s="17">
        <v>33</v>
      </c>
      <c r="F39" s="17">
        <v>35.50604265290881</v>
      </c>
      <c r="G39" s="21">
        <v>22.4</v>
      </c>
      <c r="H39" s="21">
        <v>22.7</v>
      </c>
      <c r="I39" s="21">
        <v>22.6</v>
      </c>
      <c r="J39" s="17">
        <v>51.957743950260095</v>
      </c>
      <c r="K39" s="21">
        <v>76.400000000000006</v>
      </c>
      <c r="L39" s="21">
        <v>76</v>
      </c>
      <c r="M39" s="21">
        <v>75.5</v>
      </c>
      <c r="N39" s="17">
        <v>68.454706088007867</v>
      </c>
      <c r="O39" s="18" t="s">
        <v>71</v>
      </c>
    </row>
    <row r="40" spans="1:15" x14ac:dyDescent="0.2">
      <c r="A40" s="13" t="s">
        <v>72</v>
      </c>
      <c r="B40" s="14" t="s">
        <v>73</v>
      </c>
      <c r="C40" s="17">
        <v>36</v>
      </c>
      <c r="D40" s="17">
        <v>35.299999999999997</v>
      </c>
      <c r="E40" s="17">
        <v>35.799999999999997</v>
      </c>
      <c r="F40" s="17">
        <v>32.744520630497632</v>
      </c>
      <c r="G40" s="21">
        <v>27.7</v>
      </c>
      <c r="H40" s="21">
        <v>28</v>
      </c>
      <c r="I40" s="21">
        <v>28.1</v>
      </c>
      <c r="J40" s="17">
        <v>60.103544795396616</v>
      </c>
      <c r="K40" s="21">
        <v>79.3</v>
      </c>
      <c r="L40" s="21">
        <v>78.8</v>
      </c>
      <c r="M40" s="21">
        <v>75.3</v>
      </c>
      <c r="N40" s="17">
        <v>70.370190280841555</v>
      </c>
      <c r="O40" s="18" t="s">
        <v>160</v>
      </c>
    </row>
    <row r="41" spans="1:15" ht="89.25" x14ac:dyDescent="0.2">
      <c r="A41" s="13" t="s">
        <v>74</v>
      </c>
      <c r="B41" s="20" t="s">
        <v>75</v>
      </c>
      <c r="C41" s="17">
        <v>35.700000000000003</v>
      </c>
      <c r="D41" s="17">
        <v>34.6</v>
      </c>
      <c r="E41" s="17">
        <v>34.9</v>
      </c>
      <c r="F41" s="17">
        <v>31.341369376318422</v>
      </c>
      <c r="G41" s="17">
        <v>26.9</v>
      </c>
      <c r="H41" s="17">
        <v>26.8</v>
      </c>
      <c r="I41" s="17">
        <v>27.1</v>
      </c>
      <c r="J41" s="17">
        <v>51.995593967124151</v>
      </c>
      <c r="K41" s="17">
        <v>79.2</v>
      </c>
      <c r="L41" s="17">
        <v>78.599999999999994</v>
      </c>
      <c r="M41" s="17">
        <v>72.900000000000006</v>
      </c>
      <c r="N41" s="17">
        <v>67.775498016116416</v>
      </c>
      <c r="O41" s="18" t="s">
        <v>161</v>
      </c>
    </row>
    <row r="42" spans="1:15" x14ac:dyDescent="0.2">
      <c r="A42" s="13" t="s">
        <v>76</v>
      </c>
      <c r="B42" s="20">
        <v>72</v>
      </c>
      <c r="C42" s="17">
        <v>33.200000000000003</v>
      </c>
      <c r="D42" s="17">
        <v>35.700000000000003</v>
      </c>
      <c r="E42" s="17">
        <v>33.700000000000003</v>
      </c>
      <c r="F42" s="17">
        <v>27.967225907140076</v>
      </c>
      <c r="G42" s="17">
        <v>33.200000000000003</v>
      </c>
      <c r="H42" s="17">
        <v>33.299999999999997</v>
      </c>
      <c r="I42" s="17">
        <v>33.5</v>
      </c>
      <c r="J42" s="17">
        <v>60.897385875926659</v>
      </c>
      <c r="K42" s="17">
        <v>80.400000000000006</v>
      </c>
      <c r="L42" s="17">
        <v>81.099999999999994</v>
      </c>
      <c r="M42" s="17">
        <v>73.900000000000006</v>
      </c>
      <c r="N42" s="17">
        <v>57.651190011705026</v>
      </c>
      <c r="O42" s="18" t="s">
        <v>162</v>
      </c>
    </row>
    <row r="43" spans="1:15" ht="38.25" x14ac:dyDescent="0.2">
      <c r="A43" s="13" t="s">
        <v>77</v>
      </c>
      <c r="B43" s="20" t="s">
        <v>78</v>
      </c>
      <c r="C43" s="17">
        <v>38.6</v>
      </c>
      <c r="D43" s="17">
        <v>37.5</v>
      </c>
      <c r="E43" s="17">
        <v>38.1</v>
      </c>
      <c r="F43" s="17">
        <v>42.313296903460859</v>
      </c>
      <c r="G43" s="17">
        <v>27.3</v>
      </c>
      <c r="H43" s="17">
        <v>28.9</v>
      </c>
      <c r="I43" s="17">
        <v>29.2</v>
      </c>
      <c r="J43" s="17">
        <v>87.625409836065586</v>
      </c>
      <c r="K43" s="17">
        <v>79</v>
      </c>
      <c r="L43" s="17">
        <v>78</v>
      </c>
      <c r="M43" s="17">
        <v>83.9</v>
      </c>
      <c r="N43" s="17">
        <v>84.631420765027315</v>
      </c>
      <c r="O43" s="18" t="s">
        <v>79</v>
      </c>
    </row>
    <row r="44" spans="1:15" ht="25.5" x14ac:dyDescent="0.2">
      <c r="A44" s="13" t="s">
        <v>80</v>
      </c>
      <c r="B44" s="14" t="s">
        <v>81</v>
      </c>
      <c r="C44" s="17">
        <v>31</v>
      </c>
      <c r="D44" s="17">
        <v>30.9</v>
      </c>
      <c r="E44" s="17">
        <v>31.1</v>
      </c>
      <c r="F44" s="17">
        <v>34.575107231601464</v>
      </c>
      <c r="G44" s="17">
        <v>21.3</v>
      </c>
      <c r="H44" s="17">
        <v>21.1</v>
      </c>
      <c r="I44" s="17">
        <v>21.3</v>
      </c>
      <c r="J44" s="17">
        <v>47.143214805291471</v>
      </c>
      <c r="K44" s="17">
        <v>71.400000000000006</v>
      </c>
      <c r="L44" s="17">
        <v>70.7</v>
      </c>
      <c r="M44" s="17">
        <v>62.2</v>
      </c>
      <c r="N44" s="17">
        <v>68.716070267242586</v>
      </c>
      <c r="O44" s="18" t="s">
        <v>82</v>
      </c>
    </row>
    <row r="45" spans="1:15" ht="89.25" x14ac:dyDescent="0.2">
      <c r="A45" s="13" t="s">
        <v>83</v>
      </c>
      <c r="B45" s="14" t="s">
        <v>84</v>
      </c>
      <c r="C45" s="17">
        <v>29.9</v>
      </c>
      <c r="D45" s="17">
        <v>29.9</v>
      </c>
      <c r="E45" s="17">
        <v>30</v>
      </c>
      <c r="F45" s="17">
        <v>34.465280678144389</v>
      </c>
      <c r="G45" s="17">
        <v>20.6</v>
      </c>
      <c r="H45" s="17">
        <v>20.3</v>
      </c>
      <c r="I45" s="17">
        <v>20.7</v>
      </c>
      <c r="J45" s="17">
        <v>45.885841570374488</v>
      </c>
      <c r="K45" s="17">
        <v>71.2</v>
      </c>
      <c r="L45" s="17">
        <v>70.400000000000006</v>
      </c>
      <c r="M45" s="17">
        <v>62.2</v>
      </c>
      <c r="N45" s="17">
        <v>68.996968150107506</v>
      </c>
      <c r="O45" s="18" t="s">
        <v>163</v>
      </c>
    </row>
    <row r="46" spans="1:15" ht="51" x14ac:dyDescent="0.2">
      <c r="A46" s="13" t="s">
        <v>85</v>
      </c>
      <c r="B46" s="20">
        <v>79</v>
      </c>
      <c r="C46" s="17">
        <v>52.4</v>
      </c>
      <c r="D46" s="17">
        <v>50.8</v>
      </c>
      <c r="E46" s="17">
        <v>51.1</v>
      </c>
      <c r="F46" s="17">
        <v>38.4</v>
      </c>
      <c r="G46" s="17">
        <v>33</v>
      </c>
      <c r="H46" s="17">
        <v>35.200000000000003</v>
      </c>
      <c r="I46" s="17">
        <v>36.4</v>
      </c>
      <c r="J46" s="17">
        <v>86.9</v>
      </c>
      <c r="K46" s="17">
        <v>74.599999999999994</v>
      </c>
      <c r="L46" s="17">
        <v>77.7</v>
      </c>
      <c r="M46" s="17">
        <v>61.7</v>
      </c>
      <c r="N46" s="17">
        <v>58.933333333333323</v>
      </c>
      <c r="O46" s="18" t="s">
        <v>164</v>
      </c>
    </row>
    <row r="47" spans="1:15" ht="16.5" customHeight="1" x14ac:dyDescent="0.2">
      <c r="A47" s="13" t="s">
        <v>86</v>
      </c>
      <c r="B47" s="14" t="s">
        <v>87</v>
      </c>
      <c r="C47" s="17">
        <v>50</v>
      </c>
      <c r="D47" s="17">
        <v>50.7</v>
      </c>
      <c r="E47" s="17">
        <v>50.2</v>
      </c>
      <c r="F47" s="17">
        <v>69.117647058823522</v>
      </c>
      <c r="G47" s="17">
        <v>42.6</v>
      </c>
      <c r="H47" s="17">
        <v>41.8</v>
      </c>
      <c r="I47" s="17">
        <v>42.8</v>
      </c>
      <c r="J47" s="17">
        <v>80</v>
      </c>
      <c r="K47" s="17">
        <v>89.7</v>
      </c>
      <c r="L47" s="17">
        <v>83.6</v>
      </c>
      <c r="M47" s="17">
        <v>82.5</v>
      </c>
      <c r="N47" s="17">
        <v>82.941176470588232</v>
      </c>
      <c r="O47" s="18" t="s">
        <v>88</v>
      </c>
    </row>
    <row r="48" spans="1:15" ht="58.5" customHeight="1" x14ac:dyDescent="0.2">
      <c r="A48" s="13" t="s">
        <v>89</v>
      </c>
      <c r="B48" s="14" t="s">
        <v>90</v>
      </c>
      <c r="C48" s="17">
        <v>45.1</v>
      </c>
      <c r="D48" s="17">
        <v>44.4</v>
      </c>
      <c r="E48" s="17">
        <v>44.7</v>
      </c>
      <c r="F48" s="17">
        <v>43.591883999623683</v>
      </c>
      <c r="G48" s="17">
        <v>33.299999999999997</v>
      </c>
      <c r="H48" s="17">
        <v>33.1</v>
      </c>
      <c r="I48" s="17">
        <v>33.4</v>
      </c>
      <c r="J48" s="17">
        <v>68.476812847203277</v>
      </c>
      <c r="K48" s="17">
        <v>79.400000000000006</v>
      </c>
      <c r="L48" s="17">
        <v>76.7</v>
      </c>
      <c r="M48" s="17">
        <v>75.599999999999994</v>
      </c>
      <c r="N48" s="17">
        <v>68.357533009817857</v>
      </c>
      <c r="O48" s="18" t="s">
        <v>91</v>
      </c>
    </row>
    <row r="49" spans="1:27" x14ac:dyDescent="0.2">
      <c r="A49" s="32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4"/>
      <c r="M49" s="34"/>
      <c r="N49" s="35"/>
      <c r="O49" s="36"/>
    </row>
    <row r="50" spans="1:27" x14ac:dyDescent="0.2">
      <c r="A50" s="86" t="s">
        <v>92</v>
      </c>
      <c r="B50" s="86"/>
      <c r="L50" s="17"/>
      <c r="M50" s="17"/>
      <c r="O50" s="22" t="s">
        <v>165</v>
      </c>
    </row>
    <row r="51" spans="1:27" x14ac:dyDescent="0.2">
      <c r="A51" s="71" t="s">
        <v>93</v>
      </c>
      <c r="B51" s="71"/>
      <c r="C51" s="21">
        <v>38.5</v>
      </c>
      <c r="D51" s="21">
        <v>37.6</v>
      </c>
      <c r="E51" s="21">
        <v>38.9</v>
      </c>
      <c r="F51" s="17">
        <v>34.088174735866509</v>
      </c>
      <c r="G51" s="21">
        <v>27.6</v>
      </c>
      <c r="H51" s="21">
        <v>27.5</v>
      </c>
      <c r="I51" s="21">
        <v>27.7</v>
      </c>
      <c r="J51" s="17">
        <v>57.670282236072822</v>
      </c>
      <c r="K51" s="21">
        <v>76.7</v>
      </c>
      <c r="L51" s="21">
        <v>76.099999999999994</v>
      </c>
      <c r="M51" s="21">
        <v>74.8</v>
      </c>
      <c r="N51" s="17">
        <v>69.450025215573419</v>
      </c>
      <c r="O51" s="23" t="s">
        <v>94</v>
      </c>
    </row>
    <row r="52" spans="1:27" x14ac:dyDescent="0.2">
      <c r="A52" s="71" t="s">
        <v>95</v>
      </c>
      <c r="B52" s="71"/>
      <c r="C52" s="21">
        <v>44.5</v>
      </c>
      <c r="D52" s="21">
        <v>45.1</v>
      </c>
      <c r="E52" s="21">
        <v>44.9</v>
      </c>
      <c r="F52" s="17">
        <v>42.353758923948689</v>
      </c>
      <c r="G52" s="21">
        <v>33.299999999999997</v>
      </c>
      <c r="H52" s="21">
        <v>34.799999999999997</v>
      </c>
      <c r="I52" s="21">
        <v>35.1</v>
      </c>
      <c r="J52" s="17">
        <v>63.517109617313238</v>
      </c>
      <c r="K52" s="21">
        <v>83.5</v>
      </c>
      <c r="L52" s="21">
        <v>84.5</v>
      </c>
      <c r="M52" s="21">
        <v>81.8</v>
      </c>
      <c r="N52" s="17">
        <v>76.524681551998029</v>
      </c>
      <c r="O52" s="18" t="s">
        <v>96</v>
      </c>
    </row>
    <row r="53" spans="1:27" x14ac:dyDescent="0.2">
      <c r="A53" s="89" t="s">
        <v>97</v>
      </c>
      <c r="B53" s="89"/>
      <c r="C53" s="21">
        <v>45.4</v>
      </c>
      <c r="D53" s="21">
        <v>45.7</v>
      </c>
      <c r="E53" s="21">
        <v>45.7</v>
      </c>
      <c r="F53" s="17">
        <v>42.832167832167833</v>
      </c>
      <c r="G53" s="21">
        <v>39</v>
      </c>
      <c r="H53" s="21">
        <v>39.9</v>
      </c>
      <c r="I53" s="21">
        <v>39.799999999999997</v>
      </c>
      <c r="J53" s="17">
        <v>66.841491841491845</v>
      </c>
      <c r="K53" s="21">
        <v>86.3</v>
      </c>
      <c r="L53" s="21">
        <v>86.3</v>
      </c>
      <c r="M53" s="21">
        <v>84.3</v>
      </c>
      <c r="N53" s="17">
        <v>79.428904428904431</v>
      </c>
      <c r="O53" s="18" t="s">
        <v>98</v>
      </c>
    </row>
    <row r="54" spans="1:27" x14ac:dyDescent="0.2">
      <c r="G54" s="17"/>
      <c r="H54" s="17"/>
      <c r="I54" s="17"/>
      <c r="J54" s="17"/>
    </row>
    <row r="55" spans="1:27" ht="17.25" customHeight="1" x14ac:dyDescent="0.2">
      <c r="A55" s="9" t="s">
        <v>101</v>
      </c>
      <c r="G55" s="15"/>
      <c r="H55" s="15"/>
      <c r="I55" s="17"/>
      <c r="J55" s="17"/>
      <c r="K55" s="17"/>
      <c r="L55" s="17"/>
      <c r="M55" s="17"/>
      <c r="N55" s="17"/>
      <c r="O55" s="24"/>
      <c r="P55" s="24"/>
      <c r="Q55" s="24"/>
      <c r="R55" s="24"/>
      <c r="S55" s="24"/>
      <c r="T55" s="24"/>
      <c r="W55" s="17"/>
      <c r="X55" s="17"/>
    </row>
    <row r="56" spans="1:27" ht="51" customHeight="1" x14ac:dyDescent="0.2">
      <c r="A56" s="71" t="s">
        <v>174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21" customHeight="1" x14ac:dyDescent="0.2">
      <c r="A57" s="71" t="s">
        <v>106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21" customHeight="1" x14ac:dyDescent="0.2">
      <c r="A58" s="71" t="s">
        <v>175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x14ac:dyDescent="0.2">
      <c r="G59" s="15"/>
      <c r="H59" s="15"/>
      <c r="M59" s="17"/>
      <c r="N59" s="17"/>
      <c r="O59" s="24"/>
      <c r="P59" s="24"/>
      <c r="Q59" s="24"/>
      <c r="R59" s="24"/>
      <c r="S59" s="24"/>
      <c r="T59" s="24"/>
      <c r="W59" s="17"/>
      <c r="X59" s="17"/>
    </row>
  </sheetData>
  <mergeCells count="16">
    <mergeCell ref="A58:O58"/>
    <mergeCell ref="A57:O57"/>
    <mergeCell ref="A1:O1"/>
    <mergeCell ref="A2:N2"/>
    <mergeCell ref="A3:A5"/>
    <mergeCell ref="B3:B5"/>
    <mergeCell ref="C3:N3"/>
    <mergeCell ref="O3:O5"/>
    <mergeCell ref="C4:F4"/>
    <mergeCell ref="G4:J4"/>
    <mergeCell ref="K4:N4"/>
    <mergeCell ref="A50:B50"/>
    <mergeCell ref="A51:B51"/>
    <mergeCell ref="A52:B52"/>
    <mergeCell ref="A53:B53"/>
    <mergeCell ref="A56:O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Зміст_Content</vt:lpstr>
      <vt:lpstr>1</vt:lpstr>
      <vt:lpstr>2</vt:lpstr>
      <vt:lpstr>3</vt:lpstr>
      <vt:lpstr>4</vt:lpstr>
      <vt:lpstr>5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S.Naumova</dc:creator>
  <cp:lastModifiedBy>КІСЛЕНКО Ольга Вікторівна</cp:lastModifiedBy>
  <cp:lastPrinted>2024-09-11T15:18:11Z</cp:lastPrinted>
  <dcterms:created xsi:type="dcterms:W3CDTF">2021-09-24T11:37:45Z</dcterms:created>
  <dcterms:modified xsi:type="dcterms:W3CDTF">2024-10-15T14:34:50Z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1384601244</vt:i4>
  </property>
  <property fmtid="{D5CDD505-2E9C-101B-9397-08002B2CF9AE}" pid="3" name="_NewReviewCycle">
    <vt:lpwstr/>
  </property>
  <property fmtid="{D5CDD505-2E9C-101B-9397-08002B2CF9AE}" pid="4" name="_EmailSubject">
    <vt:lpwstr>ІКТ</vt:lpwstr>
  </property>
  <property fmtid="{D5CDD505-2E9C-101B-9397-08002B2CF9AE}" pid="5" name="_AuthorEmail">
    <vt:lpwstr>s.naumova@ukrstat.ua</vt:lpwstr>
  </property>
  <property fmtid="{D5CDD505-2E9C-101B-9397-08002B2CF9AE}" pid="6" name="_AuthorEmailDisplayName">
    <vt:lpwstr>Наумова Світлана Вікторівна</vt:lpwstr>
  </property>
  <property fmtid="{D5CDD505-2E9C-101B-9397-08002B2CF9AE}" pid="7" name="_PreviousAdHocReviewCycleID">
    <vt:i4>-365532046</vt:i4>
  </property>
  <property fmtid="{D5CDD505-2E9C-101B-9397-08002B2CF9AE}" pid="8" name="_ReviewingToolsShownOnce">
    <vt:lpwstr/>
  </property>
</Properties>
</file>