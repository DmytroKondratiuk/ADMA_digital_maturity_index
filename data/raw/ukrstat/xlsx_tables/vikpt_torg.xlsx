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/>
  <mc:AlternateContent xmlns:mc="http://schemas.openxmlformats.org/markup-compatibility/2006">
    <mc:Choice Requires="x15">
      <x15ac:absPath xmlns:x15ac="http://schemas.microsoft.com/office/spreadsheetml/2010/11/ac" url="C:\Users\new\Documents\Вебсайт\2024\ІКТ\На вебсайт\"/>
    </mc:Choice>
  </mc:AlternateContent>
  <xr:revisionPtr revIDLastSave="0" documentId="13_ncr:1_{E977372D-9B4F-4703-AF32-714763CB3AEA}" xr6:coauthVersionLast="36" xr6:coauthVersionMax="36" xr10:uidLastSave="{00000000-0000-0000-0000-000000000000}"/>
  <bookViews>
    <workbookView xWindow="0" yWindow="0" windowWidth="28800" windowHeight="10725" xr2:uid="{00000000-000D-0000-FFFF-FFFF00000000}"/>
  </bookViews>
  <sheets>
    <sheet name="Зміст_Content" sheetId="1" r:id="rId1"/>
    <sheet name="1" sheetId="2" r:id="rId2"/>
    <sheet name="2" sheetId="10" r:id="rId3"/>
    <sheet name="3" sheetId="8" r:id="rId4"/>
    <sheet name="4" sheetId="9" r:id="rId5"/>
    <sheet name="5" sheetId="5" r:id="rId6"/>
    <sheet name="6" sheetId="7" r:id="rId7"/>
    <sheet name="7" sheetId="15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2" i="2" l="1"/>
  <c r="F51" i="2"/>
</calcChain>
</file>

<file path=xl/sharedStrings.xml><?xml version="1.0" encoding="utf-8"?>
<sst xmlns="http://schemas.openxmlformats.org/spreadsheetml/2006/main" count="1396" uniqueCount="206">
  <si>
    <t>Усього</t>
  </si>
  <si>
    <t xml:space="preserve">Total </t>
  </si>
  <si>
    <t>Переробна промисловість</t>
  </si>
  <si>
    <t>C</t>
  </si>
  <si>
    <t xml:space="preserve">Manufacturing </t>
  </si>
  <si>
    <t>Виробництво харчових продуктів, напоїв і тютюнових виробів; текстильне виробництво, виробництво одягу, шкіри, виробів зі шкіри та інших матеріалів; виготовлення виробів з деревини, паперу та поліграфічна діяльність</t>
  </si>
  <si>
    <t>10+11+12+13+14+15+16+17+18</t>
  </si>
  <si>
    <t>Виробництво харчових продуктів, напоїв і тютюнових виробів</t>
  </si>
  <si>
    <t>10+11+12</t>
  </si>
  <si>
    <t>Текстильне виробництво, виробництво одягу, шкіри, виробів зі шкіри та інших матеріалів</t>
  </si>
  <si>
    <t>13+14+15</t>
  </si>
  <si>
    <t>Виготовлення виробів з деревини, паперу та поліграфічна діяльність</t>
  </si>
  <si>
    <t>16+17+18</t>
  </si>
  <si>
    <t>Виробництво коксу та продуктів нафтоперероблення; виробництво хімічних речовин і хімічної продукції; виробництво основних фармацевтичних продуктів і фармацевтичних препаратів; виробництво гумових і пластмасових виробів; виробництво іншої неметалевої мінеральної продукції</t>
  </si>
  <si>
    <t>19+20+21+
22+23</t>
  </si>
  <si>
    <t>Виробництво коксу та продуктів нафтоперероблення</t>
  </si>
  <si>
    <t>Виробництво хімічних речовин і хімічної продукції</t>
  </si>
  <si>
    <t>Виробництво основних фармацевтичних продуктів і фармацевтичних препаратів</t>
  </si>
  <si>
    <t>Виробництво гумових і пластмасових виробів, іншої неметалевої мінеральної продукції</t>
  </si>
  <si>
    <t>22+23</t>
  </si>
  <si>
    <t>Manufacture of rubber and plastic products, other non-metallic mineral products</t>
  </si>
  <si>
    <t>Металургійне виробництво, виробництво готових металевих виробів, крім машин і устатковання</t>
  </si>
  <si>
    <t>24+25</t>
  </si>
  <si>
    <t>Машинобудування; виробництво меблів, іншої продукції, ремонт і монтаж машин і устаткування</t>
  </si>
  <si>
    <t>26+27+28+29+
30+31+32+33</t>
  </si>
  <si>
    <t>Виробництво комп’ютерів, електронної та оптичної продукції</t>
  </si>
  <si>
    <t>Manufacture of computers, electronic and optical products</t>
  </si>
  <si>
    <t>Виробництво електричного устатковання</t>
  </si>
  <si>
    <t>Manufacture of electrical equipment</t>
  </si>
  <si>
    <t>Виробництво машин і устатковання, н.в.і.у.</t>
  </si>
  <si>
    <t xml:space="preserve">Виробництво автотранспортних засобів, причепів і напівпричепів та інших транспортних засобів </t>
  </si>
  <si>
    <t>29+30</t>
  </si>
  <si>
    <t>Виробництво меблів, іншої продукції, ремонт і монтаж машин і устаткування</t>
  </si>
  <si>
    <t>31+32+33</t>
  </si>
  <si>
    <t>Постачання електроенергії, газу, пари та кондиційованого повітря; водопостачання; каналізація, поводження з відходами</t>
  </si>
  <si>
    <t>D+E</t>
  </si>
  <si>
    <t>Electricity, gas, steam and air conditioning supply; water supply; sewerage, waste management and remedation activities</t>
  </si>
  <si>
    <t>Постачання електроенергії, газу, пари та кондиційованого повітря</t>
  </si>
  <si>
    <t>D</t>
  </si>
  <si>
    <t xml:space="preserve">Eelectricity, gas, steam and air-conditioning supply </t>
  </si>
  <si>
    <t>Водопостачання; каналізація, поводження з відходами</t>
  </si>
  <si>
    <t>E</t>
  </si>
  <si>
    <t>Water supply; sewerage, waste management and remedation activities</t>
  </si>
  <si>
    <t>Будівництво</t>
  </si>
  <si>
    <t>F</t>
  </si>
  <si>
    <t xml:space="preserve">Construction </t>
  </si>
  <si>
    <t xml:space="preserve">Оптова та роздрібна торгівля; ремонт автотранспортних засобів і мотоциклів </t>
  </si>
  <si>
    <t>G</t>
  </si>
  <si>
    <t xml:space="preserve">Wholesale and retail trade; repair of motor vehicles and motorcycles </t>
  </si>
  <si>
    <t>Оптова та роздрібна торгівля автотранспортними засобами та мотоциклами, їх ремонт</t>
  </si>
  <si>
    <t>Оптова торгівля, крім торгівлі автотранспортними засобами та мотоциклами</t>
  </si>
  <si>
    <t>Wholesale trade, except of motor vehicles and motorcycles</t>
  </si>
  <si>
    <t>Роздрібна торгівля, крім торгівлі автотранспортними засобами та мотоциклами</t>
  </si>
  <si>
    <t>Retail trade, except of motor vehicles and motorcycles</t>
  </si>
  <si>
    <t>Транспорт, складське господарство, поштова та кур'єрська діяльність</t>
  </si>
  <si>
    <t>H</t>
  </si>
  <si>
    <t>Transportation and storage</t>
  </si>
  <si>
    <t>Тимчасове розміщування й організація харчування</t>
  </si>
  <si>
    <t>I</t>
  </si>
  <si>
    <t>Accommodation and food service activities</t>
  </si>
  <si>
    <t>Тимчасове розміщування</t>
  </si>
  <si>
    <t xml:space="preserve">Інформація та телекомунікації </t>
  </si>
  <si>
    <t>J</t>
  </si>
  <si>
    <t xml:space="preserve">Information and communication </t>
  </si>
  <si>
    <t>Видавнича діяльність; виробництво кіно- та відеофільмів, телевізійних програм, видання звукозаписів; діяльність у сфері радіомовлення та телевізійного мовлення</t>
  </si>
  <si>
    <t>58+59+60</t>
  </si>
  <si>
    <t>Телекомунікації (електрозв’язок)</t>
  </si>
  <si>
    <t>Комп’ютерне програмування, консультування та пов’язана з ними діяльність; надання інформаційних послуг</t>
  </si>
  <si>
    <t>62+63</t>
  </si>
  <si>
    <t>Операції з нерухомим майном</t>
  </si>
  <si>
    <t>L</t>
  </si>
  <si>
    <t>Real estate activities</t>
  </si>
  <si>
    <t>Професійна, наукова та технічна діяльність</t>
  </si>
  <si>
    <t>M</t>
  </si>
  <si>
    <t>Діяльність у сферах права та бухгалтерського обліку; діяльність головних управлінь (хед-офісів); консультування з питань керування; діяльність у сферах архітектури та інжинірингу; технічні випробування та дослідження</t>
  </si>
  <si>
    <t>69+70+71</t>
  </si>
  <si>
    <t>Наукові дослідження та розробки</t>
  </si>
  <si>
    <t>Рекламна діяльність і дослідження кон'юнктури ринку; інша професійна, наукова та технічна діяльність</t>
  </si>
  <si>
    <t>73+74</t>
  </si>
  <si>
    <t>Advertising and market research; other professional, scientific and technical activities</t>
  </si>
  <si>
    <t>Діяльність у сфері адміністративного та допоміжного обслуговування</t>
  </si>
  <si>
    <t>N</t>
  </si>
  <si>
    <t xml:space="preserve">Administrative and support service activities </t>
  </si>
  <si>
    <t>Оренда, прокат і лізинг; діяльність із працевлаштування; діяльність охоронних служб та проведення розслідувань; обслуговування будинків і територій; адміністративна та допоміжна офісна діяльність, інші допоміжні комерційні послуги</t>
  </si>
  <si>
    <t>77+78+80+
81+82</t>
  </si>
  <si>
    <t>Діяльність туристичних агентств, туристичних операторів, надання інших послуг із бронювання та пов’язана з цим діяльність</t>
  </si>
  <si>
    <t>Ремонт комп'ютерів і обладнання зв'язку</t>
  </si>
  <si>
    <t>95.1</t>
  </si>
  <si>
    <t>Repair of computers and communication equipment</t>
  </si>
  <si>
    <t xml:space="preserve">Інформаційно-комунікаційні технології </t>
  </si>
  <si>
    <t>26.1+26.2+26.3+26.4+26.8+46.5+58.2+61+62+63.1+95.1</t>
  </si>
  <si>
    <t>Information and communication technologies</t>
  </si>
  <si>
    <t>У тому числі за кількістю зайнятих працівників</t>
  </si>
  <si>
    <t>від 10 до 49 осіб</t>
  </si>
  <si>
    <t>10-49 persons</t>
  </si>
  <si>
    <t>від 50 до 249 осіб</t>
  </si>
  <si>
    <t>50-249 persons</t>
  </si>
  <si>
    <t>250 осіб і більше</t>
  </si>
  <si>
    <t>250 persons and more</t>
  </si>
  <si>
    <r>
      <t xml:space="preserve">одиниць/ 
</t>
    </r>
    <r>
      <rPr>
        <i/>
        <sz val="10"/>
        <rFont val="Verdana"/>
        <family val="2"/>
        <charset val="204"/>
      </rPr>
      <t>units</t>
    </r>
  </si>
  <si>
    <r>
      <t xml:space="preserve">тис.грн/ 
</t>
    </r>
    <r>
      <rPr>
        <i/>
        <sz val="10"/>
        <rFont val="Verdana"/>
        <family val="2"/>
        <charset val="204"/>
      </rPr>
      <t>thousand UAH</t>
    </r>
  </si>
  <si>
    <r>
      <t xml:space="preserve">через власний вебсайт/ вебдодатки/ 
</t>
    </r>
    <r>
      <rPr>
        <i/>
        <sz val="10"/>
        <rFont val="Verdana"/>
        <family val="2"/>
        <charset val="204"/>
      </rPr>
      <t xml:space="preserve">via the enterprise’s own websites or apps   </t>
    </r>
  </si>
  <si>
    <r>
      <t xml:space="preserve">фізичні особи/ 
</t>
    </r>
    <r>
      <rPr>
        <i/>
        <sz val="10"/>
        <rFont val="Verdana"/>
        <family val="2"/>
        <charset val="204"/>
      </rPr>
      <t>private consumers</t>
    </r>
  </si>
  <si>
    <r>
      <t xml:space="preserve">Примітки/ </t>
    </r>
    <r>
      <rPr>
        <b/>
        <i/>
        <sz val="10"/>
        <rFont val="Verdana"/>
        <family val="2"/>
        <charset val="204"/>
      </rPr>
      <t>Notes</t>
    </r>
    <r>
      <rPr>
        <b/>
        <sz val="10"/>
        <rFont val="Verdana"/>
        <family val="2"/>
        <charset val="204"/>
      </rPr>
      <t>:</t>
    </r>
  </si>
  <si>
    <r>
      <t xml:space="preserve">Кількість підприємств, які здійснювали електронну торгівлю/ 
</t>
    </r>
    <r>
      <rPr>
        <i/>
        <sz val="10"/>
        <rFont val="Verdana"/>
        <family val="2"/>
        <charset val="204"/>
      </rPr>
      <t>Number of enterprises which have made e-commerce</t>
    </r>
  </si>
  <si>
    <t>-</t>
  </si>
  <si>
    <r>
      <t xml:space="preserve">
у % до загальної кількості підприємств/ 
</t>
    </r>
    <r>
      <rPr>
        <i/>
        <sz val="10"/>
        <rFont val="Verdana"/>
        <family val="2"/>
        <charset val="204"/>
      </rPr>
      <t>% of the total number of enterprises</t>
    </r>
    <r>
      <rPr>
        <sz val="10"/>
        <rFont val="Verdana"/>
        <family val="2"/>
        <charset val="204"/>
      </rPr>
      <t xml:space="preserve">
</t>
    </r>
  </si>
  <si>
    <r>
      <t xml:space="preserve">у % до загального обсягу реалізованої продукції
 (товарів, послуг) підприємств/ 
</t>
    </r>
    <r>
      <rPr>
        <i/>
        <sz val="10"/>
        <rFont val="Verdana"/>
        <family val="2"/>
        <charset val="204"/>
      </rPr>
      <t>% of the total turnover of enterprises</t>
    </r>
  </si>
  <si>
    <r>
      <t xml:space="preserve">Україна/
</t>
    </r>
    <r>
      <rPr>
        <i/>
        <sz val="10"/>
        <rFont val="Verdana"/>
        <family val="2"/>
        <charset val="204"/>
      </rPr>
      <t>Ukraine</t>
    </r>
  </si>
  <si>
    <r>
      <t xml:space="preserve">Обсяг реалізованої продукції (товарів, послуг) підприємств, отриманий від електронної торгівлі/ 
</t>
    </r>
    <r>
      <rPr>
        <i/>
        <sz val="10"/>
        <rFont val="Verdana"/>
        <family val="2"/>
        <charset val="204"/>
      </rPr>
      <t>Value of the turnover of e-commerce sales</t>
    </r>
  </si>
  <si>
    <t>Примітки/ Notes:</t>
  </si>
  <si>
    <r>
      <t xml:space="preserve">1. Дані за 2018-2021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областях; дані за 2022 рік наведено без урахування тимчасово окупованих російською федерацією територій та частини територій, на яких ведуться (велися) бойові дії./ 
</t>
    </r>
    <r>
      <rPr>
        <i/>
        <sz val="10"/>
        <rFont val="Verdana"/>
        <family val="2"/>
        <charset val="204"/>
      </rPr>
      <t xml:space="preserve">   Data for 2018-2021 exclude the temporarily occupied territory of the Autonomous Republic of Crimea, the city of Sevastopol and a part of temporarily occupied territories in the Donetsk and Luhansk regions; data for 2022 exclude the territories which are temporarily occupied by the russian federation and part of territories where the military actions are/were conducted</t>
    </r>
    <r>
      <rPr>
        <sz val="10"/>
        <rFont val="Verdana"/>
        <family val="2"/>
        <charset val="204"/>
      </rPr>
      <t>.</t>
    </r>
  </si>
  <si>
    <r>
      <t xml:space="preserve">2. Дані наведені по юридичних особах із кількістю зайнятих працівників 10 осіб і більше./ </t>
    </r>
    <r>
      <rPr>
        <i/>
        <sz val="10"/>
        <rFont val="Verdana"/>
        <family val="2"/>
        <charset val="204"/>
      </rPr>
      <t>Data are given for legal entities with 10 persons employed and more.</t>
    </r>
  </si>
  <si>
    <r>
      <t xml:space="preserve">через повідомлення 
типу EDI/ 
</t>
    </r>
    <r>
      <rPr>
        <i/>
        <sz val="10"/>
        <rFont val="Verdana"/>
        <family val="2"/>
        <charset val="204"/>
      </rPr>
      <t xml:space="preserve">via EDI-type messages </t>
    </r>
  </si>
  <si>
    <r>
      <t xml:space="preserve">вебсайти/ вебдодатки для електронної торгівлі,
які використовуються декількома підприємствами/ 
</t>
    </r>
    <r>
      <rPr>
        <i/>
        <sz val="10"/>
        <rFont val="Verdana"/>
        <family val="2"/>
        <charset val="204"/>
      </rPr>
      <t xml:space="preserve">via e-commerce marketplace websites or apps used by several enterprises </t>
    </r>
  </si>
  <si>
    <r>
      <t xml:space="preserve">вебсайти/ вебдодатки для електронної торгівлі,
які використовуються декількома підприємствами/ 
</t>
    </r>
    <r>
      <rPr>
        <i/>
        <sz val="10"/>
        <rFont val="Verdana"/>
        <family val="2"/>
        <charset val="204"/>
      </rPr>
      <t>via e-commerce marketplace websites or apps used by several enterprises</t>
    </r>
  </si>
  <si>
    <t>−</t>
  </si>
  <si>
    <r>
      <t xml:space="preserve">1. Дані за 2021 рік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областях; дані за 2022 рік наведено без урахування тимчасово окупованих російською федерацією територій та частини територій, на яких ведуться (велися) бойові дії./ 
</t>
    </r>
    <r>
      <rPr>
        <i/>
        <sz val="10"/>
        <rFont val="Verdana"/>
        <family val="2"/>
        <charset val="204"/>
      </rPr>
      <t xml:space="preserve">   Data for 2021 exclude the temporarily occupied territory of the Autonomous Republic of Crimea, the city of Sevastopol and a part of temporarily occupied territories in the Donetsk and Luhansk regions; data for 2022 exclude the territories which are temporarily occupied by the russian federation and part of territories where the military actions are/were conducted</t>
    </r>
    <r>
      <rPr>
        <sz val="10"/>
        <rFont val="Verdana"/>
        <family val="2"/>
        <charset val="204"/>
      </rPr>
      <t>.</t>
    </r>
  </si>
  <si>
    <r>
      <t xml:space="preserve">Частка кількості підприємств, 
що проводили аналіз "великих даних", у загальній кількості підприємств, %/ 
</t>
    </r>
    <r>
      <rPr>
        <i/>
        <sz val="10"/>
        <rFont val="Verdana"/>
        <family val="2"/>
        <charset val="204"/>
      </rPr>
      <t xml:space="preserve">Share of the number of enterprises which have performed big data analysis of the total number of enterprises, %
</t>
    </r>
    <r>
      <rPr>
        <sz val="10"/>
        <rFont val="Verdana"/>
        <family val="2"/>
        <charset val="204"/>
      </rPr>
      <t xml:space="preserve">
</t>
    </r>
  </si>
  <si>
    <r>
      <t xml:space="preserve">1. Дані наведено без урахування тимчасово окупованих російською федерацією територій та частини територій, на яких ведуться (велися) бойові дії./ </t>
    </r>
    <r>
      <rPr>
        <i/>
        <sz val="10"/>
        <rFont val="Verdana"/>
        <family val="2"/>
        <charset val="204"/>
      </rPr>
      <t>Data exclude the territories which are temporarily occupied by the russian federation and part of territories where the military actions are/were conducted.</t>
    </r>
  </si>
  <si>
    <r>
      <t xml:space="preserve">2. Дані наведені по юридичних особах із кількістю зайнятих працівників 10 осіб і більше/ </t>
    </r>
    <r>
      <rPr>
        <i/>
        <sz val="10"/>
        <rFont val="Verdana"/>
        <family val="2"/>
        <charset val="204"/>
      </rPr>
      <t>Data are given for legal entities with 10 persons employed and more.</t>
    </r>
  </si>
  <si>
    <r>
      <t>3. Інформація за 2021-2022 роки сформована на основі фактично поданих підприємствами звітів та проведених дооцінок показників. /</t>
    </r>
    <r>
      <rPr>
        <i/>
        <sz val="10"/>
        <rFont val="Verdana"/>
        <family val="2"/>
        <charset val="204"/>
      </rPr>
      <t xml:space="preserve"> The information for 2021‒2022 has been compiled on the basis of reports actually submitted by enterprises and additional estimates of indicators. </t>
    </r>
  </si>
  <si>
    <r>
      <t xml:space="preserve">1. Дані за 2020-2021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областях; дані за 2022 рік наведено без урахування тимчасово окупованих російською федерацією територій та частини територій, на яких ведуться (велися) бойові дії./ </t>
    </r>
    <r>
      <rPr>
        <i/>
        <sz val="10"/>
        <rFont val="Verdana"/>
        <family val="2"/>
        <charset val="204"/>
      </rPr>
      <t>Data for 2020-2021 exclude the temporarily occupied territory of the Autonomous Republic of Crimea, the city of Sevastopol and a part of temporarily occupied territories in the Donetsk and Luhansk regions; data for 2022 exclude the territories which are temporarily occupied by the russian federation and part of territories where the military actions are/were conducted</t>
    </r>
    <r>
      <rPr>
        <sz val="10"/>
        <rFont val="Verdana"/>
        <family val="2"/>
        <charset val="204"/>
      </rPr>
      <t>.</t>
    </r>
  </si>
  <si>
    <r>
      <t>3. Інформація сформована на основі фактично поданих підприємствами звітів та проведених дооцінок показників. /</t>
    </r>
    <r>
      <rPr>
        <i/>
        <sz val="10"/>
        <rFont val="Verdana"/>
        <family val="2"/>
        <charset val="204"/>
      </rPr>
      <t xml:space="preserve"> The information has been compiled on the basis of reports actually submitted by enterprises and additional estimates of indicators. </t>
    </r>
  </si>
  <si>
    <r>
      <t xml:space="preserve">1. Дані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областях./ </t>
    </r>
    <r>
      <rPr>
        <i/>
        <sz val="10"/>
        <rFont val="Verdana"/>
        <family val="2"/>
        <charset val="204"/>
      </rPr>
      <t>Data exclude the temporarily occupied territory of the Autonomous Republic of Crimea, the city of Sevastopol and a part of temporarily occupied territories in the Donetsk and Luhansk regions</t>
    </r>
    <r>
      <rPr>
        <sz val="10"/>
        <rFont val="Verdana"/>
        <family val="2"/>
        <charset val="204"/>
      </rPr>
      <t>.</t>
    </r>
  </si>
  <si>
    <t>решта світу/
other</t>
  </si>
  <si>
    <r>
      <t>Частка кількості підприємств, які здійснювали 
електронну торгівлю, у загальній кількості підприємств 
за видами продажів, %/ 
S</t>
    </r>
    <r>
      <rPr>
        <i/>
        <sz val="10"/>
        <rFont val="Verdana"/>
        <family val="2"/>
        <charset val="204"/>
      </rPr>
      <t>hare of the number of enterprises which have made 
e-commerce of the total number of enterprises 
by type sales, %</t>
    </r>
  </si>
  <si>
    <r>
      <t xml:space="preserve">Частка обсягу реалізованої продукції 
(товарів, послуг), отриманого від електронної торгівлі, у загальному обсязі реалізованої продукції (товарів, послуг) підприємств за видами продажів, %/ 
</t>
    </r>
    <r>
      <rPr>
        <i/>
        <sz val="10"/>
        <rFont val="Verdana"/>
        <family val="2"/>
        <charset val="204"/>
      </rPr>
      <t>Share of value of turnover of e-commerce sales via websites or apps of the total turnover of enterprises 
by type sales, %</t>
    </r>
  </si>
  <si>
    <r>
      <t xml:space="preserve">Частка кількості підприємств, які здійснювали електронну торгівлю 
через вебсайти або вебдодатки, 
у загальній кількості підприємств 
за типом замовника, %/ 
</t>
    </r>
    <r>
      <rPr>
        <i/>
        <sz val="10"/>
        <rFont val="Verdana"/>
        <family val="2"/>
        <charset val="204"/>
      </rPr>
      <t>Share of the number of enterprises which have made e-commerce via websites or apps of the total number of enterprises 
by type of customer, %</t>
    </r>
  </si>
  <si>
    <r>
      <t xml:space="preserve">Частка обсягу реалізованої продукції 
(товарів, послуг), отриманого від електронної торгівлі через вебсайти або вебдодатки, у загальному обсязі реалізованої продукції (товарів, послуг) підприємств за типом замовника, %/ 
</t>
    </r>
    <r>
      <rPr>
        <i/>
        <sz val="10"/>
        <rFont val="Verdana"/>
        <family val="2"/>
        <charset val="204"/>
      </rPr>
      <t>Share of value of turnover of 
e-commerce sales via websites or apps 
of the total turnover of enterprises 
by type of customer, %</t>
    </r>
  </si>
  <si>
    <r>
      <t xml:space="preserve">обмеження від ділових партнерів на продаж продукції певним країнам ЄС/
</t>
    </r>
    <r>
      <rPr>
        <i/>
        <sz val="10"/>
        <rFont val="Verdana"/>
        <family val="2"/>
        <charset val="204"/>
      </rPr>
      <t>restrictions from enterprise's business partners to sell to certain Member States</t>
    </r>
  </si>
  <si>
    <r>
      <t xml:space="preserve">Код за 
КВЕД-2010/
</t>
    </r>
    <r>
      <rPr>
        <i/>
        <sz val="10"/>
        <rFont val="Verdana"/>
        <family val="2"/>
        <charset val="204"/>
      </rPr>
      <t>Code NACE, Rev.2</t>
    </r>
  </si>
  <si>
    <r>
      <t xml:space="preserve">Код за 
КВЕД-2010/
</t>
    </r>
    <r>
      <rPr>
        <i/>
        <sz val="10"/>
        <rFont val="Verdana"/>
        <family val="2"/>
        <charset val="204"/>
      </rPr>
      <t xml:space="preserve"> Code NACE, Rev.2</t>
    </r>
  </si>
  <si>
    <r>
      <t xml:space="preserve">Код за 
КВЕД-2010/
 </t>
    </r>
    <r>
      <rPr>
        <i/>
        <sz val="10"/>
        <rFont val="Verdana"/>
        <family val="2"/>
        <charset val="204"/>
      </rPr>
      <t>Code NACE, Rev.2</t>
    </r>
  </si>
  <si>
    <t>Machine-building; manufacture of furniture, other products, repair and installation of machinery and equipment</t>
  </si>
  <si>
    <t xml:space="preserve">Manufacture of food products, beverages and tobacco products; textile production, production of clothing, leather, leather products and other materials; manufacture of wood, paper and printing </t>
  </si>
  <si>
    <t>Manufacture of food products, beverages and tobacco products</t>
  </si>
  <si>
    <t>Manufacture of textiles, wearing apparel, leather and related products</t>
  </si>
  <si>
    <t xml:space="preserve">Manufacture of wood, paper and printing </t>
  </si>
  <si>
    <t>Manufacture of coke and refined petroleum products; manufacture of chemicals and chemical products; manufacture of basic pharmaceutical products and pharmaceuticals preparations; manufacture of rubber and plastic products; manufacture of other non-metallic mineral products</t>
  </si>
  <si>
    <t>Manufacture of coke and refined petroleum products</t>
  </si>
  <si>
    <t>Manufacture of chemicals and chemical products</t>
  </si>
  <si>
    <t>Manufacture of basic pharmaceutical products and pharmaceuticals preparations</t>
  </si>
  <si>
    <t>Manufacture of basic metals; manufacture of fabricated metal products, except machinery and equipment</t>
  </si>
  <si>
    <t>Manufacture of machinery and equipment n.e.c.</t>
  </si>
  <si>
    <t>Manufacture of motor vehicles, trailers and semi-trailers; manufacture of other transport equipment</t>
  </si>
  <si>
    <t>Manufacture of furniture, other manufacturing, repair and installation of machinery and equipment</t>
  </si>
  <si>
    <t>Wholesale and retail trade and repair of motor vehicles and motorcycles</t>
  </si>
  <si>
    <t>Accommodation</t>
  </si>
  <si>
    <t>Publishing activities, motion picture, video and television programme production, sound recording and music publishing activities, programming and broadcasting activities</t>
  </si>
  <si>
    <t>Telecommunications</t>
  </si>
  <si>
    <t>Computer programming, consultancy and related activities; information service activities</t>
  </si>
  <si>
    <t xml:space="preserve">Professional, scientific and technical activities </t>
  </si>
  <si>
    <t>Legal and accounting activities, main departments activities (head offices); management consulting;  architectural and engineering activities; technical testing and analysis</t>
  </si>
  <si>
    <t>Scientific research and development</t>
  </si>
  <si>
    <t>Travel agency, tour operator and other reservation service and related activities</t>
  </si>
  <si>
    <t xml:space="preserve">Including by the number of persons employed </t>
  </si>
  <si>
    <r>
      <t>Кількість підприємств, які здійснювали електронну торгівлю, та обсяг реалізованої продукції (товарів, послуг), отриманий від електронної торгівлі, за видами економічної діяльності та з розподілом за кількістю зайнятих працівників у 2018-2022 роках/</t>
    </r>
    <r>
      <rPr>
        <b/>
        <vertAlign val="superscript"/>
        <sz val="10"/>
        <rFont val="Verdana"/>
        <family val="2"/>
        <charset val="204"/>
      </rPr>
      <t xml:space="preserve">
</t>
    </r>
    <r>
      <rPr>
        <b/>
        <i/>
        <sz val="10"/>
        <rFont val="Verdana"/>
        <family val="2"/>
        <charset val="204"/>
      </rPr>
      <t>Number of enterprises which have made e-commerce and value of the turnover of e-commerce sales by type of economic activity and with a breakdown by number of persons employed in 2018-2022</t>
    </r>
  </si>
  <si>
    <r>
      <t xml:space="preserve">юридичні особи, включаючи державні органи / 
</t>
    </r>
    <r>
      <rPr>
        <i/>
        <sz val="10"/>
        <rFont val="Verdana"/>
        <family val="2"/>
        <charset val="204"/>
      </rPr>
      <t xml:space="preserve">other enterprises and 
public sector </t>
    </r>
  </si>
  <si>
    <r>
      <t xml:space="preserve">Частка кількості підприємств, які здійснювали електронну торгівлю, у загальній кількості підприємств та частка обсягу реалізованої продукції (товарів, послуг), отриманого від електронної торгівлі, у загальному обсязі реалізованої продукції (товарів, послуг) підприємств за видами продажів та типом замовника за видами економічної діяльності та з розподілом за кількістю зайнятих працівників у 2020-2022 роках/ 
</t>
    </r>
    <r>
      <rPr>
        <b/>
        <i/>
        <sz val="10"/>
        <rFont val="Verdana"/>
        <family val="2"/>
        <charset val="204"/>
      </rPr>
      <t>Share of the number of enterprises which have made e-commerce of the total number of enterprises and share of value of turnover of e-commerce sales of the total turnover of enterprises by type of sales and by type of customer by type of economic activity and with a breakdown by number of persons employed in 2020-2022</t>
    </r>
  </si>
  <si>
    <r>
      <t xml:space="preserve">Частка кількості підприємств, які здійснювали електронну торгівлю, у загальній кількості підприємств, за місцем розташування клієнтів, %/ 
</t>
    </r>
    <r>
      <rPr>
        <i/>
        <sz val="10"/>
        <rFont val="Verdana"/>
        <family val="2"/>
        <charset val="204"/>
      </rPr>
      <t>Share of the number of enterprises which have made e-commerce of the total number of enterprises by location of customers, %</t>
    </r>
  </si>
  <si>
    <r>
      <t xml:space="preserve">Частка обсягу реалізованої продукції (товарів, послуг) підприємств, отриманого від електронної торгівлі, у загальному обсязі реалізованої продукції (товарів, послуг) підприємств за місцем розташування клієнтів, %/ 
</t>
    </r>
    <r>
      <rPr>
        <i/>
        <sz val="10"/>
        <rFont val="Verdana"/>
        <family val="2"/>
        <charset val="204"/>
      </rPr>
      <t>Share of the value of the turnover of e-commerce sales of the total turnover of enterprises by location of customers, %</t>
    </r>
  </si>
  <si>
    <r>
      <t xml:space="preserve">країни Європейського Союзу/
</t>
    </r>
    <r>
      <rPr>
        <i/>
        <sz val="10"/>
        <rFont val="Verdana"/>
        <family val="2"/>
        <charset val="204"/>
      </rPr>
      <t>EU countries</t>
    </r>
  </si>
  <si>
    <r>
      <t>Частка кількості підприємств, які здійснювали електронну торгівлю, у загальній кількості підприємств та частка обсягу реалізованої продукції (товарів, послуг), отриманого від електронної торгівлі, у загальному обсязі реалізованої продукції (товарів, послуг) підприємств за місцем розташування клієнтів за видами економічної діяльності та з розподілом за кількістю зайнятих працівників у 2021, 2022 роках/</t>
    </r>
    <r>
      <rPr>
        <b/>
        <vertAlign val="superscript"/>
        <sz val="10"/>
        <rFont val="Verdana"/>
        <family val="2"/>
        <charset val="204"/>
      </rPr>
      <t xml:space="preserve">
</t>
    </r>
    <r>
      <rPr>
        <b/>
        <i/>
        <sz val="10"/>
        <rFont val="Verdana"/>
        <family val="2"/>
        <charset val="204"/>
      </rPr>
      <t>Share of the number of enterprises which have made e-commerce of the total number of enterprises and share of the value of turnover of e-commerce sales of the total turnover of enterprises by location of customers by types of economic activity and with a breakdown by number of persons employed in 2021, 2022</t>
    </r>
  </si>
  <si>
    <r>
      <t xml:space="preserve">Частка кількості підприємств, які здійснювали електронну торгівлю, у загальній кількості підприємств за видами труднощів щодо електронної торгівлі з країнами ЄС  за видами економічної діяльності та з розподілом за кількістю зайнятих працівників у 2021 році/ </t>
    </r>
    <r>
      <rPr>
        <b/>
        <vertAlign val="superscript"/>
        <sz val="10"/>
        <rFont val="Verdana"/>
        <family val="2"/>
        <charset val="204"/>
      </rPr>
      <t xml:space="preserve">
</t>
    </r>
    <r>
      <rPr>
        <b/>
        <i/>
        <sz val="10"/>
        <rFont val="Verdana"/>
        <family val="2"/>
        <charset val="204"/>
      </rPr>
      <t>Share of the number of enterprises which have made e-commerce in the total number of enterprises by types of difficulties regarding electronic trade with EU countries by types of economic activity and with a breakdown by number of persons employed in 2021</t>
    </r>
  </si>
  <si>
    <r>
      <t xml:space="preserve">Частка кількості підприємств, які здійснювали електронну торгівлю з країнами ЄС, у загальній кількості підприємств, %/ </t>
    </r>
    <r>
      <rPr>
        <i/>
        <sz val="10"/>
        <rFont val="Verdana"/>
        <family val="2"/>
        <charset val="204"/>
      </rPr>
      <t xml:space="preserve">Share of the number of enterprises which have made e-commerce  with EU countries in the total number of enterprises, %
</t>
    </r>
  </si>
  <si>
    <r>
      <t xml:space="preserve">З них за видами труднощів щодо електронної торгівлі з країнами ЄС/ 
</t>
    </r>
    <r>
      <rPr>
        <i/>
        <sz val="10"/>
        <rFont val="Verdana"/>
        <family val="2"/>
        <charset val="204"/>
      </rPr>
      <t xml:space="preserve">Of them by types of difficulties experienced when selling to other Member States   </t>
    </r>
  </si>
  <si>
    <r>
      <t xml:space="preserve">значні витрати на доставку або повернення продукції при продажу до країн ЄС/
</t>
    </r>
    <r>
      <rPr>
        <i/>
        <sz val="10"/>
        <rFont val="Verdana"/>
        <family val="2"/>
        <charset val="204"/>
      </rPr>
      <t>high costs of delivering or returning products</t>
    </r>
    <r>
      <rPr>
        <sz val="10"/>
        <rFont val="Verdana"/>
        <family val="2"/>
        <charset val="204"/>
      </rPr>
      <t xml:space="preserve"> </t>
    </r>
    <r>
      <rPr>
        <i/>
        <sz val="10"/>
        <rFont val="Verdana"/>
        <family val="2"/>
        <charset val="204"/>
      </rPr>
      <t>when selling to Member States</t>
    </r>
  </si>
  <si>
    <r>
      <t xml:space="preserve">труднощі, пов'язані з вирішенням скарг та спорів при продажу до країн ЄС/
</t>
    </r>
    <r>
      <rPr>
        <i/>
        <sz val="10"/>
        <rFont val="Verdana"/>
        <family val="2"/>
        <charset val="204"/>
      </rPr>
      <t>difficulties related to resolving complaints and disputes</t>
    </r>
    <r>
      <rPr>
        <sz val="10"/>
        <rFont val="Verdana"/>
        <family val="2"/>
        <charset val="204"/>
      </rPr>
      <t xml:space="preserve"> </t>
    </r>
    <r>
      <rPr>
        <i/>
        <sz val="10"/>
        <rFont val="Verdana"/>
        <family val="2"/>
        <charset val="204"/>
      </rPr>
      <t>when selling to Member States</t>
    </r>
  </si>
  <si>
    <r>
      <t xml:space="preserve">адаптація маркування продукції для продажу в країни ЄС/
</t>
    </r>
    <r>
      <rPr>
        <i/>
        <sz val="10"/>
        <rFont val="Verdana"/>
        <family val="2"/>
        <charset val="204"/>
      </rPr>
      <t>adapting product labelling for sales to Member States</t>
    </r>
  </si>
  <si>
    <r>
      <t xml:space="preserve">відсутність знань іноземних мов для спілкування з клієнтами із країн ЄС/
</t>
    </r>
    <r>
      <rPr>
        <i/>
        <sz val="10"/>
        <rFont val="Verdana"/>
        <family val="2"/>
        <charset val="204"/>
      </rPr>
      <t>lack of knowledge of foreign languages for communicating with customers in Member States</t>
    </r>
  </si>
  <si>
    <r>
      <t xml:space="preserve">труднощі, пов'язані з режимом оподаткування ПДВ у країнах ЄС/
</t>
    </r>
    <r>
      <rPr>
        <i/>
        <sz val="10"/>
        <rFont val="Verdana"/>
        <family val="2"/>
        <charset val="204"/>
      </rPr>
      <t xml:space="preserve">difficulties related to the VAT system in Member States   </t>
    </r>
  </si>
  <si>
    <r>
      <t xml:space="preserve">З них за способами проведення аналізу "великих даних"/ 
</t>
    </r>
    <r>
      <rPr>
        <i/>
        <sz val="10"/>
        <rFont val="Verdana"/>
        <family val="2"/>
        <charset val="204"/>
      </rPr>
      <t xml:space="preserve">Of them performing big data analysis </t>
    </r>
  </si>
  <si>
    <r>
      <t xml:space="preserve">на основі даних, отриманих зі смарт-пристроїв або датчиків/ 
</t>
    </r>
    <r>
      <rPr>
        <i/>
        <sz val="10"/>
        <rFont val="Verdana"/>
        <family val="2"/>
        <charset val="204"/>
      </rPr>
      <t>on data from smart devices or sensors</t>
    </r>
  </si>
  <si>
    <r>
      <t xml:space="preserve">на основі геолокаційних даних, отриманих із портативних пристроїв/ 
</t>
    </r>
    <r>
      <rPr>
        <i/>
        <sz val="10"/>
        <rFont val="Verdana"/>
        <family val="2"/>
        <charset val="204"/>
      </rPr>
      <t>on geolocation data from portable devices</t>
    </r>
  </si>
  <si>
    <r>
      <t xml:space="preserve">на основі даних, згенерованих із 
соціальних медіа/ 
</t>
    </r>
    <r>
      <rPr>
        <i/>
        <sz val="10"/>
        <rFont val="Verdana"/>
        <family val="2"/>
        <charset val="204"/>
      </rPr>
      <t>on data generated from social media</t>
    </r>
  </si>
  <si>
    <r>
      <t xml:space="preserve">на основі інших джерел/ 
</t>
    </r>
    <r>
      <rPr>
        <i/>
        <sz val="10"/>
        <rFont val="Verdana"/>
        <family val="2"/>
        <charset val="204"/>
      </rPr>
      <t xml:space="preserve">on other sources </t>
    </r>
  </si>
  <si>
    <r>
      <t xml:space="preserve">Частка кількості підприємств, що проводили аналіз "великих даних", у загальній кількості підприємств за видами економічної діяльності та з розподілом за кількістю зайнятих працівників у 2018-2020, 2022 роках/ 
</t>
    </r>
    <r>
      <rPr>
        <b/>
        <i/>
        <sz val="10"/>
        <rFont val="Verdana"/>
        <family val="2"/>
        <charset val="204"/>
      </rPr>
      <t>Share of the number of enterprises which have performed big data analysis of the total number of enterprises by type of economic activity and with a breakdown by number of persons employed in 2018-2020, 2022</t>
    </r>
  </si>
  <si>
    <r>
      <t xml:space="preserve">1. Дані за 2018-2020 роки наведено без урахування тимчасово окупованої території Автономної Республіки Крим, м.Севастополя та частини тимчасово окупованих територій у Донецькій та Луганській областях; дані за 2022 рік наведено без урахування тимчасово окупованих російською федерацією територій та частини територій, на яких ведуться (велися) бойові дії./ </t>
    </r>
    <r>
      <rPr>
        <i/>
        <sz val="10"/>
        <rFont val="Verdana"/>
        <family val="2"/>
        <charset val="204"/>
      </rPr>
      <t>Data for 2018-2020 exclude the temporarily occupied territory of the Autonomous Republic of Crimea, the city of Sevastopol and a part of temporarily occupied territories in the Donetsk and Luhansk regions; data for 2022 exclude the territories which are temporarily occupied by the russian federation and part of territories where the military actions are/were conducted</t>
    </r>
    <r>
      <rPr>
        <sz val="10"/>
        <rFont val="Verdana"/>
        <family val="2"/>
        <charset val="204"/>
      </rPr>
      <t>.</t>
    </r>
  </si>
  <si>
    <r>
      <t>3. Інформація за 2022 рік сформована на основі фактично поданих підприємствами звітів та проведених дооцінок показників./</t>
    </r>
    <r>
      <rPr>
        <i/>
        <sz val="10"/>
        <rFont val="Verdana"/>
        <family val="2"/>
        <charset val="204"/>
      </rPr>
      <t xml:space="preserve"> The information for 2022 has been compiled on the basis of reports actually submitted by enterprises and additional estimates of indicators. </t>
    </r>
  </si>
  <si>
    <r>
      <t xml:space="preserve">для фахівців у сфері ІКТ/ 
</t>
    </r>
    <r>
      <rPr>
        <i/>
        <sz val="10"/>
        <rFont val="Verdana"/>
        <family val="2"/>
        <charset val="204"/>
      </rPr>
      <t>for ICT specialists</t>
    </r>
  </si>
  <si>
    <r>
      <t xml:space="preserve">для інших працівників/ 
</t>
    </r>
    <r>
      <rPr>
        <i/>
        <sz val="10"/>
        <rFont val="Verdana"/>
        <family val="2"/>
        <charset val="204"/>
      </rPr>
      <t>for other persons employed</t>
    </r>
    <r>
      <rPr>
        <sz val="10"/>
        <rFont val="Verdana"/>
        <family val="2"/>
        <charset val="204"/>
      </rPr>
      <t xml:space="preserve"> </t>
    </r>
  </si>
  <si>
    <r>
      <t xml:space="preserve">Частка кількості підприємств, що проводили навчання у сфері ІКТ, у загальній кількості підприємств за напрямами навчання/ 
</t>
    </r>
    <r>
      <rPr>
        <i/>
        <sz val="10"/>
        <rFont val="Verdana"/>
        <family val="2"/>
        <charset val="204"/>
      </rPr>
      <t>Share of the number of enterprises which have conducted training to develop ICT-related skills of the total number of enterprises by type of training</t>
    </r>
  </si>
  <si>
    <r>
      <t xml:space="preserve">Частка кількості підприємств, що наймали/намагалися наймати фахівців у сфері ІКТ, у загальній кількості підприємств/ 
</t>
    </r>
    <r>
      <rPr>
        <i/>
        <sz val="10"/>
        <rFont val="Verdana"/>
        <family val="2"/>
        <charset val="204"/>
      </rPr>
      <t xml:space="preserve">Share of the number of enterprises which had recruitment of or the attempt to recruit ICT specialists of the total number of enterprises 
</t>
    </r>
  </si>
  <si>
    <r>
      <t xml:space="preserve">Частка кількості підприємств, що мали вакансії фахівців ІКТ, які складно було заповнити, у загальній кількості підприємств/ 
</t>
    </r>
    <r>
      <rPr>
        <i/>
        <sz val="10"/>
        <rFont val="Verdana"/>
        <family val="2"/>
        <charset val="204"/>
      </rPr>
      <t>Share of the number of enterprises that had vacancies for ICT specialists that were difficult to fill of the total number of enterprises</t>
    </r>
    <r>
      <rPr>
        <sz val="10"/>
        <rFont val="Verdana"/>
        <family val="2"/>
        <charset val="204"/>
      </rPr>
      <t xml:space="preserve"> </t>
    </r>
  </si>
  <si>
    <r>
      <t xml:space="preserve">Частка кількості підприємств, 
на яких виконання функцій ІКТ здійснювали зовнішні постачальники послуг, у загальній кількості підприємств/ 
</t>
    </r>
    <r>
      <rPr>
        <i/>
        <sz val="10"/>
        <rFont val="Verdana"/>
        <family val="2"/>
        <charset val="204"/>
      </rPr>
      <t xml:space="preserve">Share of the number of enterprises
on which ICT functions were performed by external service providers of the total number of enterprises </t>
    </r>
  </si>
  <si>
    <r>
      <t xml:space="preserve">Фахівці та навички у сфері ІКТ на підприємствах за видами економічної діяльності та з розподілом за кількістю зайнятих працівників у 2018-2020, 2022 роках/ 
</t>
    </r>
    <r>
      <rPr>
        <b/>
        <i/>
        <sz val="10"/>
        <rFont val="Verdana"/>
        <family val="2"/>
        <charset val="204"/>
      </rPr>
      <t>ICT specialists and ICT-related skills in enterprises by type of economic activity and with a breakdown by number of persons employed in 2018-2020, 2022</t>
    </r>
  </si>
  <si>
    <r>
      <t xml:space="preserve">З них за видами проблем через інциденти безпеки ІКТ/
</t>
    </r>
    <r>
      <rPr>
        <i/>
        <sz val="10"/>
        <rFont val="Verdana"/>
        <family val="2"/>
        <charset val="204"/>
      </rPr>
      <t>Of them ICT related security incidents experienced leading to the following consequences</t>
    </r>
  </si>
  <si>
    <r>
      <t>Частка кількості підприємств, які стикалися з проблемами через інциденти безпеки ІКТ, у загальній кількості підприємств за видами економічної діяльності та з розподілом за кількістю зайнятих працівників у 2023 році/</t>
    </r>
    <r>
      <rPr>
        <b/>
        <vertAlign val="superscript"/>
        <sz val="10"/>
        <rFont val="Verdana"/>
        <family val="2"/>
        <charset val="204"/>
      </rPr>
      <t xml:space="preserve">
</t>
    </r>
    <r>
      <rPr>
        <b/>
        <i/>
        <sz val="10"/>
        <rFont val="Verdana"/>
        <family val="2"/>
        <charset val="204"/>
      </rPr>
      <t xml:space="preserve">Share of the number of enterprises that experience ICT related security incident of the total number of enterprises by type of economic activity and with a breakdown by the number of persons employed in 2023 </t>
    </r>
  </si>
  <si>
    <r>
      <t xml:space="preserve">Частка кількості підприємств, які стикалися з проблемами через інциденти безпеки ІКТ, у загальній кількості підприємств, %/
</t>
    </r>
    <r>
      <rPr>
        <i/>
        <sz val="10"/>
        <rFont val="Verdana"/>
        <family val="2"/>
        <charset val="204"/>
      </rPr>
      <t>Share of the number of enterprises that experience any ICT related security incident of the total number of enterprises, %</t>
    </r>
  </si>
  <si>
    <r>
      <t xml:space="preserve">недоступність послуг ІКТ через збої апаратного або програмного забезпечення/
</t>
    </r>
    <r>
      <rPr>
        <i/>
        <sz val="10"/>
        <rFont val="Verdana"/>
        <family val="2"/>
        <charset val="204"/>
      </rPr>
      <t>unavailability of ICT services due to hardware or software failures</t>
    </r>
  </si>
  <si>
    <r>
      <t xml:space="preserve">недоступність послуг ІКТ через атаку ззовні (атаки програм-вимагачів, відмови в обслуговуванні (DoS attack))/
</t>
    </r>
    <r>
      <rPr>
        <i/>
        <sz val="10"/>
        <rFont val="Verdana"/>
        <family val="2"/>
        <charset val="204"/>
      </rPr>
      <t xml:space="preserve">unavailability of ICT services due to attack from outside, such as ransomware attacks, Denial of Service attacks </t>
    </r>
  </si>
  <si>
    <r>
      <t xml:space="preserve">знищення або пошкодження даних через збої апаратного або програмного забезпечення/
</t>
    </r>
    <r>
      <rPr>
        <i/>
        <sz val="10"/>
        <rFont val="Verdana"/>
        <family val="2"/>
        <charset val="204"/>
      </rPr>
      <t>destruction or corruption of data due to hardware or software failures</t>
    </r>
  </si>
  <si>
    <r>
      <t xml:space="preserve">знищення або пошкодження даних через зараження шкідливим програмним забезпеченням або несанкціоноване проникнення/
</t>
    </r>
    <r>
      <rPr>
        <i/>
        <sz val="10"/>
        <rFont val="Verdana"/>
        <family val="2"/>
        <charset val="204"/>
      </rPr>
      <t xml:space="preserve"> destruction or corruption of data due to infection of malicious software or unauthorised intrusion</t>
    </r>
  </si>
  <si>
    <r>
      <t xml:space="preserve">розкриття конфіденційних даних через проникнення, фармінг, 
фішингову атаку/
</t>
    </r>
    <r>
      <rPr>
        <i/>
        <sz val="10"/>
        <rFont val="Verdana"/>
        <family val="2"/>
        <charset val="204"/>
      </rPr>
      <t>disclosure of confidential data due to intrusion, pharming, phishing attack, intentional actions by own employees</t>
    </r>
  </si>
  <si>
    <r>
      <t xml:space="preserve">розкриття конфіденційних даних унаслідок ненавмисних дій працівників підприємства/
</t>
    </r>
    <r>
      <rPr>
        <i/>
        <sz val="10"/>
        <rFont val="Verdana"/>
        <family val="2"/>
        <charset val="204"/>
      </rPr>
      <t>disclosure of confidential data due to unintentional actions by own employees</t>
    </r>
  </si>
  <si>
    <r>
      <t xml:space="preserve">ВИКОРИСТАННЯ ІНФОРМАЦІЙНО-КОМУНІКАЦІЙНИХ ТЕХНОЛОГІЙ НА ПІДПРИЄМСТВАХ: 
ЕЛЕКТРОННА ТОРГІВЛЯ, АНАЛІЗ "ВЕЛИКИХ ДАНИХ", ФАХІВЦІ ТА НАВИЧКИ У СФЕРІ ІКТ, ІНЦИДЕНТИ БЕЗПЕКИ ІКТ/
</t>
    </r>
    <r>
      <rPr>
        <b/>
        <i/>
        <sz val="11"/>
        <rFont val="Verdana"/>
        <family val="2"/>
        <charset val="204"/>
      </rPr>
      <t>USE OF INFORMATION AND COMMUNICATION TECHNOLOGIES AT ENTERPRISES: 
E-COMMERCE, BIG DATA ANALYSIS, IСT SPECIALISTS AND ICT-RELATED SKILLS, ICT RELATED SECURITY INCIDENTS</t>
    </r>
  </si>
  <si>
    <r>
      <t xml:space="preserve">1. Кількість підприємств, які здійснювали електронну торгівлю, та обсяг реалізованої продукції (товарів, послуг), отриманий від електронної торгівлі, за видами економічної діяльності та з розподілом за кількістю зайнятих працівників у 2018-2022 роках/
</t>
    </r>
    <r>
      <rPr>
        <i/>
        <sz val="11"/>
        <rFont val="Verdana"/>
        <family val="2"/>
        <charset val="204"/>
      </rPr>
      <t>Number of enterprises which have made e-commerce and value of the turnover of e-commerce sales by type of economic activity and with a breakdown by number of persons employed in 2018-2022</t>
    </r>
  </si>
  <si>
    <r>
      <t xml:space="preserve">2. Частка кількості підприємств, які здійснювали електронну торгівлю, у загальній кількості підприємств та частка обсягу реалізованої продукції (товарів, послуг), отриманого від електронної торгівлі, у загальному обсязі реалізованої продукції (товарів, послуг) підприємств за видами продажів та типом замовника за видами економічної діяльності та з розподілом за кількістю зайнятих працівників у 2020-2022 роках/ 
</t>
    </r>
    <r>
      <rPr>
        <i/>
        <sz val="11"/>
        <rFont val="Verdana"/>
        <family val="2"/>
        <charset val="204"/>
      </rPr>
      <t>Share of the number of enterprises which have made e-commerce of the total number of enterprises and share of value of turnover of e-commerce sales of the total turnover of enterprises by type of sales and by type of customer by type of economic activity and with a breakdown by number of persons employed in 2020-2022</t>
    </r>
  </si>
  <si>
    <r>
      <t xml:space="preserve">3. Частка кількості підприємств, які здійснювали електронну торгівлю, у загальній кількості підприємств та частка обсягу реалізованої продукції (товарів, послуг), отриманого від електронної торгівлі, у загальному обсязі реалізованої продукції (товарів, послуг) підприємств за місцем розташування клієнтів за видами економічної діяльності та з розподілом за кількістю зайнятих працівників у 2021, 2022 роках/
</t>
    </r>
    <r>
      <rPr>
        <i/>
        <sz val="11"/>
        <rFont val="Verdana"/>
        <family val="2"/>
        <charset val="204"/>
      </rPr>
      <t>Share of the number of enterprises which have made e-commerce of the total number of enterprises and share of the value of turnover of e-commerce sales of the total turnover of enterprises by location of customers by types of economic activity and with a breakdown by number of persons employed in 2021, 2022</t>
    </r>
  </si>
  <si>
    <r>
      <t xml:space="preserve">4. Частка кількості підприємств, які здійснювали електронну торгівлю, у загальній кількості підприємств за видами труднощів щодо електронної торгівлі з країнами ЄС  за видами економічної діяльності та з розподілом за кількістю зайнятих працівників у 2021 році/ 
</t>
    </r>
    <r>
      <rPr>
        <i/>
        <sz val="11"/>
        <rFont val="Verdana"/>
        <family val="2"/>
        <charset val="204"/>
      </rPr>
      <t>Share of the number of enterprises which have made e-commerce in the total number of enterprises by types of difficulties regarding electronic trade with EU countries by types of economic activity and with a breakdown by number of persons employed in 2021</t>
    </r>
  </si>
  <si>
    <r>
      <t xml:space="preserve">5. Частка кількості підприємств, що проводили аналіз "великих даних", у загальній кількості підприємств за видами економічної діяльності та з розподілом за кількістю зайнятих працівників у 2018-2020, 2022 роках/ 
</t>
    </r>
    <r>
      <rPr>
        <i/>
        <sz val="11"/>
        <rFont val="Verdana"/>
        <family val="2"/>
        <charset val="204"/>
      </rPr>
      <t>Share of the number of enterprises which have performed big data analysis of the total number of enterprises by type of economic activity and with a breakdown by number of persons employed in 2018-2020, 2022</t>
    </r>
  </si>
  <si>
    <r>
      <t xml:space="preserve">6. Фахівці та навички у сфері ІКТ на підприємствах за видами економічної діяльності та з розподілом за кількістю зайнятих працівників у 2018-2020, 2022 роках/ 
</t>
    </r>
    <r>
      <rPr>
        <i/>
        <sz val="11"/>
        <rFont val="Verdana"/>
        <family val="2"/>
        <charset val="204"/>
      </rPr>
      <t>ICT specialists and ICT-related skills in enterprises by type of economic activity and with a breakdown by number of persons employed in 2018-2020, 2022</t>
    </r>
  </si>
  <si>
    <r>
      <t xml:space="preserve">7. Частка кількості підприємств, які стикалися з проблемами через інциденти безпеки ІКТ, у загальній кількості підприємств за видами економічної діяльності та з розподілом за кількістю зайнятих працівників у 2023 році/
</t>
    </r>
    <r>
      <rPr>
        <i/>
        <sz val="11"/>
        <rFont val="Verdana"/>
        <family val="2"/>
        <charset val="204"/>
      </rPr>
      <t xml:space="preserve">Share of the number of enterprises that experience ICT related security incident of the total number of enterprises by type of economic activity and with a breakdown by the number of persons employed in 2023 </t>
    </r>
  </si>
  <si>
    <r>
      <t xml:space="preserve">Зміст/ 
</t>
    </r>
    <r>
      <rPr>
        <b/>
        <i/>
        <sz val="11"/>
        <rFont val="Verdana"/>
        <family val="2"/>
        <charset val="204"/>
      </rPr>
      <t>Content</t>
    </r>
  </si>
  <si>
    <t>Rental and leasing activities; employment activities; security and investigation activities; services to buildings and landscape activities; office administrative, office support and other business support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</si>
</sst>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4" x14ac:knownFonts="1">
    <font>
      <sz val="10"/>
      <name val="Arial Cyr"/>
      <charset val="204"/>
    </font>
    <font>
      <sz val="12"/>
      <name val="Arial Cyr"/>
      <charset val="204"/>
    </font>
    <font>
      <b/>
      <sz val="10"/>
      <name val="Verdana"/>
      <family val="2"/>
      <charset val="204"/>
    </font>
    <font>
      <sz val="10"/>
      <name val="Verdana"/>
      <family val="2"/>
      <charset val="204"/>
    </font>
    <font>
      <i/>
      <sz val="10"/>
      <name val="Verdana"/>
      <family val="2"/>
      <charset val="204"/>
    </font>
    <font>
      <b/>
      <sz val="10"/>
      <color rgb="FFFF0000"/>
      <name val="Verdana"/>
      <family val="2"/>
      <charset val="204"/>
    </font>
    <font>
      <sz val="10"/>
      <color rgb="FFFF0000"/>
      <name val="Verdana"/>
      <family val="2"/>
      <charset val="204"/>
    </font>
    <font>
      <b/>
      <i/>
      <sz val="10"/>
      <name val="Verdana"/>
      <family val="2"/>
      <charset val="204"/>
    </font>
    <font>
      <b/>
      <i/>
      <sz val="11"/>
      <name val="Verdana"/>
      <family val="2"/>
      <charset val="204"/>
    </font>
    <font>
      <b/>
      <sz val="11"/>
      <name val="Verdana"/>
      <family val="2"/>
      <charset val="204"/>
    </font>
    <font>
      <sz val="11"/>
      <name val="Verdana"/>
      <family val="2"/>
      <charset val="204"/>
    </font>
    <font>
      <b/>
      <vertAlign val="superscript"/>
      <sz val="10"/>
      <name val="Verdana"/>
      <family val="2"/>
      <charset val="204"/>
    </font>
    <font>
      <i/>
      <sz val="11"/>
      <name val="Verdana"/>
      <family val="2"/>
      <charset val="204"/>
    </font>
    <font>
      <strike/>
      <sz val="10"/>
      <name val="Verdana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5">
    <xf numFmtId="0" fontId="0" fillId="0" borderId="0" xfId="0"/>
    <xf numFmtId="0" fontId="10" fillId="0" borderId="0" xfId="0" applyFont="1"/>
    <xf numFmtId="0" fontId="10" fillId="0" borderId="0" xfId="0" applyFont="1" applyAlignment="1">
      <alignment wrapText="1"/>
    </xf>
    <xf numFmtId="0" fontId="3" fillId="0" borderId="0" xfId="0" applyFont="1" applyFill="1"/>
    <xf numFmtId="0" fontId="2" fillId="0" borderId="0" xfId="0" applyFont="1" applyFill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/>
    </xf>
    <xf numFmtId="1" fontId="3" fillId="0" borderId="13" xfId="0" applyNumberFormat="1" applyFont="1" applyFill="1" applyBorder="1" applyAlignment="1">
      <alignment horizontal="center" vertical="center"/>
    </xf>
    <xf numFmtId="0" fontId="3" fillId="0" borderId="13" xfId="0" applyFont="1" applyFill="1" applyBorder="1" applyAlignment="1">
      <alignment horizontal="center" vertical="center" wrapText="1"/>
    </xf>
    <xf numFmtId="1" fontId="3" fillId="0" borderId="13" xfId="0" applyNumberFormat="1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wrapText="1"/>
    </xf>
    <xf numFmtId="0" fontId="5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right" wrapText="1"/>
    </xf>
    <xf numFmtId="1" fontId="2" fillId="0" borderId="0" xfId="0" applyNumberFormat="1" applyFont="1" applyFill="1" applyAlignment="1">
      <alignment horizontal="right" wrapText="1"/>
    </xf>
    <xf numFmtId="1" fontId="2" fillId="0" borderId="0" xfId="0" applyNumberFormat="1" applyFont="1" applyFill="1"/>
    <xf numFmtId="0" fontId="2" fillId="0" borderId="0" xfId="0" applyFont="1" applyFill="1"/>
    <xf numFmtId="164" fontId="2" fillId="0" borderId="0" xfId="0" applyNumberFormat="1" applyFont="1" applyFill="1" applyAlignment="1">
      <alignment horizontal="right" wrapText="1"/>
    </xf>
    <xf numFmtId="164" fontId="2" fillId="0" borderId="0" xfId="0" applyNumberFormat="1" applyFont="1" applyFill="1"/>
    <xf numFmtId="0" fontId="7" fillId="0" borderId="0" xfId="0" applyFont="1" applyFill="1" applyAlignment="1">
      <alignment horizontal="left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right" wrapText="1"/>
    </xf>
    <xf numFmtId="1" fontId="3" fillId="0" borderId="0" xfId="0" applyNumberFormat="1" applyFont="1" applyFill="1" applyAlignment="1">
      <alignment horizontal="right" wrapText="1"/>
    </xf>
    <xf numFmtId="1" fontId="3" fillId="0" borderId="0" xfId="0" applyNumberFormat="1" applyFont="1" applyFill="1"/>
    <xf numFmtId="164" fontId="3" fillId="0" borderId="0" xfId="0" applyNumberFormat="1" applyFont="1" applyFill="1" applyAlignment="1">
      <alignment horizontal="right" wrapText="1"/>
    </xf>
    <xf numFmtId="164" fontId="3" fillId="0" borderId="0" xfId="0" applyNumberFormat="1" applyFont="1" applyFill="1"/>
    <xf numFmtId="0" fontId="4" fillId="0" borderId="0" xfId="0" applyFont="1" applyFill="1" applyAlignment="1">
      <alignment wrapText="1"/>
    </xf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right"/>
    </xf>
    <xf numFmtId="1" fontId="3" fillId="0" borderId="0" xfId="0" applyNumberFormat="1" applyFont="1" applyFill="1" applyAlignment="1">
      <alignment horizontal="right"/>
    </xf>
    <xf numFmtId="164" fontId="3" fillId="0" borderId="0" xfId="0" applyNumberFormat="1" applyFont="1" applyFill="1" applyAlignment="1">
      <alignment horizontal="right"/>
    </xf>
    <xf numFmtId="0" fontId="7" fillId="0" borderId="0" xfId="0" applyFont="1" applyFill="1" applyAlignment="1">
      <alignment wrapText="1"/>
    </xf>
    <xf numFmtId="49" fontId="4" fillId="0" borderId="0" xfId="0" applyNumberFormat="1" applyFont="1" applyFill="1" applyAlignment="1">
      <alignment wrapText="1"/>
    </xf>
    <xf numFmtId="165" fontId="3" fillId="0" borderId="0" xfId="0" applyNumberFormat="1" applyFont="1" applyFill="1"/>
    <xf numFmtId="165" fontId="6" fillId="0" borderId="0" xfId="0" applyNumberFormat="1" applyFont="1" applyFill="1"/>
    <xf numFmtId="0" fontId="4" fillId="0" borderId="0" xfId="0" applyFont="1" applyFill="1" applyAlignment="1">
      <alignment horizontal="right"/>
    </xf>
    <xf numFmtId="0" fontId="4" fillId="0" borderId="0" xfId="0" applyFont="1" applyFill="1"/>
    <xf numFmtId="0" fontId="2" fillId="0" borderId="0" xfId="0" applyFont="1" applyFill="1" applyAlignment="1">
      <alignment horizontal="center" wrapText="1"/>
    </xf>
    <xf numFmtId="164" fontId="2" fillId="0" borderId="0" xfId="0" applyNumberFormat="1" applyFont="1" applyFill="1" applyAlignment="1">
      <alignment horizontal="right"/>
    </xf>
    <xf numFmtId="0" fontId="10" fillId="0" borderId="0" xfId="0" applyFont="1" applyFill="1" applyAlignment="1">
      <alignment horizontal="left" wrapText="1"/>
    </xf>
    <xf numFmtId="164" fontId="2" fillId="0" borderId="0" xfId="0" applyNumberFormat="1" applyFont="1" applyFill="1" applyAlignment="1">
      <alignment horizontal="left" wrapText="1"/>
    </xf>
    <xf numFmtId="164" fontId="3" fillId="0" borderId="13" xfId="0" applyNumberFormat="1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left" wrapText="1"/>
    </xf>
    <xf numFmtId="164" fontId="2" fillId="0" borderId="4" xfId="0" applyNumberFormat="1" applyFont="1" applyFill="1" applyBorder="1" applyAlignment="1">
      <alignment horizontal="right" wrapText="1"/>
    </xf>
    <xf numFmtId="0" fontId="10" fillId="0" borderId="0" xfId="0" applyFont="1" applyFill="1" applyAlignment="1">
      <alignment wrapText="1"/>
    </xf>
    <xf numFmtId="0" fontId="3" fillId="0" borderId="13" xfId="0" applyFont="1" applyFill="1" applyBorder="1" applyAlignment="1">
      <alignment horizontal="center" vertical="top" wrapText="1"/>
    </xf>
    <xf numFmtId="1" fontId="3" fillId="0" borderId="13" xfId="0" applyNumberFormat="1" applyFont="1" applyFill="1" applyBorder="1" applyAlignment="1">
      <alignment horizontal="center" vertical="top" wrapText="1"/>
    </xf>
    <xf numFmtId="0" fontId="13" fillId="0" borderId="0" xfId="0" applyFont="1" applyFill="1"/>
    <xf numFmtId="164" fontId="3" fillId="0" borderId="0" xfId="0" applyNumberFormat="1" applyFont="1" applyFill="1" applyAlignment="1">
      <alignment horizontal="right" vertical="top" wrapText="1"/>
    </xf>
    <xf numFmtId="164" fontId="3" fillId="0" borderId="0" xfId="0" applyNumberFormat="1" applyFont="1" applyFill="1" applyAlignment="1">
      <alignment horizontal="right" vertical="center" wrapText="1"/>
    </xf>
    <xf numFmtId="0" fontId="9" fillId="0" borderId="0" xfId="1" applyFont="1" applyFill="1" applyAlignment="1">
      <alignment horizontal="center" vertical="center" wrapText="1"/>
    </xf>
    <xf numFmtId="0" fontId="9" fillId="0" borderId="0" xfId="1" applyFont="1" applyAlignment="1">
      <alignment horizont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0" borderId="14" xfId="0" applyFont="1" applyFill="1" applyBorder="1" applyAlignment="1">
      <alignment horizontal="center"/>
    </xf>
    <xf numFmtId="0" fontId="3" fillId="0" borderId="9" xfId="0" applyFont="1" applyFill="1" applyBorder="1" applyAlignment="1">
      <alignment horizontal="center" vertical="center" wrapText="1"/>
    </xf>
    <xf numFmtId="165" fontId="3" fillId="0" borderId="5" xfId="0" applyNumberFormat="1" applyFont="1" applyFill="1" applyBorder="1" applyAlignment="1">
      <alignment horizontal="center" vertical="center" wrapText="1"/>
    </xf>
    <xf numFmtId="165" fontId="3" fillId="0" borderId="6" xfId="0" applyNumberFormat="1" applyFont="1" applyFill="1" applyBorder="1" applyAlignment="1">
      <alignment horizontal="center" vertical="center" wrapText="1"/>
    </xf>
    <xf numFmtId="165" fontId="3" fillId="0" borderId="9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/>
    </xf>
    <xf numFmtId="0" fontId="3" fillId="0" borderId="7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left" wrapText="1"/>
    </xf>
    <xf numFmtId="0" fontId="2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 wrapText="1"/>
    </xf>
    <xf numFmtId="0" fontId="4" fillId="0" borderId="0" xfId="0" applyFont="1" applyFill="1" applyAlignment="1">
      <alignment horizontal="right"/>
    </xf>
    <xf numFmtId="164" fontId="3" fillId="0" borderId="13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4" fillId="0" borderId="3" xfId="0" applyFont="1" applyFill="1" applyBorder="1" applyAlignment="1">
      <alignment horizontal="center"/>
    </xf>
    <xf numFmtId="0" fontId="4" fillId="0" borderId="10" xfId="0" applyFont="1" applyFill="1" applyBorder="1" applyAlignment="1">
      <alignment horizontal="center"/>
    </xf>
    <xf numFmtId="0" fontId="4" fillId="0" borderId="14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wrapText="1"/>
    </xf>
    <xf numFmtId="0" fontId="2" fillId="0" borderId="15" xfId="0" applyFont="1" applyFill="1" applyBorder="1" applyAlignment="1">
      <alignment horizontal="center" wrapText="1"/>
    </xf>
    <xf numFmtId="164" fontId="3" fillId="0" borderId="2" xfId="0" applyNumberFormat="1" applyFont="1" applyFill="1" applyBorder="1" applyAlignment="1">
      <alignment horizontal="center" vertical="top" wrapText="1"/>
    </xf>
    <xf numFmtId="164" fontId="3" fillId="0" borderId="12" xfId="0" applyNumberFormat="1" applyFont="1" applyFill="1" applyBorder="1" applyAlignment="1">
      <alignment horizontal="center" vertical="top" wrapText="1"/>
    </xf>
    <xf numFmtId="164" fontId="3" fillId="0" borderId="5" xfId="0" applyNumberFormat="1" applyFont="1" applyFill="1" applyBorder="1" applyAlignment="1">
      <alignment horizontal="center" vertical="top" wrapText="1"/>
    </xf>
    <xf numFmtId="164" fontId="3" fillId="0" borderId="6" xfId="0" applyNumberFormat="1" applyFont="1" applyFill="1" applyBorder="1" applyAlignment="1">
      <alignment horizontal="center" vertical="top" wrapText="1"/>
    </xf>
    <xf numFmtId="164" fontId="3" fillId="0" borderId="9" xfId="0" applyNumberFormat="1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horizontal="center"/>
    </xf>
    <xf numFmtId="0" fontId="4" fillId="0" borderId="15" xfId="0" applyFont="1" applyFill="1" applyBorder="1" applyAlignment="1">
      <alignment horizontal="center"/>
    </xf>
    <xf numFmtId="0" fontId="2" fillId="0" borderId="1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top" wrapText="1"/>
    </xf>
    <xf numFmtId="0" fontId="3" fillId="0" borderId="4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0" borderId="14" xfId="0" applyFont="1" applyFill="1" applyBorder="1" applyAlignment="1">
      <alignment horizontal="center" vertical="top" wrapText="1"/>
    </xf>
    <xf numFmtId="0" fontId="3" fillId="0" borderId="15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center" vertical="top" wrapText="1"/>
    </xf>
    <xf numFmtId="164" fontId="3" fillId="0" borderId="5" xfId="0" applyNumberFormat="1" applyFont="1" applyFill="1" applyBorder="1" applyAlignment="1">
      <alignment horizontal="center" vertical="center" wrapText="1"/>
    </xf>
    <xf numFmtId="164" fontId="3" fillId="0" borderId="6" xfId="0" applyNumberFormat="1" applyFont="1" applyFill="1" applyBorder="1" applyAlignment="1">
      <alignment horizontal="center" vertical="center" wrapText="1"/>
    </xf>
    <xf numFmtId="164" fontId="3" fillId="0" borderId="9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left"/>
    </xf>
    <xf numFmtId="0" fontId="3" fillId="0" borderId="5" xfId="0" applyFont="1" applyFill="1" applyBorder="1" applyAlignment="1">
      <alignment horizontal="center" wrapText="1"/>
    </xf>
    <xf numFmtId="0" fontId="3" fillId="0" borderId="6" xfId="0" applyFont="1" applyFill="1" applyBorder="1" applyAlignment="1">
      <alignment horizontal="center" wrapText="1"/>
    </xf>
    <xf numFmtId="0" fontId="3" fillId="0" borderId="9" xfId="0" applyFont="1" applyFill="1" applyBorder="1" applyAlignment="1">
      <alignment horizontal="center" wrapText="1"/>
    </xf>
    <xf numFmtId="49" fontId="3" fillId="0" borderId="2" xfId="0" applyNumberFormat="1" applyFont="1" applyFill="1" applyBorder="1" applyAlignment="1">
      <alignment horizontal="center" vertical="top" wrapText="1"/>
    </xf>
    <xf numFmtId="49" fontId="3" fillId="0" borderId="12" xfId="0" applyNumberFormat="1" applyFont="1" applyFill="1" applyBorder="1" applyAlignment="1">
      <alignment horizontal="center" vertical="top"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right" wrapText="1"/>
    </xf>
    <xf numFmtId="1" fontId="3" fillId="2" borderId="0" xfId="0" applyNumberFormat="1" applyFont="1" applyFill="1"/>
    <xf numFmtId="164" fontId="3" fillId="2" borderId="0" xfId="0" applyNumberFormat="1" applyFont="1" applyFill="1" applyAlignment="1">
      <alignment horizontal="right" wrapText="1"/>
    </xf>
    <xf numFmtId="164" fontId="3" fillId="2" borderId="0" xfId="0" applyNumberFormat="1" applyFont="1" applyFill="1"/>
    <xf numFmtId="0" fontId="3" fillId="2" borderId="0" xfId="0" applyFont="1" applyFill="1"/>
    <xf numFmtId="0" fontId="7" fillId="2" borderId="0" xfId="0" applyFont="1" applyFill="1" applyAlignment="1">
      <alignment horizontal="left" wrapText="1"/>
    </xf>
    <xf numFmtId="164" fontId="3" fillId="2" borderId="0" xfId="0" applyNumberFormat="1" applyFont="1" applyFill="1" applyAlignment="1">
      <alignment horizontal="right"/>
    </xf>
    <xf numFmtId="164" fontId="3" fillId="2" borderId="0" xfId="0" applyNumberFormat="1" applyFont="1" applyFill="1" applyAlignment="1">
      <alignment horizontal="center" wrapText="1"/>
    </xf>
    <xf numFmtId="164" fontId="2" fillId="2" borderId="0" xfId="0" applyNumberFormat="1" applyFont="1" applyFill="1" applyAlignment="1">
      <alignment horizontal="right" wrapText="1"/>
    </xf>
  </cellXfs>
  <cellStyles count="2">
    <cellStyle name="Звичайний" xfId="0" builtinId="0"/>
    <cellStyle name="Обычный_бюлетень-послуги 2011 ПОСЛЕДНИЙ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"/>
  <sheetViews>
    <sheetView tabSelected="1" workbookViewId="0"/>
  </sheetViews>
  <sheetFormatPr defaultRowHeight="14.25" x14ac:dyDescent="0.2"/>
  <cols>
    <col min="1" max="1" width="181.5703125" style="1" customWidth="1"/>
    <col min="2" max="2" width="107.7109375" style="1" customWidth="1"/>
    <col min="3" max="16384" width="9.140625" style="1"/>
  </cols>
  <sheetData>
    <row r="1" spans="1:10" ht="81.75" customHeight="1" x14ac:dyDescent="0.2">
      <c r="A1" s="52" t="s">
        <v>196</v>
      </c>
    </row>
    <row r="2" spans="1:10" ht="28.5" x14ac:dyDescent="0.2">
      <c r="A2" s="53" t="s">
        <v>204</v>
      </c>
    </row>
    <row r="3" spans="1:10" ht="62.25" customHeight="1" x14ac:dyDescent="0.2">
      <c r="A3" s="41" t="s">
        <v>197</v>
      </c>
    </row>
    <row r="4" spans="1:10" ht="72.75" customHeight="1" x14ac:dyDescent="0.2">
      <c r="A4" s="41" t="s">
        <v>198</v>
      </c>
    </row>
    <row r="5" spans="1:10" ht="74.25" customHeight="1" x14ac:dyDescent="0.2">
      <c r="A5" s="41" t="s">
        <v>199</v>
      </c>
    </row>
    <row r="6" spans="1:10" ht="57.75" customHeight="1" x14ac:dyDescent="0.2">
      <c r="A6" s="46" t="s">
        <v>200</v>
      </c>
      <c r="B6" s="2"/>
      <c r="C6" s="2"/>
      <c r="D6" s="2"/>
      <c r="E6" s="2"/>
      <c r="F6" s="2"/>
      <c r="G6" s="2"/>
      <c r="H6" s="2"/>
      <c r="I6" s="2"/>
      <c r="J6" s="2"/>
    </row>
    <row r="7" spans="1:10" ht="58.5" customHeight="1" x14ac:dyDescent="0.2">
      <c r="A7" s="41" t="s">
        <v>201</v>
      </c>
    </row>
    <row r="8" spans="1:10" ht="31.5" customHeight="1" x14ac:dyDescent="0.2">
      <c r="A8" s="46" t="s">
        <v>202</v>
      </c>
    </row>
    <row r="9" spans="1:10" ht="60" customHeight="1" x14ac:dyDescent="0.2">
      <c r="A9" s="46" t="s">
        <v>203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3"/>
  <sheetViews>
    <sheetView zoomScale="70" zoomScaleNormal="70" workbookViewId="0">
      <selection sqref="A1:W1"/>
    </sheetView>
  </sheetViews>
  <sheetFormatPr defaultRowHeight="12.75" x14ac:dyDescent="0.2"/>
  <cols>
    <col min="1" max="1" width="51.5703125" style="3" customWidth="1"/>
    <col min="2" max="2" width="21.7109375" style="3" customWidth="1"/>
    <col min="3" max="11" width="12" style="3" customWidth="1"/>
    <col min="12" max="12" width="12" style="26" customWidth="1"/>
    <col min="13" max="17" width="16.7109375" style="35" customWidth="1"/>
    <col min="18" max="19" width="14.5703125" style="3" customWidth="1"/>
    <col min="20" max="21" width="14.5703125" style="26" customWidth="1"/>
    <col min="22" max="22" width="14.5703125" style="3" customWidth="1"/>
    <col min="23" max="23" width="64" style="3" customWidth="1"/>
    <col min="24" max="16384" width="9.140625" style="3"/>
  </cols>
  <sheetData>
    <row r="1" spans="1:23" ht="46.5" customHeight="1" x14ac:dyDescent="0.2">
      <c r="A1" s="54" t="s">
        <v>157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</row>
    <row r="2" spans="1:23" ht="14.2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39.75" customHeight="1" x14ac:dyDescent="0.2">
      <c r="A3" s="64"/>
      <c r="B3" s="67" t="s">
        <v>131</v>
      </c>
      <c r="C3" s="55" t="s">
        <v>104</v>
      </c>
      <c r="D3" s="56"/>
      <c r="E3" s="56"/>
      <c r="F3" s="56"/>
      <c r="G3" s="56"/>
      <c r="H3" s="56"/>
      <c r="I3" s="56"/>
      <c r="J3" s="56"/>
      <c r="K3" s="56"/>
      <c r="L3" s="56"/>
      <c r="M3" s="55" t="s">
        <v>109</v>
      </c>
      <c r="N3" s="56"/>
      <c r="O3" s="56"/>
      <c r="P3" s="56"/>
      <c r="Q3" s="56"/>
      <c r="R3" s="56"/>
      <c r="S3" s="56"/>
      <c r="T3" s="56"/>
      <c r="U3" s="56"/>
      <c r="V3" s="56"/>
      <c r="W3" s="57"/>
    </row>
    <row r="4" spans="1:23" ht="55.5" customHeight="1" x14ac:dyDescent="0.2">
      <c r="A4" s="65"/>
      <c r="B4" s="67"/>
      <c r="C4" s="55" t="s">
        <v>99</v>
      </c>
      <c r="D4" s="56"/>
      <c r="E4" s="56"/>
      <c r="F4" s="56"/>
      <c r="G4" s="60"/>
      <c r="H4" s="55" t="s">
        <v>106</v>
      </c>
      <c r="I4" s="56"/>
      <c r="J4" s="56"/>
      <c r="K4" s="56"/>
      <c r="L4" s="56"/>
      <c r="M4" s="61" t="s">
        <v>100</v>
      </c>
      <c r="N4" s="62"/>
      <c r="O4" s="62"/>
      <c r="P4" s="62"/>
      <c r="Q4" s="63"/>
      <c r="R4" s="55" t="s">
        <v>107</v>
      </c>
      <c r="S4" s="56"/>
      <c r="T4" s="56"/>
      <c r="U4" s="56"/>
      <c r="V4" s="56"/>
      <c r="W4" s="58"/>
    </row>
    <row r="5" spans="1:23" ht="18.75" customHeight="1" x14ac:dyDescent="0.2">
      <c r="A5" s="66"/>
      <c r="B5" s="67"/>
      <c r="C5" s="5">
        <v>2018</v>
      </c>
      <c r="D5" s="5">
        <v>2019</v>
      </c>
      <c r="E5" s="5">
        <v>2020</v>
      </c>
      <c r="F5" s="5">
        <v>2021</v>
      </c>
      <c r="G5" s="6">
        <v>2022</v>
      </c>
      <c r="H5" s="5">
        <v>2018</v>
      </c>
      <c r="I5" s="5">
        <v>2019</v>
      </c>
      <c r="J5" s="5">
        <v>2020</v>
      </c>
      <c r="K5" s="5">
        <v>2021</v>
      </c>
      <c r="L5" s="7">
        <v>2022</v>
      </c>
      <c r="M5" s="5">
        <v>2018</v>
      </c>
      <c r="N5" s="5">
        <v>2019</v>
      </c>
      <c r="O5" s="5">
        <v>2020</v>
      </c>
      <c r="P5" s="5">
        <v>2021</v>
      </c>
      <c r="Q5" s="6">
        <v>2022</v>
      </c>
      <c r="R5" s="8">
        <v>2018</v>
      </c>
      <c r="S5" s="8">
        <v>2019</v>
      </c>
      <c r="T5" s="9">
        <v>2020</v>
      </c>
      <c r="U5" s="8">
        <v>2021</v>
      </c>
      <c r="V5" s="10">
        <v>2022</v>
      </c>
      <c r="W5" s="59"/>
    </row>
    <row r="6" spans="1:23" ht="20.25" customHeight="1" x14ac:dyDescent="0.2">
      <c r="A6" s="11" t="s">
        <v>0</v>
      </c>
      <c r="B6" s="12"/>
      <c r="C6" s="13">
        <v>2476</v>
      </c>
      <c r="D6" s="13">
        <v>2440</v>
      </c>
      <c r="E6" s="14">
        <v>2494</v>
      </c>
      <c r="F6" s="15">
        <v>2513</v>
      </c>
      <c r="G6" s="16">
        <v>1953</v>
      </c>
      <c r="H6" s="17">
        <v>5</v>
      </c>
      <c r="I6" s="17">
        <v>4.8</v>
      </c>
      <c r="J6" s="17">
        <v>4.9000000000000004</v>
      </c>
      <c r="K6" s="17">
        <v>5</v>
      </c>
      <c r="L6" s="18">
        <v>5.0999999999999996</v>
      </c>
      <c r="M6" s="18">
        <v>228035634.69999999</v>
      </c>
      <c r="N6" s="18">
        <v>292731939.10000002</v>
      </c>
      <c r="O6" s="18">
        <v>364571488</v>
      </c>
      <c r="P6" s="18">
        <v>435909793.89999992</v>
      </c>
      <c r="Q6" s="18">
        <v>239208920.11245832</v>
      </c>
      <c r="R6" s="16">
        <v>3.5</v>
      </c>
      <c r="S6" s="16">
        <v>4.5</v>
      </c>
      <c r="T6" s="18">
        <v>5</v>
      </c>
      <c r="U6" s="18">
        <v>5.3</v>
      </c>
      <c r="V6" s="16">
        <v>3.5</v>
      </c>
      <c r="W6" s="19" t="s">
        <v>1</v>
      </c>
    </row>
    <row r="7" spans="1:23" ht="19.5" customHeight="1" x14ac:dyDescent="0.2">
      <c r="A7" s="20" t="s">
        <v>2</v>
      </c>
      <c r="B7" s="21" t="s">
        <v>3</v>
      </c>
      <c r="C7" s="22">
        <v>673</v>
      </c>
      <c r="D7" s="22">
        <v>661</v>
      </c>
      <c r="E7" s="23">
        <v>684</v>
      </c>
      <c r="F7" s="24">
        <v>690</v>
      </c>
      <c r="G7" s="24">
        <v>502.40956472999994</v>
      </c>
      <c r="H7" s="25">
        <v>5.6</v>
      </c>
      <c r="I7" s="25">
        <v>5.3</v>
      </c>
      <c r="J7" s="25">
        <v>5.4</v>
      </c>
      <c r="K7" s="25">
        <v>5.4</v>
      </c>
      <c r="L7" s="26">
        <v>5.2929789794563833</v>
      </c>
      <c r="M7" s="26">
        <v>52600790.700000003</v>
      </c>
      <c r="N7" s="26">
        <v>56297178.5</v>
      </c>
      <c r="O7" s="26">
        <v>61018044.799999997</v>
      </c>
      <c r="P7" s="26">
        <v>65987521.399999999</v>
      </c>
      <c r="Q7" s="26">
        <v>41166519.389668062</v>
      </c>
      <c r="R7" s="26">
        <v>2.7</v>
      </c>
      <c r="S7" s="26">
        <v>3.1</v>
      </c>
      <c r="T7" s="26">
        <v>3.1</v>
      </c>
      <c r="U7" s="26">
        <v>3.2</v>
      </c>
      <c r="V7" s="26">
        <v>2.2796984929629831</v>
      </c>
      <c r="W7" s="27" t="s">
        <v>4</v>
      </c>
    </row>
    <row r="8" spans="1:23" ht="66.75" customHeight="1" x14ac:dyDescent="0.2">
      <c r="A8" s="20" t="s">
        <v>5</v>
      </c>
      <c r="B8" s="21" t="s">
        <v>6</v>
      </c>
      <c r="C8" s="22">
        <v>289</v>
      </c>
      <c r="D8" s="22">
        <v>280</v>
      </c>
      <c r="E8" s="23">
        <v>290</v>
      </c>
      <c r="F8" s="24">
        <v>296</v>
      </c>
      <c r="G8" s="24">
        <v>212.50387222999996</v>
      </c>
      <c r="H8" s="25">
        <v>6</v>
      </c>
      <c r="I8" s="25">
        <v>5.8</v>
      </c>
      <c r="J8" s="25">
        <v>5.9</v>
      </c>
      <c r="K8" s="25">
        <v>5.9</v>
      </c>
      <c r="L8" s="26">
        <v>5.7094001136485755</v>
      </c>
      <c r="M8" s="26">
        <v>37010819.399999999</v>
      </c>
      <c r="N8" s="26">
        <v>39917973.600000001</v>
      </c>
      <c r="O8" s="26">
        <v>42757189.700000003</v>
      </c>
      <c r="P8" s="26">
        <v>45693647.700000003</v>
      </c>
      <c r="Q8" s="26">
        <v>33502758.454333656</v>
      </c>
      <c r="R8" s="26">
        <v>4.8</v>
      </c>
      <c r="S8" s="26">
        <v>5.3</v>
      </c>
      <c r="T8" s="26">
        <v>5</v>
      </c>
      <c r="U8" s="26">
        <v>5.0999999999999996</v>
      </c>
      <c r="V8" s="26">
        <v>3.6240639098188678</v>
      </c>
      <c r="W8" s="27" t="s">
        <v>135</v>
      </c>
    </row>
    <row r="9" spans="1:23" ht="28.5" customHeight="1" x14ac:dyDescent="0.2">
      <c r="A9" s="28" t="s">
        <v>7</v>
      </c>
      <c r="B9" s="21" t="s">
        <v>8</v>
      </c>
      <c r="C9" s="22">
        <v>156</v>
      </c>
      <c r="D9" s="22">
        <v>146</v>
      </c>
      <c r="E9" s="23">
        <v>152</v>
      </c>
      <c r="F9" s="24">
        <v>159</v>
      </c>
      <c r="G9" s="24">
        <v>102.95295059999998</v>
      </c>
      <c r="H9" s="25">
        <v>6.8</v>
      </c>
      <c r="I9" s="25">
        <v>6.4</v>
      </c>
      <c r="J9" s="25">
        <v>6.6</v>
      </c>
      <c r="K9" s="25">
        <v>6.7</v>
      </c>
      <c r="L9" s="26">
        <v>5.3371151166407458</v>
      </c>
      <c r="M9" s="26">
        <v>33785262.299999997</v>
      </c>
      <c r="N9" s="26">
        <v>36430174.200000003</v>
      </c>
      <c r="O9" s="26">
        <v>38513850.299999997</v>
      </c>
      <c r="P9" s="26">
        <v>40872601.399999999</v>
      </c>
      <c r="Q9" s="26">
        <v>28991544.844449397</v>
      </c>
      <c r="R9" s="26">
        <v>5.2</v>
      </c>
      <c r="S9" s="26">
        <v>5.7</v>
      </c>
      <c r="T9" s="26">
        <v>5.2</v>
      </c>
      <c r="U9" s="26">
        <v>5.3</v>
      </c>
      <c r="V9" s="26">
        <v>3.753306430864821</v>
      </c>
      <c r="W9" s="27" t="s">
        <v>136</v>
      </c>
    </row>
    <row r="10" spans="1:23" ht="27" customHeight="1" x14ac:dyDescent="0.2">
      <c r="A10" s="28" t="s">
        <v>9</v>
      </c>
      <c r="B10" s="21" t="s">
        <v>10</v>
      </c>
      <c r="C10" s="22">
        <v>66</v>
      </c>
      <c r="D10" s="22">
        <v>61</v>
      </c>
      <c r="E10" s="23">
        <v>63</v>
      </c>
      <c r="F10" s="24">
        <v>61</v>
      </c>
      <c r="G10" s="24">
        <v>52</v>
      </c>
      <c r="H10" s="25">
        <v>6.1</v>
      </c>
      <c r="I10" s="25">
        <v>5.4</v>
      </c>
      <c r="J10" s="25">
        <v>5.7</v>
      </c>
      <c r="K10" s="25">
        <v>5.8</v>
      </c>
      <c r="L10" s="26">
        <v>7.1</v>
      </c>
      <c r="M10" s="26">
        <v>1028147.8</v>
      </c>
      <c r="N10" s="26">
        <v>962585.3</v>
      </c>
      <c r="O10" s="26">
        <v>1048813.3</v>
      </c>
      <c r="P10" s="26">
        <v>1134597.8</v>
      </c>
      <c r="Q10" s="26">
        <v>1147152.471046051</v>
      </c>
      <c r="R10" s="26">
        <v>3.4</v>
      </c>
      <c r="S10" s="26">
        <v>3.1</v>
      </c>
      <c r="T10" s="26">
        <v>3.3</v>
      </c>
      <c r="U10" s="26">
        <v>3.3</v>
      </c>
      <c r="V10" s="26">
        <v>2.9</v>
      </c>
      <c r="W10" s="27" t="s">
        <v>137</v>
      </c>
    </row>
    <row r="11" spans="1:23" ht="27" customHeight="1" x14ac:dyDescent="0.2">
      <c r="A11" s="28" t="s">
        <v>11</v>
      </c>
      <c r="B11" s="21" t="s">
        <v>12</v>
      </c>
      <c r="C11" s="22">
        <v>67</v>
      </c>
      <c r="D11" s="22">
        <v>73</v>
      </c>
      <c r="E11" s="23">
        <v>75</v>
      </c>
      <c r="F11" s="24">
        <v>76</v>
      </c>
      <c r="G11" s="24">
        <v>57</v>
      </c>
      <c r="H11" s="25">
        <v>4.7</v>
      </c>
      <c r="I11" s="25">
        <v>5</v>
      </c>
      <c r="J11" s="25">
        <v>5.0999999999999996</v>
      </c>
      <c r="K11" s="25">
        <v>4.7</v>
      </c>
      <c r="L11" s="26">
        <v>5.4</v>
      </c>
      <c r="M11" s="26">
        <v>2197409.2999999998</v>
      </c>
      <c r="N11" s="26">
        <v>2525214.1</v>
      </c>
      <c r="O11" s="26">
        <v>3194526.1</v>
      </c>
      <c r="P11" s="26">
        <v>3686448.5</v>
      </c>
      <c r="Q11" s="26">
        <v>3364061.1388382083</v>
      </c>
      <c r="R11" s="26">
        <v>2.4</v>
      </c>
      <c r="S11" s="26">
        <v>2.8</v>
      </c>
      <c r="T11" s="26">
        <v>3.5</v>
      </c>
      <c r="U11" s="26">
        <v>3.4</v>
      </c>
      <c r="V11" s="26">
        <v>3</v>
      </c>
      <c r="W11" s="27" t="s">
        <v>138</v>
      </c>
    </row>
    <row r="12" spans="1:23" ht="90.75" customHeight="1" x14ac:dyDescent="0.2">
      <c r="A12" s="20" t="s">
        <v>13</v>
      </c>
      <c r="B12" s="21" t="s">
        <v>14</v>
      </c>
      <c r="C12" s="22">
        <v>122</v>
      </c>
      <c r="D12" s="22">
        <v>126</v>
      </c>
      <c r="E12" s="23">
        <v>129</v>
      </c>
      <c r="F12" s="24">
        <v>127</v>
      </c>
      <c r="G12" s="24">
        <v>90.429870000000008</v>
      </c>
      <c r="H12" s="25">
        <v>5</v>
      </c>
      <c r="I12" s="25">
        <v>5.0999999999999996</v>
      </c>
      <c r="J12" s="25">
        <v>5.2</v>
      </c>
      <c r="K12" s="25">
        <v>5.0999999999999996</v>
      </c>
      <c r="L12" s="26">
        <v>4.5396521084337351</v>
      </c>
      <c r="M12" s="26">
        <v>5943896.5</v>
      </c>
      <c r="N12" s="26">
        <v>5223764</v>
      </c>
      <c r="O12" s="26">
        <v>6286532.4000000004</v>
      </c>
      <c r="P12" s="26">
        <v>7249345.5999999996</v>
      </c>
      <c r="Q12" s="26">
        <v>2221051.0476349285</v>
      </c>
      <c r="R12" s="26">
        <v>1.7</v>
      </c>
      <c r="S12" s="26">
        <v>1.4</v>
      </c>
      <c r="T12" s="26">
        <v>1.6</v>
      </c>
      <c r="U12" s="26">
        <v>1.5</v>
      </c>
      <c r="V12" s="26">
        <v>0.70466730431392433</v>
      </c>
      <c r="W12" s="27" t="s">
        <v>139</v>
      </c>
    </row>
    <row r="13" spans="1:23" ht="30" customHeight="1" x14ac:dyDescent="0.2">
      <c r="A13" s="20" t="s">
        <v>15</v>
      </c>
      <c r="B13" s="29">
        <v>19</v>
      </c>
      <c r="C13" s="30">
        <v>2</v>
      </c>
      <c r="D13" s="30">
        <v>4</v>
      </c>
      <c r="E13" s="31">
        <v>4</v>
      </c>
      <c r="F13" s="24">
        <v>3</v>
      </c>
      <c r="G13" s="24">
        <v>1</v>
      </c>
      <c r="H13" s="32">
        <v>3.7</v>
      </c>
      <c r="I13" s="32">
        <v>9.3000000000000007</v>
      </c>
      <c r="J13" s="32">
        <v>8.3000000000000007</v>
      </c>
      <c r="K13" s="32">
        <v>7.4</v>
      </c>
      <c r="L13" s="26">
        <v>3.125</v>
      </c>
      <c r="M13" s="26">
        <v>39347.5</v>
      </c>
      <c r="N13" s="26">
        <v>136292</v>
      </c>
      <c r="O13" s="26">
        <v>140904</v>
      </c>
      <c r="P13" s="26">
        <v>142854</v>
      </c>
      <c r="Q13" s="26">
        <v>277301.2</v>
      </c>
      <c r="R13" s="26">
        <v>0.1</v>
      </c>
      <c r="S13" s="26">
        <v>0.1</v>
      </c>
      <c r="T13" s="26">
        <v>0.2</v>
      </c>
      <c r="U13" s="26">
        <v>0.1</v>
      </c>
      <c r="V13" s="26">
        <v>0.66644676822374227</v>
      </c>
      <c r="W13" s="27" t="s">
        <v>140</v>
      </c>
    </row>
    <row r="14" spans="1:23" ht="30" customHeight="1" x14ac:dyDescent="0.2">
      <c r="A14" s="20" t="s">
        <v>16</v>
      </c>
      <c r="B14" s="29">
        <v>20</v>
      </c>
      <c r="C14" s="30">
        <v>30</v>
      </c>
      <c r="D14" s="30">
        <v>36</v>
      </c>
      <c r="E14" s="31">
        <v>37</v>
      </c>
      <c r="F14" s="24">
        <v>37</v>
      </c>
      <c r="G14" s="24">
        <v>6.29887</v>
      </c>
      <c r="H14" s="32">
        <v>6.5</v>
      </c>
      <c r="I14" s="32">
        <v>7.3</v>
      </c>
      <c r="J14" s="32">
        <v>7.4</v>
      </c>
      <c r="K14" s="32">
        <v>7</v>
      </c>
      <c r="L14" s="26">
        <v>1.5178</v>
      </c>
      <c r="M14" s="26">
        <v>1732169.4</v>
      </c>
      <c r="N14" s="26">
        <v>1668148.6</v>
      </c>
      <c r="O14" s="26">
        <v>1725564.8</v>
      </c>
      <c r="P14" s="26">
        <v>1798754.8</v>
      </c>
      <c r="Q14" s="26">
        <v>258479.58812999999</v>
      </c>
      <c r="R14" s="26">
        <v>2.2999999999999998</v>
      </c>
      <c r="S14" s="26">
        <v>2.1</v>
      </c>
      <c r="T14" s="26">
        <v>2.2000000000000002</v>
      </c>
      <c r="U14" s="26">
        <v>2.2999999999999998</v>
      </c>
      <c r="V14" s="26">
        <v>0.333229248184152</v>
      </c>
      <c r="W14" s="27" t="s">
        <v>141</v>
      </c>
    </row>
    <row r="15" spans="1:23" ht="30" customHeight="1" x14ac:dyDescent="0.2">
      <c r="A15" s="20" t="s">
        <v>17</v>
      </c>
      <c r="B15" s="29">
        <v>21</v>
      </c>
      <c r="C15" s="30">
        <v>2</v>
      </c>
      <c r="D15" s="30">
        <v>4</v>
      </c>
      <c r="E15" s="31">
        <v>5</v>
      </c>
      <c r="F15" s="24">
        <v>5</v>
      </c>
      <c r="G15" s="24">
        <v>5.94</v>
      </c>
      <c r="H15" s="32">
        <v>1.7</v>
      </c>
      <c r="I15" s="32">
        <v>3.5</v>
      </c>
      <c r="J15" s="32">
        <v>4.5</v>
      </c>
      <c r="K15" s="32">
        <v>4.4000000000000004</v>
      </c>
      <c r="L15" s="26">
        <v>6.123711340206186</v>
      </c>
      <c r="M15" s="26">
        <v>16990.2</v>
      </c>
      <c r="N15" s="26">
        <v>288807.09999999998</v>
      </c>
      <c r="O15" s="26">
        <v>335551.3</v>
      </c>
      <c r="P15" s="26">
        <v>391457.5</v>
      </c>
      <c r="Q15" s="26">
        <v>449157.31578947365</v>
      </c>
      <c r="R15" s="26">
        <v>0</v>
      </c>
      <c r="S15" s="26">
        <v>0.7</v>
      </c>
      <c r="T15" s="26">
        <v>0.7</v>
      </c>
      <c r="U15" s="26">
        <v>0.8</v>
      </c>
      <c r="V15" s="26">
        <v>1.0325977578835972</v>
      </c>
      <c r="W15" s="27" t="s">
        <v>142</v>
      </c>
    </row>
    <row r="16" spans="1:23" ht="27.75" customHeight="1" x14ac:dyDescent="0.2">
      <c r="A16" s="20" t="s">
        <v>18</v>
      </c>
      <c r="B16" s="29" t="s">
        <v>19</v>
      </c>
      <c r="C16" s="30">
        <v>88</v>
      </c>
      <c r="D16" s="30">
        <v>82</v>
      </c>
      <c r="E16" s="31">
        <v>83</v>
      </c>
      <c r="F16" s="24">
        <v>82</v>
      </c>
      <c r="G16" s="24">
        <v>77.191000000000003</v>
      </c>
      <c r="H16" s="32">
        <v>4.9000000000000004</v>
      </c>
      <c r="I16" s="32">
        <v>4.5</v>
      </c>
      <c r="J16" s="32">
        <v>4.5</v>
      </c>
      <c r="K16" s="32">
        <v>4.5</v>
      </c>
      <c r="L16" s="26">
        <v>5.330870165745857</v>
      </c>
      <c r="M16" s="26">
        <v>4155389.4</v>
      </c>
      <c r="N16" s="26">
        <v>3130516.3</v>
      </c>
      <c r="O16" s="26">
        <v>4084512.3</v>
      </c>
      <c r="P16" s="26">
        <v>4916279.3</v>
      </c>
      <c r="Q16" s="26">
        <v>1236112.9437154545</v>
      </c>
      <c r="R16" s="26">
        <v>2.5</v>
      </c>
      <c r="S16" s="26">
        <v>2</v>
      </c>
      <c r="T16" s="26">
        <v>2.1</v>
      </c>
      <c r="U16" s="26">
        <v>2.2000000000000002</v>
      </c>
      <c r="V16" s="26">
        <v>0.81047742702899039</v>
      </c>
      <c r="W16" s="27" t="s">
        <v>20</v>
      </c>
    </row>
    <row r="17" spans="1:23" ht="37.5" customHeight="1" x14ac:dyDescent="0.2">
      <c r="A17" s="28" t="s">
        <v>21</v>
      </c>
      <c r="B17" s="21" t="s">
        <v>22</v>
      </c>
      <c r="C17" s="22">
        <v>66</v>
      </c>
      <c r="D17" s="22">
        <v>60</v>
      </c>
      <c r="E17" s="23">
        <v>64</v>
      </c>
      <c r="F17" s="24">
        <v>63</v>
      </c>
      <c r="G17" s="24">
        <v>60.709200000000003</v>
      </c>
      <c r="H17" s="25">
        <v>4.7</v>
      </c>
      <c r="I17" s="25">
        <v>4.0999999999999996</v>
      </c>
      <c r="J17" s="25">
        <v>4.3</v>
      </c>
      <c r="K17" s="25">
        <v>4.5999999999999996</v>
      </c>
      <c r="L17" s="26">
        <v>5.4</v>
      </c>
      <c r="M17" s="26">
        <v>3237743.9</v>
      </c>
      <c r="N17" s="26">
        <v>4577280.4000000004</v>
      </c>
      <c r="O17" s="26">
        <v>4630050.2</v>
      </c>
      <c r="P17" s="26">
        <v>4887804.3</v>
      </c>
      <c r="Q17" s="26">
        <v>675312.60048999998</v>
      </c>
      <c r="R17" s="26">
        <v>0.6</v>
      </c>
      <c r="S17" s="26">
        <v>1.1000000000000001</v>
      </c>
      <c r="T17" s="26">
        <v>1.1000000000000001</v>
      </c>
      <c r="U17" s="26">
        <v>1.1000000000000001</v>
      </c>
      <c r="V17" s="26">
        <v>0.2</v>
      </c>
      <c r="W17" s="27" t="s">
        <v>143</v>
      </c>
    </row>
    <row r="18" spans="1:23" ht="43.5" customHeight="1" x14ac:dyDescent="0.2">
      <c r="A18" s="20" t="s">
        <v>23</v>
      </c>
      <c r="B18" s="21" t="s">
        <v>24</v>
      </c>
      <c r="C18" s="22">
        <v>196</v>
      </c>
      <c r="D18" s="22">
        <v>195</v>
      </c>
      <c r="E18" s="23">
        <v>201</v>
      </c>
      <c r="F18" s="24">
        <v>204</v>
      </c>
      <c r="G18" s="24">
        <v>138.76662249999998</v>
      </c>
      <c r="H18" s="25">
        <v>5.7</v>
      </c>
      <c r="I18" s="25">
        <v>5.4</v>
      </c>
      <c r="J18" s="25">
        <v>5.5</v>
      </c>
      <c r="K18" s="25">
        <v>5.4</v>
      </c>
      <c r="L18" s="26">
        <v>5.248359398638426</v>
      </c>
      <c r="M18" s="26">
        <v>6408330.7999999998</v>
      </c>
      <c r="N18" s="26">
        <v>6578160.5999999996</v>
      </c>
      <c r="O18" s="26">
        <v>7344272.5</v>
      </c>
      <c r="P18" s="26">
        <v>8156723.7999999998</v>
      </c>
      <c r="Q18" s="26">
        <v>4767397.2872094708</v>
      </c>
      <c r="R18" s="26">
        <v>2.4</v>
      </c>
      <c r="S18" s="26">
        <v>2.2999999999999998</v>
      </c>
      <c r="T18" s="26">
        <v>2.6</v>
      </c>
      <c r="U18" s="26">
        <v>2.7</v>
      </c>
      <c r="V18" s="26">
        <v>1.8250386188346526</v>
      </c>
      <c r="W18" s="27" t="s">
        <v>134</v>
      </c>
    </row>
    <row r="19" spans="1:23" ht="31.5" customHeight="1" x14ac:dyDescent="0.2">
      <c r="A19" s="20" t="s">
        <v>25</v>
      </c>
      <c r="B19" s="29">
        <v>26</v>
      </c>
      <c r="C19" s="30">
        <v>21</v>
      </c>
      <c r="D19" s="30">
        <v>22</v>
      </c>
      <c r="E19" s="31">
        <v>22</v>
      </c>
      <c r="F19" s="24">
        <v>23</v>
      </c>
      <c r="G19" s="24">
        <v>12.25</v>
      </c>
      <c r="H19" s="32">
        <v>8.1</v>
      </c>
      <c r="I19" s="32">
        <v>8</v>
      </c>
      <c r="J19" s="32">
        <v>7.9</v>
      </c>
      <c r="K19" s="32">
        <v>8.1</v>
      </c>
      <c r="L19" s="26">
        <v>6.7307692307692308</v>
      </c>
      <c r="M19" s="26">
        <v>456565.1</v>
      </c>
      <c r="N19" s="26">
        <v>529207</v>
      </c>
      <c r="O19" s="26">
        <v>534581.80000000005</v>
      </c>
      <c r="P19" s="26">
        <v>540372.30000000005</v>
      </c>
      <c r="Q19" s="26">
        <v>632813.32767500007</v>
      </c>
      <c r="R19" s="26">
        <v>2.5</v>
      </c>
      <c r="S19" s="26">
        <v>3</v>
      </c>
      <c r="T19" s="26">
        <v>3.3</v>
      </c>
      <c r="U19" s="26">
        <v>3.4</v>
      </c>
      <c r="V19" s="26">
        <v>3.3921432224208083</v>
      </c>
      <c r="W19" s="27" t="s">
        <v>26</v>
      </c>
    </row>
    <row r="20" spans="1:23" ht="20.25" customHeight="1" x14ac:dyDescent="0.2">
      <c r="A20" s="20" t="s">
        <v>27</v>
      </c>
      <c r="B20" s="29">
        <v>27</v>
      </c>
      <c r="C20" s="30">
        <v>32</v>
      </c>
      <c r="D20" s="30">
        <v>34</v>
      </c>
      <c r="E20" s="31">
        <v>35</v>
      </c>
      <c r="F20" s="24">
        <v>34</v>
      </c>
      <c r="G20" s="24">
        <v>17.908749999999998</v>
      </c>
      <c r="H20" s="32">
        <v>8.6</v>
      </c>
      <c r="I20" s="32">
        <v>8.1999999999999993</v>
      </c>
      <c r="J20" s="32">
        <v>8.4</v>
      </c>
      <c r="K20" s="32">
        <v>8.3000000000000007</v>
      </c>
      <c r="L20" s="26">
        <v>6.0707627118644059</v>
      </c>
      <c r="M20" s="26">
        <v>342673.3</v>
      </c>
      <c r="N20" s="26">
        <v>641030.9</v>
      </c>
      <c r="O20" s="26">
        <v>656457.5</v>
      </c>
      <c r="P20" s="26">
        <v>709035.6</v>
      </c>
      <c r="Q20" s="26">
        <v>302774.74049999996</v>
      </c>
      <c r="R20" s="26">
        <v>0.8</v>
      </c>
      <c r="S20" s="26">
        <v>1.6</v>
      </c>
      <c r="T20" s="26">
        <v>1.8</v>
      </c>
      <c r="U20" s="26">
        <v>1.9</v>
      </c>
      <c r="V20" s="26">
        <v>0.96481152421391458</v>
      </c>
      <c r="W20" s="27" t="s">
        <v>28</v>
      </c>
    </row>
    <row r="21" spans="1:23" ht="20.25" customHeight="1" x14ac:dyDescent="0.2">
      <c r="A21" s="20" t="s">
        <v>29</v>
      </c>
      <c r="B21" s="29">
        <v>28</v>
      </c>
      <c r="C21" s="30">
        <v>50</v>
      </c>
      <c r="D21" s="30">
        <v>54</v>
      </c>
      <c r="E21" s="31">
        <v>53</v>
      </c>
      <c r="F21" s="24">
        <v>53</v>
      </c>
      <c r="G21" s="24">
        <v>35.341899999999995</v>
      </c>
      <c r="H21" s="32">
        <v>5.2</v>
      </c>
      <c r="I21" s="32">
        <v>5.4</v>
      </c>
      <c r="J21" s="32">
        <v>5.2</v>
      </c>
      <c r="K21" s="32">
        <v>4.9000000000000004</v>
      </c>
      <c r="L21" s="26">
        <v>4.712253333333333</v>
      </c>
      <c r="M21" s="26">
        <v>860112.5</v>
      </c>
      <c r="N21" s="26">
        <v>1288252.8999999999</v>
      </c>
      <c r="O21" s="26">
        <v>1356841</v>
      </c>
      <c r="P21" s="26">
        <v>1444383.9</v>
      </c>
      <c r="Q21" s="26">
        <v>586740.24480584997</v>
      </c>
      <c r="R21" s="26">
        <v>1.2</v>
      </c>
      <c r="S21" s="26">
        <v>1.8</v>
      </c>
      <c r="T21" s="26">
        <v>1.8</v>
      </c>
      <c r="U21" s="26">
        <v>1.7</v>
      </c>
      <c r="V21" s="26">
        <v>1.080459504142492</v>
      </c>
      <c r="W21" s="27" t="s">
        <v>144</v>
      </c>
    </row>
    <row r="22" spans="1:23" ht="43.5" customHeight="1" x14ac:dyDescent="0.2">
      <c r="A22" s="20" t="s">
        <v>30</v>
      </c>
      <c r="B22" s="29" t="s">
        <v>31</v>
      </c>
      <c r="C22" s="30">
        <v>20</v>
      </c>
      <c r="D22" s="30">
        <v>18</v>
      </c>
      <c r="E22" s="31">
        <v>18</v>
      </c>
      <c r="F22" s="24">
        <v>20</v>
      </c>
      <c r="G22" s="24">
        <v>14.404096000000001</v>
      </c>
      <c r="H22" s="32">
        <v>6.4</v>
      </c>
      <c r="I22" s="32">
        <v>5.5</v>
      </c>
      <c r="J22" s="32">
        <v>5.5</v>
      </c>
      <c r="K22" s="32">
        <v>5.8</v>
      </c>
      <c r="L22" s="26">
        <v>6.1034305084745766</v>
      </c>
      <c r="M22" s="26">
        <v>3992341.7</v>
      </c>
      <c r="N22" s="26">
        <v>3351196.7</v>
      </c>
      <c r="O22" s="26">
        <v>4004793.4</v>
      </c>
      <c r="P22" s="26">
        <v>4650574.5</v>
      </c>
      <c r="Q22" s="26">
        <v>2720351.7708912003</v>
      </c>
      <c r="R22" s="26">
        <v>5.3</v>
      </c>
      <c r="S22" s="26">
        <v>4.4000000000000004</v>
      </c>
      <c r="T22" s="26">
        <v>5.2</v>
      </c>
      <c r="U22" s="26">
        <v>5.4</v>
      </c>
      <c r="V22" s="26">
        <v>2.9921730046183161</v>
      </c>
      <c r="W22" s="27" t="s">
        <v>145</v>
      </c>
    </row>
    <row r="23" spans="1:23" ht="27" customHeight="1" x14ac:dyDescent="0.2">
      <c r="A23" s="20" t="s">
        <v>32</v>
      </c>
      <c r="B23" s="29" t="s">
        <v>33</v>
      </c>
      <c r="C23" s="30">
        <v>73</v>
      </c>
      <c r="D23" s="30">
        <v>67</v>
      </c>
      <c r="E23" s="31">
        <v>73</v>
      </c>
      <c r="F23" s="24">
        <v>74</v>
      </c>
      <c r="G23" s="24">
        <v>58.861876500000001</v>
      </c>
      <c r="H23" s="32">
        <v>4.7</v>
      </c>
      <c r="I23" s="32">
        <v>4.2</v>
      </c>
      <c r="J23" s="32">
        <v>4.4000000000000004</v>
      </c>
      <c r="K23" s="32">
        <v>4.4000000000000004</v>
      </c>
      <c r="L23" s="26">
        <v>5</v>
      </c>
      <c r="M23" s="26">
        <v>756638.2</v>
      </c>
      <c r="N23" s="26">
        <v>768473.1</v>
      </c>
      <c r="O23" s="26">
        <v>791598.8</v>
      </c>
      <c r="P23" s="26">
        <v>812357.5</v>
      </c>
      <c r="Q23" s="26">
        <v>524717.20333742059</v>
      </c>
      <c r="R23" s="26">
        <v>1.2</v>
      </c>
      <c r="S23" s="26">
        <v>1.1000000000000001</v>
      </c>
      <c r="T23" s="26">
        <v>1</v>
      </c>
      <c r="U23" s="26">
        <v>1.1000000000000001</v>
      </c>
      <c r="V23" s="26">
        <v>0.8</v>
      </c>
      <c r="W23" s="27" t="s">
        <v>146</v>
      </c>
    </row>
    <row r="24" spans="1:23" ht="42.75" customHeight="1" x14ac:dyDescent="0.2">
      <c r="A24" s="20" t="s">
        <v>34</v>
      </c>
      <c r="B24" s="29" t="s">
        <v>35</v>
      </c>
      <c r="C24" s="30">
        <v>29</v>
      </c>
      <c r="D24" s="30">
        <v>29</v>
      </c>
      <c r="E24" s="31">
        <v>32</v>
      </c>
      <c r="F24" s="24">
        <v>31</v>
      </c>
      <c r="G24" s="24">
        <v>20.77</v>
      </c>
      <c r="H24" s="32">
        <v>1.4</v>
      </c>
      <c r="I24" s="32">
        <v>1.5</v>
      </c>
      <c r="J24" s="32">
        <v>1.5</v>
      </c>
      <c r="K24" s="32">
        <v>1.5</v>
      </c>
      <c r="L24" s="26">
        <v>2.9</v>
      </c>
      <c r="M24" s="26">
        <v>532496.30000000005</v>
      </c>
      <c r="N24" s="26">
        <v>510337.1</v>
      </c>
      <c r="O24" s="26">
        <v>594134.9</v>
      </c>
      <c r="P24" s="26">
        <v>676082.5</v>
      </c>
      <c r="Q24" s="26">
        <v>2654838.6529999999</v>
      </c>
      <c r="R24" s="26">
        <v>0.1</v>
      </c>
      <c r="S24" s="26">
        <v>0.1</v>
      </c>
      <c r="T24" s="26">
        <v>0.1</v>
      </c>
      <c r="U24" s="26">
        <v>0.1</v>
      </c>
      <c r="V24" s="26">
        <v>0.2</v>
      </c>
      <c r="W24" s="27" t="s">
        <v>36</v>
      </c>
    </row>
    <row r="25" spans="1:23" ht="31.5" customHeight="1" x14ac:dyDescent="0.2">
      <c r="A25" s="20" t="s">
        <v>37</v>
      </c>
      <c r="B25" s="21" t="s">
        <v>38</v>
      </c>
      <c r="C25" s="22">
        <v>17</v>
      </c>
      <c r="D25" s="22">
        <v>12</v>
      </c>
      <c r="E25" s="23">
        <v>15</v>
      </c>
      <c r="F25" s="24">
        <v>15</v>
      </c>
      <c r="G25" s="24">
        <v>20.77</v>
      </c>
      <c r="H25" s="25">
        <v>2.2999999999999998</v>
      </c>
      <c r="I25" s="25">
        <v>1.6</v>
      </c>
      <c r="J25" s="25">
        <v>1.8</v>
      </c>
      <c r="K25" s="25">
        <v>2</v>
      </c>
      <c r="L25" s="26">
        <v>2.9</v>
      </c>
      <c r="M25" s="26">
        <v>441913.2</v>
      </c>
      <c r="N25" s="26">
        <v>338606.4</v>
      </c>
      <c r="O25" s="26">
        <v>423456.7</v>
      </c>
      <c r="P25" s="26">
        <v>503724.6</v>
      </c>
      <c r="Q25" s="26">
        <v>2654838.6529999999</v>
      </c>
      <c r="R25" s="26">
        <v>0.1</v>
      </c>
      <c r="S25" s="26">
        <v>0.1</v>
      </c>
      <c r="T25" s="26">
        <v>0.1</v>
      </c>
      <c r="U25" s="26">
        <v>0.1</v>
      </c>
      <c r="V25" s="26">
        <v>0.2</v>
      </c>
      <c r="W25" s="27" t="s">
        <v>39</v>
      </c>
    </row>
    <row r="26" spans="1:23" ht="31.5" customHeight="1" x14ac:dyDescent="0.2">
      <c r="A26" s="20" t="s">
        <v>40</v>
      </c>
      <c r="B26" s="21" t="s">
        <v>41</v>
      </c>
      <c r="C26" s="22">
        <v>12</v>
      </c>
      <c r="D26" s="22">
        <v>17</v>
      </c>
      <c r="E26" s="23">
        <v>17</v>
      </c>
      <c r="F26" s="24">
        <v>16</v>
      </c>
      <c r="G26" s="24">
        <v>5.67</v>
      </c>
      <c r="H26" s="25">
        <v>1</v>
      </c>
      <c r="I26" s="25">
        <v>1.4</v>
      </c>
      <c r="J26" s="25">
        <v>1.3</v>
      </c>
      <c r="K26" s="25">
        <v>1.2</v>
      </c>
      <c r="L26" s="26">
        <v>0.5</v>
      </c>
      <c r="M26" s="26">
        <v>90583</v>
      </c>
      <c r="N26" s="26">
        <v>171730.7</v>
      </c>
      <c r="O26" s="26">
        <v>170678.2</v>
      </c>
      <c r="P26" s="26">
        <v>172357.9</v>
      </c>
      <c r="Q26" s="26">
        <v>24262</v>
      </c>
      <c r="R26" s="26">
        <v>0.3</v>
      </c>
      <c r="S26" s="26">
        <v>0.4</v>
      </c>
      <c r="T26" s="26">
        <v>0.4</v>
      </c>
      <c r="U26" s="26">
        <v>0.4</v>
      </c>
      <c r="V26" s="26">
        <v>0.1</v>
      </c>
      <c r="W26" s="27" t="s">
        <v>42</v>
      </c>
    </row>
    <row r="27" spans="1:23" ht="15.75" customHeight="1" x14ac:dyDescent="0.2">
      <c r="A27" s="20" t="s">
        <v>43</v>
      </c>
      <c r="B27" s="21" t="s">
        <v>44</v>
      </c>
      <c r="C27" s="22">
        <v>107</v>
      </c>
      <c r="D27" s="22">
        <v>93</v>
      </c>
      <c r="E27" s="23">
        <v>98</v>
      </c>
      <c r="F27" s="24">
        <v>101</v>
      </c>
      <c r="G27" s="24">
        <v>64.581510000000009</v>
      </c>
      <c r="H27" s="25">
        <v>2</v>
      </c>
      <c r="I27" s="25">
        <v>1.6</v>
      </c>
      <c r="J27" s="25">
        <v>1.6</v>
      </c>
      <c r="K27" s="25">
        <v>1.8</v>
      </c>
      <c r="L27" s="26">
        <v>1.6</v>
      </c>
      <c r="M27" s="26">
        <v>1358493.2</v>
      </c>
      <c r="N27" s="26">
        <v>1933818.5</v>
      </c>
      <c r="O27" s="26">
        <v>2063877.6</v>
      </c>
      <c r="P27" s="26">
        <v>2421364.7000000002</v>
      </c>
      <c r="Q27" s="26">
        <v>692530.57052705996</v>
      </c>
      <c r="R27" s="26">
        <v>0.6</v>
      </c>
      <c r="S27" s="26">
        <v>0.7</v>
      </c>
      <c r="T27" s="26">
        <v>0.7</v>
      </c>
      <c r="U27" s="26">
        <v>0.6</v>
      </c>
      <c r="V27" s="26">
        <v>0.4</v>
      </c>
      <c r="W27" s="27" t="s">
        <v>45</v>
      </c>
    </row>
    <row r="28" spans="1:23" ht="26.25" customHeight="1" x14ac:dyDescent="0.2">
      <c r="A28" s="20" t="s">
        <v>46</v>
      </c>
      <c r="B28" s="21" t="s">
        <v>47</v>
      </c>
      <c r="C28" s="22">
        <v>914</v>
      </c>
      <c r="D28" s="22">
        <v>924</v>
      </c>
      <c r="E28" s="23">
        <v>929</v>
      </c>
      <c r="F28" s="24">
        <v>931</v>
      </c>
      <c r="G28" s="24">
        <v>789.01379125000028</v>
      </c>
      <c r="H28" s="25">
        <v>7.5</v>
      </c>
      <c r="I28" s="25">
        <v>7.4</v>
      </c>
      <c r="J28" s="25">
        <v>7.7</v>
      </c>
      <c r="K28" s="25">
        <v>7.7</v>
      </c>
      <c r="L28" s="26">
        <v>8.0717523401534557</v>
      </c>
      <c r="M28" s="26">
        <v>128502264.3</v>
      </c>
      <c r="N28" s="26">
        <v>104074764.40000001</v>
      </c>
      <c r="O28" s="26">
        <v>144775433</v>
      </c>
      <c r="P28" s="26">
        <v>185025520.90000001</v>
      </c>
      <c r="Q28" s="26">
        <v>145970277.27420795</v>
      </c>
      <c r="R28" s="26">
        <v>4.7</v>
      </c>
      <c r="S28" s="26">
        <v>3.7</v>
      </c>
      <c r="T28" s="26">
        <v>4.5</v>
      </c>
      <c r="U28" s="26">
        <v>4.9000000000000004</v>
      </c>
      <c r="V28" s="26">
        <v>4.3119326204983253</v>
      </c>
      <c r="W28" s="27" t="s">
        <v>48</v>
      </c>
    </row>
    <row r="29" spans="1:23" ht="39" customHeight="1" x14ac:dyDescent="0.2">
      <c r="A29" s="20" t="s">
        <v>49</v>
      </c>
      <c r="B29" s="29">
        <v>45</v>
      </c>
      <c r="C29" s="30">
        <v>90</v>
      </c>
      <c r="D29" s="30">
        <v>94</v>
      </c>
      <c r="E29" s="31">
        <v>91</v>
      </c>
      <c r="F29" s="24">
        <v>90</v>
      </c>
      <c r="G29" s="24">
        <v>76.493741750000012</v>
      </c>
      <c r="H29" s="32">
        <v>7.4</v>
      </c>
      <c r="I29" s="32">
        <v>7.4</v>
      </c>
      <c r="J29" s="32">
        <v>7</v>
      </c>
      <c r="K29" s="32">
        <v>7.2</v>
      </c>
      <c r="L29" s="26">
        <v>7.5736377970297042</v>
      </c>
      <c r="M29" s="26">
        <v>10596482.9</v>
      </c>
      <c r="N29" s="26">
        <v>12806923.6</v>
      </c>
      <c r="O29" s="26">
        <v>14186523.699999999</v>
      </c>
      <c r="P29" s="26">
        <v>16985523.100000001</v>
      </c>
      <c r="Q29" s="26">
        <v>13986726.925545394</v>
      </c>
      <c r="R29" s="26">
        <v>5.6</v>
      </c>
      <c r="S29" s="26">
        <v>6.3</v>
      </c>
      <c r="T29" s="26">
        <v>6.3</v>
      </c>
      <c r="U29" s="26">
        <v>6.4</v>
      </c>
      <c r="V29" s="26">
        <v>6.9621073706595942</v>
      </c>
      <c r="W29" s="27" t="s">
        <v>147</v>
      </c>
    </row>
    <row r="30" spans="1:23" ht="28.5" customHeight="1" x14ac:dyDescent="0.2">
      <c r="A30" s="20" t="s">
        <v>50</v>
      </c>
      <c r="B30" s="29">
        <v>46</v>
      </c>
      <c r="C30" s="30">
        <v>651</v>
      </c>
      <c r="D30" s="30">
        <v>647</v>
      </c>
      <c r="E30" s="31">
        <v>653</v>
      </c>
      <c r="F30" s="24">
        <v>655</v>
      </c>
      <c r="G30" s="24">
        <v>545.35472950000019</v>
      </c>
      <c r="H30" s="32">
        <v>8</v>
      </c>
      <c r="I30" s="32">
        <v>7.7</v>
      </c>
      <c r="J30" s="32">
        <v>8</v>
      </c>
      <c r="K30" s="32">
        <v>8.1</v>
      </c>
      <c r="L30" s="26">
        <v>8.1860511783248295</v>
      </c>
      <c r="M30" s="26">
        <v>95627358.5</v>
      </c>
      <c r="N30" s="26">
        <v>64929627</v>
      </c>
      <c r="O30" s="26">
        <v>102459945.5</v>
      </c>
      <c r="P30" s="26">
        <v>138121454</v>
      </c>
      <c r="Q30" s="26">
        <v>99499987.451282546</v>
      </c>
      <c r="R30" s="26">
        <v>5</v>
      </c>
      <c r="S30" s="26">
        <v>3.3</v>
      </c>
      <c r="T30" s="26">
        <v>4.7</v>
      </c>
      <c r="U30" s="26">
        <v>4.9000000000000004</v>
      </c>
      <c r="V30" s="26">
        <v>4.4261211834909959</v>
      </c>
      <c r="W30" s="27" t="s">
        <v>51</v>
      </c>
    </row>
    <row r="31" spans="1:23" ht="27.75" customHeight="1" x14ac:dyDescent="0.2">
      <c r="A31" s="20" t="s">
        <v>52</v>
      </c>
      <c r="B31" s="29">
        <v>47</v>
      </c>
      <c r="C31" s="30">
        <v>173</v>
      </c>
      <c r="D31" s="30">
        <v>183</v>
      </c>
      <c r="E31" s="31">
        <v>185</v>
      </c>
      <c r="F31" s="24">
        <v>186</v>
      </c>
      <c r="G31" s="24">
        <v>167.16532000000004</v>
      </c>
      <c r="H31" s="32">
        <v>6.1</v>
      </c>
      <c r="I31" s="32">
        <v>6.5</v>
      </c>
      <c r="J31" s="32">
        <v>6.8</v>
      </c>
      <c r="K31" s="32">
        <v>6.7</v>
      </c>
      <c r="L31" s="26">
        <v>7.9488977650974819</v>
      </c>
      <c r="M31" s="26">
        <v>22278422.899999999</v>
      </c>
      <c r="N31" s="26">
        <v>26338213.800000001</v>
      </c>
      <c r="O31" s="26">
        <v>28128963.800000001</v>
      </c>
      <c r="P31" s="26">
        <v>29918543.800000001</v>
      </c>
      <c r="Q31" s="26">
        <v>32483562.897380002</v>
      </c>
      <c r="R31" s="26">
        <v>3.5</v>
      </c>
      <c r="S31" s="26">
        <v>3.9</v>
      </c>
      <c r="T31" s="26">
        <v>3.4</v>
      </c>
      <c r="U31" s="26">
        <v>3.7</v>
      </c>
      <c r="V31" s="26">
        <v>3.4691769571963746</v>
      </c>
      <c r="W31" s="27" t="s">
        <v>53</v>
      </c>
    </row>
    <row r="32" spans="1:23" ht="28.5" customHeight="1" x14ac:dyDescent="0.2">
      <c r="A32" s="20" t="s">
        <v>54</v>
      </c>
      <c r="B32" s="21" t="s">
        <v>55</v>
      </c>
      <c r="C32" s="22">
        <v>131</v>
      </c>
      <c r="D32" s="22">
        <v>125</v>
      </c>
      <c r="E32" s="23">
        <v>127</v>
      </c>
      <c r="F32" s="24">
        <v>127</v>
      </c>
      <c r="G32" s="24">
        <v>155.53000000000003</v>
      </c>
      <c r="H32" s="25">
        <v>3.3</v>
      </c>
      <c r="I32" s="25">
        <v>3.1</v>
      </c>
      <c r="J32" s="25">
        <v>3</v>
      </c>
      <c r="K32" s="25">
        <v>3.2</v>
      </c>
      <c r="L32" s="26">
        <v>4.5703790772847492</v>
      </c>
      <c r="M32" s="26">
        <v>31257594.800000001</v>
      </c>
      <c r="N32" s="26">
        <v>117600857</v>
      </c>
      <c r="O32" s="26">
        <v>141783125.09999999</v>
      </c>
      <c r="P32" s="26">
        <v>164784027.19999999</v>
      </c>
      <c r="Q32" s="26">
        <v>34321607.806099996</v>
      </c>
      <c r="R32" s="26">
        <v>7.1</v>
      </c>
      <c r="S32" s="26">
        <v>25.7</v>
      </c>
      <c r="T32" s="26">
        <v>31.1</v>
      </c>
      <c r="U32" s="26">
        <v>30.9</v>
      </c>
      <c r="V32" s="26">
        <v>7.632142344628515</v>
      </c>
      <c r="W32" s="27" t="s">
        <v>56</v>
      </c>
    </row>
    <row r="33" spans="1:23" ht="29.25" customHeight="1" x14ac:dyDescent="0.2">
      <c r="A33" s="20" t="s">
        <v>57</v>
      </c>
      <c r="B33" s="21" t="s">
        <v>58</v>
      </c>
      <c r="C33" s="22">
        <v>147</v>
      </c>
      <c r="D33" s="22">
        <v>166</v>
      </c>
      <c r="E33" s="23">
        <v>170</v>
      </c>
      <c r="F33" s="24">
        <v>171</v>
      </c>
      <c r="G33" s="24">
        <v>93.96346200000005</v>
      </c>
      <c r="H33" s="25">
        <v>9.4</v>
      </c>
      <c r="I33" s="25">
        <v>10.199999999999999</v>
      </c>
      <c r="J33" s="25">
        <v>10.1</v>
      </c>
      <c r="K33" s="25">
        <v>9.9</v>
      </c>
      <c r="L33" s="26">
        <v>10.9</v>
      </c>
      <c r="M33" s="26">
        <v>2105230</v>
      </c>
      <c r="N33" s="26">
        <v>2741067.6</v>
      </c>
      <c r="O33" s="26">
        <v>2897865.9</v>
      </c>
      <c r="P33" s="26">
        <v>3148675.9</v>
      </c>
      <c r="Q33" s="26">
        <v>3771846.3963284018</v>
      </c>
      <c r="R33" s="26">
        <v>6.8</v>
      </c>
      <c r="S33" s="26">
        <v>8.1999999999999993</v>
      </c>
      <c r="T33" s="26">
        <v>11.6</v>
      </c>
      <c r="U33" s="26">
        <v>12</v>
      </c>
      <c r="V33" s="26">
        <v>12.9</v>
      </c>
      <c r="W33" s="27" t="s">
        <v>59</v>
      </c>
    </row>
    <row r="34" spans="1:23" ht="17.25" customHeight="1" x14ac:dyDescent="0.2">
      <c r="A34" s="20" t="s">
        <v>60</v>
      </c>
      <c r="B34" s="29">
        <v>55</v>
      </c>
      <c r="C34" s="30">
        <v>115</v>
      </c>
      <c r="D34" s="30">
        <v>120</v>
      </c>
      <c r="E34" s="31">
        <v>111</v>
      </c>
      <c r="F34" s="24">
        <v>118</v>
      </c>
      <c r="G34" s="24">
        <v>65.791168000000042</v>
      </c>
      <c r="H34" s="32">
        <v>24</v>
      </c>
      <c r="I34" s="32">
        <v>24</v>
      </c>
      <c r="J34" s="32">
        <v>22.1</v>
      </c>
      <c r="K34" s="32">
        <v>22.999999999999996</v>
      </c>
      <c r="L34" s="26">
        <v>23.4</v>
      </c>
      <c r="M34" s="26">
        <v>1923729.2</v>
      </c>
      <c r="N34" s="26">
        <v>2010628.5</v>
      </c>
      <c r="O34" s="26">
        <v>2021741.3</v>
      </c>
      <c r="P34" s="26">
        <v>2047459.1</v>
      </c>
      <c r="Q34" s="26">
        <v>1439343.0657896323</v>
      </c>
      <c r="R34" s="26">
        <v>20.399999999999999</v>
      </c>
      <c r="S34" s="26">
        <v>21.2</v>
      </c>
      <c r="T34" s="26">
        <v>40.799999999999997</v>
      </c>
      <c r="U34" s="26">
        <v>41.1</v>
      </c>
      <c r="V34" s="26">
        <v>22</v>
      </c>
      <c r="W34" s="27" t="s">
        <v>148</v>
      </c>
    </row>
    <row r="35" spans="1:23" ht="17.25" customHeight="1" x14ac:dyDescent="0.2">
      <c r="A35" s="20" t="s">
        <v>61</v>
      </c>
      <c r="B35" s="21" t="s">
        <v>62</v>
      </c>
      <c r="C35" s="22">
        <v>204</v>
      </c>
      <c r="D35" s="22">
        <v>197</v>
      </c>
      <c r="E35" s="23">
        <v>209</v>
      </c>
      <c r="F35" s="24">
        <v>210</v>
      </c>
      <c r="G35" s="24">
        <v>166.14999999999998</v>
      </c>
      <c r="H35" s="25">
        <v>9.4</v>
      </c>
      <c r="I35" s="25">
        <v>9</v>
      </c>
      <c r="J35" s="25">
        <v>9.5</v>
      </c>
      <c r="K35" s="25">
        <v>9.6</v>
      </c>
      <c r="L35" s="26">
        <v>10.5</v>
      </c>
      <c r="M35" s="26">
        <v>3993376.1</v>
      </c>
      <c r="N35" s="26">
        <v>5065412.5999999996</v>
      </c>
      <c r="O35" s="26">
        <v>5924611.5999999996</v>
      </c>
      <c r="P35" s="26">
        <v>7050032.9000000004</v>
      </c>
      <c r="Q35" s="26">
        <v>7281941.41395</v>
      </c>
      <c r="R35" s="26">
        <v>3</v>
      </c>
      <c r="S35" s="26">
        <v>3.5</v>
      </c>
      <c r="T35" s="26">
        <v>3.5</v>
      </c>
      <c r="U35" s="26">
        <v>3.6</v>
      </c>
      <c r="V35" s="26">
        <v>3.5</v>
      </c>
      <c r="W35" s="27" t="s">
        <v>63</v>
      </c>
    </row>
    <row r="36" spans="1:23" ht="53.25" customHeight="1" x14ac:dyDescent="0.2">
      <c r="A36" s="28" t="s">
        <v>64</v>
      </c>
      <c r="B36" s="21" t="s">
        <v>65</v>
      </c>
      <c r="C36" s="22">
        <v>62</v>
      </c>
      <c r="D36" s="22">
        <v>62</v>
      </c>
      <c r="E36" s="23">
        <v>64</v>
      </c>
      <c r="F36" s="24">
        <v>63</v>
      </c>
      <c r="G36" s="24">
        <v>43.52</v>
      </c>
      <c r="H36" s="25">
        <v>8.1</v>
      </c>
      <c r="I36" s="25">
        <v>8.4</v>
      </c>
      <c r="J36" s="25">
        <v>8.8000000000000007</v>
      </c>
      <c r="K36" s="25">
        <v>8.6</v>
      </c>
      <c r="L36" s="26">
        <v>10.199999999999999</v>
      </c>
      <c r="M36" s="26">
        <v>782807.1</v>
      </c>
      <c r="N36" s="26">
        <v>942352.8</v>
      </c>
      <c r="O36" s="26">
        <v>923497</v>
      </c>
      <c r="P36" s="26">
        <v>935712</v>
      </c>
      <c r="Q36" s="26">
        <v>627423.27174999996</v>
      </c>
      <c r="R36" s="26">
        <v>3.5</v>
      </c>
      <c r="S36" s="26">
        <v>3.6</v>
      </c>
      <c r="T36" s="26">
        <v>3.9</v>
      </c>
      <c r="U36" s="26">
        <v>4</v>
      </c>
      <c r="V36" s="26">
        <v>4.2</v>
      </c>
      <c r="W36" s="27" t="s">
        <v>149</v>
      </c>
    </row>
    <row r="37" spans="1:23" ht="18.75" customHeight="1" x14ac:dyDescent="0.2">
      <c r="A37" s="20" t="s">
        <v>66</v>
      </c>
      <c r="B37" s="29">
        <v>61</v>
      </c>
      <c r="C37" s="30">
        <v>40</v>
      </c>
      <c r="D37" s="30">
        <v>35</v>
      </c>
      <c r="E37" s="31">
        <v>42</v>
      </c>
      <c r="F37" s="24">
        <v>42</v>
      </c>
      <c r="G37" s="24">
        <v>31.85</v>
      </c>
      <c r="H37" s="32">
        <v>10.5</v>
      </c>
      <c r="I37" s="32">
        <v>9</v>
      </c>
      <c r="J37" s="32">
        <v>10.6</v>
      </c>
      <c r="K37" s="32">
        <v>10.6</v>
      </c>
      <c r="L37" s="26">
        <v>10.199999999999999</v>
      </c>
      <c r="M37" s="26">
        <v>1069452.8999999999</v>
      </c>
      <c r="N37" s="26">
        <v>1038489</v>
      </c>
      <c r="O37" s="26">
        <v>1413769.5</v>
      </c>
      <c r="P37" s="26">
        <v>1912369.5</v>
      </c>
      <c r="Q37" s="26">
        <v>691905.9362</v>
      </c>
      <c r="R37" s="26">
        <v>1.9</v>
      </c>
      <c r="S37" s="26">
        <v>1.8</v>
      </c>
      <c r="T37" s="26">
        <v>2</v>
      </c>
      <c r="U37" s="26">
        <v>2</v>
      </c>
      <c r="V37" s="26">
        <v>0.9</v>
      </c>
      <c r="W37" s="27" t="s">
        <v>150</v>
      </c>
    </row>
    <row r="38" spans="1:23" ht="43.5" customHeight="1" x14ac:dyDescent="0.2">
      <c r="A38" s="20" t="s">
        <v>67</v>
      </c>
      <c r="B38" s="29" t="s">
        <v>68</v>
      </c>
      <c r="C38" s="30">
        <v>102</v>
      </c>
      <c r="D38" s="30">
        <v>100</v>
      </c>
      <c r="E38" s="31">
        <v>103</v>
      </c>
      <c r="F38" s="24">
        <v>105</v>
      </c>
      <c r="G38" s="24">
        <v>90.78</v>
      </c>
      <c r="H38" s="32">
        <v>10</v>
      </c>
      <c r="I38" s="32">
        <v>9.5</v>
      </c>
      <c r="J38" s="32">
        <v>9.5</v>
      </c>
      <c r="K38" s="32">
        <v>9.9</v>
      </c>
      <c r="L38" s="26">
        <v>10.8</v>
      </c>
      <c r="M38" s="26">
        <v>2141116.1</v>
      </c>
      <c r="N38" s="26">
        <v>3084570.8</v>
      </c>
      <c r="O38" s="26">
        <v>3587345.1</v>
      </c>
      <c r="P38" s="26">
        <v>4201951.4000000004</v>
      </c>
      <c r="Q38" s="26">
        <v>5962612.2060000002</v>
      </c>
      <c r="R38" s="26">
        <v>4.0999999999999996</v>
      </c>
      <c r="S38" s="26">
        <v>5.0999999999999996</v>
      </c>
      <c r="T38" s="26">
        <v>5</v>
      </c>
      <c r="U38" s="26">
        <v>5.2</v>
      </c>
      <c r="V38" s="26">
        <v>5.3</v>
      </c>
      <c r="W38" s="27" t="s">
        <v>151</v>
      </c>
    </row>
    <row r="39" spans="1:23" ht="20.25" customHeight="1" x14ac:dyDescent="0.2">
      <c r="A39" s="20" t="s">
        <v>69</v>
      </c>
      <c r="B39" s="21" t="s">
        <v>70</v>
      </c>
      <c r="C39" s="22">
        <v>33</v>
      </c>
      <c r="D39" s="22">
        <v>22</v>
      </c>
      <c r="E39" s="23">
        <v>25</v>
      </c>
      <c r="F39" s="24">
        <v>26</v>
      </c>
      <c r="G39" s="24">
        <v>26.93333333333333</v>
      </c>
      <c r="H39" s="25">
        <v>1.1000000000000001</v>
      </c>
      <c r="I39" s="25">
        <v>0.7</v>
      </c>
      <c r="J39" s="25">
        <v>0.8</v>
      </c>
      <c r="K39" s="25">
        <v>1</v>
      </c>
      <c r="L39" s="26">
        <v>1.2</v>
      </c>
      <c r="M39" s="26">
        <v>1043018.9</v>
      </c>
      <c r="N39" s="26">
        <v>109060.2</v>
      </c>
      <c r="O39" s="26">
        <v>511958.6</v>
      </c>
      <c r="P39" s="26">
        <v>894158.6</v>
      </c>
      <c r="Q39" s="26">
        <v>515367.43991999998</v>
      </c>
      <c r="R39" s="26">
        <v>1.7</v>
      </c>
      <c r="S39" s="26">
        <v>0.2</v>
      </c>
      <c r="T39" s="26">
        <v>0.7</v>
      </c>
      <c r="U39" s="26">
        <v>0.9</v>
      </c>
      <c r="V39" s="26">
        <v>0.8</v>
      </c>
      <c r="W39" s="27" t="s">
        <v>71</v>
      </c>
    </row>
    <row r="40" spans="1:23" ht="18" customHeight="1" x14ac:dyDescent="0.2">
      <c r="A40" s="20" t="s">
        <v>72</v>
      </c>
      <c r="B40" s="21" t="s">
        <v>73</v>
      </c>
      <c r="C40" s="22">
        <v>88</v>
      </c>
      <c r="D40" s="22">
        <v>83</v>
      </c>
      <c r="E40" s="23">
        <v>80</v>
      </c>
      <c r="F40" s="24">
        <v>85</v>
      </c>
      <c r="G40" s="24">
        <v>48.458439999999996</v>
      </c>
      <c r="H40" s="25">
        <v>3</v>
      </c>
      <c r="I40" s="25">
        <v>2.7</v>
      </c>
      <c r="J40" s="25">
        <v>2.6</v>
      </c>
      <c r="K40" s="25">
        <v>2.7</v>
      </c>
      <c r="L40" s="26">
        <v>2.2000000000000002</v>
      </c>
      <c r="M40" s="26">
        <v>2119916.1</v>
      </c>
      <c r="N40" s="26">
        <v>1713579.3</v>
      </c>
      <c r="O40" s="26">
        <v>1689638.3</v>
      </c>
      <c r="P40" s="26">
        <v>1921357</v>
      </c>
      <c r="Q40" s="26">
        <v>864697.00250637997</v>
      </c>
      <c r="R40" s="26">
        <v>0.7</v>
      </c>
      <c r="S40" s="26">
        <v>0.6</v>
      </c>
      <c r="T40" s="26">
        <v>1.5</v>
      </c>
      <c r="U40" s="26">
        <v>1.4</v>
      </c>
      <c r="V40" s="26">
        <v>0.3</v>
      </c>
      <c r="W40" s="27" t="s">
        <v>152</v>
      </c>
    </row>
    <row r="41" spans="1:23" ht="72" customHeight="1" x14ac:dyDescent="0.2">
      <c r="A41" s="20" t="s">
        <v>74</v>
      </c>
      <c r="B41" s="29" t="s">
        <v>75</v>
      </c>
      <c r="C41" s="30">
        <v>47</v>
      </c>
      <c r="D41" s="30">
        <v>44</v>
      </c>
      <c r="E41" s="31">
        <v>42</v>
      </c>
      <c r="F41" s="24">
        <v>45</v>
      </c>
      <c r="G41" s="24">
        <v>24.17794</v>
      </c>
      <c r="H41" s="32">
        <v>2.4</v>
      </c>
      <c r="I41" s="32">
        <v>2.1</v>
      </c>
      <c r="J41" s="32">
        <v>2</v>
      </c>
      <c r="K41" s="32">
        <v>2.1</v>
      </c>
      <c r="L41" s="26">
        <v>1.6</v>
      </c>
      <c r="M41" s="26">
        <v>267556.40000000002</v>
      </c>
      <c r="N41" s="26">
        <v>232011.4</v>
      </c>
      <c r="O41" s="26">
        <v>241921.7</v>
      </c>
      <c r="P41" s="26">
        <v>250915</v>
      </c>
      <c r="Q41" s="26">
        <v>38396.744734599997</v>
      </c>
      <c r="R41" s="26">
        <v>0.1</v>
      </c>
      <c r="S41" s="26">
        <v>0.1</v>
      </c>
      <c r="T41" s="26">
        <v>0.5</v>
      </c>
      <c r="U41" s="26">
        <v>0.3</v>
      </c>
      <c r="V41" s="26">
        <v>0</v>
      </c>
      <c r="W41" s="27" t="s">
        <v>153</v>
      </c>
    </row>
    <row r="42" spans="1:23" ht="15" customHeight="1" x14ac:dyDescent="0.2">
      <c r="A42" s="20" t="s">
        <v>76</v>
      </c>
      <c r="B42" s="29">
        <v>72</v>
      </c>
      <c r="C42" s="30">
        <v>14</v>
      </c>
      <c r="D42" s="30">
        <v>11</v>
      </c>
      <c r="E42" s="31">
        <v>12</v>
      </c>
      <c r="F42" s="24">
        <v>13</v>
      </c>
      <c r="G42" s="24">
        <v>8.8149999999999995</v>
      </c>
      <c r="H42" s="32">
        <v>4.2</v>
      </c>
      <c r="I42" s="32">
        <v>3.3</v>
      </c>
      <c r="J42" s="32">
        <v>3.6</v>
      </c>
      <c r="K42" s="32">
        <v>3.4</v>
      </c>
      <c r="L42" s="26">
        <v>3.7</v>
      </c>
      <c r="M42" s="26">
        <v>322441</v>
      </c>
      <c r="N42" s="26">
        <v>913622.9</v>
      </c>
      <c r="O42" s="26">
        <v>679552.3</v>
      </c>
      <c r="P42" s="26">
        <v>699437.9</v>
      </c>
      <c r="Q42" s="26">
        <v>455321.87800000003</v>
      </c>
      <c r="R42" s="26">
        <v>2.1</v>
      </c>
      <c r="S42" s="26">
        <v>4.2</v>
      </c>
      <c r="T42" s="26">
        <v>3.9</v>
      </c>
      <c r="U42" s="26">
        <v>4</v>
      </c>
      <c r="V42" s="26">
        <v>3.1</v>
      </c>
      <c r="W42" s="27" t="s">
        <v>154</v>
      </c>
    </row>
    <row r="43" spans="1:23" ht="45" customHeight="1" x14ac:dyDescent="0.2">
      <c r="A43" s="20" t="s">
        <v>77</v>
      </c>
      <c r="B43" s="29" t="s">
        <v>78</v>
      </c>
      <c r="C43" s="30">
        <v>27</v>
      </c>
      <c r="D43" s="30">
        <v>28</v>
      </c>
      <c r="E43" s="31">
        <v>26</v>
      </c>
      <c r="F43" s="24">
        <v>27</v>
      </c>
      <c r="G43" s="24">
        <v>15.465499999999999</v>
      </c>
      <c r="H43" s="32">
        <v>4.0999999999999996</v>
      </c>
      <c r="I43" s="32">
        <v>4.2</v>
      </c>
      <c r="J43" s="32">
        <v>4.0999999999999996</v>
      </c>
      <c r="K43" s="32">
        <v>4.3</v>
      </c>
      <c r="L43" s="26">
        <v>3.8</v>
      </c>
      <c r="M43" s="26">
        <v>1529918.7</v>
      </c>
      <c r="N43" s="26">
        <v>567945</v>
      </c>
      <c r="O43" s="26">
        <v>768164.3</v>
      </c>
      <c r="P43" s="26">
        <v>971004.10000000009</v>
      </c>
      <c r="Q43" s="26">
        <v>370978.37977177999</v>
      </c>
      <c r="R43" s="26">
        <v>5</v>
      </c>
      <c r="S43" s="26">
        <v>1.5</v>
      </c>
      <c r="T43" s="26">
        <v>1.7</v>
      </c>
      <c r="U43" s="26">
        <v>1.8</v>
      </c>
      <c r="V43" s="26">
        <v>1.6</v>
      </c>
      <c r="W43" s="27" t="s">
        <v>79</v>
      </c>
    </row>
    <row r="44" spans="1:23" ht="27.75" customHeight="1" x14ac:dyDescent="0.2">
      <c r="A44" s="20" t="s">
        <v>80</v>
      </c>
      <c r="B44" s="21" t="s">
        <v>81</v>
      </c>
      <c r="C44" s="22">
        <v>145</v>
      </c>
      <c r="D44" s="22">
        <v>137</v>
      </c>
      <c r="E44" s="23">
        <v>134</v>
      </c>
      <c r="F44" s="24">
        <v>136</v>
      </c>
      <c r="G44" s="24">
        <v>75.212773999999996</v>
      </c>
      <c r="H44" s="25">
        <v>3.9</v>
      </c>
      <c r="I44" s="25">
        <v>3.5</v>
      </c>
      <c r="J44" s="25">
        <v>3.3</v>
      </c>
      <c r="K44" s="25">
        <v>3.3</v>
      </c>
      <c r="L44" s="26">
        <v>2.5</v>
      </c>
      <c r="M44" s="26">
        <v>4506051</v>
      </c>
      <c r="N44" s="26">
        <v>2672497.7999999998</v>
      </c>
      <c r="O44" s="26">
        <v>3295710.8</v>
      </c>
      <c r="P44" s="26">
        <v>3981929.4</v>
      </c>
      <c r="Q44" s="26">
        <v>1923944.3183166999</v>
      </c>
      <c r="R44" s="26">
        <v>7.6</v>
      </c>
      <c r="S44" s="26">
        <v>3.7</v>
      </c>
      <c r="T44" s="26">
        <v>4.0999999999999996</v>
      </c>
      <c r="U44" s="26">
        <v>4.5</v>
      </c>
      <c r="V44" s="26">
        <v>2.6</v>
      </c>
      <c r="W44" s="27" t="s">
        <v>82</v>
      </c>
    </row>
    <row r="45" spans="1:23" ht="78" customHeight="1" x14ac:dyDescent="0.2">
      <c r="A45" s="20" t="s">
        <v>83</v>
      </c>
      <c r="B45" s="21" t="s">
        <v>84</v>
      </c>
      <c r="C45" s="22">
        <v>88</v>
      </c>
      <c r="D45" s="22">
        <v>78</v>
      </c>
      <c r="E45" s="23">
        <v>80</v>
      </c>
      <c r="F45" s="24">
        <v>81</v>
      </c>
      <c r="G45" s="24">
        <v>43.282773999999989</v>
      </c>
      <c r="H45" s="25">
        <v>2.5</v>
      </c>
      <c r="I45" s="25">
        <v>2.1</v>
      </c>
      <c r="J45" s="25">
        <v>2.1</v>
      </c>
      <c r="K45" s="25">
        <v>2.1</v>
      </c>
      <c r="L45" s="26">
        <v>1.5</v>
      </c>
      <c r="M45" s="26">
        <v>1861321.2</v>
      </c>
      <c r="N45" s="26">
        <v>1529634.3</v>
      </c>
      <c r="O45" s="26">
        <v>1738346</v>
      </c>
      <c r="P45" s="26">
        <v>2042997.2</v>
      </c>
      <c r="Q45" s="26">
        <v>1296789.6871187</v>
      </c>
      <c r="R45" s="26">
        <v>3.5</v>
      </c>
      <c r="S45" s="26">
        <v>2.4</v>
      </c>
      <c r="T45" s="26">
        <v>2.2999999999999998</v>
      </c>
      <c r="U45" s="26">
        <v>2.5</v>
      </c>
      <c r="V45" s="26">
        <v>1.8</v>
      </c>
      <c r="W45" s="27" t="s">
        <v>205</v>
      </c>
    </row>
    <row r="46" spans="1:23" ht="41.25" customHeight="1" x14ac:dyDescent="0.2">
      <c r="A46" s="20" t="s">
        <v>85</v>
      </c>
      <c r="B46" s="29">
        <v>79</v>
      </c>
      <c r="C46" s="30">
        <v>57</v>
      </c>
      <c r="D46" s="30">
        <v>59</v>
      </c>
      <c r="E46" s="31">
        <v>54</v>
      </c>
      <c r="F46" s="24">
        <v>55</v>
      </c>
      <c r="G46" s="24">
        <v>31.930000000000007</v>
      </c>
      <c r="H46" s="32">
        <v>30.8</v>
      </c>
      <c r="I46" s="32">
        <v>30.6</v>
      </c>
      <c r="J46" s="32">
        <v>27.6</v>
      </c>
      <c r="K46" s="32">
        <v>28.2</v>
      </c>
      <c r="L46" s="26">
        <v>35.9</v>
      </c>
      <c r="M46" s="26">
        <v>2644729.7999999998</v>
      </c>
      <c r="N46" s="26">
        <v>1142863.5</v>
      </c>
      <c r="O46" s="26">
        <v>1557364.8</v>
      </c>
      <c r="P46" s="26">
        <v>1938932.2000000002</v>
      </c>
      <c r="Q46" s="26">
        <v>627154.63119799993</v>
      </c>
      <c r="R46" s="26">
        <v>39.799999999999997</v>
      </c>
      <c r="S46" s="26">
        <v>11.8</v>
      </c>
      <c r="T46" s="26">
        <v>33.200000000000003</v>
      </c>
      <c r="U46" s="26">
        <v>34.1</v>
      </c>
      <c r="V46" s="26">
        <v>35</v>
      </c>
      <c r="W46" s="27" t="s">
        <v>155</v>
      </c>
    </row>
    <row r="47" spans="1:23" ht="20.25" customHeight="1" x14ac:dyDescent="0.2">
      <c r="A47" s="20" t="s">
        <v>86</v>
      </c>
      <c r="B47" s="21" t="s">
        <v>87</v>
      </c>
      <c r="C47" s="22">
        <v>5</v>
      </c>
      <c r="D47" s="22">
        <v>3</v>
      </c>
      <c r="E47" s="23">
        <v>6</v>
      </c>
      <c r="F47" s="24">
        <v>5</v>
      </c>
      <c r="G47" s="24">
        <v>3.9741630000000003</v>
      </c>
      <c r="H47" s="25">
        <v>7.4</v>
      </c>
      <c r="I47" s="25">
        <v>4.5</v>
      </c>
      <c r="J47" s="25">
        <v>8.5</v>
      </c>
      <c r="K47" s="25">
        <v>7.9</v>
      </c>
      <c r="L47" s="26">
        <v>8.2795062500000007</v>
      </c>
      <c r="M47" s="26">
        <v>16403.400000000001</v>
      </c>
      <c r="N47" s="26">
        <v>13366.1</v>
      </c>
      <c r="O47" s="26">
        <v>17087.400000000001</v>
      </c>
      <c r="P47" s="26">
        <v>19123.400000000001</v>
      </c>
      <c r="Q47" s="26">
        <v>21087.847933835001</v>
      </c>
      <c r="R47" s="26">
        <v>0.9</v>
      </c>
      <c r="S47" s="26">
        <v>0.8</v>
      </c>
      <c r="T47" s="26">
        <v>1</v>
      </c>
      <c r="U47" s="26">
        <v>1</v>
      </c>
      <c r="V47" s="26">
        <v>1.3</v>
      </c>
      <c r="W47" s="27" t="s">
        <v>88</v>
      </c>
    </row>
    <row r="48" spans="1:23" ht="53.25" customHeight="1" x14ac:dyDescent="0.2">
      <c r="A48" s="20" t="s">
        <v>89</v>
      </c>
      <c r="B48" s="21" t="s">
        <v>90</v>
      </c>
      <c r="C48" s="22">
        <v>177</v>
      </c>
      <c r="D48" s="22">
        <v>169</v>
      </c>
      <c r="E48" s="23">
        <v>173</v>
      </c>
      <c r="F48" s="24">
        <v>173</v>
      </c>
      <c r="G48" s="24">
        <v>159</v>
      </c>
      <c r="H48" s="25">
        <v>10.9</v>
      </c>
      <c r="I48" s="25">
        <v>9.5</v>
      </c>
      <c r="J48" s="25">
        <v>9.1</v>
      </c>
      <c r="K48" s="25">
        <v>9.3000000000000007</v>
      </c>
      <c r="L48" s="26">
        <v>11</v>
      </c>
      <c r="M48" s="26">
        <v>13594673.699999999</v>
      </c>
      <c r="N48" s="26">
        <v>18690083.800000001</v>
      </c>
      <c r="O48" s="26">
        <v>19409614.699999999</v>
      </c>
      <c r="P48" s="26">
        <v>20387614</v>
      </c>
      <c r="Q48" s="26">
        <v>25268167.817175835</v>
      </c>
      <c r="R48" s="26">
        <v>7.7</v>
      </c>
      <c r="S48" s="26">
        <v>10.5</v>
      </c>
      <c r="T48" s="26">
        <v>9.3000000000000007</v>
      </c>
      <c r="U48" s="26">
        <v>10.199999999999999</v>
      </c>
      <c r="V48" s="26">
        <v>8.6</v>
      </c>
      <c r="W48" s="27" t="s">
        <v>91</v>
      </c>
    </row>
    <row r="49" spans="1:23" x14ac:dyDescent="0.2">
      <c r="A49" s="114"/>
      <c r="B49" s="115"/>
      <c r="C49" s="116"/>
      <c r="D49" s="116"/>
      <c r="E49" s="116"/>
      <c r="F49" s="116"/>
      <c r="G49" s="117"/>
      <c r="H49" s="118"/>
      <c r="I49" s="118"/>
      <c r="J49" s="118"/>
      <c r="K49" s="118"/>
      <c r="L49" s="119"/>
      <c r="M49" s="119"/>
      <c r="N49" s="119"/>
      <c r="O49" s="119"/>
      <c r="P49" s="119"/>
      <c r="Q49" s="119"/>
      <c r="R49" s="120"/>
      <c r="S49" s="120"/>
      <c r="T49" s="119"/>
      <c r="U49" s="119"/>
      <c r="V49" s="119"/>
      <c r="W49" s="121"/>
    </row>
    <row r="50" spans="1:23" ht="17.25" customHeight="1" x14ac:dyDescent="0.2">
      <c r="A50" s="69" t="s">
        <v>92</v>
      </c>
      <c r="B50" s="69"/>
      <c r="C50" s="13"/>
      <c r="D50" s="13"/>
      <c r="E50" s="13"/>
      <c r="G50" s="24"/>
      <c r="H50" s="17"/>
      <c r="I50" s="17"/>
      <c r="J50" s="17"/>
      <c r="K50" s="17"/>
      <c r="M50" s="26"/>
      <c r="N50" s="26"/>
      <c r="O50" s="26"/>
      <c r="P50" s="26"/>
      <c r="Q50" s="26"/>
      <c r="V50" s="26"/>
      <c r="W50" s="33" t="s">
        <v>156</v>
      </c>
    </row>
    <row r="51" spans="1:23" ht="17.25" customHeight="1" x14ac:dyDescent="0.2">
      <c r="A51" s="70" t="s">
        <v>93</v>
      </c>
      <c r="B51" s="70"/>
      <c r="C51" s="22">
        <v>1619</v>
      </c>
      <c r="D51" s="22">
        <v>1595</v>
      </c>
      <c r="E51" s="23">
        <v>1637</v>
      </c>
      <c r="F51" s="23">
        <f>1668-15-9</f>
        <v>1644</v>
      </c>
      <c r="G51" s="24">
        <v>1302.0219407133318</v>
      </c>
      <c r="H51" s="25">
        <v>4.2</v>
      </c>
      <c r="I51" s="25">
        <v>4.0999999999999996</v>
      </c>
      <c r="J51" s="25">
        <v>4.0999999999999996</v>
      </c>
      <c r="K51" s="25">
        <v>4.2</v>
      </c>
      <c r="L51" s="26">
        <v>4.4586270391154672</v>
      </c>
      <c r="M51" s="26">
        <v>24408158.600000001</v>
      </c>
      <c r="N51" s="26">
        <v>25337980.699999999</v>
      </c>
      <c r="O51" s="26">
        <v>29337599.800000001</v>
      </c>
      <c r="P51" s="26">
        <v>32915982</v>
      </c>
      <c r="Q51" s="26">
        <v>48364982.100156978</v>
      </c>
      <c r="R51" s="3">
        <v>1.9</v>
      </c>
      <c r="S51" s="3">
        <v>1.9</v>
      </c>
      <c r="T51" s="26">
        <v>2.1</v>
      </c>
      <c r="U51" s="26">
        <v>2.2000000000000002</v>
      </c>
      <c r="V51" s="26">
        <v>3.4</v>
      </c>
      <c r="W51" s="34" t="s">
        <v>94</v>
      </c>
    </row>
    <row r="52" spans="1:23" ht="17.25" customHeight="1" x14ac:dyDescent="0.2">
      <c r="A52" s="70" t="s">
        <v>95</v>
      </c>
      <c r="B52" s="70"/>
      <c r="C52" s="22">
        <v>619</v>
      </c>
      <c r="D52" s="22">
        <v>608</v>
      </c>
      <c r="E52" s="23">
        <v>612</v>
      </c>
      <c r="F52" s="23">
        <f>618-1</f>
        <v>617</v>
      </c>
      <c r="G52" s="24">
        <v>456.6450976000001</v>
      </c>
      <c r="H52" s="25">
        <v>7</v>
      </c>
      <c r="I52" s="25">
        <v>6.7</v>
      </c>
      <c r="J52" s="25">
        <v>6.7</v>
      </c>
      <c r="K52" s="25">
        <v>6.8</v>
      </c>
      <c r="L52" s="26">
        <v>5.8959986778566824</v>
      </c>
      <c r="M52" s="26">
        <v>62450066</v>
      </c>
      <c r="N52" s="26">
        <v>56896897.200000003</v>
      </c>
      <c r="O52" s="26">
        <v>77297895.100000009</v>
      </c>
      <c r="P52" s="26">
        <v>98338620.099999994</v>
      </c>
      <c r="Q52" s="26">
        <v>80251722.912301376</v>
      </c>
      <c r="R52" s="3">
        <v>3.7</v>
      </c>
      <c r="S52" s="3">
        <v>3.6</v>
      </c>
      <c r="T52" s="26">
        <v>3.9</v>
      </c>
      <c r="U52" s="26">
        <v>4</v>
      </c>
      <c r="V52" s="26">
        <v>4.0999999999999996</v>
      </c>
      <c r="W52" s="27" t="s">
        <v>96</v>
      </c>
    </row>
    <row r="53" spans="1:23" ht="17.25" customHeight="1" x14ac:dyDescent="0.2">
      <c r="A53" s="68" t="s">
        <v>97</v>
      </c>
      <c r="B53" s="68"/>
      <c r="C53" s="22">
        <v>238</v>
      </c>
      <c r="D53" s="22">
        <v>237</v>
      </c>
      <c r="E53" s="23">
        <v>245</v>
      </c>
      <c r="F53" s="23">
        <v>252</v>
      </c>
      <c r="G53" s="24">
        <v>194</v>
      </c>
      <c r="H53" s="25">
        <v>10.6</v>
      </c>
      <c r="I53" s="25">
        <v>10.3</v>
      </c>
      <c r="J53" s="25">
        <v>10.5</v>
      </c>
      <c r="K53" s="25">
        <v>10.5</v>
      </c>
      <c r="L53" s="26">
        <v>11.699507389162561</v>
      </c>
      <c r="M53" s="26">
        <v>141177410.09999999</v>
      </c>
      <c r="N53" s="26">
        <v>210497061.19999999</v>
      </c>
      <c r="O53" s="26">
        <v>257935993.09999999</v>
      </c>
      <c r="P53" s="26">
        <v>304655191.80000001</v>
      </c>
      <c r="Q53" s="26">
        <v>110592215.09999996</v>
      </c>
      <c r="R53" s="26">
        <v>4</v>
      </c>
      <c r="S53" s="26">
        <v>6</v>
      </c>
      <c r="T53" s="26">
        <v>6.6</v>
      </c>
      <c r="U53" s="26">
        <v>6.8</v>
      </c>
      <c r="V53" s="26">
        <v>2.9</v>
      </c>
      <c r="W53" s="27" t="s">
        <v>98</v>
      </c>
    </row>
    <row r="54" spans="1:23" x14ac:dyDescent="0.2">
      <c r="G54" s="24"/>
    </row>
    <row r="55" spans="1:23" ht="17.25" customHeight="1" x14ac:dyDescent="0.2">
      <c r="A55" s="16" t="s">
        <v>110</v>
      </c>
      <c r="G55" s="24"/>
      <c r="H55" s="26"/>
      <c r="I55" s="26"/>
      <c r="J55" s="26"/>
      <c r="K55" s="26"/>
      <c r="Q55" s="36"/>
    </row>
    <row r="56" spans="1:23" ht="29.25" customHeight="1" x14ac:dyDescent="0.2">
      <c r="A56" s="70" t="s">
        <v>111</v>
      </c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</row>
    <row r="57" spans="1:23" ht="29.25" customHeight="1" x14ac:dyDescent="0.2">
      <c r="A57" s="70" t="s">
        <v>112</v>
      </c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</row>
    <row r="58" spans="1:23" ht="29.25" customHeight="1" x14ac:dyDescent="0.2">
      <c r="A58" s="70" t="s">
        <v>121</v>
      </c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</row>
    <row r="59" spans="1:23" x14ac:dyDescent="0.2">
      <c r="G59" s="24"/>
    </row>
    <row r="60" spans="1:23" x14ac:dyDescent="0.2">
      <c r="G60" s="24"/>
    </row>
    <row r="61" spans="1:23" x14ac:dyDescent="0.2">
      <c r="G61" s="24"/>
      <c r="N61" s="3"/>
      <c r="O61" s="26"/>
      <c r="P61" s="26"/>
      <c r="Q61" s="3"/>
    </row>
    <row r="62" spans="1:23" x14ac:dyDescent="0.2">
      <c r="N62" s="26"/>
      <c r="O62" s="26"/>
      <c r="P62" s="26"/>
      <c r="Q62" s="3"/>
    </row>
    <row r="63" spans="1:23" x14ac:dyDescent="0.2">
      <c r="N63" s="3"/>
      <c r="O63" s="26"/>
      <c r="P63" s="26"/>
      <c r="Q63" s="3"/>
    </row>
  </sheetData>
  <mergeCells count="17">
    <mergeCell ref="A53:B53"/>
    <mergeCell ref="A50:B50"/>
    <mergeCell ref="A56:W56"/>
    <mergeCell ref="A57:W57"/>
    <mergeCell ref="A58:W58"/>
    <mergeCell ref="A51:B51"/>
    <mergeCell ref="A52:B52"/>
    <mergeCell ref="A1:W1"/>
    <mergeCell ref="C3:L3"/>
    <mergeCell ref="M3:V3"/>
    <mergeCell ref="W3:W5"/>
    <mergeCell ref="C4:G4"/>
    <mergeCell ref="H4:L4"/>
    <mergeCell ref="M4:Q4"/>
    <mergeCell ref="R4:V4"/>
    <mergeCell ref="A3:A5"/>
    <mergeCell ref="B3:B5"/>
  </mergeCells>
  <printOptions horizontalCentered="1"/>
  <pageMargins left="0.59055118110236227" right="0.39370078740157483" top="0.31496062992125984" bottom="0.31496062992125984" header="0.27559055118110237" footer="0.23622047244094491"/>
  <pageSetup paperSize="9" scale="7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58"/>
  <sheetViews>
    <sheetView topLeftCell="A37" zoomScale="80" zoomScaleNormal="80" workbookViewId="0">
      <selection sqref="A1:AG1"/>
    </sheetView>
  </sheetViews>
  <sheetFormatPr defaultRowHeight="12.75" x14ac:dyDescent="0.2"/>
  <cols>
    <col min="1" max="1" width="45.7109375" style="3" customWidth="1"/>
    <col min="2" max="2" width="20.28515625" style="3" customWidth="1"/>
    <col min="3" max="3" width="7.28515625" style="3" customWidth="1"/>
    <col min="4" max="4" width="7" style="3" customWidth="1"/>
    <col min="5" max="5" width="7.7109375" style="26" customWidth="1"/>
    <col min="6" max="7" width="9.140625" style="3" customWidth="1"/>
    <col min="8" max="8" width="9.140625" style="26" customWidth="1"/>
    <col min="9" max="9" width="7.28515625" style="3" customWidth="1"/>
    <col min="10" max="13" width="7" style="3" customWidth="1"/>
    <col min="14" max="14" width="7.140625" style="3" customWidth="1"/>
    <col min="15" max="17" width="8.5703125" style="3" customWidth="1"/>
    <col min="18" max="19" width="7" style="3" customWidth="1"/>
    <col min="20" max="22" width="7.140625" style="3" customWidth="1"/>
    <col min="23" max="23" width="7.5703125" style="3" customWidth="1"/>
    <col min="24" max="24" width="7.28515625" style="3" customWidth="1"/>
    <col min="25" max="28" width="8.140625" style="3" customWidth="1"/>
    <col min="29" max="30" width="9.42578125" style="3" customWidth="1"/>
    <col min="31" max="31" width="9" style="3" customWidth="1"/>
    <col min="32" max="32" width="8.5703125" style="3" customWidth="1"/>
    <col min="33" max="33" width="49.42578125" style="38" customWidth="1"/>
    <col min="34" max="16384" width="9.140625" style="3"/>
  </cols>
  <sheetData>
    <row r="1" spans="1:33" ht="70.5" customHeight="1" x14ac:dyDescent="0.2">
      <c r="A1" s="71" t="s">
        <v>159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</row>
    <row r="2" spans="1:33" ht="15.75" customHeight="1" x14ac:dyDescent="0.2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37"/>
      <c r="V2" s="37"/>
      <c r="W2" s="37"/>
      <c r="X2" s="37"/>
      <c r="Y2" s="37"/>
      <c r="Z2" s="37"/>
      <c r="AA2" s="37"/>
      <c r="AB2" s="37"/>
    </row>
    <row r="3" spans="1:33" ht="134.25" customHeight="1" x14ac:dyDescent="0.2">
      <c r="A3" s="74"/>
      <c r="B3" s="67" t="s">
        <v>132</v>
      </c>
      <c r="C3" s="67" t="s">
        <v>126</v>
      </c>
      <c r="D3" s="67"/>
      <c r="E3" s="67"/>
      <c r="F3" s="67"/>
      <c r="G3" s="67"/>
      <c r="H3" s="67"/>
      <c r="I3" s="67"/>
      <c r="J3" s="67"/>
      <c r="K3" s="67"/>
      <c r="L3" s="67" t="s">
        <v>127</v>
      </c>
      <c r="M3" s="67"/>
      <c r="N3" s="67"/>
      <c r="O3" s="67"/>
      <c r="P3" s="67"/>
      <c r="Q3" s="67"/>
      <c r="R3" s="67"/>
      <c r="S3" s="67"/>
      <c r="T3" s="67"/>
      <c r="U3" s="67" t="s">
        <v>128</v>
      </c>
      <c r="V3" s="67"/>
      <c r="W3" s="67"/>
      <c r="X3" s="67"/>
      <c r="Y3" s="67"/>
      <c r="Z3" s="67"/>
      <c r="AA3" s="67" t="s">
        <v>129</v>
      </c>
      <c r="AB3" s="67"/>
      <c r="AC3" s="67"/>
      <c r="AD3" s="67"/>
      <c r="AE3" s="67"/>
      <c r="AF3" s="67"/>
      <c r="AG3" s="77"/>
    </row>
    <row r="4" spans="1:33" ht="166.5" customHeight="1" x14ac:dyDescent="0.2">
      <c r="A4" s="75"/>
      <c r="B4" s="67"/>
      <c r="C4" s="73" t="s">
        <v>101</v>
      </c>
      <c r="D4" s="73"/>
      <c r="E4" s="73"/>
      <c r="F4" s="73" t="s">
        <v>114</v>
      </c>
      <c r="G4" s="73"/>
      <c r="H4" s="73"/>
      <c r="I4" s="67" t="s">
        <v>113</v>
      </c>
      <c r="J4" s="67"/>
      <c r="K4" s="67"/>
      <c r="L4" s="67" t="s">
        <v>101</v>
      </c>
      <c r="M4" s="67"/>
      <c r="N4" s="67"/>
      <c r="O4" s="67" t="s">
        <v>115</v>
      </c>
      <c r="P4" s="67"/>
      <c r="Q4" s="67"/>
      <c r="R4" s="67" t="s">
        <v>113</v>
      </c>
      <c r="S4" s="67"/>
      <c r="T4" s="67"/>
      <c r="U4" s="67" t="s">
        <v>102</v>
      </c>
      <c r="V4" s="67"/>
      <c r="W4" s="67"/>
      <c r="X4" s="67" t="s">
        <v>158</v>
      </c>
      <c r="Y4" s="67"/>
      <c r="Z4" s="67"/>
      <c r="AA4" s="67" t="s">
        <v>102</v>
      </c>
      <c r="AB4" s="67"/>
      <c r="AC4" s="67"/>
      <c r="AD4" s="67" t="s">
        <v>158</v>
      </c>
      <c r="AE4" s="67"/>
      <c r="AF4" s="67"/>
      <c r="AG4" s="78"/>
    </row>
    <row r="5" spans="1:33" s="24" customFormat="1" ht="23.25" customHeight="1" x14ac:dyDescent="0.2">
      <c r="A5" s="76"/>
      <c r="B5" s="67"/>
      <c r="C5" s="9">
        <v>2020</v>
      </c>
      <c r="D5" s="9">
        <v>2021</v>
      </c>
      <c r="E5" s="9">
        <v>2022</v>
      </c>
      <c r="F5" s="9">
        <v>2020</v>
      </c>
      <c r="G5" s="9">
        <v>2021</v>
      </c>
      <c r="H5" s="9">
        <v>2022</v>
      </c>
      <c r="I5" s="9">
        <v>2020</v>
      </c>
      <c r="J5" s="9">
        <v>2021</v>
      </c>
      <c r="K5" s="9">
        <v>2022</v>
      </c>
      <c r="L5" s="9">
        <v>2020</v>
      </c>
      <c r="M5" s="9">
        <v>2021</v>
      </c>
      <c r="N5" s="9">
        <v>2022</v>
      </c>
      <c r="O5" s="9">
        <v>2020</v>
      </c>
      <c r="P5" s="9">
        <v>2021</v>
      </c>
      <c r="Q5" s="9">
        <v>2022</v>
      </c>
      <c r="R5" s="9">
        <v>2020</v>
      </c>
      <c r="S5" s="9">
        <v>2021</v>
      </c>
      <c r="T5" s="9">
        <v>2022</v>
      </c>
      <c r="U5" s="9">
        <v>2020</v>
      </c>
      <c r="V5" s="9">
        <v>2021</v>
      </c>
      <c r="W5" s="9">
        <v>2022</v>
      </c>
      <c r="X5" s="9">
        <v>2020</v>
      </c>
      <c r="Y5" s="9">
        <v>2021</v>
      </c>
      <c r="Z5" s="9">
        <v>2022</v>
      </c>
      <c r="AA5" s="9">
        <v>2020</v>
      </c>
      <c r="AB5" s="9">
        <v>2021</v>
      </c>
      <c r="AC5" s="9">
        <v>2022</v>
      </c>
      <c r="AD5" s="9">
        <v>2020</v>
      </c>
      <c r="AE5" s="9">
        <v>2021</v>
      </c>
      <c r="AF5" s="9">
        <v>2022</v>
      </c>
      <c r="AG5" s="79"/>
    </row>
    <row r="6" spans="1:33" ht="16.5" customHeight="1" x14ac:dyDescent="0.2">
      <c r="A6" s="11" t="s">
        <v>0</v>
      </c>
      <c r="B6" s="39"/>
      <c r="C6" s="17">
        <v>3.9</v>
      </c>
      <c r="D6" s="17">
        <v>3.5762741724131244</v>
      </c>
      <c r="E6" s="40">
        <v>4.3</v>
      </c>
      <c r="F6" s="17">
        <v>2.5</v>
      </c>
      <c r="G6" s="40">
        <v>2.0110144809274524</v>
      </c>
      <c r="H6" s="40">
        <v>2.7</v>
      </c>
      <c r="I6" s="40">
        <v>3.3</v>
      </c>
      <c r="J6" s="40">
        <v>1.878189510654888</v>
      </c>
      <c r="K6" s="17">
        <v>1.7</v>
      </c>
      <c r="L6" s="40">
        <v>10.9</v>
      </c>
      <c r="M6" s="40">
        <v>4.5155630407629497</v>
      </c>
      <c r="N6" s="40">
        <v>2.4</v>
      </c>
      <c r="O6" s="40">
        <v>1.9</v>
      </c>
      <c r="P6" s="40">
        <v>0.71455290624662293</v>
      </c>
      <c r="Q6" s="40">
        <v>0.6</v>
      </c>
      <c r="R6" s="40">
        <v>1.9</v>
      </c>
      <c r="S6" s="40">
        <v>2.9350738631678199</v>
      </c>
      <c r="T6" s="40">
        <v>2</v>
      </c>
      <c r="U6" s="40">
        <v>3.8</v>
      </c>
      <c r="V6" s="40">
        <v>3.1449258716134776</v>
      </c>
      <c r="W6" s="40">
        <v>4</v>
      </c>
      <c r="X6" s="40">
        <v>3.1</v>
      </c>
      <c r="Y6" s="40">
        <v>2.6567866127860205</v>
      </c>
      <c r="Z6" s="40">
        <v>3.3</v>
      </c>
      <c r="AA6" s="40">
        <v>8.6</v>
      </c>
      <c r="AB6" s="40">
        <v>2.0815082061288632</v>
      </c>
      <c r="AC6" s="40">
        <v>1.4</v>
      </c>
      <c r="AD6" s="40">
        <v>4.2</v>
      </c>
      <c r="AE6" s="40">
        <v>3.147106784418805</v>
      </c>
      <c r="AF6" s="40">
        <v>1.7</v>
      </c>
      <c r="AG6" s="19" t="s">
        <v>1</v>
      </c>
    </row>
    <row r="7" spans="1:33" x14ac:dyDescent="0.2">
      <c r="A7" s="20" t="s">
        <v>2</v>
      </c>
      <c r="B7" s="21" t="s">
        <v>3</v>
      </c>
      <c r="C7" s="25">
        <v>3.7</v>
      </c>
      <c r="D7" s="25">
        <v>2.7707084141200888</v>
      </c>
      <c r="E7" s="32">
        <v>4.2</v>
      </c>
      <c r="F7" s="25">
        <v>2.8</v>
      </c>
      <c r="G7" s="32">
        <v>2.0115215994149382</v>
      </c>
      <c r="H7" s="32">
        <v>3.3</v>
      </c>
      <c r="I7" s="32">
        <v>4.8</v>
      </c>
      <c r="J7" s="32">
        <v>2.9174738684016899</v>
      </c>
      <c r="K7" s="25">
        <v>3.3</v>
      </c>
      <c r="L7" s="32">
        <v>3</v>
      </c>
      <c r="M7" s="32">
        <v>1.3085451167347568</v>
      </c>
      <c r="N7" s="32">
        <v>1.7692081704388942</v>
      </c>
      <c r="O7" s="32">
        <v>1.6</v>
      </c>
      <c r="P7" s="32">
        <v>0.20102759945609611</v>
      </c>
      <c r="Q7" s="32">
        <v>0.51049032252408877</v>
      </c>
      <c r="R7" s="32">
        <v>3.2</v>
      </c>
      <c r="S7" s="32">
        <v>5.4553223953296834</v>
      </c>
      <c r="T7" s="32">
        <v>3.6606383681642938</v>
      </c>
      <c r="U7" s="32">
        <v>3.7</v>
      </c>
      <c r="V7" s="32">
        <v>3.0076463823814352</v>
      </c>
      <c r="W7" s="32">
        <v>4.2368432326169394</v>
      </c>
      <c r="X7" s="32">
        <v>3.2</v>
      </c>
      <c r="Y7" s="32">
        <v>2.1233867624176237</v>
      </c>
      <c r="Z7" s="32">
        <v>3.6298738553518755</v>
      </c>
      <c r="AA7" s="32">
        <v>2.6</v>
      </c>
      <c r="AB7" s="32">
        <v>0.4819800241053897</v>
      </c>
      <c r="AC7" s="32">
        <v>1.2332584059504463</v>
      </c>
      <c r="AD7" s="32">
        <v>1.9</v>
      </c>
      <c r="AE7" s="32">
        <v>1.0275926920854628</v>
      </c>
      <c r="AF7" s="32">
        <v>1.0464400870125365</v>
      </c>
      <c r="AG7" s="27" t="s">
        <v>4</v>
      </c>
    </row>
    <row r="8" spans="1:33" ht="76.5" x14ac:dyDescent="0.2">
      <c r="A8" s="20" t="s">
        <v>5</v>
      </c>
      <c r="B8" s="21" t="s">
        <v>6</v>
      </c>
      <c r="C8" s="25">
        <v>3.6</v>
      </c>
      <c r="D8" s="25">
        <v>2.9331913134376424</v>
      </c>
      <c r="E8" s="32">
        <v>4.5553884486835035</v>
      </c>
      <c r="F8" s="25">
        <v>2.6</v>
      </c>
      <c r="G8" s="32">
        <v>1.581876885753783</v>
      </c>
      <c r="H8" s="32">
        <v>3.0656200008060179</v>
      </c>
      <c r="I8" s="32">
        <v>8.1999999999999993</v>
      </c>
      <c r="J8" s="32">
        <v>5.383113383731895</v>
      </c>
      <c r="K8" s="25">
        <v>6</v>
      </c>
      <c r="L8" s="32">
        <v>3.1</v>
      </c>
      <c r="M8" s="32">
        <v>1.889473275482757</v>
      </c>
      <c r="N8" s="32">
        <v>2.8464426577502739</v>
      </c>
      <c r="O8" s="32">
        <v>1.1000000000000001</v>
      </c>
      <c r="P8" s="32">
        <v>0.2360471157290284</v>
      </c>
      <c r="Q8" s="32">
        <v>0.77762125206859256</v>
      </c>
      <c r="R8" s="32">
        <v>6</v>
      </c>
      <c r="S8" s="32">
        <v>8.5130515819369865</v>
      </c>
      <c r="T8" s="32">
        <v>5.6370838562818166</v>
      </c>
      <c r="U8" s="32">
        <v>3.5</v>
      </c>
      <c r="V8" s="32">
        <v>3.0083238668371108</v>
      </c>
      <c r="W8" s="32">
        <v>4.3589931526061259</v>
      </c>
      <c r="X8" s="32">
        <v>2.9</v>
      </c>
      <c r="Y8" s="32">
        <v>1.7758752745434598</v>
      </c>
      <c r="Z8" s="32">
        <v>3.3413342651800106</v>
      </c>
      <c r="AA8" s="32">
        <v>1.9</v>
      </c>
      <c r="AB8" s="32">
        <v>0.57420541007242298</v>
      </c>
      <c r="AC8" s="32">
        <v>1.9909126219557383</v>
      </c>
      <c r="AD8" s="32">
        <v>2.2999999999999998</v>
      </c>
      <c r="AE8" s="32">
        <v>1.5513149811393625</v>
      </c>
      <c r="AF8" s="32">
        <v>1.6331512878631289</v>
      </c>
      <c r="AG8" s="27" t="s">
        <v>135</v>
      </c>
    </row>
    <row r="9" spans="1:33" ht="25.5" x14ac:dyDescent="0.2">
      <c r="A9" s="28" t="s">
        <v>7</v>
      </c>
      <c r="B9" s="21" t="s">
        <v>8</v>
      </c>
      <c r="C9" s="25">
        <v>3.6</v>
      </c>
      <c r="D9" s="25">
        <v>2.5145420152931997</v>
      </c>
      <c r="E9" s="32">
        <v>3.6449127734577496</v>
      </c>
      <c r="F9" s="25">
        <v>2.6</v>
      </c>
      <c r="G9" s="32">
        <v>1.4387609396979493</v>
      </c>
      <c r="H9" s="32">
        <v>3.1442210057024358</v>
      </c>
      <c r="I9" s="32">
        <v>14.2</v>
      </c>
      <c r="J9" s="32">
        <v>8.4243717769524125</v>
      </c>
      <c r="K9" s="25">
        <v>9.1999999999999993</v>
      </c>
      <c r="L9" s="32">
        <v>2.7</v>
      </c>
      <c r="M9" s="32">
        <v>1.7056376347828683</v>
      </c>
      <c r="N9" s="32">
        <v>2.873139004442125</v>
      </c>
      <c r="O9" s="32">
        <v>1.2</v>
      </c>
      <c r="P9" s="32">
        <v>0.25741720746439112</v>
      </c>
      <c r="Q9" s="32">
        <v>0.88016742642269452</v>
      </c>
      <c r="R9" s="32">
        <v>6.8</v>
      </c>
      <c r="S9" s="32">
        <v>10.117948787668146</v>
      </c>
      <c r="T9" s="32">
        <v>6.3244228051773153</v>
      </c>
      <c r="U9" s="32">
        <v>3.6</v>
      </c>
      <c r="V9" s="32">
        <v>2.8311611932577434</v>
      </c>
      <c r="W9" s="32">
        <v>4.1912646345256608</v>
      </c>
      <c r="X9" s="32">
        <v>2</v>
      </c>
      <c r="Y9" s="32">
        <v>0.77742227445016243</v>
      </c>
      <c r="Z9" s="32">
        <v>2.6887120684292372</v>
      </c>
      <c r="AA9" s="32">
        <v>1.8</v>
      </c>
      <c r="AB9" s="32">
        <v>0.43780900206104201</v>
      </c>
      <c r="AC9" s="32">
        <v>2.2196731480353611</v>
      </c>
      <c r="AD9" s="32">
        <v>2.1</v>
      </c>
      <c r="AE9" s="32">
        <v>1.5252458401862177</v>
      </c>
      <c r="AF9" s="32">
        <v>1.5336332828294588</v>
      </c>
      <c r="AG9" s="27" t="s">
        <v>136</v>
      </c>
    </row>
    <row r="10" spans="1:33" ht="38.25" x14ac:dyDescent="0.2">
      <c r="A10" s="28" t="s">
        <v>9</v>
      </c>
      <c r="B10" s="21" t="s">
        <v>10</v>
      </c>
      <c r="C10" s="25">
        <v>3.1</v>
      </c>
      <c r="D10" s="25">
        <v>3.4641268669281815</v>
      </c>
      <c r="E10" s="32">
        <v>6.4</v>
      </c>
      <c r="F10" s="25">
        <v>2.2999999999999998</v>
      </c>
      <c r="G10" s="32">
        <v>2.2565633752873167</v>
      </c>
      <c r="H10" s="32">
        <v>3.7</v>
      </c>
      <c r="I10" s="32">
        <v>3.8</v>
      </c>
      <c r="J10" s="32">
        <v>3.8608307514113429</v>
      </c>
      <c r="K10" s="25">
        <v>3.4</v>
      </c>
      <c r="L10" s="32">
        <v>6.7</v>
      </c>
      <c r="M10" s="32">
        <v>2.7363532814715539</v>
      </c>
      <c r="N10" s="32">
        <v>2.2999999999999998</v>
      </c>
      <c r="O10" s="32">
        <v>0.5</v>
      </c>
      <c r="P10" s="32">
        <v>0.37477318045942654</v>
      </c>
      <c r="Q10" s="32">
        <v>0.6</v>
      </c>
      <c r="R10" s="32">
        <v>0.8</v>
      </c>
      <c r="S10" s="32">
        <v>6.2677269947895038</v>
      </c>
      <c r="T10" s="32">
        <v>5.0999999999999996</v>
      </c>
      <c r="U10" s="32">
        <v>2.5</v>
      </c>
      <c r="V10" s="32">
        <v>3.3685312460670023</v>
      </c>
      <c r="W10" s="32">
        <v>5.7</v>
      </c>
      <c r="X10" s="32">
        <v>2.7</v>
      </c>
      <c r="Y10" s="32">
        <v>2.7348446019556416</v>
      </c>
      <c r="Z10" s="32">
        <v>4.5</v>
      </c>
      <c r="AA10" s="32">
        <v>6.6</v>
      </c>
      <c r="AB10" s="32">
        <v>2.6209337879617993</v>
      </c>
      <c r="AC10" s="32">
        <v>1.8</v>
      </c>
      <c r="AD10" s="32">
        <v>0.6</v>
      </c>
      <c r="AE10" s="32">
        <v>0.49019267396918137</v>
      </c>
      <c r="AF10" s="32">
        <v>1.1000000000000001</v>
      </c>
      <c r="AG10" s="27" t="s">
        <v>137</v>
      </c>
    </row>
    <row r="11" spans="1:33" ht="25.5" x14ac:dyDescent="0.2">
      <c r="A11" s="28" t="s">
        <v>11</v>
      </c>
      <c r="B11" s="21" t="s">
        <v>12</v>
      </c>
      <c r="C11" s="25">
        <v>4.0999999999999996</v>
      </c>
      <c r="D11" s="25">
        <v>3.2599105809816669</v>
      </c>
      <c r="E11" s="32">
        <v>4.9000000000000004</v>
      </c>
      <c r="F11" s="25">
        <v>2.9</v>
      </c>
      <c r="G11" s="32">
        <v>1.3401877375307978</v>
      </c>
      <c r="H11" s="32">
        <v>2.5</v>
      </c>
      <c r="I11" s="32">
        <v>2.1</v>
      </c>
      <c r="J11" s="32">
        <v>1.3368285398764916</v>
      </c>
      <c r="K11" s="25">
        <v>2.2000000000000002</v>
      </c>
      <c r="L11" s="32">
        <v>4.5</v>
      </c>
      <c r="M11" s="32">
        <v>2.3423136413883197</v>
      </c>
      <c r="N11" s="32">
        <v>2.8</v>
      </c>
      <c r="O11" s="32">
        <v>0.7</v>
      </c>
      <c r="P11" s="32">
        <v>7.1951512510600293E-2</v>
      </c>
      <c r="Q11" s="32">
        <v>0.1</v>
      </c>
      <c r="R11" s="32">
        <v>1.4</v>
      </c>
      <c r="S11" s="32">
        <v>2.1405166419858266</v>
      </c>
      <c r="T11" s="32">
        <v>1.1000000000000001</v>
      </c>
      <c r="U11" s="32">
        <v>4.0999999999999996</v>
      </c>
      <c r="V11" s="32">
        <v>3.0494751079611091</v>
      </c>
      <c r="W11" s="32">
        <v>3.7</v>
      </c>
      <c r="X11" s="32">
        <v>4.3</v>
      </c>
      <c r="Y11" s="32">
        <v>2.775253650909236</v>
      </c>
      <c r="Z11" s="32">
        <v>3.7</v>
      </c>
      <c r="AA11" s="32">
        <v>0.6</v>
      </c>
      <c r="AB11" s="32">
        <v>0.24364285531443719</v>
      </c>
      <c r="AC11" s="32">
        <v>0.5</v>
      </c>
      <c r="AD11" s="32">
        <v>4.5999999999999996</v>
      </c>
      <c r="AE11" s="32">
        <v>2.1706222985844823</v>
      </c>
      <c r="AF11" s="32">
        <v>2.5</v>
      </c>
      <c r="AG11" s="27" t="s">
        <v>138</v>
      </c>
    </row>
    <row r="12" spans="1:33" ht="102" x14ac:dyDescent="0.2">
      <c r="A12" s="20" t="s">
        <v>13</v>
      </c>
      <c r="B12" s="21" t="s">
        <v>14</v>
      </c>
      <c r="C12" s="25">
        <v>4.0999999999999996</v>
      </c>
      <c r="D12" s="25">
        <v>2.5686652672481918</v>
      </c>
      <c r="E12" s="32">
        <v>3.6</v>
      </c>
      <c r="F12" s="25">
        <v>2.5</v>
      </c>
      <c r="G12" s="32">
        <v>2.242240953472868</v>
      </c>
      <c r="H12" s="32">
        <v>3.5</v>
      </c>
      <c r="I12" s="32">
        <v>4.4000000000000004</v>
      </c>
      <c r="J12" s="32">
        <v>2.5972750795398949</v>
      </c>
      <c r="K12" s="25">
        <v>2.2000000000000002</v>
      </c>
      <c r="L12" s="32">
        <v>1.3</v>
      </c>
      <c r="M12" s="32">
        <v>0.33034816226395286</v>
      </c>
      <c r="N12" s="32">
        <v>0.4</v>
      </c>
      <c r="O12" s="32">
        <v>0.8</v>
      </c>
      <c r="P12" s="32">
        <v>8.2289193556158186E-2</v>
      </c>
      <c r="Q12" s="32">
        <v>0.3</v>
      </c>
      <c r="R12" s="32">
        <v>1.1000000000000001</v>
      </c>
      <c r="S12" s="32">
        <v>4.0307465334064005</v>
      </c>
      <c r="T12" s="32">
        <v>2.2999999999999998</v>
      </c>
      <c r="U12" s="32">
        <v>3.5</v>
      </c>
      <c r="V12" s="32">
        <v>3.1124546555197603</v>
      </c>
      <c r="W12" s="32">
        <v>4.2</v>
      </c>
      <c r="X12" s="32">
        <v>3.4</v>
      </c>
      <c r="Y12" s="32">
        <v>1.6516141598203926</v>
      </c>
      <c r="Z12" s="32">
        <v>3.0451942771084335</v>
      </c>
      <c r="AA12" s="32">
        <v>0.9</v>
      </c>
      <c r="AB12" s="32">
        <v>0.25649313199753104</v>
      </c>
      <c r="AC12" s="32">
        <v>0.5</v>
      </c>
      <c r="AD12" s="32">
        <v>1.2</v>
      </c>
      <c r="AE12" s="32">
        <v>0.15614422382257998</v>
      </c>
      <c r="AF12" s="32">
        <v>0.23328540014066657</v>
      </c>
      <c r="AG12" s="27" t="s">
        <v>139</v>
      </c>
    </row>
    <row r="13" spans="1:33" ht="25.5" x14ac:dyDescent="0.2">
      <c r="A13" s="20" t="s">
        <v>15</v>
      </c>
      <c r="B13" s="29">
        <v>19</v>
      </c>
      <c r="C13" s="32">
        <v>4.2</v>
      </c>
      <c r="D13" s="32">
        <v>5.8823529411764701</v>
      </c>
      <c r="E13" s="32">
        <v>3.125</v>
      </c>
      <c r="F13" s="32">
        <v>2.1</v>
      </c>
      <c r="G13" s="32">
        <v>5.8823529411764701</v>
      </c>
      <c r="H13" s="32">
        <v>3.125</v>
      </c>
      <c r="I13" s="32">
        <v>4.2</v>
      </c>
      <c r="J13" s="32">
        <v>5.8823529411764701</v>
      </c>
      <c r="K13" s="32">
        <v>3.125</v>
      </c>
      <c r="L13" s="32">
        <v>1.5</v>
      </c>
      <c r="M13" s="32">
        <v>5.3176552713925167</v>
      </c>
      <c r="N13" s="32">
        <v>0.3</v>
      </c>
      <c r="O13" s="32">
        <v>1.6</v>
      </c>
      <c r="P13" s="32">
        <v>6.4401022493765305</v>
      </c>
      <c r="Q13" s="32">
        <v>0.3</v>
      </c>
      <c r="R13" s="32">
        <v>0.3</v>
      </c>
      <c r="S13" s="32">
        <v>17.788318305205465</v>
      </c>
      <c r="T13" s="32">
        <v>0.5</v>
      </c>
      <c r="U13" s="32">
        <v>2.1</v>
      </c>
      <c r="V13" s="32">
        <v>5.8823529411764701</v>
      </c>
      <c r="W13" s="32">
        <v>3.125</v>
      </c>
      <c r="X13" s="32">
        <v>4.2</v>
      </c>
      <c r="Y13" s="32">
        <v>5.8823529411764701</v>
      </c>
      <c r="Z13" s="32">
        <v>3.125</v>
      </c>
      <c r="AA13" s="32">
        <v>0.1</v>
      </c>
      <c r="AB13" s="32">
        <v>1.0999347400509578</v>
      </c>
      <c r="AC13" s="32">
        <v>6.6644676822374224E-2</v>
      </c>
      <c r="AD13" s="32">
        <v>3</v>
      </c>
      <c r="AE13" s="32">
        <v>10.657822780718091</v>
      </c>
      <c r="AF13" s="32">
        <v>0.59980209140136809</v>
      </c>
      <c r="AG13" s="27" t="s">
        <v>140</v>
      </c>
    </row>
    <row r="14" spans="1:33" ht="25.5" x14ac:dyDescent="0.2">
      <c r="A14" s="20" t="s">
        <v>16</v>
      </c>
      <c r="B14" s="29">
        <v>20</v>
      </c>
      <c r="C14" s="32">
        <v>4.3</v>
      </c>
      <c r="D14" s="32">
        <v>4.1474207644816765</v>
      </c>
      <c r="E14" s="32">
        <v>0.24096385542168677</v>
      </c>
      <c r="F14" s="32">
        <v>2.4</v>
      </c>
      <c r="G14" s="32">
        <v>4.1107001460082904</v>
      </c>
      <c r="H14" s="32">
        <v>1.5178</v>
      </c>
      <c r="I14" s="32">
        <v>10.6</v>
      </c>
      <c r="J14" s="32">
        <v>8.5425326115717564</v>
      </c>
      <c r="K14" s="32">
        <v>4.5243542168674704</v>
      </c>
      <c r="L14" s="32">
        <v>0.5</v>
      </c>
      <c r="M14" s="32">
        <v>3.0860935436655808E-2</v>
      </c>
      <c r="N14" s="32">
        <v>2.4814195294657063E-2</v>
      </c>
      <c r="O14" s="32">
        <v>1.4</v>
      </c>
      <c r="P14" s="32">
        <v>2.4823661281406544E-2</v>
      </c>
      <c r="Q14" s="32">
        <v>0.30841505288949495</v>
      </c>
      <c r="R14" s="32">
        <v>1.6</v>
      </c>
      <c r="S14" s="32">
        <v>10.900604273986303</v>
      </c>
      <c r="T14" s="32">
        <v>6.6324431142957456</v>
      </c>
      <c r="U14" s="32">
        <v>4.5</v>
      </c>
      <c r="V14" s="32">
        <v>5.4473306584394328</v>
      </c>
      <c r="W14" s="32">
        <v>0.24096385542168677</v>
      </c>
      <c r="X14" s="32">
        <v>4.3</v>
      </c>
      <c r="Y14" s="32">
        <v>1.5108803580927777</v>
      </c>
      <c r="Z14" s="32">
        <v>1.5178</v>
      </c>
      <c r="AA14" s="32">
        <v>1.7</v>
      </c>
      <c r="AB14" s="32">
        <v>3.8743752948066985E-2</v>
      </c>
      <c r="AC14" s="32">
        <v>5.5831939412978385E-2</v>
      </c>
      <c r="AD14" s="32">
        <v>0.2</v>
      </c>
      <c r="AE14" s="32">
        <v>1.6940843769995377E-2</v>
      </c>
      <c r="AF14" s="32">
        <v>0.27739730877117363</v>
      </c>
      <c r="AG14" s="27" t="s">
        <v>141</v>
      </c>
    </row>
    <row r="15" spans="1:33" ht="25.5" x14ac:dyDescent="0.2">
      <c r="A15" s="20" t="s">
        <v>17</v>
      </c>
      <c r="B15" s="29">
        <v>21</v>
      </c>
      <c r="C15" s="32" t="s">
        <v>116</v>
      </c>
      <c r="D15" s="32">
        <v>5.8035742447468186</v>
      </c>
      <c r="E15" s="32">
        <v>6.123711340206186</v>
      </c>
      <c r="F15" s="32">
        <v>4.4000000000000004</v>
      </c>
      <c r="G15" s="32" t="s">
        <v>116</v>
      </c>
      <c r="H15" s="32">
        <v>3.061855670103093</v>
      </c>
      <c r="I15" s="32">
        <v>0.9</v>
      </c>
      <c r="J15" s="32" t="s">
        <v>116</v>
      </c>
      <c r="K15" s="32">
        <v>5.8247422680412368</v>
      </c>
      <c r="L15" s="32" t="s">
        <v>116</v>
      </c>
      <c r="M15" s="32">
        <v>2.6421828347436668E-3</v>
      </c>
      <c r="N15" s="32">
        <v>0.95849782291570551</v>
      </c>
      <c r="O15" s="32">
        <v>0.6</v>
      </c>
      <c r="P15" s="32" t="s">
        <v>116</v>
      </c>
      <c r="Q15" s="32">
        <v>7.4099934967891856E-2</v>
      </c>
      <c r="R15" s="32">
        <v>2.8</v>
      </c>
      <c r="S15" s="32" t="s">
        <v>116</v>
      </c>
      <c r="T15" s="32">
        <v>1.6039606305797409</v>
      </c>
      <c r="U15" s="32">
        <v>0</v>
      </c>
      <c r="V15" s="32">
        <v>5.8035742447468186</v>
      </c>
      <c r="W15" s="32">
        <v>6.123711340206186</v>
      </c>
      <c r="X15" s="32">
        <v>4.4000000000000004</v>
      </c>
      <c r="Y15" s="32" t="s">
        <v>116</v>
      </c>
      <c r="Z15" s="32">
        <v>3.061855670103093</v>
      </c>
      <c r="AA15" s="32" t="s">
        <v>116</v>
      </c>
      <c r="AB15" s="32">
        <v>2.6421828347436668E-3</v>
      </c>
      <c r="AC15" s="32">
        <v>1.0302074374007621</v>
      </c>
      <c r="AD15" s="32">
        <v>0.6</v>
      </c>
      <c r="AE15" s="32" t="s">
        <v>116</v>
      </c>
      <c r="AF15" s="32">
        <v>2.3903204828352211E-3</v>
      </c>
      <c r="AG15" s="27" t="s">
        <v>142</v>
      </c>
    </row>
    <row r="16" spans="1:33" ht="38.25" x14ac:dyDescent="0.2">
      <c r="A16" s="20" t="s">
        <v>18</v>
      </c>
      <c r="B16" s="29" t="s">
        <v>19</v>
      </c>
      <c r="C16" s="32">
        <v>4.3</v>
      </c>
      <c r="D16" s="32">
        <v>1.859966680103706</v>
      </c>
      <c r="E16" s="32">
        <v>4.4000000000000004</v>
      </c>
      <c r="F16" s="32">
        <v>2.4</v>
      </c>
      <c r="G16" s="32">
        <v>1.7979969465062413</v>
      </c>
      <c r="H16" s="32">
        <v>4</v>
      </c>
      <c r="I16" s="32">
        <v>2.9</v>
      </c>
      <c r="J16" s="32">
        <v>1.0573540202915797</v>
      </c>
      <c r="K16" s="32">
        <v>1.2982182320441991</v>
      </c>
      <c r="L16" s="32">
        <v>1.9</v>
      </c>
      <c r="M16" s="32">
        <v>0.42068800568504106</v>
      </c>
      <c r="N16" s="32">
        <v>0.46432734206051218</v>
      </c>
      <c r="O16" s="32">
        <v>0.2</v>
      </c>
      <c r="P16" s="32">
        <v>3.7291323911562278E-2</v>
      </c>
      <c r="Q16" s="32">
        <v>0.34615008496847821</v>
      </c>
      <c r="R16" s="32">
        <v>0.7</v>
      </c>
      <c r="S16" s="32">
        <v>1.6162296392057363</v>
      </c>
      <c r="T16" s="32">
        <v>0.70826501000125908</v>
      </c>
      <c r="U16" s="32">
        <v>3.4</v>
      </c>
      <c r="V16" s="32">
        <v>2.2406253474759454</v>
      </c>
      <c r="W16" s="32">
        <v>5.2618093922651941</v>
      </c>
      <c r="X16" s="32">
        <v>3.1</v>
      </c>
      <c r="Y16" s="32">
        <v>1.7124995768460338</v>
      </c>
      <c r="Z16" s="32">
        <v>3.4800690607734803</v>
      </c>
      <c r="AA16" s="32">
        <v>1.1000000000000001</v>
      </c>
      <c r="AB16" s="32">
        <v>0.35691598753271792</v>
      </c>
      <c r="AC16" s="32">
        <v>0.63376688102615775</v>
      </c>
      <c r="AD16" s="32">
        <v>1</v>
      </c>
      <c r="AE16" s="32">
        <v>0.10106334206388536</v>
      </c>
      <c r="AF16" s="32">
        <v>0.17671054600283262</v>
      </c>
      <c r="AG16" s="27" t="s">
        <v>20</v>
      </c>
    </row>
    <row r="17" spans="1:33" ht="38.25" x14ac:dyDescent="0.2">
      <c r="A17" s="28" t="s">
        <v>21</v>
      </c>
      <c r="B17" s="21" t="s">
        <v>22</v>
      </c>
      <c r="C17" s="25">
        <v>3.9</v>
      </c>
      <c r="D17" s="25">
        <v>3.2288455928776028</v>
      </c>
      <c r="E17" s="32">
        <v>4.2</v>
      </c>
      <c r="F17" s="25">
        <v>3.8</v>
      </c>
      <c r="G17" s="32">
        <v>2.3794495111887972</v>
      </c>
      <c r="H17" s="32">
        <v>4.3</v>
      </c>
      <c r="I17" s="32">
        <v>2.2000000000000002</v>
      </c>
      <c r="J17" s="32">
        <v>0.79473591506439722</v>
      </c>
      <c r="K17" s="25">
        <v>1.5</v>
      </c>
      <c r="L17" s="32">
        <v>1.6</v>
      </c>
      <c r="M17" s="32">
        <v>9.1237811190790996E-2</v>
      </c>
      <c r="N17" s="32">
        <v>0.2</v>
      </c>
      <c r="O17" s="32">
        <v>3.7</v>
      </c>
      <c r="P17" s="32">
        <v>1.8430350372749187E-2</v>
      </c>
      <c r="Q17" s="32" t="s">
        <v>116</v>
      </c>
      <c r="R17" s="32">
        <v>0.1</v>
      </c>
      <c r="S17" s="32">
        <v>1.9202381738966754</v>
      </c>
      <c r="T17" s="32">
        <v>0.2</v>
      </c>
      <c r="U17" s="32">
        <v>4.2</v>
      </c>
      <c r="V17" s="32">
        <v>3.8353359471748805</v>
      </c>
      <c r="W17" s="32">
        <v>4.9000000000000004</v>
      </c>
      <c r="X17" s="32">
        <v>3.2</v>
      </c>
      <c r="Y17" s="32">
        <v>2.3030553171475439</v>
      </c>
      <c r="Z17" s="32">
        <v>3.6</v>
      </c>
      <c r="AA17" s="32">
        <v>3.7</v>
      </c>
      <c r="AB17" s="32">
        <v>5.9627873959856151E-2</v>
      </c>
      <c r="AC17" s="32">
        <v>0.1</v>
      </c>
      <c r="AD17" s="32">
        <v>1.5</v>
      </c>
      <c r="AE17" s="32">
        <v>5.0040287603684036E-2</v>
      </c>
      <c r="AF17" s="32">
        <v>0.2</v>
      </c>
      <c r="AG17" s="27" t="s">
        <v>143</v>
      </c>
    </row>
    <row r="18" spans="1:33" ht="38.25" x14ac:dyDescent="0.2">
      <c r="A18" s="20" t="s">
        <v>23</v>
      </c>
      <c r="B18" s="21" t="s">
        <v>24</v>
      </c>
      <c r="C18" s="25">
        <v>3.5</v>
      </c>
      <c r="D18" s="25">
        <v>2.5237214510600881</v>
      </c>
      <c r="E18" s="32">
        <v>4</v>
      </c>
      <c r="F18" s="25">
        <v>2.8</v>
      </c>
      <c r="G18" s="32">
        <v>2.2625359620888412</v>
      </c>
      <c r="H18" s="32">
        <v>3.1</v>
      </c>
      <c r="I18" s="32">
        <v>1.7</v>
      </c>
      <c r="J18" s="32">
        <v>0.78763128205654398</v>
      </c>
      <c r="K18" s="25">
        <v>1</v>
      </c>
      <c r="L18" s="32">
        <v>7.1</v>
      </c>
      <c r="M18" s="32">
        <v>1.775860136180031</v>
      </c>
      <c r="N18" s="32">
        <v>1.4</v>
      </c>
      <c r="O18" s="32">
        <v>0.8</v>
      </c>
      <c r="P18" s="32">
        <v>0.34795322718225424</v>
      </c>
      <c r="Q18" s="32">
        <v>0.4</v>
      </c>
      <c r="R18" s="32">
        <v>2.1</v>
      </c>
      <c r="S18" s="32">
        <v>2.4206128019012394</v>
      </c>
      <c r="T18" s="32">
        <v>2.4</v>
      </c>
      <c r="U18" s="32">
        <v>3.9</v>
      </c>
      <c r="V18" s="32">
        <v>2.6137075430827261</v>
      </c>
      <c r="W18" s="32">
        <v>3.8</v>
      </c>
      <c r="X18" s="32">
        <v>3.7</v>
      </c>
      <c r="Y18" s="32">
        <v>2.8270654690431956</v>
      </c>
      <c r="Z18" s="32">
        <v>4.5</v>
      </c>
      <c r="AA18" s="32">
        <v>5.6</v>
      </c>
      <c r="AB18" s="32">
        <v>0.7444751149885811</v>
      </c>
      <c r="AC18" s="32">
        <v>0.8</v>
      </c>
      <c r="AD18" s="32">
        <v>2.4</v>
      </c>
      <c r="AE18" s="32">
        <v>1.3793382483737044</v>
      </c>
      <c r="AF18" s="32">
        <v>1</v>
      </c>
      <c r="AG18" s="27" t="s">
        <v>134</v>
      </c>
    </row>
    <row r="19" spans="1:33" ht="25.5" x14ac:dyDescent="0.2">
      <c r="A19" s="20" t="s">
        <v>25</v>
      </c>
      <c r="B19" s="29">
        <v>26</v>
      </c>
      <c r="C19" s="32">
        <v>3.3</v>
      </c>
      <c r="D19" s="32">
        <v>1.1284580944090132</v>
      </c>
      <c r="E19" s="32">
        <v>5.4890109890109891</v>
      </c>
      <c r="F19" s="32">
        <v>2.2000000000000002</v>
      </c>
      <c r="G19" s="32">
        <v>1.1918920768109855</v>
      </c>
      <c r="H19" s="32">
        <v>3.7142857142857144</v>
      </c>
      <c r="I19" s="32">
        <v>2.6</v>
      </c>
      <c r="J19" s="32" t="s">
        <v>116</v>
      </c>
      <c r="K19" s="32">
        <v>1.2362637362637363</v>
      </c>
      <c r="L19" s="32">
        <v>0.3</v>
      </c>
      <c r="M19" s="32">
        <v>8.16164419010342E-3</v>
      </c>
      <c r="N19" s="32">
        <v>3.3197253012441723</v>
      </c>
      <c r="O19" s="32">
        <v>0.1</v>
      </c>
      <c r="P19" s="32">
        <v>0.3022948770178624</v>
      </c>
      <c r="Q19" s="32">
        <v>7.241792117663555E-2</v>
      </c>
      <c r="R19" s="32">
        <v>0.1</v>
      </c>
      <c r="S19" s="32" t="s">
        <v>116</v>
      </c>
      <c r="T19" s="32">
        <v>1.1883566736782358</v>
      </c>
      <c r="U19" s="32">
        <v>2.2000000000000002</v>
      </c>
      <c r="V19" s="32">
        <v>1.1918920768109855</v>
      </c>
      <c r="W19" s="32">
        <v>6.7307692307692308</v>
      </c>
      <c r="X19" s="32">
        <v>3.3</v>
      </c>
      <c r="Y19" s="32">
        <v>1.1284580944090132</v>
      </c>
      <c r="Z19" s="32">
        <v>4.2527472527472527</v>
      </c>
      <c r="AA19" s="32">
        <v>0.3</v>
      </c>
      <c r="AB19" s="32">
        <v>0.3022948770178624</v>
      </c>
      <c r="AC19" s="32">
        <v>0.75649099151528609</v>
      </c>
      <c r="AD19" s="32">
        <v>0.1</v>
      </c>
      <c r="AE19" s="32">
        <v>8.16164419010342E-3</v>
      </c>
      <c r="AF19" s="32">
        <v>2.6356522309055217</v>
      </c>
      <c r="AG19" s="27" t="s">
        <v>26</v>
      </c>
    </row>
    <row r="20" spans="1:33" x14ac:dyDescent="0.2">
      <c r="A20" s="20" t="s">
        <v>27</v>
      </c>
      <c r="B20" s="29">
        <v>27</v>
      </c>
      <c r="C20" s="32">
        <v>4.5999999999999996</v>
      </c>
      <c r="D20" s="32">
        <v>2.7529585804600036</v>
      </c>
      <c r="E20" s="32">
        <v>4.1601694915254237</v>
      </c>
      <c r="F20" s="32">
        <v>4.3</v>
      </c>
      <c r="G20" s="32">
        <v>1.448163343911824</v>
      </c>
      <c r="H20" s="32">
        <v>4.1601694915254237</v>
      </c>
      <c r="I20" s="32">
        <v>1.7</v>
      </c>
      <c r="J20" s="32">
        <v>1.9758678293999508</v>
      </c>
      <c r="K20" s="32">
        <v>0.67796610169491522</v>
      </c>
      <c r="L20" s="32">
        <v>0.9</v>
      </c>
      <c r="M20" s="32">
        <v>0.15699122082958739</v>
      </c>
      <c r="N20" s="32">
        <v>0.66163899779330382</v>
      </c>
      <c r="O20" s="32">
        <v>5.2</v>
      </c>
      <c r="P20" s="32">
        <v>3.1975687026778117E-2</v>
      </c>
      <c r="Q20" s="32">
        <v>0.30317252642061088</v>
      </c>
      <c r="R20" s="32">
        <v>1.2</v>
      </c>
      <c r="S20" s="32">
        <v>2.3786955139381138</v>
      </c>
      <c r="T20" s="32">
        <v>0.91109947660662682</v>
      </c>
      <c r="U20" s="32">
        <v>5.8</v>
      </c>
      <c r="V20" s="32">
        <v>2.7529585804600036</v>
      </c>
      <c r="W20" s="32">
        <v>4.1601694915254237</v>
      </c>
      <c r="X20" s="32">
        <v>5.8</v>
      </c>
      <c r="Y20" s="32">
        <v>1.448163343911824</v>
      </c>
      <c r="Z20" s="32">
        <v>4.1601694915254237</v>
      </c>
      <c r="AA20" s="32">
        <v>1.7</v>
      </c>
      <c r="AB20" s="32">
        <v>9.358033706509282E-2</v>
      </c>
      <c r="AC20" s="32">
        <v>0.47254519332095907</v>
      </c>
      <c r="AD20" s="32">
        <v>4.5</v>
      </c>
      <c r="AE20" s="32">
        <v>9.5386570791272635E-2</v>
      </c>
      <c r="AF20" s="32">
        <v>0.49226633089295552</v>
      </c>
      <c r="AG20" s="27" t="s">
        <v>28</v>
      </c>
    </row>
    <row r="21" spans="1:33" ht="25.5" x14ac:dyDescent="0.2">
      <c r="A21" s="20" t="s">
        <v>29</v>
      </c>
      <c r="B21" s="29">
        <v>28</v>
      </c>
      <c r="C21" s="32">
        <v>3.9</v>
      </c>
      <c r="D21" s="32">
        <v>2.9481344782344197</v>
      </c>
      <c r="E21" s="32">
        <v>3.9385733333333333</v>
      </c>
      <c r="F21" s="32">
        <v>4</v>
      </c>
      <c r="G21" s="32">
        <v>2.4910587377664943</v>
      </c>
      <c r="H21" s="32">
        <v>1.8989866666666668</v>
      </c>
      <c r="I21" s="32">
        <v>2.7</v>
      </c>
      <c r="J21" s="32" t="s">
        <v>116</v>
      </c>
      <c r="K21" s="32">
        <v>0.56265333333333334</v>
      </c>
      <c r="L21" s="32">
        <v>3.9</v>
      </c>
      <c r="M21" s="32">
        <v>0.88230711020378316</v>
      </c>
      <c r="N21" s="32">
        <v>0.59210605521781035</v>
      </c>
      <c r="O21" s="32">
        <v>0.2</v>
      </c>
      <c r="P21" s="32">
        <v>0.52308681297701021</v>
      </c>
      <c r="Q21" s="32">
        <v>0.48835344892468158</v>
      </c>
      <c r="R21" s="32">
        <v>0.3</v>
      </c>
      <c r="S21" s="32" t="s">
        <v>116</v>
      </c>
      <c r="T21" s="32">
        <v>2.9924570038838386E-3</v>
      </c>
      <c r="U21" s="32">
        <v>3.9</v>
      </c>
      <c r="V21" s="32">
        <v>2.5967669830096232</v>
      </c>
      <c r="W21" s="32">
        <v>2.4616400000000001</v>
      </c>
      <c r="X21" s="32">
        <v>5.0999999999999996</v>
      </c>
      <c r="Y21" s="32">
        <v>3.1595509687206773</v>
      </c>
      <c r="Z21" s="32">
        <v>4.712253333333333</v>
      </c>
      <c r="AA21" s="32">
        <v>3.4</v>
      </c>
      <c r="AB21" s="32">
        <v>0.13041475854710097</v>
      </c>
      <c r="AC21" s="32">
        <v>0.29555343069883616</v>
      </c>
      <c r="AD21" s="32">
        <v>0.7</v>
      </c>
      <c r="AE21" s="32">
        <v>1.2749791646336925</v>
      </c>
      <c r="AF21" s="32">
        <v>0.78490607344365582</v>
      </c>
      <c r="AG21" s="27" t="s">
        <v>144</v>
      </c>
    </row>
    <row r="22" spans="1:33" ht="38.25" x14ac:dyDescent="0.2">
      <c r="A22" s="20" t="s">
        <v>30</v>
      </c>
      <c r="B22" s="29" t="s">
        <v>31</v>
      </c>
      <c r="C22" s="32">
        <v>3.5</v>
      </c>
      <c r="D22" s="32">
        <v>3.7</v>
      </c>
      <c r="E22" s="32">
        <v>5.2</v>
      </c>
      <c r="F22" s="32">
        <v>1.1000000000000001</v>
      </c>
      <c r="G22" s="32">
        <v>0.7358137306953707</v>
      </c>
      <c r="H22" s="32">
        <v>1.8</v>
      </c>
      <c r="I22" s="32">
        <v>1.2</v>
      </c>
      <c r="J22" s="32">
        <v>1.3872795287409736</v>
      </c>
      <c r="K22" s="32">
        <v>2.2044338983050844</v>
      </c>
      <c r="L22" s="32">
        <v>17.899999999999999</v>
      </c>
      <c r="M22" s="32">
        <v>11.077722779302233</v>
      </c>
      <c r="N22" s="32">
        <v>2.4960236648642575</v>
      </c>
      <c r="O22" s="32">
        <v>0</v>
      </c>
      <c r="P22" s="32">
        <v>0.17291208408976294</v>
      </c>
      <c r="Q22" s="32">
        <v>0.49614933975405823</v>
      </c>
      <c r="R22" s="32">
        <v>6.5</v>
      </c>
      <c r="S22" s="32">
        <v>6.8</v>
      </c>
      <c r="T22" s="32">
        <v>5.8526357625503405</v>
      </c>
      <c r="U22" s="32">
        <v>2.8</v>
      </c>
      <c r="V22" s="32">
        <v>0.65146579804560267</v>
      </c>
      <c r="W22" s="32">
        <v>3.2916474576271191</v>
      </c>
      <c r="X22" s="32">
        <v>3.4</v>
      </c>
      <c r="Y22" s="32">
        <v>2.4488261584591453</v>
      </c>
      <c r="Z22" s="32">
        <v>5.1850101694915258</v>
      </c>
      <c r="AA22" s="32">
        <v>13.7</v>
      </c>
      <c r="AB22" s="32">
        <v>4.9221593726568731</v>
      </c>
      <c r="AC22" s="32">
        <v>1.5528770246061046</v>
      </c>
      <c r="AD22" s="32">
        <v>4.3</v>
      </c>
      <c r="AE22" s="32">
        <v>6.3284754907351246</v>
      </c>
      <c r="AF22" s="32">
        <v>1.4392959800122114</v>
      </c>
      <c r="AG22" s="27" t="s">
        <v>145</v>
      </c>
    </row>
    <row r="23" spans="1:33" ht="38.25" x14ac:dyDescent="0.2">
      <c r="A23" s="20" t="s">
        <v>32</v>
      </c>
      <c r="B23" s="29" t="s">
        <v>33</v>
      </c>
      <c r="C23" s="32">
        <v>2.9</v>
      </c>
      <c r="D23" s="32">
        <v>2.6026614200105618</v>
      </c>
      <c r="E23" s="32">
        <v>3.6</v>
      </c>
      <c r="F23" s="32">
        <v>2.1</v>
      </c>
      <c r="G23" s="32">
        <v>2.8227326328916287</v>
      </c>
      <c r="H23" s="32">
        <v>3.9</v>
      </c>
      <c r="I23" s="32">
        <v>0.9</v>
      </c>
      <c r="J23" s="32">
        <v>0.99708744426760709</v>
      </c>
      <c r="K23" s="32">
        <v>1.1000000000000001</v>
      </c>
      <c r="L23" s="32">
        <v>3.9</v>
      </c>
      <c r="M23" s="32">
        <v>0.51029477470905327</v>
      </c>
      <c r="N23" s="32">
        <v>0.5</v>
      </c>
      <c r="O23" s="32">
        <v>0.3</v>
      </c>
      <c r="P23" s="32">
        <v>0.44304990466448302</v>
      </c>
      <c r="Q23" s="32">
        <v>0.3</v>
      </c>
      <c r="R23" s="32">
        <v>0.2</v>
      </c>
      <c r="S23" s="32">
        <v>0.24659169935010108</v>
      </c>
      <c r="T23" s="32">
        <v>0.6</v>
      </c>
      <c r="U23" s="32">
        <v>3.9</v>
      </c>
      <c r="V23" s="32">
        <v>3.2372102940922027</v>
      </c>
      <c r="W23" s="32">
        <v>4.2</v>
      </c>
      <c r="X23" s="32">
        <v>2.4</v>
      </c>
      <c r="Y23" s="32">
        <v>3.3361436574976198</v>
      </c>
      <c r="Z23" s="32">
        <v>4.4000000000000004</v>
      </c>
      <c r="AA23" s="32">
        <v>2.5</v>
      </c>
      <c r="AB23" s="32">
        <v>0.2674546308123843</v>
      </c>
      <c r="AC23" s="32">
        <v>0.5</v>
      </c>
      <c r="AD23" s="32">
        <v>1.7</v>
      </c>
      <c r="AE23" s="32">
        <v>0.6858900485611521</v>
      </c>
      <c r="AF23" s="32">
        <v>0.3</v>
      </c>
      <c r="AG23" s="27" t="s">
        <v>146</v>
      </c>
    </row>
    <row r="24" spans="1:33" ht="38.25" x14ac:dyDescent="0.2">
      <c r="A24" s="20" t="s">
        <v>34</v>
      </c>
      <c r="B24" s="29" t="s">
        <v>35</v>
      </c>
      <c r="C24" s="32">
        <v>1</v>
      </c>
      <c r="D24" s="32">
        <v>0.30667202756628742</v>
      </c>
      <c r="E24" s="32">
        <v>0.8</v>
      </c>
      <c r="F24" s="32">
        <v>0.4</v>
      </c>
      <c r="G24" s="32">
        <v>0.20397756246812851</v>
      </c>
      <c r="H24" s="32">
        <v>0.7</v>
      </c>
      <c r="I24" s="32">
        <v>1</v>
      </c>
      <c r="J24" s="32" t="s">
        <v>116</v>
      </c>
      <c r="K24" s="32">
        <v>0.3</v>
      </c>
      <c r="L24" s="32">
        <v>9.5</v>
      </c>
      <c r="M24" s="32">
        <v>6.8734806805774595E-2</v>
      </c>
      <c r="N24" s="32">
        <v>0.2</v>
      </c>
      <c r="O24" s="32">
        <v>2.6</v>
      </c>
      <c r="P24" s="32">
        <v>4.8887397742395713E-2</v>
      </c>
      <c r="Q24" s="32" t="s">
        <v>116</v>
      </c>
      <c r="R24" s="32">
        <v>0.1</v>
      </c>
      <c r="S24" s="32" t="s">
        <v>116</v>
      </c>
      <c r="T24" s="32" t="s">
        <v>116</v>
      </c>
      <c r="U24" s="32">
        <v>0.5</v>
      </c>
      <c r="V24" s="32">
        <v>0.10198878123406425</v>
      </c>
      <c r="W24" s="32">
        <v>1.1000000000000001</v>
      </c>
      <c r="X24" s="32">
        <v>0.7</v>
      </c>
      <c r="Y24" s="32">
        <v>0.4086608088003516</v>
      </c>
      <c r="Z24" s="32">
        <v>0.8</v>
      </c>
      <c r="AA24" s="32">
        <v>2.1</v>
      </c>
      <c r="AB24" s="32">
        <v>1.6141921166125922E-3</v>
      </c>
      <c r="AC24" s="32">
        <v>0.1</v>
      </c>
      <c r="AD24" s="32">
        <v>9.9</v>
      </c>
      <c r="AE24" s="32">
        <v>0.11600801243155771</v>
      </c>
      <c r="AF24" s="32">
        <v>0.1</v>
      </c>
      <c r="AG24" s="27" t="s">
        <v>36</v>
      </c>
    </row>
    <row r="25" spans="1:33" ht="25.5" x14ac:dyDescent="0.2">
      <c r="A25" s="20" t="s">
        <v>37</v>
      </c>
      <c r="B25" s="21" t="s">
        <v>38</v>
      </c>
      <c r="C25" s="25">
        <v>1.5</v>
      </c>
      <c r="D25" s="25">
        <v>0.64528165515764424</v>
      </c>
      <c r="E25" s="32">
        <v>1.1000000000000001</v>
      </c>
      <c r="F25" s="25">
        <v>0.4</v>
      </c>
      <c r="G25" s="32">
        <v>0.38610038610038611</v>
      </c>
      <c r="H25" s="32">
        <v>1.8</v>
      </c>
      <c r="I25" s="32">
        <v>0.2</v>
      </c>
      <c r="J25" s="32" t="s">
        <v>116</v>
      </c>
      <c r="K25" s="25">
        <v>0.7</v>
      </c>
      <c r="L25" s="32">
        <v>10</v>
      </c>
      <c r="M25" s="32">
        <v>7.0987050015275374E-2</v>
      </c>
      <c r="N25" s="32">
        <v>0.2</v>
      </c>
      <c r="O25" s="32">
        <v>2.7</v>
      </c>
      <c r="P25" s="32">
        <v>3.7805032220779834E-2</v>
      </c>
      <c r="Q25" s="32" t="s">
        <v>116</v>
      </c>
      <c r="R25" s="32" t="s">
        <v>116</v>
      </c>
      <c r="S25" s="32" t="s">
        <v>116</v>
      </c>
      <c r="T25" s="32" t="s">
        <v>116</v>
      </c>
      <c r="U25" s="32">
        <v>1.4</v>
      </c>
      <c r="V25" s="32">
        <v>0.1287001287001287</v>
      </c>
      <c r="W25" s="32">
        <v>1.9</v>
      </c>
      <c r="X25" s="32">
        <v>0.8</v>
      </c>
      <c r="Y25" s="32">
        <v>0.90268191255790176</v>
      </c>
      <c r="Z25" s="32">
        <v>2.1</v>
      </c>
      <c r="AA25" s="32">
        <v>2.2000000000000002</v>
      </c>
      <c r="AB25" s="32" t="s">
        <v>116</v>
      </c>
      <c r="AC25" s="32">
        <v>0.1</v>
      </c>
      <c r="AD25" s="32">
        <v>10.4</v>
      </c>
      <c r="AE25" s="32">
        <v>0.10861935797111452</v>
      </c>
      <c r="AF25" s="32">
        <v>0.1</v>
      </c>
      <c r="AG25" s="27" t="s">
        <v>39</v>
      </c>
    </row>
    <row r="26" spans="1:33" ht="25.5" x14ac:dyDescent="0.2">
      <c r="A26" s="20" t="s">
        <v>40</v>
      </c>
      <c r="B26" s="21" t="s">
        <v>41</v>
      </c>
      <c r="C26" s="25">
        <v>0.7</v>
      </c>
      <c r="D26" s="25">
        <v>8.4459459459459457E-2</v>
      </c>
      <c r="E26" s="32">
        <v>0.5</v>
      </c>
      <c r="F26" s="25">
        <v>0.4</v>
      </c>
      <c r="G26" s="32">
        <v>8.4459459459459457E-2</v>
      </c>
      <c r="H26" s="32">
        <v>0</v>
      </c>
      <c r="I26" s="32">
        <v>1.5</v>
      </c>
      <c r="J26" s="32" t="s">
        <v>116</v>
      </c>
      <c r="K26" s="32" t="s">
        <v>116</v>
      </c>
      <c r="L26" s="32" t="s">
        <v>116</v>
      </c>
      <c r="M26" s="32">
        <v>2.7807959484049131E-2</v>
      </c>
      <c r="N26" s="32">
        <v>0.1</v>
      </c>
      <c r="O26" s="32" t="s">
        <v>116</v>
      </c>
      <c r="P26" s="32">
        <v>0.25027163535644215</v>
      </c>
      <c r="Q26" s="32" t="s">
        <v>116</v>
      </c>
      <c r="R26" s="32">
        <v>0.2</v>
      </c>
      <c r="S26" s="32" t="s">
        <v>116</v>
      </c>
      <c r="T26" s="32" t="s">
        <v>116</v>
      </c>
      <c r="U26" s="32" t="s">
        <v>116</v>
      </c>
      <c r="V26" s="32">
        <v>8.4459459459459457E-2</v>
      </c>
      <c r="W26" s="32">
        <v>0.5</v>
      </c>
      <c r="X26" s="32">
        <v>0.7</v>
      </c>
      <c r="Y26" s="32">
        <v>8.4459459459459457E-2</v>
      </c>
      <c r="Z26" s="32" t="s">
        <v>116</v>
      </c>
      <c r="AA26" s="32" t="s">
        <v>116</v>
      </c>
      <c r="AB26" s="32">
        <v>2.7807959484049131E-2</v>
      </c>
      <c r="AC26" s="32">
        <v>0.1</v>
      </c>
      <c r="AD26" s="32" t="s">
        <v>116</v>
      </c>
      <c r="AE26" s="32">
        <v>0.25027163535644215</v>
      </c>
      <c r="AF26" s="32" t="s">
        <v>116</v>
      </c>
      <c r="AG26" s="27" t="s">
        <v>42</v>
      </c>
    </row>
    <row r="27" spans="1:33" x14ac:dyDescent="0.2">
      <c r="A27" s="20" t="s">
        <v>43</v>
      </c>
      <c r="B27" s="21" t="s">
        <v>44</v>
      </c>
      <c r="C27" s="25">
        <v>1.1000000000000001</v>
      </c>
      <c r="D27" s="25">
        <v>0.57589466019168756</v>
      </c>
      <c r="E27" s="32">
        <v>1.6</v>
      </c>
      <c r="F27" s="25">
        <v>1.2</v>
      </c>
      <c r="G27" s="32">
        <v>0.74429141833234225</v>
      </c>
      <c r="H27" s="32">
        <v>0.9</v>
      </c>
      <c r="I27" s="32">
        <v>1.3</v>
      </c>
      <c r="J27" s="32" t="s">
        <v>116</v>
      </c>
      <c r="K27" s="32" t="s">
        <v>116</v>
      </c>
      <c r="L27" s="32">
        <v>0.3</v>
      </c>
      <c r="M27" s="32">
        <v>0.4136028227717567</v>
      </c>
      <c r="N27" s="32">
        <v>0.3</v>
      </c>
      <c r="O27" s="32">
        <v>0.7</v>
      </c>
      <c r="P27" s="32">
        <v>0.71829689027732169</v>
      </c>
      <c r="Q27" s="32" t="s">
        <v>116</v>
      </c>
      <c r="R27" s="32">
        <v>0.5</v>
      </c>
      <c r="S27" s="32" t="s">
        <v>116</v>
      </c>
      <c r="T27" s="32" t="s">
        <v>116</v>
      </c>
      <c r="U27" s="32">
        <v>1</v>
      </c>
      <c r="V27" s="32">
        <v>0.31613994890604891</v>
      </c>
      <c r="W27" s="32">
        <v>0.8</v>
      </c>
      <c r="X27" s="32">
        <v>1.5</v>
      </c>
      <c r="Y27" s="32">
        <v>1.1714149696094094</v>
      </c>
      <c r="Z27" s="32">
        <v>1.2</v>
      </c>
      <c r="AA27" s="32">
        <v>0.3</v>
      </c>
      <c r="AB27" s="32">
        <v>0.11333736209214458</v>
      </c>
      <c r="AC27" s="32" t="s">
        <v>116</v>
      </c>
      <c r="AD27" s="32">
        <v>0.7</v>
      </c>
      <c r="AE27" s="32">
        <v>1.0185623509569339</v>
      </c>
      <c r="AF27" s="32">
        <v>0.3</v>
      </c>
      <c r="AG27" s="27" t="s">
        <v>45</v>
      </c>
    </row>
    <row r="28" spans="1:33" ht="25.5" x14ac:dyDescent="0.2">
      <c r="A28" s="20" t="s">
        <v>46</v>
      </c>
      <c r="B28" s="21" t="s">
        <v>47</v>
      </c>
      <c r="C28" s="25">
        <v>5.5</v>
      </c>
      <c r="D28" s="25">
        <v>6.3521001549943668</v>
      </c>
      <c r="E28" s="32">
        <v>6.9479993595907956</v>
      </c>
      <c r="F28" s="25">
        <v>3.8</v>
      </c>
      <c r="G28" s="32">
        <v>3.2852748241265468</v>
      </c>
      <c r="H28" s="32">
        <v>4.2352549790281335</v>
      </c>
      <c r="I28" s="32">
        <v>5.8</v>
      </c>
      <c r="J28" s="32">
        <v>4.3113516646857875</v>
      </c>
      <c r="K28" s="25">
        <v>2.9340921534526854</v>
      </c>
      <c r="L28" s="32">
        <v>16.7</v>
      </c>
      <c r="M28" s="32">
        <v>6.8058010796624142</v>
      </c>
      <c r="N28" s="32">
        <v>3.3</v>
      </c>
      <c r="O28" s="32">
        <v>2.4</v>
      </c>
      <c r="P28" s="32">
        <v>1.2794119575506655</v>
      </c>
      <c r="Q28" s="32">
        <v>1</v>
      </c>
      <c r="R28" s="32">
        <v>2.1</v>
      </c>
      <c r="S28" s="32">
        <v>3.6373121909591783</v>
      </c>
      <c r="T28" s="32">
        <v>2.6</v>
      </c>
      <c r="U28" s="32">
        <v>6.2</v>
      </c>
      <c r="V28" s="32">
        <v>5.1299456571061244</v>
      </c>
      <c r="W28" s="32">
        <v>6.5</v>
      </c>
      <c r="X28" s="32">
        <v>4.3</v>
      </c>
      <c r="Y28" s="32">
        <v>4.197586514929343</v>
      </c>
      <c r="Z28" s="32">
        <v>5</v>
      </c>
      <c r="AA28" s="32">
        <v>14.2</v>
      </c>
      <c r="AB28" s="32">
        <v>3.8340172621661948</v>
      </c>
      <c r="AC28" s="32">
        <v>2.2174056384760967</v>
      </c>
      <c r="AD28" s="32">
        <v>4.9000000000000004</v>
      </c>
      <c r="AE28" s="32">
        <v>4.2511957750468854</v>
      </c>
      <c r="AF28" s="32">
        <v>2.0945269820222285</v>
      </c>
      <c r="AG28" s="27" t="s">
        <v>48</v>
      </c>
    </row>
    <row r="29" spans="1:33" ht="38.25" x14ac:dyDescent="0.2">
      <c r="A29" s="20" t="s">
        <v>49</v>
      </c>
      <c r="B29" s="29">
        <v>45</v>
      </c>
      <c r="C29" s="32">
        <v>8.5</v>
      </c>
      <c r="D29" s="32">
        <v>5.0138945589823933</v>
      </c>
      <c r="E29" s="32">
        <v>6.5146860792079222</v>
      </c>
      <c r="F29" s="32">
        <v>5</v>
      </c>
      <c r="G29" s="32">
        <v>3.2244594871325463</v>
      </c>
      <c r="H29" s="32">
        <v>3.0593232376237616</v>
      </c>
      <c r="I29" s="32">
        <v>3.7</v>
      </c>
      <c r="J29" s="32">
        <v>1.6069934608544973</v>
      </c>
      <c r="K29" s="32">
        <v>0.47070990099009902</v>
      </c>
      <c r="L29" s="32">
        <v>6.3</v>
      </c>
      <c r="M29" s="32">
        <v>10.650070531382751</v>
      </c>
      <c r="N29" s="32">
        <v>6.8634865268959429</v>
      </c>
      <c r="O29" s="32">
        <v>0.8</v>
      </c>
      <c r="P29" s="32">
        <v>0.23113840097825039</v>
      </c>
      <c r="Q29" s="32">
        <v>9.8620843763653349E-2</v>
      </c>
      <c r="R29" s="32">
        <v>0.3</v>
      </c>
      <c r="S29" s="32">
        <v>0.54557256942171706</v>
      </c>
      <c r="T29" s="32">
        <v>9.6490922905987098E-2</v>
      </c>
      <c r="U29" s="32">
        <v>9.4</v>
      </c>
      <c r="V29" s="32">
        <v>5.0138945589823933</v>
      </c>
      <c r="W29" s="32">
        <v>7.2019377970297045</v>
      </c>
      <c r="X29" s="32">
        <v>6.7</v>
      </c>
      <c r="Y29" s="32">
        <v>5.8915746900006631</v>
      </c>
      <c r="Z29" s="32">
        <v>5.2015662772277222</v>
      </c>
      <c r="AA29" s="32">
        <v>3.7</v>
      </c>
      <c r="AB29" s="32">
        <v>6.2867557351865377</v>
      </c>
      <c r="AC29" s="32">
        <v>5.0194360035743619</v>
      </c>
      <c r="AD29" s="32">
        <v>3.4</v>
      </c>
      <c r="AE29" s="32">
        <v>4.594453197174464</v>
      </c>
      <c r="AF29" s="32">
        <v>1.9426713670852322</v>
      </c>
      <c r="AG29" s="27" t="s">
        <v>147</v>
      </c>
    </row>
    <row r="30" spans="1:33" ht="38.25" x14ac:dyDescent="0.2">
      <c r="A30" s="20" t="s">
        <v>50</v>
      </c>
      <c r="B30" s="29">
        <v>46</v>
      </c>
      <c r="C30" s="32">
        <v>4</v>
      </c>
      <c r="D30" s="32">
        <v>6.6384087222429766</v>
      </c>
      <c r="E30" s="32">
        <v>7.1142985289702834</v>
      </c>
      <c r="F30" s="32">
        <v>3.1</v>
      </c>
      <c r="G30" s="32">
        <v>3.4697853521458306</v>
      </c>
      <c r="H30" s="32">
        <v>4.5680914064845402</v>
      </c>
      <c r="I30" s="32">
        <v>7.5</v>
      </c>
      <c r="J30" s="32">
        <v>6.0360847581456056</v>
      </c>
      <c r="K30" s="32">
        <v>4.1464313719603716</v>
      </c>
      <c r="L30" s="32">
        <v>4.8</v>
      </c>
      <c r="M30" s="32">
        <v>3.4365864493304636</v>
      </c>
      <c r="N30" s="32">
        <v>3.1748657275913437</v>
      </c>
      <c r="O30" s="32">
        <v>1</v>
      </c>
      <c r="P30" s="32">
        <v>1.0879614220445095</v>
      </c>
      <c r="Q30" s="32">
        <v>1.251255455899652</v>
      </c>
      <c r="R30" s="32">
        <v>2.5</v>
      </c>
      <c r="S30" s="32">
        <v>4.4811638363685073</v>
      </c>
      <c r="T30" s="32">
        <v>3.8783794926305202</v>
      </c>
      <c r="U30" s="32">
        <v>4.2</v>
      </c>
      <c r="V30" s="32">
        <v>4.2813964320051374</v>
      </c>
      <c r="W30" s="32">
        <v>6.0795485589912959</v>
      </c>
      <c r="X30" s="32">
        <v>4.0999999999999996</v>
      </c>
      <c r="Y30" s="32">
        <v>4.5302366351133392</v>
      </c>
      <c r="Z30" s="32">
        <v>5.8155726133293335</v>
      </c>
      <c r="AA30" s="32">
        <v>2</v>
      </c>
      <c r="AB30" s="32">
        <v>0.31342174735129047</v>
      </c>
      <c r="AC30" s="32">
        <v>1.5879551105784226</v>
      </c>
      <c r="AD30" s="32">
        <v>3.7</v>
      </c>
      <c r="AE30" s="32">
        <v>4.211126124023683</v>
      </c>
      <c r="AF30" s="32">
        <v>2.8381660729125717</v>
      </c>
      <c r="AG30" s="27" t="s">
        <v>51</v>
      </c>
    </row>
    <row r="31" spans="1:33" ht="38.25" x14ac:dyDescent="0.2">
      <c r="A31" s="20" t="s">
        <v>52</v>
      </c>
      <c r="B31" s="29">
        <v>47</v>
      </c>
      <c r="C31" s="32">
        <v>8.4</v>
      </c>
      <c r="D31" s="32">
        <v>6.0958214319580195</v>
      </c>
      <c r="E31" s="32">
        <v>6.6292933903946718</v>
      </c>
      <c r="F31" s="32">
        <v>5.6</v>
      </c>
      <c r="G31" s="32">
        <v>2.7423839206486673</v>
      </c>
      <c r="H31" s="32">
        <v>3.7456376604850212</v>
      </c>
      <c r="I31" s="32">
        <v>1.8</v>
      </c>
      <c r="J31" s="32">
        <v>0.24311183144246357</v>
      </c>
      <c r="K31" s="32">
        <v>0.27665620542082742</v>
      </c>
      <c r="L31" s="32">
        <v>51.6</v>
      </c>
      <c r="M31" s="32">
        <v>25.771421569919323</v>
      </c>
      <c r="N31" s="32">
        <v>27.361000000000001</v>
      </c>
      <c r="O31" s="32">
        <v>6.4</v>
      </c>
      <c r="P31" s="32">
        <v>3.2640569947890672</v>
      </c>
      <c r="Q31" s="32">
        <v>0.73308631263506829</v>
      </c>
      <c r="R31" s="32">
        <v>1.5</v>
      </c>
      <c r="S31" s="32">
        <v>0.41145963694198157</v>
      </c>
      <c r="T31" s="32">
        <v>7.2837544819516056E-2</v>
      </c>
      <c r="U31" s="32">
        <v>10.9</v>
      </c>
      <c r="V31" s="32">
        <v>7.813141059462259</v>
      </c>
      <c r="W31" s="32">
        <v>7.6720456490727544</v>
      </c>
      <c r="X31" s="32">
        <v>3.7</v>
      </c>
      <c r="Y31" s="32">
        <v>2.3688918567386632</v>
      </c>
      <c r="Z31" s="32">
        <v>2.4655216357584404</v>
      </c>
      <c r="AA31" s="32">
        <v>49.5</v>
      </c>
      <c r="AB31" s="32">
        <v>24.771759987684288</v>
      </c>
      <c r="AC31" s="32">
        <v>31.274000000000001</v>
      </c>
      <c r="AD31" s="32">
        <v>8.5</v>
      </c>
      <c r="AE31" s="32">
        <v>4.2637185770241004</v>
      </c>
      <c r="AF31" s="32">
        <v>3.4180000000000001</v>
      </c>
      <c r="AG31" s="27" t="s">
        <v>53</v>
      </c>
    </row>
    <row r="32" spans="1:33" ht="25.5" x14ac:dyDescent="0.2">
      <c r="A32" s="20" t="s">
        <v>54</v>
      </c>
      <c r="B32" s="21" t="s">
        <v>55</v>
      </c>
      <c r="C32" s="25">
        <v>2.6</v>
      </c>
      <c r="D32" s="25">
        <v>2.2478433218402905</v>
      </c>
      <c r="E32" s="32">
        <v>3.4795768439612109</v>
      </c>
      <c r="F32" s="25">
        <v>1.4</v>
      </c>
      <c r="G32" s="32">
        <v>0.61078200826895823</v>
      </c>
      <c r="H32" s="32">
        <v>2.1886570672935646</v>
      </c>
      <c r="I32" s="32">
        <v>1.9</v>
      </c>
      <c r="J32" s="32">
        <v>0.28041858662315683</v>
      </c>
      <c r="K32" s="25">
        <v>0.49955921245959445</v>
      </c>
      <c r="L32" s="32">
        <v>22.8</v>
      </c>
      <c r="M32" s="32">
        <v>22.431735653171881</v>
      </c>
      <c r="N32" s="32">
        <v>23.7</v>
      </c>
      <c r="O32" s="32">
        <v>2</v>
      </c>
      <c r="P32" s="32">
        <v>0.13910078434049189</v>
      </c>
      <c r="Q32" s="32">
        <v>0.18390786059152733</v>
      </c>
      <c r="R32" s="32">
        <v>0.7</v>
      </c>
      <c r="S32" s="32">
        <v>2.1044473517847671</v>
      </c>
      <c r="T32" s="32">
        <v>6.1631202978633878E-2</v>
      </c>
      <c r="U32" s="32">
        <v>2.6</v>
      </c>
      <c r="V32" s="32">
        <v>1.8325208676014555</v>
      </c>
      <c r="W32" s="32">
        <v>2.9703203056126948</v>
      </c>
      <c r="X32" s="32">
        <v>1.6</v>
      </c>
      <c r="Y32" s="32">
        <v>2.0652229615516613</v>
      </c>
      <c r="Z32" s="32">
        <v>3.2465471642668242</v>
      </c>
      <c r="AA32" s="32">
        <v>19.899999999999999</v>
      </c>
      <c r="AB32" s="32">
        <v>3.2143229742822883</v>
      </c>
      <c r="AC32" s="32">
        <v>4.1070000000000002</v>
      </c>
      <c r="AD32" s="32">
        <v>4.9000000000000004</v>
      </c>
      <c r="AE32" s="32">
        <v>5.3565134632301001</v>
      </c>
      <c r="AF32" s="32">
        <v>7.2214311477115736</v>
      </c>
      <c r="AG32" s="27" t="s">
        <v>56</v>
      </c>
    </row>
    <row r="33" spans="1:33" ht="25.5" x14ac:dyDescent="0.2">
      <c r="A33" s="20" t="s">
        <v>57</v>
      </c>
      <c r="B33" s="21" t="s">
        <v>58</v>
      </c>
      <c r="C33" s="25">
        <v>13.5</v>
      </c>
      <c r="D33" s="25">
        <v>12.110247931313273</v>
      </c>
      <c r="E33" s="32">
        <v>8.6670062790697706</v>
      </c>
      <c r="F33" s="25">
        <v>11.1</v>
      </c>
      <c r="G33" s="32">
        <v>9.4994933437187239</v>
      </c>
      <c r="H33" s="32">
        <v>8.4681260465116335</v>
      </c>
      <c r="I33" s="32">
        <v>1.5</v>
      </c>
      <c r="J33" s="32">
        <v>0.62485880529363047</v>
      </c>
      <c r="K33" s="25">
        <v>0.7</v>
      </c>
      <c r="L33" s="32">
        <v>7.4</v>
      </c>
      <c r="M33" s="32">
        <v>6.1425814214485674</v>
      </c>
      <c r="N33" s="32">
        <v>7.5072362418784895</v>
      </c>
      <c r="O33" s="32">
        <v>5.0999999999999996</v>
      </c>
      <c r="P33" s="32">
        <v>4.2450038078312975</v>
      </c>
      <c r="Q33" s="32">
        <v>5.4206319133125414</v>
      </c>
      <c r="R33" s="32">
        <v>0.2</v>
      </c>
      <c r="S33" s="32">
        <v>0.18787040600995578</v>
      </c>
      <c r="T33" s="32">
        <v>0.22848537970331712</v>
      </c>
      <c r="U33" s="32">
        <v>14.5</v>
      </c>
      <c r="V33" s="32">
        <v>13.534170122791286</v>
      </c>
      <c r="W33" s="32">
        <v>10.50789790697675</v>
      </c>
      <c r="X33" s="32">
        <v>7.5</v>
      </c>
      <c r="Y33" s="32">
        <v>7.5553452223141457</v>
      </c>
      <c r="Z33" s="32">
        <v>5.4916804651162794</v>
      </c>
      <c r="AA33" s="32">
        <v>9.6999999999999993</v>
      </c>
      <c r="AB33" s="32">
        <v>8.1638980789767128</v>
      </c>
      <c r="AC33" s="32">
        <v>10.12246243704819</v>
      </c>
      <c r="AD33" s="32">
        <v>2.7</v>
      </c>
      <c r="AE33" s="32">
        <v>1.9257213181619321</v>
      </c>
      <c r="AF33" s="32">
        <v>2.8054057181428416</v>
      </c>
      <c r="AG33" s="27" t="s">
        <v>59</v>
      </c>
    </row>
    <row r="34" spans="1:33" x14ac:dyDescent="0.2">
      <c r="A34" s="20" t="s">
        <v>60</v>
      </c>
      <c r="B34" s="29">
        <v>55</v>
      </c>
      <c r="C34" s="32">
        <v>28.8</v>
      </c>
      <c r="D34" s="32">
        <v>25.274946565320537</v>
      </c>
      <c r="E34" s="32">
        <v>18.976091103202855</v>
      </c>
      <c r="F34" s="32">
        <v>29.1</v>
      </c>
      <c r="G34" s="32">
        <v>24.528724438264373</v>
      </c>
      <c r="H34" s="32">
        <v>20.653619928825638</v>
      </c>
      <c r="I34" s="32">
        <v>2.7</v>
      </c>
      <c r="J34" s="32">
        <v>1.2454613585958476</v>
      </c>
      <c r="K34" s="32">
        <v>1.6</v>
      </c>
      <c r="L34" s="32">
        <v>14.8</v>
      </c>
      <c r="M34" s="32">
        <v>5.6253370843453849</v>
      </c>
      <c r="N34" s="32">
        <v>9.7935717896868653</v>
      </c>
      <c r="O34" s="32">
        <v>13.6</v>
      </c>
      <c r="P34" s="32">
        <v>7.5518745854178437</v>
      </c>
      <c r="Q34" s="32">
        <v>12.227143368892554</v>
      </c>
      <c r="R34" s="32">
        <v>0.1</v>
      </c>
      <c r="S34" s="32">
        <v>0.57366083868229878</v>
      </c>
      <c r="T34" s="32">
        <v>0.35284843980091024</v>
      </c>
      <c r="U34" s="32">
        <v>32</v>
      </c>
      <c r="V34" s="32">
        <v>27.799595903776801</v>
      </c>
      <c r="W34" s="32">
        <v>22.618533807829195</v>
      </c>
      <c r="X34" s="32">
        <v>19.5</v>
      </c>
      <c r="Y34" s="32">
        <v>17.78462177965207</v>
      </c>
      <c r="Z34" s="32">
        <v>13.089366548042705</v>
      </c>
      <c r="AA34" s="32">
        <v>17.399999999999999</v>
      </c>
      <c r="AB34" s="32">
        <v>8.5669694519526089</v>
      </c>
      <c r="AC34" s="32">
        <v>16.067190442736457</v>
      </c>
      <c r="AD34" s="32">
        <v>11</v>
      </c>
      <c r="AE34" s="32">
        <v>3.636793143007798</v>
      </c>
      <c r="AF34" s="32">
        <v>5.9535247158429669</v>
      </c>
      <c r="AG34" s="27" t="s">
        <v>148</v>
      </c>
    </row>
    <row r="35" spans="1:33" x14ac:dyDescent="0.2">
      <c r="A35" s="20" t="s">
        <v>61</v>
      </c>
      <c r="B35" s="21" t="s">
        <v>62</v>
      </c>
      <c r="C35" s="25">
        <v>10.3</v>
      </c>
      <c r="D35" s="25">
        <v>8.8378161985066903</v>
      </c>
      <c r="E35" s="32">
        <v>10.5</v>
      </c>
      <c r="F35" s="25">
        <v>3.3</v>
      </c>
      <c r="G35" s="32">
        <v>2.3307566936924271</v>
      </c>
      <c r="H35" s="32">
        <v>4.3</v>
      </c>
      <c r="I35" s="32">
        <v>1.5</v>
      </c>
      <c r="J35" s="32">
        <v>0.95837557781941696</v>
      </c>
      <c r="K35" s="25">
        <v>0.6</v>
      </c>
      <c r="L35" s="32">
        <v>2.5</v>
      </c>
      <c r="M35" s="32">
        <v>2.325627620642261</v>
      </c>
      <c r="N35" s="32">
        <v>3.4578227942785151</v>
      </c>
      <c r="O35" s="32">
        <v>0.2</v>
      </c>
      <c r="P35" s="32">
        <v>0.59535120682529774</v>
      </c>
      <c r="Q35" s="32">
        <v>3.1349057583847081E-2</v>
      </c>
      <c r="R35" s="32">
        <v>0.3</v>
      </c>
      <c r="S35" s="32">
        <v>1.4347930576530721</v>
      </c>
      <c r="T35" s="32">
        <v>8.3528505430129699E-2</v>
      </c>
      <c r="U35" s="32">
        <v>7</v>
      </c>
      <c r="V35" s="32">
        <v>8.7681188267118237</v>
      </c>
      <c r="W35" s="32">
        <v>9.0945431472081211</v>
      </c>
      <c r="X35" s="32">
        <v>8.6</v>
      </c>
      <c r="Y35" s="32">
        <v>6.3307221024291556</v>
      </c>
      <c r="Z35" s="32">
        <v>5.277918781725889</v>
      </c>
      <c r="AA35" s="32">
        <v>1.7</v>
      </c>
      <c r="AB35" s="32">
        <v>2.2526896286209745</v>
      </c>
      <c r="AC35" s="32">
        <v>0.90617666372636207</v>
      </c>
      <c r="AD35" s="32">
        <v>1</v>
      </c>
      <c r="AE35" s="32">
        <v>0.66828919884658411</v>
      </c>
      <c r="AF35" s="32">
        <v>2.5829951881360009</v>
      </c>
      <c r="AG35" s="27" t="s">
        <v>63</v>
      </c>
    </row>
    <row r="36" spans="1:33" ht="51" x14ac:dyDescent="0.2">
      <c r="A36" s="28" t="s">
        <v>64</v>
      </c>
      <c r="B36" s="21" t="s">
        <v>65</v>
      </c>
      <c r="C36" s="25">
        <v>8.6</v>
      </c>
      <c r="D36" s="25">
        <v>8.0666566229366108</v>
      </c>
      <c r="E36" s="32">
        <v>10.199999999999999</v>
      </c>
      <c r="F36" s="25">
        <v>1.6</v>
      </c>
      <c r="G36" s="32">
        <v>4.0785193665909656</v>
      </c>
      <c r="H36" s="32">
        <v>1</v>
      </c>
      <c r="I36" s="32">
        <v>0.1</v>
      </c>
      <c r="J36" s="32" t="s">
        <v>116</v>
      </c>
      <c r="K36" s="25">
        <v>1.9</v>
      </c>
      <c r="L36" s="32">
        <v>5.9</v>
      </c>
      <c r="M36" s="32">
        <v>3.0124081717803555</v>
      </c>
      <c r="N36" s="32">
        <v>4.1020674351115183</v>
      </c>
      <c r="O36" s="32">
        <v>0.1</v>
      </c>
      <c r="P36" s="32">
        <v>1.9843550011952042</v>
      </c>
      <c r="Q36" s="32">
        <v>0.12408380924380857</v>
      </c>
      <c r="R36" s="32">
        <v>0.3</v>
      </c>
      <c r="S36" s="32" t="s">
        <v>116</v>
      </c>
      <c r="T36" s="32">
        <v>0.31017844878062339</v>
      </c>
      <c r="U36" s="32">
        <v>8.5</v>
      </c>
      <c r="V36" s="32">
        <v>9.1713669968132159</v>
      </c>
      <c r="W36" s="32">
        <v>8.9131455399061039</v>
      </c>
      <c r="X36" s="32">
        <v>5.0999999999999996</v>
      </c>
      <c r="Y36" s="32">
        <v>5.9784307423528871</v>
      </c>
      <c r="Z36" s="32">
        <v>2.504694835680751</v>
      </c>
      <c r="AA36" s="32">
        <v>5.0999999999999996</v>
      </c>
      <c r="AB36" s="32">
        <v>4.7662901860293792</v>
      </c>
      <c r="AC36" s="32">
        <v>3.549280193174694</v>
      </c>
      <c r="AD36" s="32">
        <v>0.9</v>
      </c>
      <c r="AE36" s="32">
        <v>0.23047298694618087</v>
      </c>
      <c r="AF36" s="32">
        <v>0.67687105118063251</v>
      </c>
      <c r="AG36" s="27" t="s">
        <v>149</v>
      </c>
    </row>
    <row r="37" spans="1:33" x14ac:dyDescent="0.2">
      <c r="A37" s="20" t="s">
        <v>66</v>
      </c>
      <c r="B37" s="29">
        <v>61</v>
      </c>
      <c r="C37" s="32">
        <v>15.4</v>
      </c>
      <c r="D37" s="32">
        <v>10.024734312164419</v>
      </c>
      <c r="E37" s="32">
        <v>10.241157556270098</v>
      </c>
      <c r="F37" s="32">
        <v>5.0999999999999996</v>
      </c>
      <c r="G37" s="32">
        <v>4.909704534969741</v>
      </c>
      <c r="H37" s="32">
        <v>3.967845659163987</v>
      </c>
      <c r="I37" s="32">
        <v>2.7</v>
      </c>
      <c r="J37" s="32" t="s">
        <v>116</v>
      </c>
      <c r="K37" s="32">
        <v>0.32154340836012862</v>
      </c>
      <c r="L37" s="32">
        <v>3.1</v>
      </c>
      <c r="M37" s="32">
        <v>4.5550693678347889</v>
      </c>
      <c r="N37" s="32">
        <v>3.8616990851732198</v>
      </c>
      <c r="O37" s="32">
        <v>0.1</v>
      </c>
      <c r="P37" s="32">
        <v>0.85256268755925291</v>
      </c>
      <c r="Q37" s="32" t="s">
        <v>116</v>
      </c>
      <c r="R37" s="32">
        <v>0.6</v>
      </c>
      <c r="S37" s="32" t="s">
        <v>116</v>
      </c>
      <c r="T37" s="32">
        <v>0.1597538288188092</v>
      </c>
      <c r="U37" s="32">
        <v>12.8</v>
      </c>
      <c r="V37" s="32">
        <v>7.8598895806351416</v>
      </c>
      <c r="W37" s="32">
        <v>8.2572347266881021</v>
      </c>
      <c r="X37" s="32">
        <v>12.5</v>
      </c>
      <c r="Y37" s="32">
        <v>9.5011741027403342</v>
      </c>
      <c r="Z37" s="32">
        <v>6.2733118971061081</v>
      </c>
      <c r="AA37" s="32">
        <v>1.7</v>
      </c>
      <c r="AB37" s="32">
        <v>2.8056042242792034</v>
      </c>
      <c r="AC37" s="32">
        <v>2.4938341906268899</v>
      </c>
      <c r="AD37" s="32">
        <v>1.4</v>
      </c>
      <c r="AE37" s="32">
        <v>2.6020278311148384</v>
      </c>
      <c r="AF37" s="32">
        <v>2.27</v>
      </c>
      <c r="AG37" s="27" t="s">
        <v>150</v>
      </c>
    </row>
    <row r="38" spans="1:33" ht="38.25" x14ac:dyDescent="0.2">
      <c r="A38" s="20" t="s">
        <v>67</v>
      </c>
      <c r="B38" s="29" t="s">
        <v>68</v>
      </c>
      <c r="C38" s="32">
        <v>9.5</v>
      </c>
      <c r="D38" s="32">
        <v>8.8691992732549476</v>
      </c>
      <c r="E38" s="32">
        <v>10.700834326579262</v>
      </c>
      <c r="F38" s="32">
        <v>3.8</v>
      </c>
      <c r="G38" s="32">
        <v>1.0695187165775399</v>
      </c>
      <c r="H38" s="32">
        <v>6.1978545887961856</v>
      </c>
      <c r="I38" s="32">
        <v>2</v>
      </c>
      <c r="J38" s="32">
        <v>1.9915762007520079</v>
      </c>
      <c r="K38" s="32">
        <v>0</v>
      </c>
      <c r="L38" s="32">
        <v>0.7</v>
      </c>
      <c r="M38" s="32">
        <v>1.5559623979698756</v>
      </c>
      <c r="N38" s="32">
        <v>5.2092637419389556</v>
      </c>
      <c r="O38" s="32">
        <v>0.4</v>
      </c>
      <c r="P38" s="32">
        <v>9.5861295646688396E-2</v>
      </c>
      <c r="Q38" s="32">
        <v>0</v>
      </c>
      <c r="R38" s="32">
        <v>0</v>
      </c>
      <c r="S38" s="32">
        <v>2.2414287280583869</v>
      </c>
      <c r="T38" s="32">
        <v>0</v>
      </c>
      <c r="U38" s="32">
        <v>3.9</v>
      </c>
      <c r="V38" s="32">
        <v>8.8691992732549476</v>
      </c>
      <c r="W38" s="32">
        <v>9.4970202622169264</v>
      </c>
      <c r="X38" s="32">
        <v>9.5</v>
      </c>
      <c r="Y38" s="32">
        <v>5.2712800995295535</v>
      </c>
      <c r="Z38" s="32">
        <v>6.3170441001191904</v>
      </c>
      <c r="AA38" s="32">
        <v>0.5</v>
      </c>
      <c r="AB38" s="32">
        <v>1.3270473072476152</v>
      </c>
      <c r="AC38" s="32">
        <v>0.85218898953997158</v>
      </c>
      <c r="AD38" s="32">
        <v>0.6</v>
      </c>
      <c r="AE38" s="32">
        <v>0.32477638636894884</v>
      </c>
      <c r="AF38" s="32">
        <v>4.398466396159634</v>
      </c>
      <c r="AG38" s="27" t="s">
        <v>151</v>
      </c>
    </row>
    <row r="39" spans="1:33" x14ac:dyDescent="0.2">
      <c r="A39" s="20" t="s">
        <v>69</v>
      </c>
      <c r="B39" s="21" t="s">
        <v>70</v>
      </c>
      <c r="C39" s="25">
        <v>0.7</v>
      </c>
      <c r="D39" s="25">
        <v>1.1091988615435417</v>
      </c>
      <c r="E39" s="32">
        <v>1</v>
      </c>
      <c r="F39" s="25">
        <v>0.5</v>
      </c>
      <c r="G39" s="32">
        <v>0.83018992698304672</v>
      </c>
      <c r="H39" s="32">
        <v>0.6</v>
      </c>
      <c r="I39" s="32">
        <v>1.5</v>
      </c>
      <c r="J39" s="32">
        <v>0.27672997566101554</v>
      </c>
      <c r="K39" s="25">
        <v>0.4</v>
      </c>
      <c r="L39" s="32">
        <v>0.1</v>
      </c>
      <c r="M39" s="32">
        <v>8.3474725726346524E-2</v>
      </c>
      <c r="N39" s="32">
        <v>0.5</v>
      </c>
      <c r="O39" s="32" t="s">
        <v>116</v>
      </c>
      <c r="P39" s="32">
        <v>0.13532251304134713</v>
      </c>
      <c r="Q39" s="32">
        <v>0.3</v>
      </c>
      <c r="R39" s="32">
        <v>0.1</v>
      </c>
      <c r="S39" s="32">
        <v>3.1159662651341284E-2</v>
      </c>
      <c r="T39" s="32">
        <v>0.4</v>
      </c>
      <c r="U39" s="32">
        <v>0.7</v>
      </c>
      <c r="V39" s="32">
        <v>1.1091988615435417</v>
      </c>
      <c r="W39" s="32">
        <v>0.8</v>
      </c>
      <c r="X39" s="32">
        <v>0.5</v>
      </c>
      <c r="Y39" s="32">
        <v>0.83018992698304672</v>
      </c>
      <c r="Z39" s="32">
        <v>0.6</v>
      </c>
      <c r="AA39" s="32">
        <v>0.1</v>
      </c>
      <c r="AB39" s="32">
        <v>4.1862698250989934E-2</v>
      </c>
      <c r="AC39" s="32">
        <v>0.4</v>
      </c>
      <c r="AD39" s="32" t="s">
        <v>116</v>
      </c>
      <c r="AE39" s="32">
        <v>0.17693454051670368</v>
      </c>
      <c r="AF39" s="32">
        <v>0.4</v>
      </c>
      <c r="AG39" s="27" t="s">
        <v>71</v>
      </c>
    </row>
    <row r="40" spans="1:33" x14ac:dyDescent="0.2">
      <c r="A40" s="20" t="s">
        <v>72</v>
      </c>
      <c r="B40" s="21" t="s">
        <v>73</v>
      </c>
      <c r="C40" s="25">
        <v>2.4</v>
      </c>
      <c r="D40" s="25">
        <v>1.7452735413363432</v>
      </c>
      <c r="E40" s="32">
        <v>2.2000000000000002</v>
      </c>
      <c r="F40" s="25">
        <v>0.8</v>
      </c>
      <c r="G40" s="32">
        <v>1.5987650117547472</v>
      </c>
      <c r="H40" s="32">
        <v>0.4</v>
      </c>
      <c r="I40" s="32">
        <v>0.9</v>
      </c>
      <c r="J40" s="32" t="s">
        <v>116</v>
      </c>
      <c r="K40" s="25">
        <v>0.5</v>
      </c>
      <c r="L40" s="32">
        <v>0.3</v>
      </c>
      <c r="M40" s="32">
        <v>0.70784663815317306</v>
      </c>
      <c r="N40" s="32">
        <v>0.3</v>
      </c>
      <c r="O40" s="32" t="s">
        <v>116</v>
      </c>
      <c r="P40" s="32">
        <v>0.11099861819825817</v>
      </c>
      <c r="Q40" s="32">
        <v>0.1</v>
      </c>
      <c r="R40" s="32">
        <v>0.1</v>
      </c>
      <c r="S40" s="32" t="s">
        <v>116</v>
      </c>
      <c r="T40" s="32">
        <v>0.1</v>
      </c>
      <c r="U40" s="32">
        <v>1.7</v>
      </c>
      <c r="V40" s="32">
        <v>0.47057021483358868</v>
      </c>
      <c r="W40" s="32">
        <v>0.7</v>
      </c>
      <c r="X40" s="32">
        <v>2.5</v>
      </c>
      <c r="Y40" s="32">
        <v>2.1112857039541795</v>
      </c>
      <c r="Z40" s="32">
        <v>2.2000000000000002</v>
      </c>
      <c r="AA40" s="32">
        <v>0.1</v>
      </c>
      <c r="AB40" s="32">
        <v>1.8064034440077633E-3</v>
      </c>
      <c r="AC40" s="32" t="s">
        <v>116</v>
      </c>
      <c r="AD40" s="32">
        <v>0.2</v>
      </c>
      <c r="AE40" s="32">
        <v>0.81703885290742329</v>
      </c>
      <c r="AF40" s="32">
        <v>0.3</v>
      </c>
      <c r="AG40" s="27" t="s">
        <v>152</v>
      </c>
    </row>
    <row r="41" spans="1:33" ht="77.25" customHeight="1" x14ac:dyDescent="0.2">
      <c r="A41" s="20" t="s">
        <v>74</v>
      </c>
      <c r="B41" s="29" t="s">
        <v>75</v>
      </c>
      <c r="C41" s="32">
        <v>0.7</v>
      </c>
      <c r="D41" s="32">
        <v>0.63845066052469002</v>
      </c>
      <c r="E41" s="32">
        <v>1.6</v>
      </c>
      <c r="F41" s="32">
        <v>0.7</v>
      </c>
      <c r="G41" s="32">
        <v>0.58540026264670597</v>
      </c>
      <c r="H41" s="32" t="s">
        <v>116</v>
      </c>
      <c r="I41" s="32">
        <v>0.7</v>
      </c>
      <c r="J41" s="32" t="s">
        <v>116</v>
      </c>
      <c r="K41" s="32">
        <v>0.7</v>
      </c>
      <c r="L41" s="32" t="s">
        <v>116</v>
      </c>
      <c r="M41" s="32">
        <v>9.746994282982649E-4</v>
      </c>
      <c r="N41" s="32" t="s">
        <v>116</v>
      </c>
      <c r="O41" s="32" t="s">
        <v>116</v>
      </c>
      <c r="P41" s="32">
        <v>1.7032776385056993E-2</v>
      </c>
      <c r="Q41" s="32" t="s">
        <v>116</v>
      </c>
      <c r="R41" s="32">
        <v>0.1</v>
      </c>
      <c r="S41" s="32" t="s">
        <v>116</v>
      </c>
      <c r="T41" s="32" t="s">
        <v>116</v>
      </c>
      <c r="U41" s="32">
        <v>1.3</v>
      </c>
      <c r="V41" s="32">
        <v>0.63845066052469002</v>
      </c>
      <c r="W41" s="32">
        <v>0.8</v>
      </c>
      <c r="X41" s="32">
        <v>1.3</v>
      </c>
      <c r="Y41" s="32">
        <v>0.58540026264670597</v>
      </c>
      <c r="Z41" s="32">
        <v>1.6</v>
      </c>
      <c r="AA41" s="32" t="s">
        <v>116</v>
      </c>
      <c r="AB41" s="32">
        <v>9.746994282982649E-4</v>
      </c>
      <c r="AC41" s="32" t="s">
        <v>116</v>
      </c>
      <c r="AD41" s="32" t="s">
        <v>116</v>
      </c>
      <c r="AE41" s="32">
        <v>1.7032776385056993E-2</v>
      </c>
      <c r="AF41" s="32">
        <v>1.6</v>
      </c>
      <c r="AG41" s="27" t="s">
        <v>153</v>
      </c>
    </row>
    <row r="42" spans="1:33" x14ac:dyDescent="0.2">
      <c r="A42" s="20" t="s">
        <v>76</v>
      </c>
      <c r="B42" s="29">
        <v>72</v>
      </c>
      <c r="C42" s="32">
        <v>3.6</v>
      </c>
      <c r="D42" s="32" t="s">
        <v>116</v>
      </c>
      <c r="E42" s="32">
        <v>3.6729166666666666</v>
      </c>
      <c r="F42" s="32">
        <v>3.6</v>
      </c>
      <c r="G42" s="32">
        <v>3.6164080858811944</v>
      </c>
      <c r="H42" s="32">
        <v>1.3885416666666668</v>
      </c>
      <c r="I42" s="32" t="s">
        <v>116</v>
      </c>
      <c r="J42" s="32" t="s">
        <v>116</v>
      </c>
      <c r="K42" s="32" t="s">
        <v>116</v>
      </c>
      <c r="L42" s="32">
        <v>0.1</v>
      </c>
      <c r="M42" s="32" t="s">
        <v>116</v>
      </c>
      <c r="N42" s="32">
        <v>1.9306735260017087</v>
      </c>
      <c r="O42" s="32" t="s">
        <v>116</v>
      </c>
      <c r="P42" s="32">
        <v>0.23501398008810614</v>
      </c>
      <c r="Q42" s="32">
        <v>1.1815932068708714</v>
      </c>
      <c r="R42" s="32" t="s">
        <v>116</v>
      </c>
      <c r="S42" s="32" t="s">
        <v>116</v>
      </c>
      <c r="T42" s="32" t="s">
        <v>116</v>
      </c>
      <c r="U42" s="32" t="s">
        <v>116</v>
      </c>
      <c r="V42" s="32" t="s">
        <v>116</v>
      </c>
      <c r="W42" s="32">
        <v>1.3885416666666668</v>
      </c>
      <c r="X42" s="32">
        <v>3.6</v>
      </c>
      <c r="Y42" s="32">
        <v>3.6164080858811944</v>
      </c>
      <c r="Z42" s="32">
        <v>3.6729166666666666</v>
      </c>
      <c r="AA42" s="32" t="s">
        <v>116</v>
      </c>
      <c r="AB42" s="32" t="s">
        <v>116</v>
      </c>
      <c r="AC42" s="32">
        <v>0.5</v>
      </c>
      <c r="AD42" s="32">
        <v>0.1</v>
      </c>
      <c r="AE42" s="32">
        <v>0.23501398008810614</v>
      </c>
      <c r="AF42" s="32">
        <v>2.6</v>
      </c>
      <c r="AG42" s="27" t="s">
        <v>154</v>
      </c>
    </row>
    <row r="43" spans="1:33" ht="38.25" x14ac:dyDescent="0.2">
      <c r="A43" s="20" t="s">
        <v>77</v>
      </c>
      <c r="B43" s="29" t="s">
        <v>78</v>
      </c>
      <c r="C43" s="32">
        <v>7.6</v>
      </c>
      <c r="D43" s="32">
        <v>6.6257814131617341</v>
      </c>
      <c r="E43" s="32">
        <v>3.8092364532019705</v>
      </c>
      <c r="F43" s="32" t="s">
        <v>116</v>
      </c>
      <c r="G43" s="32">
        <v>4.0351202500368633</v>
      </c>
      <c r="H43" s="32">
        <v>1.4957635467980295</v>
      </c>
      <c r="I43" s="32">
        <v>2.1</v>
      </c>
      <c r="J43" s="32" t="s">
        <v>116</v>
      </c>
      <c r="K43" s="32" t="s">
        <v>116</v>
      </c>
      <c r="L43" s="32">
        <v>0.6</v>
      </c>
      <c r="M43" s="32">
        <v>1.7624429388071392</v>
      </c>
      <c r="N43" s="32">
        <v>1.572705469153491</v>
      </c>
      <c r="O43" s="32" t="s">
        <v>116</v>
      </c>
      <c r="P43" s="32">
        <v>0.21518183452934456</v>
      </c>
      <c r="Q43" s="32">
        <v>0</v>
      </c>
      <c r="R43" s="32">
        <v>0.1</v>
      </c>
      <c r="S43" s="32" t="s">
        <v>116</v>
      </c>
      <c r="T43" s="32" t="s">
        <v>116</v>
      </c>
      <c r="U43" s="32">
        <v>3.8</v>
      </c>
      <c r="V43" s="32">
        <v>0.18248175182481752</v>
      </c>
      <c r="W43" s="32" t="s">
        <v>105</v>
      </c>
      <c r="X43" s="32">
        <v>5.7</v>
      </c>
      <c r="Y43" s="32">
        <v>6.6257814131617341</v>
      </c>
      <c r="Z43" s="32">
        <v>3.8092364532019705</v>
      </c>
      <c r="AA43" s="32">
        <v>0.2</v>
      </c>
      <c r="AB43" s="32">
        <v>3.2121981478729494E-3</v>
      </c>
      <c r="AC43" s="32" t="s">
        <v>116</v>
      </c>
      <c r="AD43" s="32">
        <v>0.5</v>
      </c>
      <c r="AE43" s="32">
        <v>1.9744125751886104</v>
      </c>
      <c r="AF43" s="32">
        <v>1.6</v>
      </c>
      <c r="AG43" s="27" t="s">
        <v>79</v>
      </c>
    </row>
    <row r="44" spans="1:33" ht="25.5" x14ac:dyDescent="0.2">
      <c r="A44" s="20" t="s">
        <v>80</v>
      </c>
      <c r="B44" s="21" t="s">
        <v>81</v>
      </c>
      <c r="C44" s="25">
        <v>2.5</v>
      </c>
      <c r="D44" s="25">
        <v>2.6234766146979607</v>
      </c>
      <c r="E44" s="32">
        <v>2.4186433052276559</v>
      </c>
      <c r="F44" s="25">
        <v>0.7</v>
      </c>
      <c r="G44" s="32">
        <v>0.94195419198715158</v>
      </c>
      <c r="H44" s="32">
        <v>0.78312242833052281</v>
      </c>
      <c r="I44" s="32">
        <v>0.9</v>
      </c>
      <c r="J44" s="32">
        <v>0.14613992822535204</v>
      </c>
      <c r="K44" s="25">
        <v>0.1</v>
      </c>
      <c r="L44" s="32">
        <v>1.4</v>
      </c>
      <c r="M44" s="32">
        <v>1.9926756475940248</v>
      </c>
      <c r="N44" s="32">
        <v>2.4892324324212325</v>
      </c>
      <c r="O44" s="32" t="s">
        <v>116</v>
      </c>
      <c r="P44" s="32">
        <v>0.14951284415110311</v>
      </c>
      <c r="Q44" s="32">
        <v>0.1</v>
      </c>
      <c r="R44" s="32">
        <v>1.5</v>
      </c>
      <c r="S44" s="32">
        <v>0.13088887494829554</v>
      </c>
      <c r="T44" s="32">
        <v>0.2</v>
      </c>
      <c r="U44" s="32">
        <v>2.1</v>
      </c>
      <c r="V44" s="32">
        <v>1.6456622647094441</v>
      </c>
      <c r="W44" s="32">
        <v>2.2000000000000002</v>
      </c>
      <c r="X44" s="32">
        <v>1.5</v>
      </c>
      <c r="Y44" s="32">
        <v>1.7271763876099471</v>
      </c>
      <c r="Z44" s="32">
        <v>1.8</v>
      </c>
      <c r="AA44" s="32">
        <v>1</v>
      </c>
      <c r="AB44" s="32">
        <v>1.2610998235299484</v>
      </c>
      <c r="AC44" s="32">
        <v>1.5</v>
      </c>
      <c r="AD44" s="32">
        <v>0.4</v>
      </c>
      <c r="AE44" s="32">
        <v>0.8810886682151795</v>
      </c>
      <c r="AF44" s="32">
        <v>1.1000000000000001</v>
      </c>
      <c r="AG44" s="27" t="s">
        <v>82</v>
      </c>
    </row>
    <row r="45" spans="1:33" ht="78" customHeight="1" x14ac:dyDescent="0.2">
      <c r="A45" s="20" t="s">
        <v>83</v>
      </c>
      <c r="B45" s="21" t="s">
        <v>84</v>
      </c>
      <c r="C45" s="25">
        <v>1.3</v>
      </c>
      <c r="D45" s="25">
        <v>1.6565456305915482</v>
      </c>
      <c r="E45" s="32">
        <v>1.5049643254520164</v>
      </c>
      <c r="F45" s="25">
        <v>0.4</v>
      </c>
      <c r="G45" s="32">
        <v>0.62567850338901132</v>
      </c>
      <c r="H45" s="32">
        <v>0.40749582753824753</v>
      </c>
      <c r="I45" s="32">
        <v>0.8</v>
      </c>
      <c r="J45" s="32">
        <v>8.7032201914708451E-2</v>
      </c>
      <c r="K45" s="25">
        <v>0.1</v>
      </c>
      <c r="L45" s="32">
        <v>0.6</v>
      </c>
      <c r="M45" s="32">
        <v>0.40879028793066352</v>
      </c>
      <c r="N45" s="32">
        <v>1.7826970169287728</v>
      </c>
      <c r="O45" s="32" t="s">
        <v>116</v>
      </c>
      <c r="P45" s="32">
        <v>8.6613476572779333E-2</v>
      </c>
      <c r="Q45" s="32">
        <v>0</v>
      </c>
      <c r="R45" s="32">
        <v>1.6</v>
      </c>
      <c r="S45" s="32">
        <v>0.12560084096317753</v>
      </c>
      <c r="T45" s="32">
        <v>0.2</v>
      </c>
      <c r="U45" s="32">
        <v>0.9</v>
      </c>
      <c r="V45" s="32">
        <v>0.90144447867040078</v>
      </c>
      <c r="W45" s="32">
        <v>1.3</v>
      </c>
      <c r="X45" s="32">
        <v>0.8</v>
      </c>
      <c r="Y45" s="32">
        <v>1.050140327653835</v>
      </c>
      <c r="Z45" s="32">
        <v>1</v>
      </c>
      <c r="AA45" s="32">
        <v>0.4</v>
      </c>
      <c r="AB45" s="32">
        <v>0.23460088947466123</v>
      </c>
      <c r="AC45" s="32">
        <v>0.9</v>
      </c>
      <c r="AD45" s="32">
        <v>0.2</v>
      </c>
      <c r="AE45" s="32">
        <v>0.26080287502878163</v>
      </c>
      <c r="AF45" s="32">
        <v>0.9</v>
      </c>
      <c r="AG45" s="27" t="s">
        <v>205</v>
      </c>
    </row>
    <row r="46" spans="1:33" ht="51" x14ac:dyDescent="0.2">
      <c r="A46" s="20" t="s">
        <v>85</v>
      </c>
      <c r="B46" s="29">
        <v>79</v>
      </c>
      <c r="C46" s="32">
        <v>27.5</v>
      </c>
      <c r="D46" s="32">
        <v>27.312447742215028</v>
      </c>
      <c r="E46" s="32">
        <v>31.943820224719111</v>
      </c>
      <c r="F46" s="32">
        <v>5.7</v>
      </c>
      <c r="G46" s="32">
        <v>9.0175267741929979</v>
      </c>
      <c r="H46" s="32">
        <v>12.921348314606742</v>
      </c>
      <c r="I46" s="32">
        <v>3.6</v>
      </c>
      <c r="J46" s="32">
        <v>1.6553572066904516</v>
      </c>
      <c r="K46" s="32">
        <v>2</v>
      </c>
      <c r="L46" s="32">
        <v>13.1</v>
      </c>
      <c r="M46" s="32">
        <v>25.1</v>
      </c>
      <c r="N46" s="32">
        <v>20.8</v>
      </c>
      <c r="O46" s="32">
        <v>0.4</v>
      </c>
      <c r="P46" s="32">
        <v>1.6798898529703503</v>
      </c>
      <c r="Q46" s="32">
        <v>4.2</v>
      </c>
      <c r="R46" s="32">
        <v>0.8</v>
      </c>
      <c r="S46" s="32">
        <v>0.2595497175649123</v>
      </c>
      <c r="T46" s="32">
        <v>0.9</v>
      </c>
      <c r="U46" s="32">
        <v>25.4</v>
      </c>
      <c r="V46" s="32">
        <v>20.648023068239684</v>
      </c>
      <c r="W46" s="32">
        <v>31.3</v>
      </c>
      <c r="X46" s="32">
        <v>15.5</v>
      </c>
      <c r="Y46" s="32">
        <v>19.014163785156001</v>
      </c>
      <c r="Z46" s="32">
        <v>26</v>
      </c>
      <c r="AA46" s="32">
        <v>9.5</v>
      </c>
      <c r="AB46" s="32">
        <v>16.236396535369199</v>
      </c>
      <c r="AC46" s="32">
        <v>15.5</v>
      </c>
      <c r="AD46" s="32">
        <v>4</v>
      </c>
      <c r="AE46" s="32">
        <v>15.972991072601349</v>
      </c>
      <c r="AF46" s="32">
        <v>9.5</v>
      </c>
      <c r="AG46" s="27" t="s">
        <v>155</v>
      </c>
    </row>
    <row r="47" spans="1:33" ht="25.5" x14ac:dyDescent="0.2">
      <c r="A47" s="20" t="s">
        <v>86</v>
      </c>
      <c r="B47" s="21" t="s">
        <v>87</v>
      </c>
      <c r="C47" s="25">
        <v>7.9</v>
      </c>
      <c r="D47" s="25">
        <v>6.790192863757337</v>
      </c>
      <c r="E47" s="32">
        <v>6.2</v>
      </c>
      <c r="F47" s="25">
        <v>2</v>
      </c>
      <c r="G47" s="32" t="s">
        <v>116</v>
      </c>
      <c r="H47" s="32">
        <v>6.2</v>
      </c>
      <c r="I47" s="32">
        <v>4</v>
      </c>
      <c r="J47" s="32" t="s">
        <v>116</v>
      </c>
      <c r="K47" s="32" t="s">
        <v>116</v>
      </c>
      <c r="L47" s="32">
        <v>3.3</v>
      </c>
      <c r="M47" s="32">
        <v>0.7576548803767611</v>
      </c>
      <c r="N47" s="32">
        <v>0.5</v>
      </c>
      <c r="O47" s="32" t="s">
        <v>116</v>
      </c>
      <c r="P47" s="32" t="s">
        <v>116</v>
      </c>
      <c r="Q47" s="32">
        <v>0.8</v>
      </c>
      <c r="R47" s="32">
        <v>0.4</v>
      </c>
      <c r="S47" s="32" t="s">
        <v>116</v>
      </c>
      <c r="T47" s="32" t="s">
        <v>116</v>
      </c>
      <c r="U47" s="32">
        <v>5.9</v>
      </c>
      <c r="V47" s="32">
        <v>6.790192863757337</v>
      </c>
      <c r="W47" s="32">
        <v>6.2</v>
      </c>
      <c r="X47" s="32">
        <v>7.9</v>
      </c>
      <c r="Y47" s="32">
        <v>4.7373441994401135</v>
      </c>
      <c r="Z47" s="32">
        <v>8.3000000000000007</v>
      </c>
      <c r="AA47" s="32">
        <v>1.9</v>
      </c>
      <c r="AB47" s="32">
        <v>0.14691382194375469</v>
      </c>
      <c r="AC47" s="32">
        <v>0.4</v>
      </c>
      <c r="AD47" s="32">
        <v>1.4</v>
      </c>
      <c r="AE47" s="32">
        <v>0.6107410584330063</v>
      </c>
      <c r="AF47" s="32">
        <v>0.9</v>
      </c>
      <c r="AG47" s="27" t="s">
        <v>88</v>
      </c>
    </row>
    <row r="48" spans="1:33" ht="38.25" x14ac:dyDescent="0.2">
      <c r="A48" s="20" t="s">
        <v>89</v>
      </c>
      <c r="B48" s="21" t="s">
        <v>90</v>
      </c>
      <c r="C48" s="25">
        <v>8.6</v>
      </c>
      <c r="D48" s="25">
        <v>9.8055510780554691</v>
      </c>
      <c r="E48" s="32">
        <v>10.7</v>
      </c>
      <c r="F48" s="25">
        <v>6.1</v>
      </c>
      <c r="G48" s="32">
        <v>4.471564043934559</v>
      </c>
      <c r="H48" s="32">
        <v>6.7</v>
      </c>
      <c r="I48" s="32">
        <v>3.4</v>
      </c>
      <c r="J48" s="32">
        <v>2.6669695940653089</v>
      </c>
      <c r="K48" s="25">
        <v>0.2</v>
      </c>
      <c r="L48" s="32">
        <v>3.1</v>
      </c>
      <c r="M48" s="32">
        <v>2.9</v>
      </c>
      <c r="N48" s="32">
        <v>2.9</v>
      </c>
      <c r="O48" s="32">
        <v>0.7</v>
      </c>
      <c r="P48" s="32">
        <v>4.5863478746023274</v>
      </c>
      <c r="Q48" s="32">
        <v>5.7</v>
      </c>
      <c r="R48" s="32">
        <v>0.1</v>
      </c>
      <c r="S48" s="32">
        <v>1.2944728041220357</v>
      </c>
      <c r="T48" s="32">
        <v>0.1</v>
      </c>
      <c r="U48" s="32">
        <v>6.8</v>
      </c>
      <c r="V48" s="32">
        <v>7.7666532640103831</v>
      </c>
      <c r="W48" s="32">
        <v>8.1</v>
      </c>
      <c r="X48" s="32">
        <v>14.2</v>
      </c>
      <c r="Y48" s="32">
        <v>8.5610816521905697</v>
      </c>
      <c r="Z48" s="32">
        <v>7.4</v>
      </c>
      <c r="AA48" s="32">
        <v>1.3</v>
      </c>
      <c r="AB48" s="32">
        <v>0.89165112376436328</v>
      </c>
      <c r="AC48" s="32">
        <v>3.9</v>
      </c>
      <c r="AD48" s="32">
        <v>2.5</v>
      </c>
      <c r="AE48" s="32">
        <v>6.5776573733863541</v>
      </c>
      <c r="AF48" s="32">
        <v>4.7</v>
      </c>
      <c r="AG48" s="27" t="s">
        <v>91</v>
      </c>
    </row>
    <row r="49" spans="1:33" x14ac:dyDescent="0.2">
      <c r="A49" s="114"/>
      <c r="B49" s="115"/>
      <c r="C49" s="118"/>
      <c r="D49" s="118"/>
      <c r="E49" s="122"/>
      <c r="F49" s="118"/>
      <c r="G49" s="122"/>
      <c r="H49" s="122"/>
      <c r="I49" s="122"/>
      <c r="J49" s="122"/>
      <c r="K49" s="118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2"/>
      <c r="AE49" s="122"/>
      <c r="AF49" s="122"/>
      <c r="AG49" s="121"/>
    </row>
    <row r="50" spans="1:33" ht="25.5" x14ac:dyDescent="0.2">
      <c r="A50" s="69" t="s">
        <v>92</v>
      </c>
      <c r="B50" s="69"/>
      <c r="C50" s="17"/>
      <c r="D50" s="17"/>
      <c r="E50" s="32"/>
      <c r="F50" s="17"/>
      <c r="G50" s="32"/>
      <c r="H50" s="32"/>
      <c r="I50" s="32"/>
      <c r="J50" s="32"/>
      <c r="K50" s="17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3" t="s">
        <v>156</v>
      </c>
    </row>
    <row r="51" spans="1:33" x14ac:dyDescent="0.2">
      <c r="A51" s="70" t="s">
        <v>93</v>
      </c>
      <c r="B51" s="70"/>
      <c r="C51" s="32">
        <v>3.1</v>
      </c>
      <c r="D51" s="25">
        <v>3.3545409823109247</v>
      </c>
      <c r="E51" s="32">
        <v>3.758739633500646</v>
      </c>
      <c r="F51" s="32">
        <v>2.2000000000000002</v>
      </c>
      <c r="G51" s="32">
        <v>1.9716287741831324</v>
      </c>
      <c r="H51" s="32">
        <v>2.5346607658788654</v>
      </c>
      <c r="I51" s="32">
        <v>2.2999999999999998</v>
      </c>
      <c r="J51" s="32">
        <v>1.6403509105104661</v>
      </c>
      <c r="K51" s="32">
        <v>1.2723212388014193</v>
      </c>
      <c r="L51" s="32">
        <v>0.3</v>
      </c>
      <c r="M51" s="32">
        <v>1.3374289341263672</v>
      </c>
      <c r="N51" s="32">
        <v>2.1136326131129204</v>
      </c>
      <c r="O51" s="32">
        <v>0.2</v>
      </c>
      <c r="P51" s="32">
        <v>0.38807068605247275</v>
      </c>
      <c r="Q51" s="32">
        <v>1.1799298293612428</v>
      </c>
      <c r="R51" s="32">
        <v>0.2</v>
      </c>
      <c r="S51" s="32">
        <v>1.356964062466627</v>
      </c>
      <c r="T51" s="32">
        <v>1.0254973205591056</v>
      </c>
      <c r="U51" s="32">
        <v>3.1</v>
      </c>
      <c r="V51" s="32">
        <v>2.8659439117065486</v>
      </c>
      <c r="W51" s="32">
        <v>3.2835697920130142</v>
      </c>
      <c r="X51" s="32">
        <v>2.6</v>
      </c>
      <c r="Y51" s="32">
        <v>2.7264962482556938</v>
      </c>
      <c r="Z51" s="32">
        <v>3.1627468359231123</v>
      </c>
      <c r="AA51" s="32">
        <v>0.3</v>
      </c>
      <c r="AB51" s="32">
        <v>0.54774224787657211</v>
      </c>
      <c r="AC51" s="32">
        <v>1.2085238972624022</v>
      </c>
      <c r="AD51" s="32">
        <v>0.2</v>
      </c>
      <c r="AE51" s="32">
        <v>1.1742530581871333</v>
      </c>
      <c r="AF51" s="32">
        <v>2.0850385452117601</v>
      </c>
      <c r="AG51" s="34" t="s">
        <v>94</v>
      </c>
    </row>
    <row r="52" spans="1:33" x14ac:dyDescent="0.2">
      <c r="A52" s="70" t="s">
        <v>95</v>
      </c>
      <c r="B52" s="70"/>
      <c r="C52" s="32">
        <v>6</v>
      </c>
      <c r="D52" s="25">
        <v>3.5952512593483998</v>
      </c>
      <c r="E52" s="32">
        <v>5.0849904331826998</v>
      </c>
      <c r="F52" s="32">
        <v>3.5</v>
      </c>
      <c r="G52" s="32">
        <v>1.8091026389881508</v>
      </c>
      <c r="H52" s="32">
        <v>2.7151395057456433</v>
      </c>
      <c r="I52" s="32">
        <v>6.3</v>
      </c>
      <c r="J52" s="32">
        <v>1.9509586551820095</v>
      </c>
      <c r="K52" s="32">
        <v>2.4437642151065209</v>
      </c>
      <c r="L52" s="32">
        <v>0.5</v>
      </c>
      <c r="M52" s="32">
        <v>2.2559979414724292</v>
      </c>
      <c r="N52" s="32">
        <v>3.1565774339472088</v>
      </c>
      <c r="O52" s="32">
        <v>0.2</v>
      </c>
      <c r="P52" s="32">
        <v>0.70200272802595132</v>
      </c>
      <c r="Q52" s="32">
        <v>0.21685637841930408</v>
      </c>
      <c r="R52" s="32">
        <v>0.3</v>
      </c>
      <c r="S52" s="32">
        <v>1.4720242890287343</v>
      </c>
      <c r="T52" s="32">
        <v>2.2999999999999998</v>
      </c>
      <c r="U52" s="32">
        <v>5.8</v>
      </c>
      <c r="V52" s="32">
        <v>3.1250143046674626</v>
      </c>
      <c r="W52" s="32">
        <v>5.162345028792771</v>
      </c>
      <c r="X52" s="32">
        <v>4.7</v>
      </c>
      <c r="Y52" s="32">
        <v>1.9593504394269581</v>
      </c>
      <c r="Z52" s="32">
        <v>3.1215270992898643</v>
      </c>
      <c r="AA52" s="32">
        <v>0.4</v>
      </c>
      <c r="AB52" s="32">
        <v>0.38732663086074021</v>
      </c>
      <c r="AC52" s="32">
        <v>1.3759629572635661</v>
      </c>
      <c r="AD52" s="32">
        <v>0.3</v>
      </c>
      <c r="AE52" s="32">
        <v>1.6</v>
      </c>
      <c r="AF52" s="32">
        <v>1.997470855102947</v>
      </c>
      <c r="AG52" s="27" t="s">
        <v>96</v>
      </c>
    </row>
    <row r="53" spans="1:33" x14ac:dyDescent="0.2">
      <c r="A53" s="68" t="s">
        <v>97</v>
      </c>
      <c r="B53" s="68"/>
      <c r="C53" s="32">
        <v>8.1</v>
      </c>
      <c r="D53" s="25">
        <v>7.0185294673053011</v>
      </c>
      <c r="E53" s="32">
        <v>10.283251231527094</v>
      </c>
      <c r="F53" s="32">
        <v>3.5</v>
      </c>
      <c r="G53" s="32">
        <v>3.4359027591064129</v>
      </c>
      <c r="H53" s="32">
        <v>5.9113300492610836</v>
      </c>
      <c r="I53" s="32">
        <v>8.1</v>
      </c>
      <c r="J53" s="32">
        <v>5.3627760252365935</v>
      </c>
      <c r="K53" s="32">
        <v>6.1576354679802954</v>
      </c>
      <c r="L53" s="32">
        <v>19.8</v>
      </c>
      <c r="M53" s="32">
        <v>19.608926629640592</v>
      </c>
      <c r="N53" s="32">
        <v>12.139376537590699</v>
      </c>
      <c r="O53" s="32">
        <v>3.4</v>
      </c>
      <c r="P53" s="32">
        <v>1.6635913208809945</v>
      </c>
      <c r="Q53" s="32">
        <v>0.63282687729502174</v>
      </c>
      <c r="R53" s="32">
        <v>3.3</v>
      </c>
      <c r="S53" s="32">
        <v>2.4</v>
      </c>
      <c r="T53" s="32">
        <v>1.4353439926093479</v>
      </c>
      <c r="U53" s="32">
        <v>8.1</v>
      </c>
      <c r="V53" s="32">
        <v>7.6494442938037244</v>
      </c>
      <c r="W53" s="32">
        <v>9.6999999999999993</v>
      </c>
      <c r="X53" s="32">
        <v>5.3</v>
      </c>
      <c r="Y53" s="32">
        <v>4.3146087823120611</v>
      </c>
      <c r="Z53" s="32">
        <v>6.0960591133004929</v>
      </c>
      <c r="AA53" s="32">
        <v>15.6</v>
      </c>
      <c r="AB53" s="32">
        <v>11.019319347630345</v>
      </c>
      <c r="AC53" s="32">
        <v>1.4209716480800065</v>
      </c>
      <c r="AD53" s="32">
        <v>7.6</v>
      </c>
      <c r="AE53" s="32">
        <v>10.253198602891251</v>
      </c>
      <c r="AF53" s="32">
        <v>11.4</v>
      </c>
      <c r="AG53" s="27" t="s">
        <v>98</v>
      </c>
    </row>
    <row r="54" spans="1:33" x14ac:dyDescent="0.2">
      <c r="C54" s="26"/>
      <c r="D54" s="26"/>
      <c r="F54" s="26"/>
      <c r="G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</row>
    <row r="55" spans="1:33" ht="17.25" customHeight="1" x14ac:dyDescent="0.2">
      <c r="A55" s="16" t="s">
        <v>110</v>
      </c>
      <c r="E55" s="3"/>
      <c r="G55" s="24"/>
      <c r="I55" s="26"/>
      <c r="J55" s="26"/>
      <c r="K55" s="26"/>
      <c r="L55" s="26"/>
      <c r="M55" s="35"/>
      <c r="N55" s="35"/>
      <c r="O55" s="35"/>
      <c r="P55" s="35"/>
      <c r="Q55" s="35"/>
      <c r="T55" s="26"/>
      <c r="U55" s="26"/>
      <c r="AG55" s="3"/>
    </row>
    <row r="56" spans="1:33" ht="43.5" customHeight="1" x14ac:dyDescent="0.2">
      <c r="A56" s="70" t="s">
        <v>122</v>
      </c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</row>
    <row r="57" spans="1:33" ht="15" customHeight="1" x14ac:dyDescent="0.2">
      <c r="A57" s="70" t="s">
        <v>112</v>
      </c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</row>
    <row r="58" spans="1:33" ht="12.75" customHeight="1" x14ac:dyDescent="0.2">
      <c r="A58" s="70" t="s">
        <v>121</v>
      </c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</row>
  </sheetData>
  <mergeCells count="26">
    <mergeCell ref="A58:AG58"/>
    <mergeCell ref="A1:AG1"/>
    <mergeCell ref="A2:T2"/>
    <mergeCell ref="C3:K3"/>
    <mergeCell ref="C4:E4"/>
    <mergeCell ref="F4:H4"/>
    <mergeCell ref="I4:K4"/>
    <mergeCell ref="L3:T3"/>
    <mergeCell ref="AA3:AF3"/>
    <mergeCell ref="AA4:AC4"/>
    <mergeCell ref="AD4:AF4"/>
    <mergeCell ref="L4:N4"/>
    <mergeCell ref="O4:Q4"/>
    <mergeCell ref="R4:T4"/>
    <mergeCell ref="A3:A5"/>
    <mergeCell ref="AG3:AG5"/>
    <mergeCell ref="U3:Z3"/>
    <mergeCell ref="U4:W4"/>
    <mergeCell ref="X4:Z4"/>
    <mergeCell ref="B3:B5"/>
    <mergeCell ref="A57:AG57"/>
    <mergeCell ref="A50:B50"/>
    <mergeCell ref="A51:B51"/>
    <mergeCell ref="A52:B52"/>
    <mergeCell ref="A53:B53"/>
    <mergeCell ref="A56:AG56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66"/>
  <sheetViews>
    <sheetView zoomScale="82" zoomScaleNormal="82" workbookViewId="0">
      <selection sqref="A1:O1"/>
    </sheetView>
  </sheetViews>
  <sheetFormatPr defaultRowHeight="12.75" x14ac:dyDescent="0.2"/>
  <cols>
    <col min="1" max="1" width="51.5703125" style="3" customWidth="1"/>
    <col min="2" max="2" width="19.5703125" style="3" customWidth="1"/>
    <col min="3" max="13" width="16.7109375" style="3" customWidth="1"/>
    <col min="14" max="14" width="16.7109375" style="26" customWidth="1"/>
    <col min="15" max="15" width="51.28515625" style="38" customWidth="1"/>
    <col min="16" max="16384" width="9.140625" style="3"/>
  </cols>
  <sheetData>
    <row r="1" spans="1:15" ht="61.5" customHeight="1" x14ac:dyDescent="0.2">
      <c r="A1" s="71" t="s">
        <v>163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</row>
    <row r="2" spans="1:15" ht="18.75" customHeight="1" x14ac:dyDescent="0.2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5" ht="82.5" customHeight="1" x14ac:dyDescent="0.2">
      <c r="A3" s="64"/>
      <c r="B3" s="80" t="s">
        <v>133</v>
      </c>
      <c r="C3" s="55" t="s">
        <v>160</v>
      </c>
      <c r="D3" s="56"/>
      <c r="E3" s="56"/>
      <c r="F3" s="56"/>
      <c r="G3" s="56"/>
      <c r="H3" s="56"/>
      <c r="I3" s="55" t="s">
        <v>161</v>
      </c>
      <c r="J3" s="56"/>
      <c r="K3" s="56"/>
      <c r="L3" s="56"/>
      <c r="M3" s="56"/>
      <c r="N3" s="60"/>
      <c r="O3" s="77"/>
    </row>
    <row r="4" spans="1:15" ht="55.5" customHeight="1" x14ac:dyDescent="0.2">
      <c r="A4" s="65"/>
      <c r="B4" s="81"/>
      <c r="C4" s="67" t="s">
        <v>108</v>
      </c>
      <c r="D4" s="67"/>
      <c r="E4" s="67" t="s">
        <v>162</v>
      </c>
      <c r="F4" s="67"/>
      <c r="G4" s="67" t="s">
        <v>125</v>
      </c>
      <c r="H4" s="67"/>
      <c r="I4" s="67" t="s">
        <v>108</v>
      </c>
      <c r="J4" s="67"/>
      <c r="K4" s="67" t="s">
        <v>162</v>
      </c>
      <c r="L4" s="67"/>
      <c r="M4" s="67" t="s">
        <v>125</v>
      </c>
      <c r="N4" s="67"/>
      <c r="O4" s="78"/>
    </row>
    <row r="5" spans="1:15" ht="18.75" customHeight="1" x14ac:dyDescent="0.2">
      <c r="A5" s="66"/>
      <c r="B5" s="82"/>
      <c r="C5" s="5">
        <v>2021</v>
      </c>
      <c r="D5" s="5">
        <v>2022</v>
      </c>
      <c r="E5" s="5">
        <v>2021</v>
      </c>
      <c r="F5" s="5">
        <v>2022</v>
      </c>
      <c r="G5" s="5">
        <v>2021</v>
      </c>
      <c r="H5" s="6">
        <v>2022</v>
      </c>
      <c r="I5" s="5">
        <v>2021</v>
      </c>
      <c r="J5" s="5">
        <v>2022</v>
      </c>
      <c r="K5" s="5">
        <v>2021</v>
      </c>
      <c r="L5" s="5">
        <v>2022</v>
      </c>
      <c r="M5" s="5">
        <v>2021</v>
      </c>
      <c r="N5" s="7">
        <v>2022</v>
      </c>
      <c r="O5" s="79"/>
    </row>
    <row r="6" spans="1:15" ht="20.25" customHeight="1" x14ac:dyDescent="0.2">
      <c r="A6" s="11" t="s">
        <v>0</v>
      </c>
      <c r="B6" s="39"/>
      <c r="C6" s="17">
        <v>4.1744929551626999</v>
      </c>
      <c r="D6" s="17">
        <v>4.9998655966806869</v>
      </c>
      <c r="E6" s="17">
        <v>0.52579703043667858</v>
      </c>
      <c r="F6" s="18">
        <v>0.71508175117825867</v>
      </c>
      <c r="G6" s="18">
        <v>0.32509558027847313</v>
      </c>
      <c r="H6" s="18">
        <v>0.44294039262989682</v>
      </c>
      <c r="I6" s="17">
        <v>4.9629150860081221</v>
      </c>
      <c r="J6" s="17">
        <v>2.9504505942021542</v>
      </c>
      <c r="K6" s="17">
        <v>0.17279042329423561</v>
      </c>
      <c r="L6" s="17">
        <v>6.8703265165232411E-2</v>
      </c>
      <c r="M6" s="17">
        <v>9.2909481245308304E-2</v>
      </c>
      <c r="N6" s="18">
        <v>3.3254097956053656E-2</v>
      </c>
      <c r="O6" s="19" t="s">
        <v>1</v>
      </c>
    </row>
    <row r="7" spans="1:15" ht="19.5" customHeight="1" x14ac:dyDescent="0.2">
      <c r="A7" s="20" t="s">
        <v>2</v>
      </c>
      <c r="B7" s="21" t="s">
        <v>3</v>
      </c>
      <c r="C7" s="25">
        <v>3.4870472955782947</v>
      </c>
      <c r="D7" s="25">
        <v>5.2300574859882012</v>
      </c>
      <c r="E7" s="25">
        <v>0.50582942099907158</v>
      </c>
      <c r="F7" s="26">
        <v>0.85003343289085531</v>
      </c>
      <c r="G7" s="26">
        <v>0.16364746229420488</v>
      </c>
      <c r="H7" s="26">
        <v>0.42551767973029919</v>
      </c>
      <c r="I7" s="25">
        <v>1.1643343585135115</v>
      </c>
      <c r="J7" s="25">
        <v>2.0774431594836948</v>
      </c>
      <c r="K7" s="25">
        <v>0.31027358486413087</v>
      </c>
      <c r="L7" s="25">
        <v>0.18316377283959728</v>
      </c>
      <c r="M7" s="25">
        <v>3.4964772813210261E-2</v>
      </c>
      <c r="N7" s="26">
        <v>1.9091560639691099E-2</v>
      </c>
      <c r="O7" s="27" t="s">
        <v>4</v>
      </c>
    </row>
    <row r="8" spans="1:15" ht="66.75" customHeight="1" x14ac:dyDescent="0.2">
      <c r="A8" s="20" t="s">
        <v>5</v>
      </c>
      <c r="B8" s="21" t="s">
        <v>6</v>
      </c>
      <c r="C8" s="25">
        <v>3.3795278451095347</v>
      </c>
      <c r="D8" s="25">
        <v>5.6047648594841473</v>
      </c>
      <c r="E8" s="25">
        <v>0.42037741131437162</v>
      </c>
      <c r="F8" s="26">
        <v>0.89091551450832895</v>
      </c>
      <c r="G8" s="26">
        <v>0.14091155542806558</v>
      </c>
      <c r="H8" s="26">
        <v>0.20296948307361634</v>
      </c>
      <c r="I8" s="25">
        <v>2.00876044253625</v>
      </c>
      <c r="J8" s="25">
        <v>3.3321951019606564</v>
      </c>
      <c r="K8" s="25">
        <v>5.039547848212346E-2</v>
      </c>
      <c r="L8" s="25">
        <v>0.26345287593269529</v>
      </c>
      <c r="M8" s="25">
        <v>6.6364470193411393E-2</v>
      </c>
      <c r="N8" s="26">
        <v>2.8415931925515409E-2</v>
      </c>
      <c r="O8" s="27" t="s">
        <v>135</v>
      </c>
    </row>
    <row r="9" spans="1:15" ht="28.5" customHeight="1" x14ac:dyDescent="0.2">
      <c r="A9" s="28" t="s">
        <v>7</v>
      </c>
      <c r="B9" s="21" t="s">
        <v>8</v>
      </c>
      <c r="C9" s="25">
        <v>3.1528822313288978</v>
      </c>
      <c r="D9" s="25">
        <v>5.3371151166407458</v>
      </c>
      <c r="E9" s="25">
        <v>9.272137227630968E-2</v>
      </c>
      <c r="F9" s="26">
        <v>0.35004458268532918</v>
      </c>
      <c r="G9" s="26">
        <v>9.272137227630968E-2</v>
      </c>
      <c r="H9" s="26">
        <v>5.1840331778123382E-2</v>
      </c>
      <c r="I9" s="25">
        <v>1.9200151869391082</v>
      </c>
      <c r="J9" s="25">
        <v>3.502492816358767</v>
      </c>
      <c r="K9" s="25">
        <v>1.0037710295571997E-2</v>
      </c>
      <c r="L9" s="25">
        <v>0.22517995842234145</v>
      </c>
      <c r="M9" s="25">
        <v>3.3001945012579414E-2</v>
      </c>
      <c r="N9" s="26">
        <v>2.5633656083712514E-2</v>
      </c>
      <c r="O9" s="27" t="s">
        <v>136</v>
      </c>
    </row>
    <row r="10" spans="1:15" ht="27" customHeight="1" x14ac:dyDescent="0.2">
      <c r="A10" s="28" t="s">
        <v>9</v>
      </c>
      <c r="B10" s="21" t="s">
        <v>10</v>
      </c>
      <c r="C10" s="25">
        <v>3.9246180966550499</v>
      </c>
      <c r="D10" s="25">
        <v>6.9044414168937331</v>
      </c>
      <c r="E10" s="25">
        <v>0.7110055130672629</v>
      </c>
      <c r="F10" s="26">
        <v>1.0150817438692097</v>
      </c>
      <c r="G10" s="26">
        <v>0.45117415798541766</v>
      </c>
      <c r="H10" s="26">
        <v>0.46587193460490456</v>
      </c>
      <c r="I10" s="25">
        <v>2.0466138034710366</v>
      </c>
      <c r="J10" s="25">
        <v>2.8512002416998019</v>
      </c>
      <c r="K10" s="25">
        <v>0.52835541292216182</v>
      </c>
      <c r="L10" s="25">
        <v>2.1561934683296362E-2</v>
      </c>
      <c r="M10" s="25">
        <v>0.53615724553778255</v>
      </c>
      <c r="N10" s="26">
        <v>4.3565770162022968E-2</v>
      </c>
      <c r="O10" s="27" t="s">
        <v>137</v>
      </c>
    </row>
    <row r="11" spans="1:15" ht="27" customHeight="1" x14ac:dyDescent="0.2">
      <c r="A11" s="28" t="s">
        <v>11</v>
      </c>
      <c r="B11" s="21" t="s">
        <v>12</v>
      </c>
      <c r="C11" s="25">
        <v>3.3717886193935511</v>
      </c>
      <c r="D11" s="25">
        <v>5.1914822917847028</v>
      </c>
      <c r="E11" s="25">
        <v>0.76558443018767175</v>
      </c>
      <c r="F11" s="26">
        <v>1.7900675590179413</v>
      </c>
      <c r="G11" s="26">
        <v>0</v>
      </c>
      <c r="H11" s="26">
        <v>0.29603627573182251</v>
      </c>
      <c r="I11" s="25">
        <v>2.4016972084747712</v>
      </c>
      <c r="J11" s="25">
        <v>2.3327993791820512</v>
      </c>
      <c r="K11" s="25">
        <v>1.2567945424148318E-2</v>
      </c>
      <c r="L11" s="25">
        <v>0.61022525370741487</v>
      </c>
      <c r="M11" s="32" t="s">
        <v>116</v>
      </c>
      <c r="N11" s="26">
        <v>4.2198625986516844E-2</v>
      </c>
      <c r="O11" s="27" t="s">
        <v>138</v>
      </c>
    </row>
    <row r="12" spans="1:15" ht="90.75" customHeight="1" x14ac:dyDescent="0.2">
      <c r="A12" s="20" t="s">
        <v>13</v>
      </c>
      <c r="B12" s="21" t="s">
        <v>14</v>
      </c>
      <c r="C12" s="25">
        <v>3.3522803362328144</v>
      </c>
      <c r="D12" s="25">
        <v>4.5396521084337351</v>
      </c>
      <c r="E12" s="25">
        <v>0.58534685766018868</v>
      </c>
      <c r="F12" s="26">
        <v>0.72163654618473905</v>
      </c>
      <c r="G12" s="26">
        <v>0.30269462448460754</v>
      </c>
      <c r="H12" s="26">
        <v>0.44845381526104411</v>
      </c>
      <c r="I12" s="25">
        <v>0.36287594780844767</v>
      </c>
      <c r="J12" s="25">
        <v>0.65852225387299468</v>
      </c>
      <c r="K12" s="25">
        <v>2.9443656557271537E-2</v>
      </c>
      <c r="L12" s="25">
        <v>2.3128110890035206E-2</v>
      </c>
      <c r="M12" s="25">
        <v>2.0317751454391766E-2</v>
      </c>
      <c r="N12" s="26">
        <v>2.3016939550894452E-2</v>
      </c>
      <c r="O12" s="27" t="s">
        <v>139</v>
      </c>
    </row>
    <row r="13" spans="1:15" ht="30" customHeight="1" x14ac:dyDescent="0.2">
      <c r="A13" s="20" t="s">
        <v>15</v>
      </c>
      <c r="B13" s="29">
        <v>19</v>
      </c>
      <c r="C13" s="32">
        <v>5.8823529411764701</v>
      </c>
      <c r="D13" s="32">
        <v>3.125</v>
      </c>
      <c r="E13" s="32">
        <v>2.9411764705882351</v>
      </c>
      <c r="F13" s="26">
        <v>3.125</v>
      </c>
      <c r="G13" s="26">
        <v>2.9411764705882351</v>
      </c>
      <c r="H13" s="26">
        <v>3.125</v>
      </c>
      <c r="I13" s="32">
        <v>6.6372888806439923</v>
      </c>
      <c r="J13" s="32">
        <v>0.33322338411187113</v>
      </c>
      <c r="K13" s="32">
        <v>2.5602343200625275</v>
      </c>
      <c r="L13" s="32">
        <v>0.16661169205593557</v>
      </c>
      <c r="M13" s="32">
        <v>2.5602343200625275</v>
      </c>
      <c r="N13" s="26">
        <v>0.16661169205593557</v>
      </c>
      <c r="O13" s="27" t="s">
        <v>140</v>
      </c>
    </row>
    <row r="14" spans="1:15" ht="30" customHeight="1" x14ac:dyDescent="0.2">
      <c r="A14" s="20" t="s">
        <v>16</v>
      </c>
      <c r="B14" s="29">
        <v>20</v>
      </c>
      <c r="C14" s="32">
        <v>5.4473306584394328</v>
      </c>
      <c r="D14" s="32">
        <v>1.5178</v>
      </c>
      <c r="E14" s="32" t="s">
        <v>116</v>
      </c>
      <c r="F14" s="32" t="s">
        <v>116</v>
      </c>
      <c r="G14" s="32" t="s">
        <v>116</v>
      </c>
      <c r="H14" s="32" t="s">
        <v>116</v>
      </c>
      <c r="I14" s="32">
        <v>5.5684596718062349E-2</v>
      </c>
      <c r="J14" s="32">
        <v>0.333229248184152</v>
      </c>
      <c r="K14" s="32" t="s">
        <v>116</v>
      </c>
      <c r="L14" s="32" t="s">
        <v>116</v>
      </c>
      <c r="M14" s="32" t="s">
        <v>116</v>
      </c>
      <c r="N14" s="32" t="s">
        <v>116</v>
      </c>
      <c r="O14" s="27" t="s">
        <v>141</v>
      </c>
    </row>
    <row r="15" spans="1:15" ht="30" customHeight="1" x14ac:dyDescent="0.2">
      <c r="A15" s="20" t="s">
        <v>17</v>
      </c>
      <c r="B15" s="29">
        <v>21</v>
      </c>
      <c r="C15" s="32">
        <v>5.8035742447468186</v>
      </c>
      <c r="D15" s="32">
        <v>6.123711340206186</v>
      </c>
      <c r="E15" s="32" t="s">
        <v>116</v>
      </c>
      <c r="F15" s="32" t="s">
        <v>116</v>
      </c>
      <c r="G15" s="32" t="s">
        <v>116</v>
      </c>
      <c r="H15" s="32" t="s">
        <v>116</v>
      </c>
      <c r="I15" s="32">
        <v>2.6421828347436668E-3</v>
      </c>
      <c r="J15" s="32">
        <v>1.0325977578835972</v>
      </c>
      <c r="K15" s="32" t="s">
        <v>116</v>
      </c>
      <c r="L15" s="32" t="s">
        <v>116</v>
      </c>
      <c r="M15" s="32" t="s">
        <v>116</v>
      </c>
      <c r="N15" s="32" t="s">
        <v>116</v>
      </c>
      <c r="O15" s="27" t="s">
        <v>142</v>
      </c>
    </row>
    <row r="16" spans="1:15" ht="27.75" customHeight="1" x14ac:dyDescent="0.2">
      <c r="A16" s="20" t="s">
        <v>18</v>
      </c>
      <c r="B16" s="29" t="s">
        <v>19</v>
      </c>
      <c r="C16" s="32">
        <v>2.5667715119867096</v>
      </c>
      <c r="D16" s="32">
        <v>5.330870165745857</v>
      </c>
      <c r="E16" s="32">
        <v>0.73778969868173583</v>
      </c>
      <c r="F16" s="26">
        <v>0.92368784530386749</v>
      </c>
      <c r="G16" s="26">
        <v>0.35340241594150185</v>
      </c>
      <c r="H16" s="26">
        <v>0.54787292817679556</v>
      </c>
      <c r="I16" s="32">
        <v>0.44420961691876676</v>
      </c>
      <c r="J16" s="32">
        <v>0.80602240459986452</v>
      </c>
      <c r="K16" s="32">
        <v>1.3739444176913525E-2</v>
      </c>
      <c r="L16" s="32">
        <v>2.3423847612579342E-3</v>
      </c>
      <c r="M16" s="32" t="s">
        <v>116</v>
      </c>
      <c r="N16" s="26">
        <v>2.1126376678679191E-3</v>
      </c>
      <c r="O16" s="27" t="s">
        <v>20</v>
      </c>
    </row>
    <row r="17" spans="1:15" ht="37.5" customHeight="1" x14ac:dyDescent="0.2">
      <c r="A17" s="28" t="s">
        <v>21</v>
      </c>
      <c r="B17" s="21" t="s">
        <v>22</v>
      </c>
      <c r="C17" s="25">
        <v>3.9117301412161334</v>
      </c>
      <c r="D17" s="25">
        <v>5.3535449735449738</v>
      </c>
      <c r="E17" s="25">
        <v>0.53009616025602468</v>
      </c>
      <c r="F17" s="26">
        <v>1.1048236331569663</v>
      </c>
      <c r="G17" s="26">
        <v>0</v>
      </c>
      <c r="H17" s="26">
        <v>0.62687830687830681</v>
      </c>
      <c r="I17" s="25">
        <v>0.10788404313717868</v>
      </c>
      <c r="J17" s="25">
        <v>0.21799474140466324</v>
      </c>
      <c r="K17" s="25">
        <v>1.7841184263615055E-3</v>
      </c>
      <c r="L17" s="25">
        <v>2.770775522998736E-3</v>
      </c>
      <c r="M17" s="32" t="s">
        <v>116</v>
      </c>
      <c r="N17" s="26">
        <v>7.0510364743808058E-4</v>
      </c>
      <c r="O17" s="27" t="s">
        <v>143</v>
      </c>
    </row>
    <row r="18" spans="1:15" ht="43.5" customHeight="1" x14ac:dyDescent="0.2">
      <c r="A18" s="20" t="s">
        <v>23</v>
      </c>
      <c r="B18" s="21" t="s">
        <v>24</v>
      </c>
      <c r="C18" s="25">
        <v>3.5540414048474274</v>
      </c>
      <c r="D18" s="25">
        <v>5.169766962934947</v>
      </c>
      <c r="E18" s="25">
        <v>0.55146197910137995</v>
      </c>
      <c r="F18" s="26">
        <v>0.77993940998487132</v>
      </c>
      <c r="G18" s="26">
        <v>0.16021978055089733</v>
      </c>
      <c r="H18" s="26">
        <v>0.63515937972768544</v>
      </c>
      <c r="I18" s="25">
        <v>0.81468229216101451</v>
      </c>
      <c r="J18" s="25">
        <v>1.5195245391596377</v>
      </c>
      <c r="K18" s="25">
        <v>1.3059572034863327</v>
      </c>
      <c r="L18" s="25">
        <v>0.30269510018963003</v>
      </c>
      <c r="M18" s="25">
        <v>3.1738677149383055E-3</v>
      </c>
      <c r="N18" s="26">
        <v>2.8189794853848748E-3</v>
      </c>
      <c r="O18" s="27" t="s">
        <v>134</v>
      </c>
    </row>
    <row r="19" spans="1:15" ht="31.5" customHeight="1" x14ac:dyDescent="0.2">
      <c r="A19" s="20" t="s">
        <v>25</v>
      </c>
      <c r="B19" s="29">
        <v>26</v>
      </c>
      <c r="C19" s="32">
        <v>2.320350171219999</v>
      </c>
      <c r="D19" s="32">
        <v>6.7307692307692308</v>
      </c>
      <c r="E19" s="32" t="s">
        <v>116</v>
      </c>
      <c r="F19" s="26">
        <v>1.7912087912087913</v>
      </c>
      <c r="G19" s="32" t="s">
        <v>116</v>
      </c>
      <c r="H19" s="26">
        <v>1.7912087912087913</v>
      </c>
      <c r="I19" s="32">
        <v>0.3104565212079658</v>
      </c>
      <c r="J19" s="32">
        <v>3.3625001172591213</v>
      </c>
      <c r="K19" s="32" t="s">
        <v>116</v>
      </c>
      <c r="L19" s="32">
        <v>2.4470302904719854E-2</v>
      </c>
      <c r="M19" s="32" t="s">
        <v>116</v>
      </c>
      <c r="N19" s="26">
        <v>5.1728022569670663E-3</v>
      </c>
      <c r="O19" s="27" t="s">
        <v>26</v>
      </c>
    </row>
    <row r="20" spans="1:15" ht="20.25" customHeight="1" x14ac:dyDescent="0.2">
      <c r="A20" s="20" t="s">
        <v>27</v>
      </c>
      <c r="B20" s="29">
        <v>27</v>
      </c>
      <c r="C20" s="32">
        <v>2.7529585804600036</v>
      </c>
      <c r="D20" s="32">
        <v>6.0707627118644059</v>
      </c>
      <c r="E20" s="32" t="s">
        <v>116</v>
      </c>
      <c r="F20" s="32" t="s">
        <v>116</v>
      </c>
      <c r="G20" s="32" t="s">
        <v>116</v>
      </c>
      <c r="H20" s="32" t="s">
        <v>116</v>
      </c>
      <c r="I20" s="32">
        <v>0.18896690785636547</v>
      </c>
      <c r="J20" s="32">
        <v>0.96481152421391458</v>
      </c>
      <c r="K20" s="32" t="s">
        <v>116</v>
      </c>
      <c r="L20" s="32" t="s">
        <v>116</v>
      </c>
      <c r="M20" s="32" t="s">
        <v>116</v>
      </c>
      <c r="N20" s="32" t="s">
        <v>116</v>
      </c>
      <c r="O20" s="27" t="s">
        <v>28</v>
      </c>
    </row>
    <row r="21" spans="1:15" ht="20.25" customHeight="1" x14ac:dyDescent="0.2">
      <c r="A21" s="20" t="s">
        <v>29</v>
      </c>
      <c r="B21" s="29">
        <v>28</v>
      </c>
      <c r="C21" s="32">
        <v>3.7318370559104044</v>
      </c>
      <c r="D21" s="32">
        <v>4.712253333333333</v>
      </c>
      <c r="E21" s="32">
        <v>1.2312762166652371</v>
      </c>
      <c r="F21" s="26">
        <v>0.56265333333333334</v>
      </c>
      <c r="G21" s="26">
        <v>0.5722860871897274</v>
      </c>
      <c r="H21" s="26">
        <v>1.1253066666666667</v>
      </c>
      <c r="I21" s="32">
        <v>1.1033815564942808</v>
      </c>
      <c r="J21" s="32">
        <v>1.038198473168616</v>
      </c>
      <c r="K21" s="32">
        <v>0.29173055818916033</v>
      </c>
      <c r="L21" s="32">
        <v>3.7967534712725626E-2</v>
      </c>
      <c r="M21" s="32">
        <v>1.0281808497352283E-2</v>
      </c>
      <c r="N21" s="26">
        <v>4.2934962611502021E-3</v>
      </c>
      <c r="O21" s="27" t="s">
        <v>144</v>
      </c>
    </row>
    <row r="22" spans="1:15" ht="43.5" customHeight="1" x14ac:dyDescent="0.2">
      <c r="A22" s="20" t="s">
        <v>30</v>
      </c>
      <c r="B22" s="29" t="s">
        <v>31</v>
      </c>
      <c r="C22" s="32">
        <v>2.1230932594363443</v>
      </c>
      <c r="D22" s="32">
        <v>5.2229288135593226</v>
      </c>
      <c r="E22" s="32">
        <v>0.65146579804560267</v>
      </c>
      <c r="F22" s="26">
        <v>2.8117830508474575</v>
      </c>
      <c r="G22" s="26">
        <v>0</v>
      </c>
      <c r="H22" s="26">
        <v>0.45677288135593225</v>
      </c>
      <c r="I22" s="32">
        <v>1.0256410503311044</v>
      </c>
      <c r="J22" s="32">
        <v>2.1509175130292615</v>
      </c>
      <c r="K22" s="32">
        <v>10.224993813060893</v>
      </c>
      <c r="L22" s="32">
        <v>0.83918381435604783</v>
      </c>
      <c r="M22" s="32" t="s">
        <v>116</v>
      </c>
      <c r="N22" s="26">
        <v>2.0716772330061622E-3</v>
      </c>
      <c r="O22" s="27" t="s">
        <v>145</v>
      </c>
    </row>
    <row r="23" spans="1:15" ht="27" customHeight="1" x14ac:dyDescent="0.2">
      <c r="A23" s="20" t="s">
        <v>32</v>
      </c>
      <c r="B23" s="29" t="s">
        <v>33</v>
      </c>
      <c r="C23" s="32">
        <v>4.1513195678166293</v>
      </c>
      <c r="D23" s="32">
        <v>4.9840708298052494</v>
      </c>
      <c r="E23" s="32">
        <v>0.3344082672154583</v>
      </c>
      <c r="F23" s="26">
        <v>0.55087976291278584</v>
      </c>
      <c r="G23" s="26">
        <v>0</v>
      </c>
      <c r="H23" s="26">
        <v>0.34003640982218458</v>
      </c>
      <c r="I23" s="32">
        <v>0.933210835913586</v>
      </c>
      <c r="J23" s="32">
        <v>0.78824342470022979</v>
      </c>
      <c r="K23" s="32">
        <v>2.0133843459950469E-2</v>
      </c>
      <c r="L23" s="32">
        <v>3.9009988950554028E-3</v>
      </c>
      <c r="M23" s="32" t="s">
        <v>116</v>
      </c>
      <c r="N23" s="26">
        <v>3.3104802427756925E-3</v>
      </c>
      <c r="O23" s="27" t="s">
        <v>146</v>
      </c>
    </row>
    <row r="24" spans="1:15" ht="42.75" customHeight="1" x14ac:dyDescent="0.2">
      <c r="A24" s="20" t="s">
        <v>34</v>
      </c>
      <c r="B24" s="29" t="s">
        <v>35</v>
      </c>
      <c r="C24" s="32">
        <v>0.4086608088003516</v>
      </c>
      <c r="D24" s="32">
        <v>1.4640088593576965</v>
      </c>
      <c r="E24" s="32" t="s">
        <v>116</v>
      </c>
      <c r="F24" s="32" t="s">
        <v>116</v>
      </c>
      <c r="G24" s="32" t="s">
        <v>116</v>
      </c>
      <c r="H24" s="32" t="s">
        <v>116</v>
      </c>
      <c r="I24" s="32">
        <v>0.11762220454817031</v>
      </c>
      <c r="J24" s="32">
        <v>0.19585806989046553</v>
      </c>
      <c r="K24" s="32" t="s">
        <v>116</v>
      </c>
      <c r="L24" s="32" t="s">
        <v>116</v>
      </c>
      <c r="M24" s="32" t="s">
        <v>116</v>
      </c>
      <c r="N24" s="32" t="s">
        <v>116</v>
      </c>
      <c r="O24" s="27" t="s">
        <v>36</v>
      </c>
    </row>
    <row r="25" spans="1:15" ht="31.5" customHeight="1" x14ac:dyDescent="0.2">
      <c r="A25" s="20" t="s">
        <v>37</v>
      </c>
      <c r="B25" s="21" t="s">
        <v>38</v>
      </c>
      <c r="C25" s="25">
        <v>0.90268191255790176</v>
      </c>
      <c r="D25" s="25">
        <v>2.8927576601671312</v>
      </c>
      <c r="E25" s="32" t="s">
        <v>116</v>
      </c>
      <c r="F25" s="32" t="s">
        <v>116</v>
      </c>
      <c r="G25" s="32" t="s">
        <v>116</v>
      </c>
      <c r="H25" s="32" t="s">
        <v>116</v>
      </c>
      <c r="I25" s="25">
        <v>0.10879208223605522</v>
      </c>
      <c r="J25" s="25">
        <v>0.20035760961004276</v>
      </c>
      <c r="K25" s="32" t="s">
        <v>116</v>
      </c>
      <c r="L25" s="32" t="s">
        <v>116</v>
      </c>
      <c r="M25" s="32" t="s">
        <v>116</v>
      </c>
      <c r="N25" s="32" t="s">
        <v>116</v>
      </c>
      <c r="O25" s="27" t="s">
        <v>39</v>
      </c>
    </row>
    <row r="26" spans="1:15" ht="31.5" customHeight="1" x14ac:dyDescent="0.2">
      <c r="A26" s="20" t="s">
        <v>40</v>
      </c>
      <c r="B26" s="21" t="s">
        <v>41</v>
      </c>
      <c r="C26" s="25">
        <v>8.4459459459459457E-2</v>
      </c>
      <c r="D26" s="25">
        <v>0.52113970588235292</v>
      </c>
      <c r="E26" s="32" t="s">
        <v>116</v>
      </c>
      <c r="F26" s="32" t="s">
        <v>116</v>
      </c>
      <c r="G26" s="32" t="s">
        <v>116</v>
      </c>
      <c r="H26" s="32" t="s">
        <v>116</v>
      </c>
      <c r="I26" s="25">
        <v>0.27807959484049127</v>
      </c>
      <c r="J26" s="25">
        <v>5.6649139250511946E-2</v>
      </c>
      <c r="K26" s="32" t="s">
        <v>116</v>
      </c>
      <c r="L26" s="32" t="s">
        <v>116</v>
      </c>
      <c r="M26" s="32" t="s">
        <v>116</v>
      </c>
      <c r="N26" s="32" t="s">
        <v>116</v>
      </c>
      <c r="O26" s="27" t="s">
        <v>42</v>
      </c>
    </row>
    <row r="27" spans="1:15" ht="15.75" customHeight="1" x14ac:dyDescent="0.2">
      <c r="A27" s="20" t="s">
        <v>43</v>
      </c>
      <c r="B27" s="21" t="s">
        <v>44</v>
      </c>
      <c r="C27" s="25">
        <v>1.1714149696094094</v>
      </c>
      <c r="D27" s="25">
        <v>1.5569312921890071</v>
      </c>
      <c r="E27" s="32" t="s">
        <v>116</v>
      </c>
      <c r="F27" s="32" t="s">
        <v>116</v>
      </c>
      <c r="G27" s="32" t="s">
        <v>116</v>
      </c>
      <c r="H27" s="32" t="s">
        <v>116</v>
      </c>
      <c r="I27" s="25">
        <v>1.1318997130490784</v>
      </c>
      <c r="J27" s="25">
        <v>0.35142281927259822</v>
      </c>
      <c r="K27" s="32" t="s">
        <v>116</v>
      </c>
      <c r="L27" s="32" t="s">
        <v>116</v>
      </c>
      <c r="M27" s="32" t="s">
        <v>116</v>
      </c>
      <c r="N27" s="32" t="s">
        <v>116</v>
      </c>
      <c r="O27" s="27" t="s">
        <v>45</v>
      </c>
    </row>
    <row r="28" spans="1:15" ht="26.25" customHeight="1" x14ac:dyDescent="0.2">
      <c r="A28" s="20" t="s">
        <v>46</v>
      </c>
      <c r="B28" s="21" t="s">
        <v>47</v>
      </c>
      <c r="C28" s="25">
        <v>7.1437283497050013</v>
      </c>
      <c r="D28" s="25">
        <v>8.0717523401534557</v>
      </c>
      <c r="E28" s="25">
        <v>0.29714213864506323</v>
      </c>
      <c r="F28" s="26">
        <v>0.16207583478260867</v>
      </c>
      <c r="G28" s="26">
        <v>0.29714213864506323</v>
      </c>
      <c r="H28" s="26">
        <v>4.8636010230179036E-2</v>
      </c>
      <c r="I28" s="25">
        <v>7.9910439412914327</v>
      </c>
      <c r="J28" s="25">
        <v>4.2616306265310442</v>
      </c>
      <c r="K28" s="25">
        <v>4.2222808635283084E-2</v>
      </c>
      <c r="L28" s="25">
        <v>1.5566581027789692E-2</v>
      </c>
      <c r="M28" s="25">
        <v>5.1946287286364835E-2</v>
      </c>
      <c r="N28" s="26">
        <v>3.4735412939491998E-2</v>
      </c>
      <c r="O28" s="27" t="s">
        <v>48</v>
      </c>
    </row>
    <row r="29" spans="1:15" ht="39" customHeight="1" x14ac:dyDescent="0.2">
      <c r="A29" s="20" t="s">
        <v>49</v>
      </c>
      <c r="B29" s="29">
        <v>45</v>
      </c>
      <c r="C29" s="32">
        <v>5.977559212786562</v>
      </c>
      <c r="D29" s="32">
        <v>7.5736377970297042</v>
      </c>
      <c r="E29" s="32">
        <v>0.5573442842644305</v>
      </c>
      <c r="F29" s="26">
        <v>0.31555171782178215</v>
      </c>
      <c r="G29" s="26">
        <v>0.5573442842644305</v>
      </c>
      <c r="H29" s="26">
        <v>0.37169999999999997</v>
      </c>
      <c r="I29" s="32">
        <v>10.715251609258816</v>
      </c>
      <c r="J29" s="32">
        <v>6.9531387027088849</v>
      </c>
      <c r="K29" s="32">
        <v>0.12446799232663928</v>
      </c>
      <c r="L29" s="32">
        <v>3.6887903490626919E-4</v>
      </c>
      <c r="M29" s="32">
        <v>4.1489330775546431E-2</v>
      </c>
      <c r="N29" s="26">
        <v>8.5997889158037615E-3</v>
      </c>
      <c r="O29" s="27" t="s">
        <v>147</v>
      </c>
    </row>
    <row r="30" spans="1:15" ht="28.5" customHeight="1" x14ac:dyDescent="0.2">
      <c r="A30" s="20" t="s">
        <v>50</v>
      </c>
      <c r="B30" s="29">
        <v>46</v>
      </c>
      <c r="C30" s="32">
        <v>7.0049729279672661</v>
      </c>
      <c r="D30" s="32">
        <v>8.1860511783248295</v>
      </c>
      <c r="E30" s="32">
        <v>0.34040331625404835</v>
      </c>
      <c r="F30" s="26">
        <v>0.18997058691083757</v>
      </c>
      <c r="G30" s="26">
        <v>0.34040331625404835</v>
      </c>
      <c r="H30" s="26">
        <v>1.5010507355148604E-2</v>
      </c>
      <c r="I30" s="32">
        <v>4.4778743601271325</v>
      </c>
      <c r="J30" s="32">
        <v>4.351173502494234</v>
      </c>
      <c r="K30" s="32">
        <v>1.2572400676061631E-2</v>
      </c>
      <c r="L30" s="32">
        <v>2.3408565799334709E-2</v>
      </c>
      <c r="M30" s="32">
        <v>3.4101110571779135E-2</v>
      </c>
      <c r="N30" s="26">
        <v>5.1539115197427522E-2</v>
      </c>
      <c r="O30" s="27" t="s">
        <v>51</v>
      </c>
    </row>
    <row r="31" spans="1:15" ht="27.75" customHeight="1" x14ac:dyDescent="0.2">
      <c r="A31" s="20" t="s">
        <v>52</v>
      </c>
      <c r="B31" s="29">
        <v>47</v>
      </c>
      <c r="C31" s="32">
        <v>8.1230800131657546</v>
      </c>
      <c r="D31" s="32">
        <v>7.9488977650974819</v>
      </c>
      <c r="E31" s="32">
        <v>4.0518638573743923E-2</v>
      </c>
      <c r="F31" s="32" t="s">
        <v>116</v>
      </c>
      <c r="G31" s="32">
        <v>4.0518638573743923E-2</v>
      </c>
      <c r="H31" s="32" t="s">
        <v>116</v>
      </c>
      <c r="I31" s="32">
        <v>28.686550795414668</v>
      </c>
      <c r="J31" s="32">
        <v>3.4691769571963746</v>
      </c>
      <c r="K31" s="32">
        <v>0.17446388464686563</v>
      </c>
      <c r="L31" s="32" t="s">
        <v>116</v>
      </c>
      <c r="M31" s="32">
        <v>0.17446388464686563</v>
      </c>
      <c r="N31" s="32" t="s">
        <v>116</v>
      </c>
      <c r="O31" s="27" t="s">
        <v>53</v>
      </c>
    </row>
    <row r="32" spans="1:15" ht="28.5" customHeight="1" x14ac:dyDescent="0.2">
      <c r="A32" s="20" t="s">
        <v>54</v>
      </c>
      <c r="B32" s="21" t="s">
        <v>55</v>
      </c>
      <c r="C32" s="25">
        <v>2.4514373245966099</v>
      </c>
      <c r="D32" s="25">
        <v>4.3661475168968567</v>
      </c>
      <c r="E32" s="25">
        <v>0.52201014274750712</v>
      </c>
      <c r="F32" s="26">
        <v>1.8410226270937406</v>
      </c>
      <c r="G32" s="26">
        <v>7.6824583866837381E-2</v>
      </c>
      <c r="H32" s="26">
        <v>0.90302674111078451</v>
      </c>
      <c r="I32" s="25">
        <v>19.816974025021484</v>
      </c>
      <c r="J32" s="25">
        <v>7.2958307579621264</v>
      </c>
      <c r="K32" s="25">
        <v>1.4915146540399433</v>
      </c>
      <c r="L32" s="25">
        <v>0.18444409392716526</v>
      </c>
      <c r="M32" s="25">
        <v>1.2623477584509517</v>
      </c>
      <c r="N32" s="26">
        <v>0.15186749273922356</v>
      </c>
      <c r="O32" s="27" t="s">
        <v>56</v>
      </c>
    </row>
    <row r="33" spans="1:15" ht="29.25" customHeight="1" x14ac:dyDescent="0.2">
      <c r="A33" s="20" t="s">
        <v>57</v>
      </c>
      <c r="B33" s="21" t="s">
        <v>58</v>
      </c>
      <c r="C33" s="25">
        <v>14.141117231005754</v>
      </c>
      <c r="D33" s="25">
        <v>10.793057441860471</v>
      </c>
      <c r="E33" s="25">
        <v>5.0366913633535448</v>
      </c>
      <c r="F33" s="26">
        <v>5.1429767441860479</v>
      </c>
      <c r="G33" s="26">
        <v>4.8396375833958212</v>
      </c>
      <c r="H33" s="26">
        <v>4.008393488372092</v>
      </c>
      <c r="I33" s="25">
        <v>8.8363313796436493</v>
      </c>
      <c r="J33" s="25">
        <v>11.412475731756828</v>
      </c>
      <c r="K33" s="25">
        <v>0.65513423006170712</v>
      </c>
      <c r="L33" s="25">
        <v>1.0036572038022342</v>
      </c>
      <c r="M33" s="25">
        <v>0.5981537874332884</v>
      </c>
      <c r="N33" s="26">
        <v>0.511735219631967</v>
      </c>
      <c r="O33" s="27" t="s">
        <v>59</v>
      </c>
    </row>
    <row r="34" spans="1:15" ht="17.25" customHeight="1" x14ac:dyDescent="0.2">
      <c r="A34" s="20" t="s">
        <v>60</v>
      </c>
      <c r="B34" s="29">
        <v>55</v>
      </c>
      <c r="C34" s="32">
        <v>28.388599961810151</v>
      </c>
      <c r="D34" s="32">
        <v>23.006405693950192</v>
      </c>
      <c r="E34" s="32">
        <v>15.187764248795526</v>
      </c>
      <c r="F34" s="26">
        <v>14.589198576512457</v>
      </c>
      <c r="G34" s="26">
        <v>14.565033569497601</v>
      </c>
      <c r="H34" s="26">
        <v>11.404526690391457</v>
      </c>
      <c r="I34" s="32">
        <v>8.1472404585094491</v>
      </c>
      <c r="J34" s="32">
        <v>15.400179477877266</v>
      </c>
      <c r="K34" s="32">
        <v>2.1397891074205559</v>
      </c>
      <c r="L34" s="32">
        <v>4.3599169190906633</v>
      </c>
      <c r="M34" s="32">
        <v>1.916733029030401</v>
      </c>
      <c r="N34" s="26">
        <v>2.2606187616114899</v>
      </c>
      <c r="O34" s="27" t="s">
        <v>148</v>
      </c>
    </row>
    <row r="35" spans="1:15" ht="17.25" customHeight="1" x14ac:dyDescent="0.2">
      <c r="A35" s="20" t="s">
        <v>61</v>
      </c>
      <c r="B35" s="21" t="s">
        <v>62</v>
      </c>
      <c r="C35" s="25">
        <v>9.1937342088241163</v>
      </c>
      <c r="D35" s="25">
        <v>10.087563451776651</v>
      </c>
      <c r="E35" s="25">
        <v>1.4957952019475005</v>
      </c>
      <c r="F35" s="26">
        <v>2.2328680203045685</v>
      </c>
      <c r="G35" s="26">
        <v>0.92739612955744488</v>
      </c>
      <c r="H35" s="26">
        <v>1.5850253807106598</v>
      </c>
      <c r="I35" s="25">
        <v>2.8910601745027726</v>
      </c>
      <c r="J35" s="25">
        <v>3.3958747007703822</v>
      </c>
      <c r="K35" s="25">
        <v>2.5105968379009198E-2</v>
      </c>
      <c r="L35" s="25">
        <v>5.1728635961760069E-2</v>
      </c>
      <c r="M35" s="25">
        <v>4.8126845857766679E-3</v>
      </c>
      <c r="N35" s="26">
        <v>4.1568515130220474E-2</v>
      </c>
      <c r="O35" s="27" t="s">
        <v>63</v>
      </c>
    </row>
    <row r="36" spans="1:15" ht="53.25" customHeight="1" x14ac:dyDescent="0.2">
      <c r="A36" s="28" t="s">
        <v>64</v>
      </c>
      <c r="B36" s="21" t="s">
        <v>65</v>
      </c>
      <c r="C36" s="25">
        <v>9.1713669968132159</v>
      </c>
      <c r="D36" s="25">
        <v>10.215962441314556</v>
      </c>
      <c r="E36" s="32" t="s">
        <v>116</v>
      </c>
      <c r="F36" s="32">
        <v>2.035211267605634</v>
      </c>
      <c r="G36" s="32" t="s">
        <v>116</v>
      </c>
      <c r="H36" s="32">
        <v>1.068075117370892</v>
      </c>
      <c r="I36" s="25">
        <v>4.9967631729755597</v>
      </c>
      <c r="J36" s="25">
        <v>4.1930230279114467</v>
      </c>
      <c r="K36" s="32" t="s">
        <v>116</v>
      </c>
      <c r="L36" s="25">
        <v>1.5426036420770995E-2</v>
      </c>
      <c r="M36" s="32" t="s">
        <v>116</v>
      </c>
      <c r="N36" s="32">
        <v>1.7702180023108388E-2</v>
      </c>
      <c r="O36" s="27" t="s">
        <v>149</v>
      </c>
    </row>
    <row r="37" spans="1:15" ht="18.75" customHeight="1" x14ac:dyDescent="0.2">
      <c r="A37" s="20" t="s">
        <v>66</v>
      </c>
      <c r="B37" s="29">
        <v>61</v>
      </c>
      <c r="C37" s="32">
        <v>10.024734312164419</v>
      </c>
      <c r="D37" s="32">
        <v>8.2572347266881021</v>
      </c>
      <c r="E37" s="32" t="s">
        <v>116</v>
      </c>
      <c r="F37" s="32" t="s">
        <v>116</v>
      </c>
      <c r="G37" s="32" t="s">
        <v>116</v>
      </c>
      <c r="H37" s="32">
        <v>1.9839228295819935</v>
      </c>
      <c r="I37" s="32">
        <v>5.4076320553940427</v>
      </c>
      <c r="J37" s="32">
        <v>0.85748819128376885</v>
      </c>
      <c r="K37" s="32" t="s">
        <v>116</v>
      </c>
      <c r="L37" s="32" t="s">
        <v>116</v>
      </c>
      <c r="M37" s="32" t="s">
        <v>116</v>
      </c>
      <c r="N37" s="32">
        <v>4.2108938894580162E-3</v>
      </c>
      <c r="O37" s="27" t="s">
        <v>150</v>
      </c>
    </row>
    <row r="38" spans="1:15" ht="43.5" customHeight="1" x14ac:dyDescent="0.2">
      <c r="A38" s="20" t="s">
        <v>67</v>
      </c>
      <c r="B38" s="29" t="s">
        <v>68</v>
      </c>
      <c r="C38" s="32">
        <v>8.8691992732549476</v>
      </c>
      <c r="D38" s="32">
        <v>10.700834326579262</v>
      </c>
      <c r="E38" s="32">
        <v>3.1083744143144316</v>
      </c>
      <c r="F38" s="32">
        <v>3.1609058402860546</v>
      </c>
      <c r="G38" s="32">
        <v>1.9271985879466478</v>
      </c>
      <c r="H38" s="32">
        <v>1.6996424314660312</v>
      </c>
      <c r="I38" s="32">
        <v>1.6050848779369198</v>
      </c>
      <c r="J38" s="32">
        <v>5.0865009519212823</v>
      </c>
      <c r="K38" s="32">
        <v>3.922045654617555E-2</v>
      </c>
      <c r="L38" s="32">
        <v>9.3050932531606304E-2</v>
      </c>
      <c r="M38" s="32">
        <v>7.5183591334688007E-3</v>
      </c>
      <c r="N38" s="32">
        <v>7.1103501246716772E-2</v>
      </c>
      <c r="O38" s="27" t="s">
        <v>151</v>
      </c>
    </row>
    <row r="39" spans="1:15" ht="20.25" customHeight="1" x14ac:dyDescent="0.2">
      <c r="A39" s="20" t="s">
        <v>69</v>
      </c>
      <c r="B39" s="21" t="s">
        <v>70</v>
      </c>
      <c r="C39" s="25">
        <v>1.3859288372045573</v>
      </c>
      <c r="D39" s="25">
        <v>1.1833626244874047</v>
      </c>
      <c r="E39" s="25">
        <v>0.27672997566101554</v>
      </c>
      <c r="F39" s="32">
        <v>0.19722710408123412</v>
      </c>
      <c r="G39" s="32">
        <v>0</v>
      </c>
      <c r="H39" s="32">
        <v>0.19722710408123412</v>
      </c>
      <c r="I39" s="25">
        <v>0.21867427085168387</v>
      </c>
      <c r="J39" s="25">
        <v>0.79766448558903169</v>
      </c>
      <c r="K39" s="32" t="s">
        <v>116</v>
      </c>
      <c r="L39" s="25">
        <v>3.189004762287357E-7</v>
      </c>
      <c r="M39" s="32" t="s">
        <v>116</v>
      </c>
      <c r="N39" s="32">
        <v>3.189004762287357E-7</v>
      </c>
      <c r="O39" s="27" t="s">
        <v>71</v>
      </c>
    </row>
    <row r="40" spans="1:15" ht="18" customHeight="1" x14ac:dyDescent="0.2">
      <c r="A40" s="20" t="s">
        <v>72</v>
      </c>
      <c r="B40" s="21" t="s">
        <v>73</v>
      </c>
      <c r="C40" s="25">
        <v>2.5457548357552779</v>
      </c>
      <c r="D40" s="25">
        <v>2.2300248504371836</v>
      </c>
      <c r="E40" s="25">
        <v>0.7982837173358126</v>
      </c>
      <c r="F40" s="32">
        <v>0.53176714219972387</v>
      </c>
      <c r="G40" s="32">
        <v>0.32186410816887079</v>
      </c>
      <c r="H40" s="32">
        <v>0.53176714219972387</v>
      </c>
      <c r="I40" s="25">
        <v>0.16031904843885567</v>
      </c>
      <c r="J40" s="25">
        <v>0.24300222722377987</v>
      </c>
      <c r="K40" s="25">
        <v>0.61534777788811956</v>
      </c>
      <c r="L40" s="25">
        <v>6.0582626073119344E-2</v>
      </c>
      <c r="M40" s="25">
        <v>4.3178430024455712E-2</v>
      </c>
      <c r="N40" s="32">
        <v>3.756110712069255E-2</v>
      </c>
      <c r="O40" s="27" t="s">
        <v>152</v>
      </c>
    </row>
    <row r="41" spans="1:15" ht="78.75" customHeight="1" x14ac:dyDescent="0.2">
      <c r="A41" s="20" t="s">
        <v>74</v>
      </c>
      <c r="B41" s="29" t="s">
        <v>75</v>
      </c>
      <c r="C41" s="32">
        <v>1.2238509231713959</v>
      </c>
      <c r="D41" s="32">
        <v>1.6097163781624499</v>
      </c>
      <c r="E41" s="32" t="s">
        <v>116</v>
      </c>
      <c r="F41" s="32" t="s">
        <v>116</v>
      </c>
      <c r="G41" s="32" t="s">
        <v>116</v>
      </c>
      <c r="H41" s="32" t="s">
        <v>116</v>
      </c>
      <c r="I41" s="32">
        <v>1.800747581335526E-2</v>
      </c>
      <c r="J41" s="32">
        <v>1.7851042205673497E-2</v>
      </c>
      <c r="K41" s="32" t="s">
        <v>116</v>
      </c>
      <c r="L41" s="32" t="s">
        <v>116</v>
      </c>
      <c r="M41" s="32" t="s">
        <v>116</v>
      </c>
      <c r="N41" s="32" t="s">
        <v>116</v>
      </c>
      <c r="O41" s="27" t="s">
        <v>153</v>
      </c>
    </row>
    <row r="42" spans="1:15" ht="15" customHeight="1" x14ac:dyDescent="0.2">
      <c r="A42" s="20" t="s">
        <v>76</v>
      </c>
      <c r="B42" s="29">
        <v>72</v>
      </c>
      <c r="C42" s="32">
        <v>3.6164080858811944</v>
      </c>
      <c r="D42" s="32">
        <v>3.6729166666666666</v>
      </c>
      <c r="E42" s="32" t="s">
        <v>116</v>
      </c>
      <c r="F42" s="32">
        <v>2.2843749999999998</v>
      </c>
      <c r="G42" s="32" t="s">
        <v>116</v>
      </c>
      <c r="H42" s="32">
        <v>2.2843749999999998</v>
      </c>
      <c r="I42" s="32">
        <v>0.23501398008810614</v>
      </c>
      <c r="J42" s="32">
        <v>2.4650512178754225</v>
      </c>
      <c r="K42" s="32" t="s">
        <v>116</v>
      </c>
      <c r="L42" s="32">
        <v>0.38832930899829488</v>
      </c>
      <c r="M42" s="32" t="s">
        <v>116</v>
      </c>
      <c r="N42" s="32">
        <v>0.25888620599886325</v>
      </c>
      <c r="O42" s="27" t="s">
        <v>154</v>
      </c>
    </row>
    <row r="43" spans="1:15" ht="45" customHeight="1" x14ac:dyDescent="0.2">
      <c r="A43" s="20" t="s">
        <v>77</v>
      </c>
      <c r="B43" s="29" t="s">
        <v>78</v>
      </c>
      <c r="C43" s="32">
        <v>6.6257814131617341</v>
      </c>
      <c r="D43" s="32">
        <v>3.8092364532019705</v>
      </c>
      <c r="E43" s="32">
        <v>4.0351202500368633</v>
      </c>
      <c r="F43" s="32">
        <v>1.4957635467980295</v>
      </c>
      <c r="G43" s="32">
        <v>1.6269408387368105</v>
      </c>
      <c r="H43" s="32">
        <v>1.4957635467980295</v>
      </c>
      <c r="I43" s="32">
        <v>0.33678407965166601</v>
      </c>
      <c r="J43" s="32">
        <v>0.91952311048611091</v>
      </c>
      <c r="K43" s="32">
        <v>1.5332535935477867</v>
      </c>
      <c r="L43" s="32">
        <v>0.41013776009347108</v>
      </c>
      <c r="M43" s="32">
        <v>0.10758710013703057</v>
      </c>
      <c r="N43" s="32">
        <v>0.24304459857390884</v>
      </c>
      <c r="O43" s="27" t="s">
        <v>79</v>
      </c>
    </row>
    <row r="44" spans="1:15" ht="27.75" customHeight="1" x14ac:dyDescent="0.2">
      <c r="A44" s="20" t="s">
        <v>80</v>
      </c>
      <c r="B44" s="21" t="s">
        <v>81</v>
      </c>
      <c r="C44" s="25">
        <v>2.685864449120968</v>
      </c>
      <c r="D44" s="25">
        <v>2.3551310961214167</v>
      </c>
      <c r="E44" s="25">
        <v>0.31274939536654617</v>
      </c>
      <c r="F44" s="32">
        <v>0.66789669477234404</v>
      </c>
      <c r="G44" s="32">
        <v>0.25117178419505048</v>
      </c>
      <c r="H44" s="32">
        <v>0.64953851602023616</v>
      </c>
      <c r="I44" s="25">
        <v>2.119486128213238</v>
      </c>
      <c r="J44" s="25">
        <v>2.2974349646855448</v>
      </c>
      <c r="K44" s="25">
        <v>1.5196776607719998E-2</v>
      </c>
      <c r="L44" s="25">
        <v>0.2238144912223545</v>
      </c>
      <c r="M44" s="25">
        <v>7.505586924169862E-3</v>
      </c>
      <c r="N44" s="32">
        <v>9.6869951236065566E-2</v>
      </c>
      <c r="O44" s="27" t="s">
        <v>82</v>
      </c>
    </row>
    <row r="45" spans="1:15" ht="78" customHeight="1" x14ac:dyDescent="0.2">
      <c r="A45" s="20" t="s">
        <v>83</v>
      </c>
      <c r="B45" s="21" t="s">
        <v>84</v>
      </c>
      <c r="C45" s="25">
        <v>1.6565456305915482</v>
      </c>
      <c r="D45" s="25">
        <v>1.3177898817802502</v>
      </c>
      <c r="E45" s="32" t="s">
        <v>116</v>
      </c>
      <c r="F45" s="32">
        <v>0.22194495827538244</v>
      </c>
      <c r="G45" s="32" t="s">
        <v>116</v>
      </c>
      <c r="H45" s="32">
        <v>0.38556387343532683</v>
      </c>
      <c r="I45" s="25">
        <v>0.49540376450344265</v>
      </c>
      <c r="J45" s="25">
        <v>1.580221125665527</v>
      </c>
      <c r="K45" s="32" t="s">
        <v>116</v>
      </c>
      <c r="L45" s="25">
        <v>0.13579634620316067</v>
      </c>
      <c r="M45" s="32" t="s">
        <v>116</v>
      </c>
      <c r="N45" s="32">
        <v>9.2748435512145969E-2</v>
      </c>
      <c r="O45" s="27" t="s">
        <v>205</v>
      </c>
    </row>
    <row r="46" spans="1:15" ht="41.25" customHeight="1" x14ac:dyDescent="0.2">
      <c r="A46" s="20" t="s">
        <v>85</v>
      </c>
      <c r="B46" s="29">
        <v>79</v>
      </c>
      <c r="C46" s="32">
        <v>28.967804948905485</v>
      </c>
      <c r="D46" s="32">
        <v>35.876404494382029</v>
      </c>
      <c r="E46" s="32">
        <v>8.2982839570590237</v>
      </c>
      <c r="F46" s="32">
        <v>15.078651685393258</v>
      </c>
      <c r="G46" s="32">
        <v>6.664424673975339</v>
      </c>
      <c r="H46" s="32">
        <v>9.1797752808988768</v>
      </c>
      <c r="I46" s="32">
        <v>41.634323964306553</v>
      </c>
      <c r="J46" s="32">
        <v>31.007674521341045</v>
      </c>
      <c r="K46" s="32">
        <v>0.38494290322269636</v>
      </c>
      <c r="L46" s="32">
        <v>3.7472016476753791</v>
      </c>
      <c r="M46" s="32">
        <v>0.19012074044126717</v>
      </c>
      <c r="N46" s="32">
        <v>0.26185520017094233</v>
      </c>
      <c r="O46" s="27" t="s">
        <v>155</v>
      </c>
    </row>
    <row r="47" spans="1:15" ht="25.5" customHeight="1" x14ac:dyDescent="0.2">
      <c r="A47" s="20" t="s">
        <v>86</v>
      </c>
      <c r="B47" s="21" t="s">
        <v>87</v>
      </c>
      <c r="C47" s="25">
        <v>6.790192863757337</v>
      </c>
      <c r="D47" s="25">
        <v>8.2795062500000007</v>
      </c>
      <c r="E47" s="32" t="s">
        <v>116</v>
      </c>
      <c r="F47" s="32">
        <v>2.1224583333333333</v>
      </c>
      <c r="G47" s="32" t="s">
        <v>116</v>
      </c>
      <c r="H47" s="32" t="s">
        <v>116</v>
      </c>
      <c r="I47" s="25">
        <v>0.7576548803767611</v>
      </c>
      <c r="J47" s="25">
        <v>1.2401591968520729</v>
      </c>
      <c r="K47" s="32" t="s">
        <v>116</v>
      </c>
      <c r="L47" s="25">
        <v>8.2248305370977229E-2</v>
      </c>
      <c r="M47" s="32" t="s">
        <v>116</v>
      </c>
      <c r="N47" s="32" t="s">
        <v>116</v>
      </c>
      <c r="O47" s="27" t="s">
        <v>88</v>
      </c>
    </row>
    <row r="48" spans="1:15" ht="53.25" customHeight="1" x14ac:dyDescent="0.2">
      <c r="A48" s="20" t="s">
        <v>89</v>
      </c>
      <c r="B48" s="21" t="s">
        <v>90</v>
      </c>
      <c r="C48" s="25">
        <v>9.9878237015104325</v>
      </c>
      <c r="D48" s="25">
        <v>10.519850277777778</v>
      </c>
      <c r="E48" s="25">
        <v>0.77921110970960461</v>
      </c>
      <c r="F48" s="32">
        <v>1.9818597222222221</v>
      </c>
      <c r="G48" s="32">
        <v>1.6740641294875742</v>
      </c>
      <c r="H48" s="32">
        <v>1.4881944444444444</v>
      </c>
      <c r="I48" s="25">
        <v>7.0036403377859973</v>
      </c>
      <c r="J48" s="25">
        <v>7.9680707937903623</v>
      </c>
      <c r="K48" s="25">
        <v>1.326724729610357E-2</v>
      </c>
      <c r="L48" s="25">
        <v>0.20531798514806898</v>
      </c>
      <c r="M48" s="25">
        <v>0.4524009120686191</v>
      </c>
      <c r="N48" s="32">
        <v>0.4227749108789684</v>
      </c>
      <c r="O48" s="27" t="s">
        <v>91</v>
      </c>
    </row>
    <row r="49" spans="1:33" x14ac:dyDescent="0.2">
      <c r="A49" s="114"/>
      <c r="B49" s="115"/>
      <c r="C49" s="118"/>
      <c r="D49" s="118"/>
      <c r="E49" s="118"/>
      <c r="F49" s="118"/>
      <c r="G49" s="118"/>
      <c r="H49" s="119"/>
      <c r="I49" s="118"/>
      <c r="J49" s="118"/>
      <c r="K49" s="118"/>
      <c r="L49" s="118"/>
      <c r="M49" s="118"/>
      <c r="N49" s="119"/>
      <c r="O49" s="121"/>
    </row>
    <row r="50" spans="1:33" ht="28.5" customHeight="1" x14ac:dyDescent="0.2">
      <c r="A50" s="69" t="s">
        <v>92</v>
      </c>
      <c r="B50" s="69"/>
      <c r="C50" s="17"/>
      <c r="D50" s="17"/>
      <c r="E50" s="17"/>
      <c r="F50" s="26"/>
      <c r="G50" s="26"/>
      <c r="H50" s="26"/>
      <c r="I50" s="17"/>
      <c r="J50" s="17"/>
      <c r="K50" s="17"/>
      <c r="L50" s="17"/>
      <c r="M50" s="17"/>
      <c r="O50" s="33" t="s">
        <v>156</v>
      </c>
    </row>
    <row r="51" spans="1:33" ht="17.25" customHeight="1" x14ac:dyDescent="0.2">
      <c r="A51" s="70" t="s">
        <v>93</v>
      </c>
      <c r="B51" s="70"/>
      <c r="C51" s="25">
        <v>3.9192018450936832</v>
      </c>
      <c r="D51" s="25">
        <v>4.3890445295967204</v>
      </c>
      <c r="E51" s="25">
        <v>0.44603316831964862</v>
      </c>
      <c r="F51" s="25">
        <v>0.71062925722529036</v>
      </c>
      <c r="G51" s="25">
        <v>0.2757298817348337</v>
      </c>
      <c r="H51" s="26">
        <v>0.42425916334129915</v>
      </c>
      <c r="I51" s="25">
        <v>1.6691833907160039</v>
      </c>
      <c r="J51" s="25">
        <v>3.1364817032960781</v>
      </c>
      <c r="K51" s="25">
        <v>1.8720799685873458E-2</v>
      </c>
      <c r="L51" s="25">
        <v>0.1373105504648657</v>
      </c>
      <c r="M51" s="25">
        <v>3.4091115661827799E-2</v>
      </c>
      <c r="N51" s="26">
        <v>1.9770188713219134E-2</v>
      </c>
      <c r="O51" s="34" t="s">
        <v>94</v>
      </c>
    </row>
    <row r="52" spans="1:33" ht="17.25" customHeight="1" x14ac:dyDescent="0.2">
      <c r="A52" s="70" t="s">
        <v>95</v>
      </c>
      <c r="B52" s="70"/>
      <c r="C52" s="25">
        <v>4.1944617195315326</v>
      </c>
      <c r="D52" s="25">
        <v>5.8684321941898006</v>
      </c>
      <c r="E52" s="25">
        <v>0.75905508775697272</v>
      </c>
      <c r="F52" s="25">
        <v>0.58481658915429302</v>
      </c>
      <c r="G52" s="25">
        <v>0.45691737569216367</v>
      </c>
      <c r="H52" s="26">
        <v>0.42537410148482885</v>
      </c>
      <c r="I52" s="25">
        <v>2.8793078428675738</v>
      </c>
      <c r="J52" s="25">
        <v>3.3447826279147481</v>
      </c>
      <c r="K52" s="25">
        <v>6.4305831541050476E-2</v>
      </c>
      <c r="L52" s="25">
        <v>2.3348996237793782E-2</v>
      </c>
      <c r="M52" s="25">
        <v>1.4386995089757154E-2</v>
      </c>
      <c r="N52" s="26">
        <v>5.3021882139716201E-3</v>
      </c>
      <c r="O52" s="27" t="s">
        <v>96</v>
      </c>
    </row>
    <row r="53" spans="1:33" ht="17.25" customHeight="1" x14ac:dyDescent="0.2">
      <c r="A53" s="68" t="s">
        <v>97</v>
      </c>
      <c r="B53" s="68"/>
      <c r="C53" s="25">
        <v>8.1451630860524844</v>
      </c>
      <c r="D53" s="25">
        <v>11.822660098522167</v>
      </c>
      <c r="E53" s="25">
        <v>0.86681983907310101</v>
      </c>
      <c r="F53" s="25">
        <v>1.416256157635468</v>
      </c>
      <c r="G53" s="25">
        <v>0.58584948174853535</v>
      </c>
      <c r="H53" s="26">
        <v>0.86206896551724133</v>
      </c>
      <c r="I53" s="25">
        <v>19.898130817234893</v>
      </c>
      <c r="J53" s="25">
        <v>2.6468226834867687</v>
      </c>
      <c r="K53" s="25">
        <v>0.90159773020377854</v>
      </c>
      <c r="L53" s="25">
        <v>7.0494797418298935E-2</v>
      </c>
      <c r="M53" s="25">
        <v>0.47278940308292355</v>
      </c>
      <c r="N53" s="26">
        <v>5.4885933980726671E-2</v>
      </c>
      <c r="O53" s="27" t="s">
        <v>98</v>
      </c>
    </row>
    <row r="54" spans="1:33" x14ac:dyDescent="0.2">
      <c r="H54" s="24"/>
    </row>
    <row r="55" spans="1:33" ht="17.25" customHeight="1" x14ac:dyDescent="0.2">
      <c r="A55" s="16" t="s">
        <v>110</v>
      </c>
      <c r="G55" s="24"/>
      <c r="H55" s="26"/>
      <c r="I55" s="26"/>
      <c r="J55" s="26"/>
      <c r="K55" s="26"/>
      <c r="L55" s="26"/>
      <c r="M55" s="35"/>
      <c r="N55" s="35"/>
      <c r="O55" s="35"/>
      <c r="P55" s="35"/>
      <c r="Q55" s="35"/>
      <c r="T55" s="26"/>
      <c r="U55" s="26"/>
    </row>
    <row r="56" spans="1:33" ht="38.25" customHeight="1" x14ac:dyDescent="0.2">
      <c r="A56" s="70" t="s">
        <v>117</v>
      </c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</row>
    <row r="57" spans="1:33" ht="12.75" customHeight="1" x14ac:dyDescent="0.2">
      <c r="A57" s="70" t="s">
        <v>112</v>
      </c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</row>
    <row r="58" spans="1:33" ht="12.75" customHeight="1" x14ac:dyDescent="0.2">
      <c r="A58" s="70" t="s">
        <v>121</v>
      </c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</row>
    <row r="59" spans="1:33" x14ac:dyDescent="0.2">
      <c r="H59" s="24"/>
      <c r="K59" s="26"/>
      <c r="L59" s="26"/>
      <c r="M59" s="26"/>
    </row>
    <row r="60" spans="1:33" x14ac:dyDescent="0.2">
      <c r="H60" s="24"/>
      <c r="K60" s="26"/>
      <c r="L60" s="26"/>
      <c r="M60" s="26"/>
    </row>
    <row r="61" spans="1:33" x14ac:dyDescent="0.2">
      <c r="H61" s="24"/>
    </row>
    <row r="62" spans="1:33" x14ac:dyDescent="0.2">
      <c r="H62" s="24"/>
    </row>
    <row r="63" spans="1:33" x14ac:dyDescent="0.2">
      <c r="H63" s="24"/>
    </row>
    <row r="64" spans="1:33" x14ac:dyDescent="0.2">
      <c r="H64" s="24"/>
    </row>
    <row r="65" spans="8:8" x14ac:dyDescent="0.2">
      <c r="H65" s="24"/>
    </row>
    <row r="66" spans="8:8" x14ac:dyDescent="0.2">
      <c r="H66" s="24"/>
    </row>
  </sheetData>
  <mergeCells count="19">
    <mergeCell ref="K4:L4"/>
    <mergeCell ref="M4:N4"/>
    <mergeCell ref="I3:N3"/>
    <mergeCell ref="A58:AG58"/>
    <mergeCell ref="A3:A5"/>
    <mergeCell ref="B3:B5"/>
    <mergeCell ref="A1:O1"/>
    <mergeCell ref="A56:AG56"/>
    <mergeCell ref="A57:AG57"/>
    <mergeCell ref="O3:O5"/>
    <mergeCell ref="C3:H3"/>
    <mergeCell ref="A50:B50"/>
    <mergeCell ref="C4:D4"/>
    <mergeCell ref="E4:F4"/>
    <mergeCell ref="A51:B51"/>
    <mergeCell ref="A52:B52"/>
    <mergeCell ref="A53:B53"/>
    <mergeCell ref="G4:H4"/>
    <mergeCell ref="I4:J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58"/>
  <sheetViews>
    <sheetView zoomScale="90" zoomScaleNormal="90" workbookViewId="0">
      <selection sqref="A1:I1"/>
    </sheetView>
  </sheetViews>
  <sheetFormatPr defaultRowHeight="12.75" x14ac:dyDescent="0.2"/>
  <cols>
    <col min="1" max="1" width="56.42578125" style="3" customWidth="1"/>
    <col min="2" max="2" width="19.5703125" style="3" customWidth="1"/>
    <col min="3" max="3" width="40.85546875" style="26" customWidth="1"/>
    <col min="4" max="9" width="31.5703125" style="26" customWidth="1"/>
    <col min="10" max="10" width="61" style="38" customWidth="1"/>
    <col min="11" max="16384" width="9.140625" style="3"/>
  </cols>
  <sheetData>
    <row r="1" spans="1:10" ht="43.5" customHeight="1" x14ac:dyDescent="0.2">
      <c r="A1" s="71" t="s">
        <v>164</v>
      </c>
      <c r="B1" s="71"/>
      <c r="C1" s="71"/>
      <c r="D1" s="71"/>
      <c r="E1" s="71"/>
      <c r="F1" s="71"/>
      <c r="G1" s="71"/>
      <c r="H1" s="71"/>
      <c r="I1" s="71"/>
    </row>
    <row r="2" spans="1:10" ht="15" customHeight="1" x14ac:dyDescent="0.2">
      <c r="A2" s="11"/>
      <c r="B2" s="11"/>
      <c r="C2" s="42"/>
      <c r="D2" s="42"/>
      <c r="E2" s="42"/>
      <c r="F2" s="42"/>
      <c r="G2" s="42"/>
      <c r="H2" s="42"/>
      <c r="I2" s="42"/>
    </row>
    <row r="3" spans="1:10" ht="30.75" customHeight="1" x14ac:dyDescent="0.2">
      <c r="A3" s="83"/>
      <c r="B3" s="80" t="s">
        <v>132</v>
      </c>
      <c r="C3" s="85" t="s">
        <v>165</v>
      </c>
      <c r="D3" s="87" t="s">
        <v>166</v>
      </c>
      <c r="E3" s="88"/>
      <c r="F3" s="88"/>
      <c r="G3" s="88"/>
      <c r="H3" s="88"/>
      <c r="I3" s="89"/>
      <c r="J3" s="90"/>
    </row>
    <row r="4" spans="1:10" ht="96" customHeight="1" x14ac:dyDescent="0.2">
      <c r="A4" s="84"/>
      <c r="B4" s="82"/>
      <c r="C4" s="86"/>
      <c r="D4" s="43" t="s">
        <v>167</v>
      </c>
      <c r="E4" s="43" t="s">
        <v>168</v>
      </c>
      <c r="F4" s="43" t="s">
        <v>169</v>
      </c>
      <c r="G4" s="43" t="s">
        <v>170</v>
      </c>
      <c r="H4" s="43" t="s">
        <v>130</v>
      </c>
      <c r="I4" s="43" t="s">
        <v>171</v>
      </c>
      <c r="J4" s="91"/>
    </row>
    <row r="5" spans="1:10" ht="20.25" customHeight="1" x14ac:dyDescent="0.2">
      <c r="A5" s="44" t="s">
        <v>0</v>
      </c>
      <c r="B5" s="39"/>
      <c r="C5" s="45">
        <v>0.52579703043667858</v>
      </c>
      <c r="D5" s="17">
        <v>7.0972732374057754E-2</v>
      </c>
      <c r="E5" s="17">
        <v>9.6714763570330473E-3</v>
      </c>
      <c r="F5" s="17">
        <v>1.272249604604472E-2</v>
      </c>
      <c r="G5" s="40">
        <v>6.5386653528422392E-2</v>
      </c>
      <c r="H5" s="40">
        <v>7.5075830802494572E-3</v>
      </c>
      <c r="I5" s="40">
        <v>3.6877107672605859E-2</v>
      </c>
      <c r="J5" s="19" t="s">
        <v>1</v>
      </c>
    </row>
    <row r="6" spans="1:10" ht="19.5" customHeight="1" x14ac:dyDescent="0.2">
      <c r="A6" s="20" t="s">
        <v>2</v>
      </c>
      <c r="B6" s="21" t="s">
        <v>3</v>
      </c>
      <c r="C6" s="25">
        <v>0.50582942099907158</v>
      </c>
      <c r="D6" s="25">
        <v>0.21834127395323799</v>
      </c>
      <c r="E6" s="25">
        <v>3.0508963848713346E-2</v>
      </c>
      <c r="F6" s="25">
        <v>3.0508963848713346E-2</v>
      </c>
      <c r="G6" s="32">
        <v>6.1678732504288694E-2</v>
      </c>
      <c r="H6" s="32">
        <v>3.0508963848713346E-2</v>
      </c>
      <c r="I6" s="32">
        <v>5.1415197571883266E-2</v>
      </c>
      <c r="J6" s="27" t="s">
        <v>4</v>
      </c>
    </row>
    <row r="7" spans="1:10" ht="66.75" customHeight="1" x14ac:dyDescent="0.2">
      <c r="A7" s="20" t="s">
        <v>5</v>
      </c>
      <c r="B7" s="21" t="s">
        <v>6</v>
      </c>
      <c r="C7" s="25">
        <v>0.42037741131437162</v>
      </c>
      <c r="D7" s="25">
        <v>0.23109511464882698</v>
      </c>
      <c r="E7" s="32" t="s">
        <v>116</v>
      </c>
      <c r="F7" s="32" t="s">
        <v>116</v>
      </c>
      <c r="G7" s="32">
        <v>8.1504393918418683E-2</v>
      </c>
      <c r="H7" s="32" t="s">
        <v>116</v>
      </c>
      <c r="I7" s="32">
        <v>5.4666748654837505E-2</v>
      </c>
      <c r="J7" s="27" t="s">
        <v>135</v>
      </c>
    </row>
    <row r="8" spans="1:10" ht="28.5" customHeight="1" x14ac:dyDescent="0.2">
      <c r="A8" s="28" t="s">
        <v>7</v>
      </c>
      <c r="B8" s="21" t="s">
        <v>8</v>
      </c>
      <c r="C8" s="32">
        <v>9.272137227630968E-2</v>
      </c>
      <c r="D8" s="32" t="s">
        <v>116</v>
      </c>
      <c r="E8" s="32" t="s">
        <v>116</v>
      </c>
      <c r="F8" s="32" t="s">
        <v>116</v>
      </c>
      <c r="G8" s="32" t="s">
        <v>116</v>
      </c>
      <c r="H8" s="32" t="s">
        <v>116</v>
      </c>
      <c r="I8" s="32" t="s">
        <v>116</v>
      </c>
      <c r="J8" s="27" t="s">
        <v>136</v>
      </c>
    </row>
    <row r="9" spans="1:10" ht="27" customHeight="1" x14ac:dyDescent="0.2">
      <c r="A9" s="28" t="s">
        <v>9</v>
      </c>
      <c r="B9" s="21" t="s">
        <v>10</v>
      </c>
      <c r="C9" s="25">
        <v>0.7110055130672629</v>
      </c>
      <c r="D9" s="25">
        <v>0.7110055130672629</v>
      </c>
      <c r="E9" s="32" t="s">
        <v>116</v>
      </c>
      <c r="F9" s="32" t="s">
        <v>116</v>
      </c>
      <c r="G9" s="32" t="s">
        <v>116</v>
      </c>
      <c r="H9" s="32" t="s">
        <v>116</v>
      </c>
      <c r="I9" s="32">
        <v>0.25983135508184518</v>
      </c>
      <c r="J9" s="27" t="s">
        <v>137</v>
      </c>
    </row>
    <row r="10" spans="1:10" ht="27" customHeight="1" x14ac:dyDescent="0.2">
      <c r="A10" s="28" t="s">
        <v>11</v>
      </c>
      <c r="B10" s="21" t="s">
        <v>12</v>
      </c>
      <c r="C10" s="25">
        <v>0.76558443018767175</v>
      </c>
      <c r="D10" s="25">
        <v>0.27757447858355744</v>
      </c>
      <c r="E10" s="32" t="s">
        <v>116</v>
      </c>
      <c r="F10" s="32" t="s">
        <v>116</v>
      </c>
      <c r="G10" s="32">
        <v>0.27757447858355744</v>
      </c>
      <c r="H10" s="32" t="s">
        <v>116</v>
      </c>
      <c r="I10" s="32" t="s">
        <v>116</v>
      </c>
      <c r="J10" s="27" t="s">
        <v>138</v>
      </c>
    </row>
    <row r="11" spans="1:10" ht="90.75" customHeight="1" x14ac:dyDescent="0.2">
      <c r="A11" s="20" t="s">
        <v>13</v>
      </c>
      <c r="B11" s="21" t="s">
        <v>14</v>
      </c>
      <c r="C11" s="25">
        <v>0.58534685766018868</v>
      </c>
      <c r="D11" s="25">
        <v>4.2826552462526764E-2</v>
      </c>
      <c r="E11" s="32" t="s">
        <v>116</v>
      </c>
      <c r="F11" s="32" t="s">
        <v>116</v>
      </c>
      <c r="G11" s="32" t="s">
        <v>116</v>
      </c>
      <c r="H11" s="32" t="s">
        <v>116</v>
      </c>
      <c r="I11" s="32" t="s">
        <v>116</v>
      </c>
      <c r="J11" s="27" t="s">
        <v>139</v>
      </c>
    </row>
    <row r="12" spans="1:10" ht="30" customHeight="1" x14ac:dyDescent="0.2">
      <c r="A12" s="20" t="s">
        <v>15</v>
      </c>
      <c r="B12" s="29">
        <v>19</v>
      </c>
      <c r="C12" s="32">
        <v>2.9411764705882351</v>
      </c>
      <c r="D12" s="32" t="s">
        <v>116</v>
      </c>
      <c r="E12" s="32" t="s">
        <v>116</v>
      </c>
      <c r="F12" s="32" t="s">
        <v>116</v>
      </c>
      <c r="G12" s="32" t="s">
        <v>116</v>
      </c>
      <c r="H12" s="32" t="s">
        <v>116</v>
      </c>
      <c r="I12" s="32" t="s">
        <v>116</v>
      </c>
      <c r="J12" s="27" t="s">
        <v>140</v>
      </c>
    </row>
    <row r="13" spans="1:10" ht="30" customHeight="1" x14ac:dyDescent="0.2">
      <c r="A13" s="20" t="s">
        <v>16</v>
      </c>
      <c r="B13" s="29">
        <v>20</v>
      </c>
      <c r="C13" s="32" t="s">
        <v>116</v>
      </c>
      <c r="D13" s="32" t="s">
        <v>116</v>
      </c>
      <c r="E13" s="32" t="s">
        <v>116</v>
      </c>
      <c r="F13" s="32" t="s">
        <v>116</v>
      </c>
      <c r="G13" s="32" t="s">
        <v>116</v>
      </c>
      <c r="H13" s="32" t="s">
        <v>116</v>
      </c>
      <c r="I13" s="32" t="s">
        <v>116</v>
      </c>
      <c r="J13" s="27" t="s">
        <v>141</v>
      </c>
    </row>
    <row r="14" spans="1:10" ht="30" customHeight="1" x14ac:dyDescent="0.2">
      <c r="A14" s="20" t="s">
        <v>17</v>
      </c>
      <c r="B14" s="29">
        <v>21</v>
      </c>
      <c r="C14" s="32" t="s">
        <v>116</v>
      </c>
      <c r="D14" s="32" t="s">
        <v>116</v>
      </c>
      <c r="E14" s="32" t="s">
        <v>116</v>
      </c>
      <c r="F14" s="32" t="s">
        <v>116</v>
      </c>
      <c r="G14" s="32" t="s">
        <v>116</v>
      </c>
      <c r="H14" s="32" t="s">
        <v>116</v>
      </c>
      <c r="I14" s="32" t="s">
        <v>116</v>
      </c>
      <c r="J14" s="27" t="s">
        <v>142</v>
      </c>
    </row>
    <row r="15" spans="1:10" ht="27.75" customHeight="1" x14ac:dyDescent="0.2">
      <c r="A15" s="20" t="s">
        <v>18</v>
      </c>
      <c r="B15" s="29" t="s">
        <v>19</v>
      </c>
      <c r="C15" s="32">
        <v>0.73778969868173583</v>
      </c>
      <c r="D15" s="32">
        <v>5.8241118229470007E-2</v>
      </c>
      <c r="E15" s="32" t="s">
        <v>116</v>
      </c>
      <c r="F15" s="32" t="s">
        <v>116</v>
      </c>
      <c r="G15" s="32" t="s">
        <v>116</v>
      </c>
      <c r="H15" s="32" t="s">
        <v>116</v>
      </c>
      <c r="I15" s="32" t="s">
        <v>116</v>
      </c>
      <c r="J15" s="27" t="s">
        <v>20</v>
      </c>
    </row>
    <row r="16" spans="1:10" ht="37.5" customHeight="1" x14ac:dyDescent="0.2">
      <c r="A16" s="28" t="s">
        <v>21</v>
      </c>
      <c r="B16" s="21" t="s">
        <v>22</v>
      </c>
      <c r="C16" s="25">
        <v>0.53009616025602468</v>
      </c>
      <c r="D16" s="25">
        <v>0.26504808012801234</v>
      </c>
      <c r="E16" s="25">
        <v>0.26504808012801234</v>
      </c>
      <c r="F16" s="25">
        <v>0.26504808012801234</v>
      </c>
      <c r="G16" s="32">
        <v>0.26504808012801234</v>
      </c>
      <c r="H16" s="32">
        <v>0.26504808012801234</v>
      </c>
      <c r="I16" s="32">
        <v>0.26504808012801234</v>
      </c>
      <c r="J16" s="27" t="s">
        <v>143</v>
      </c>
    </row>
    <row r="17" spans="1:10" ht="43.5" customHeight="1" x14ac:dyDescent="0.2">
      <c r="A17" s="20" t="s">
        <v>23</v>
      </c>
      <c r="B17" s="21" t="s">
        <v>24</v>
      </c>
      <c r="C17" s="25">
        <v>0.55146197910137995</v>
      </c>
      <c r="D17" s="25">
        <v>0.30511878570609813</v>
      </c>
      <c r="E17" s="32" t="s">
        <v>116</v>
      </c>
      <c r="F17" s="32" t="s">
        <v>116</v>
      </c>
      <c r="G17" s="32" t="s">
        <v>116</v>
      </c>
      <c r="H17" s="32" t="s">
        <v>116</v>
      </c>
      <c r="I17" s="32" t="s">
        <v>116</v>
      </c>
      <c r="J17" s="27" t="s">
        <v>134</v>
      </c>
    </row>
    <row r="18" spans="1:10" ht="31.5" customHeight="1" x14ac:dyDescent="0.2">
      <c r="A18" s="20" t="s">
        <v>25</v>
      </c>
      <c r="B18" s="29">
        <v>26</v>
      </c>
      <c r="C18" s="32" t="s">
        <v>116</v>
      </c>
      <c r="D18" s="32" t="s">
        <v>116</v>
      </c>
      <c r="E18" s="32" t="s">
        <v>116</v>
      </c>
      <c r="F18" s="32" t="s">
        <v>116</v>
      </c>
      <c r="G18" s="32" t="s">
        <v>116</v>
      </c>
      <c r="H18" s="32" t="s">
        <v>116</v>
      </c>
      <c r="I18" s="32" t="s">
        <v>116</v>
      </c>
      <c r="J18" s="27" t="s">
        <v>26</v>
      </c>
    </row>
    <row r="19" spans="1:10" ht="20.25" customHeight="1" x14ac:dyDescent="0.2">
      <c r="A19" s="20" t="s">
        <v>27</v>
      </c>
      <c r="B19" s="29">
        <v>27</v>
      </c>
      <c r="C19" s="32" t="s">
        <v>116</v>
      </c>
      <c r="D19" s="32" t="s">
        <v>116</v>
      </c>
      <c r="E19" s="32" t="s">
        <v>116</v>
      </c>
      <c r="F19" s="32" t="s">
        <v>116</v>
      </c>
      <c r="G19" s="32" t="s">
        <v>116</v>
      </c>
      <c r="H19" s="32" t="s">
        <v>116</v>
      </c>
      <c r="I19" s="32" t="s">
        <v>116</v>
      </c>
      <c r="J19" s="27" t="s">
        <v>28</v>
      </c>
    </row>
    <row r="20" spans="1:10" ht="20.25" customHeight="1" x14ac:dyDescent="0.2">
      <c r="A20" s="20" t="s">
        <v>29</v>
      </c>
      <c r="B20" s="29">
        <v>28</v>
      </c>
      <c r="C20" s="32">
        <v>1.2312762166652371</v>
      </c>
      <c r="D20" s="32">
        <v>0.56278398571105415</v>
      </c>
      <c r="E20" s="32" t="s">
        <v>116</v>
      </c>
      <c r="F20" s="32" t="s">
        <v>116</v>
      </c>
      <c r="G20" s="32" t="s">
        <v>116</v>
      </c>
      <c r="H20" s="32" t="s">
        <v>116</v>
      </c>
      <c r="I20" s="32" t="s">
        <v>116</v>
      </c>
      <c r="J20" s="27" t="s">
        <v>144</v>
      </c>
    </row>
    <row r="21" spans="1:10" ht="43.5" customHeight="1" x14ac:dyDescent="0.2">
      <c r="A21" s="20" t="s">
        <v>30</v>
      </c>
      <c r="B21" s="29" t="s">
        <v>31</v>
      </c>
      <c r="C21" s="32">
        <v>0.65146579804560267</v>
      </c>
      <c r="D21" s="32" t="s">
        <v>116</v>
      </c>
      <c r="E21" s="32" t="s">
        <v>116</v>
      </c>
      <c r="F21" s="32" t="s">
        <v>116</v>
      </c>
      <c r="G21" s="32" t="s">
        <v>116</v>
      </c>
      <c r="H21" s="32" t="s">
        <v>116</v>
      </c>
      <c r="I21" s="32" t="s">
        <v>116</v>
      </c>
      <c r="J21" s="27" t="s">
        <v>145</v>
      </c>
    </row>
    <row r="22" spans="1:10" ht="27" customHeight="1" x14ac:dyDescent="0.2">
      <c r="A22" s="20" t="s">
        <v>32</v>
      </c>
      <c r="B22" s="29" t="s">
        <v>33</v>
      </c>
      <c r="C22" s="32">
        <v>0.3344082672154583</v>
      </c>
      <c r="D22" s="32">
        <v>0.3344082672154583</v>
      </c>
      <c r="E22" s="32" t="s">
        <v>116</v>
      </c>
      <c r="F22" s="32" t="s">
        <v>116</v>
      </c>
      <c r="G22" s="32" t="s">
        <v>116</v>
      </c>
      <c r="H22" s="32" t="s">
        <v>116</v>
      </c>
      <c r="I22" s="32" t="s">
        <v>116</v>
      </c>
      <c r="J22" s="27" t="s">
        <v>146</v>
      </c>
    </row>
    <row r="23" spans="1:10" ht="42.75" customHeight="1" x14ac:dyDescent="0.2">
      <c r="A23" s="20" t="s">
        <v>34</v>
      </c>
      <c r="B23" s="29" t="s">
        <v>35</v>
      </c>
      <c r="C23" s="32" t="s">
        <v>116</v>
      </c>
      <c r="D23" s="32" t="s">
        <v>116</v>
      </c>
      <c r="E23" s="32" t="s">
        <v>116</v>
      </c>
      <c r="F23" s="32" t="s">
        <v>116</v>
      </c>
      <c r="G23" s="32" t="s">
        <v>116</v>
      </c>
      <c r="H23" s="32" t="s">
        <v>116</v>
      </c>
      <c r="I23" s="32" t="s">
        <v>116</v>
      </c>
      <c r="J23" s="27" t="s">
        <v>36</v>
      </c>
    </row>
    <row r="24" spans="1:10" ht="31.5" customHeight="1" x14ac:dyDescent="0.2">
      <c r="A24" s="20" t="s">
        <v>37</v>
      </c>
      <c r="B24" s="21" t="s">
        <v>38</v>
      </c>
      <c r="C24" s="32" t="s">
        <v>116</v>
      </c>
      <c r="D24" s="32" t="s">
        <v>116</v>
      </c>
      <c r="E24" s="32" t="s">
        <v>116</v>
      </c>
      <c r="F24" s="32" t="s">
        <v>116</v>
      </c>
      <c r="G24" s="32" t="s">
        <v>116</v>
      </c>
      <c r="H24" s="32" t="s">
        <v>116</v>
      </c>
      <c r="I24" s="32" t="s">
        <v>116</v>
      </c>
      <c r="J24" s="27" t="s">
        <v>39</v>
      </c>
    </row>
    <row r="25" spans="1:10" ht="31.5" customHeight="1" x14ac:dyDescent="0.2">
      <c r="A25" s="20" t="s">
        <v>40</v>
      </c>
      <c r="B25" s="21" t="s">
        <v>41</v>
      </c>
      <c r="C25" s="32" t="s">
        <v>116</v>
      </c>
      <c r="D25" s="32" t="s">
        <v>116</v>
      </c>
      <c r="E25" s="32" t="s">
        <v>116</v>
      </c>
      <c r="F25" s="32" t="s">
        <v>116</v>
      </c>
      <c r="G25" s="32" t="s">
        <v>116</v>
      </c>
      <c r="H25" s="32" t="s">
        <v>116</v>
      </c>
      <c r="I25" s="32" t="s">
        <v>116</v>
      </c>
      <c r="J25" s="27" t="s">
        <v>42</v>
      </c>
    </row>
    <row r="26" spans="1:10" ht="15.75" customHeight="1" x14ac:dyDescent="0.2">
      <c r="A26" s="20" t="s">
        <v>43</v>
      </c>
      <c r="B26" s="21" t="s">
        <v>44</v>
      </c>
      <c r="C26" s="32" t="s">
        <v>116</v>
      </c>
      <c r="D26" s="32" t="s">
        <v>116</v>
      </c>
      <c r="E26" s="32" t="s">
        <v>116</v>
      </c>
      <c r="F26" s="32" t="s">
        <v>116</v>
      </c>
      <c r="G26" s="32" t="s">
        <v>116</v>
      </c>
      <c r="H26" s="32" t="s">
        <v>116</v>
      </c>
      <c r="I26" s="32" t="s">
        <v>116</v>
      </c>
      <c r="J26" s="27" t="s">
        <v>45</v>
      </c>
    </row>
    <row r="27" spans="1:10" ht="26.25" customHeight="1" x14ac:dyDescent="0.2">
      <c r="A27" s="20" t="s">
        <v>46</v>
      </c>
      <c r="B27" s="21" t="s">
        <v>47</v>
      </c>
      <c r="C27" s="25">
        <v>0.29714213864506323</v>
      </c>
      <c r="D27" s="25">
        <v>8.8683930471798508E-3</v>
      </c>
      <c r="E27" s="25">
        <v>8.8683930471798508E-3</v>
      </c>
      <c r="F27" s="32" t="s">
        <v>116</v>
      </c>
      <c r="G27" s="32" t="s">
        <v>116</v>
      </c>
      <c r="H27" s="32" t="s">
        <v>116</v>
      </c>
      <c r="I27" s="32" t="s">
        <v>116</v>
      </c>
      <c r="J27" s="27" t="s">
        <v>48</v>
      </c>
    </row>
    <row r="28" spans="1:10" ht="39" customHeight="1" x14ac:dyDescent="0.2">
      <c r="A28" s="20" t="s">
        <v>49</v>
      </c>
      <c r="B28" s="29">
        <v>45</v>
      </c>
      <c r="C28" s="32">
        <v>0.5573442842644305</v>
      </c>
      <c r="D28" s="32" t="s">
        <v>116</v>
      </c>
      <c r="E28" s="32" t="s">
        <v>116</v>
      </c>
      <c r="F28" s="32" t="s">
        <v>116</v>
      </c>
      <c r="G28" s="32" t="s">
        <v>116</v>
      </c>
      <c r="H28" s="32" t="s">
        <v>116</v>
      </c>
      <c r="I28" s="32" t="s">
        <v>116</v>
      </c>
      <c r="J28" s="27" t="s">
        <v>147</v>
      </c>
    </row>
    <row r="29" spans="1:10" ht="28.5" customHeight="1" x14ac:dyDescent="0.2">
      <c r="A29" s="20" t="s">
        <v>50</v>
      </c>
      <c r="B29" s="29">
        <v>46</v>
      </c>
      <c r="C29" s="32">
        <v>0.34040331625404835</v>
      </c>
      <c r="D29" s="32" t="s">
        <v>116</v>
      </c>
      <c r="E29" s="32" t="s">
        <v>116</v>
      </c>
      <c r="F29" s="32" t="s">
        <v>116</v>
      </c>
      <c r="G29" s="32" t="s">
        <v>116</v>
      </c>
      <c r="H29" s="32" t="s">
        <v>116</v>
      </c>
      <c r="I29" s="32" t="s">
        <v>116</v>
      </c>
      <c r="J29" s="27" t="s">
        <v>51</v>
      </c>
    </row>
    <row r="30" spans="1:10" ht="27.75" customHeight="1" x14ac:dyDescent="0.2">
      <c r="A30" s="20" t="s">
        <v>52</v>
      </c>
      <c r="B30" s="29">
        <v>47</v>
      </c>
      <c r="C30" s="32">
        <v>4.0518638573743923E-2</v>
      </c>
      <c r="D30" s="32">
        <v>4.0518638573743923E-2</v>
      </c>
      <c r="E30" s="32">
        <v>4.0518638573743923E-2</v>
      </c>
      <c r="F30" s="32" t="s">
        <v>116</v>
      </c>
      <c r="G30" s="32" t="s">
        <v>116</v>
      </c>
      <c r="H30" s="32" t="s">
        <v>116</v>
      </c>
      <c r="I30" s="32" t="s">
        <v>116</v>
      </c>
      <c r="J30" s="27" t="s">
        <v>53</v>
      </c>
    </row>
    <row r="31" spans="1:10" ht="28.5" customHeight="1" x14ac:dyDescent="0.2">
      <c r="A31" s="20" t="s">
        <v>54</v>
      </c>
      <c r="B31" s="21" t="s">
        <v>55</v>
      </c>
      <c r="C31" s="25">
        <v>0.52201014274750712</v>
      </c>
      <c r="D31" s="32" t="s">
        <v>116</v>
      </c>
      <c r="E31" s="32" t="s">
        <v>116</v>
      </c>
      <c r="F31" s="32" t="s">
        <v>116</v>
      </c>
      <c r="G31" s="32" t="s">
        <v>116</v>
      </c>
      <c r="H31" s="32" t="s">
        <v>116</v>
      </c>
      <c r="I31" s="32" t="s">
        <v>116</v>
      </c>
      <c r="J31" s="27" t="s">
        <v>56</v>
      </c>
    </row>
    <row r="32" spans="1:10" ht="29.25" customHeight="1" x14ac:dyDescent="0.2">
      <c r="A32" s="20" t="s">
        <v>57</v>
      </c>
      <c r="B32" s="21" t="s">
        <v>58</v>
      </c>
      <c r="C32" s="25">
        <v>5.0366913633535448</v>
      </c>
      <c r="D32" s="25">
        <v>0.56981677334922998</v>
      </c>
      <c r="E32" s="32" t="s">
        <v>116</v>
      </c>
      <c r="F32" s="25">
        <v>0.19705377995772405</v>
      </c>
      <c r="G32" s="32">
        <v>0.19705377995772405</v>
      </c>
      <c r="H32" s="32" t="s">
        <v>105</v>
      </c>
      <c r="I32" s="32">
        <v>0.18638149669575299</v>
      </c>
      <c r="J32" s="27" t="s">
        <v>59</v>
      </c>
    </row>
    <row r="33" spans="1:10" ht="17.25" customHeight="1" x14ac:dyDescent="0.2">
      <c r="A33" s="20" t="s">
        <v>60</v>
      </c>
      <c r="B33" s="29">
        <v>55</v>
      </c>
      <c r="C33" s="32">
        <v>15.187764248795526</v>
      </c>
      <c r="D33" s="32">
        <v>1.8007387953646208</v>
      </c>
      <c r="E33" s="32" t="s">
        <v>116</v>
      </c>
      <c r="F33" s="32">
        <v>0.62273067929792381</v>
      </c>
      <c r="G33" s="32">
        <v>0.62273067929792381</v>
      </c>
      <c r="H33" s="32" t="s">
        <v>116</v>
      </c>
      <c r="I33" s="32">
        <v>0.58900405803334865</v>
      </c>
      <c r="J33" s="27" t="s">
        <v>148</v>
      </c>
    </row>
    <row r="34" spans="1:10" ht="17.25" customHeight="1" x14ac:dyDescent="0.2">
      <c r="A34" s="20" t="s">
        <v>61</v>
      </c>
      <c r="B34" s="21" t="s">
        <v>62</v>
      </c>
      <c r="C34" s="32">
        <v>1.4957952019475005</v>
      </c>
      <c r="D34" s="32" t="s">
        <v>116</v>
      </c>
      <c r="E34" s="32" t="s">
        <v>116</v>
      </c>
      <c r="F34" s="32" t="s">
        <v>116</v>
      </c>
      <c r="G34" s="32" t="s">
        <v>116</v>
      </c>
      <c r="H34" s="32" t="s">
        <v>116</v>
      </c>
      <c r="I34" s="32" t="s">
        <v>116</v>
      </c>
      <c r="J34" s="27" t="s">
        <v>63</v>
      </c>
    </row>
    <row r="35" spans="1:10" ht="53.25" customHeight="1" x14ac:dyDescent="0.2">
      <c r="A35" s="28" t="s">
        <v>64</v>
      </c>
      <c r="B35" s="21" t="s">
        <v>65</v>
      </c>
      <c r="C35" s="32" t="s">
        <v>116</v>
      </c>
      <c r="D35" s="32" t="s">
        <v>116</v>
      </c>
      <c r="E35" s="32" t="s">
        <v>116</v>
      </c>
      <c r="F35" s="32" t="s">
        <v>116</v>
      </c>
      <c r="G35" s="32" t="s">
        <v>116</v>
      </c>
      <c r="H35" s="32" t="s">
        <v>116</v>
      </c>
      <c r="I35" s="32" t="s">
        <v>116</v>
      </c>
      <c r="J35" s="27" t="s">
        <v>149</v>
      </c>
    </row>
    <row r="36" spans="1:10" ht="18.75" customHeight="1" x14ac:dyDescent="0.2">
      <c r="A36" s="20" t="s">
        <v>66</v>
      </c>
      <c r="B36" s="29">
        <v>61</v>
      </c>
      <c r="C36" s="32" t="s">
        <v>116</v>
      </c>
      <c r="D36" s="32" t="s">
        <v>116</v>
      </c>
      <c r="E36" s="32" t="s">
        <v>116</v>
      </c>
      <c r="F36" s="32" t="s">
        <v>116</v>
      </c>
      <c r="G36" s="32" t="s">
        <v>116</v>
      </c>
      <c r="H36" s="32" t="s">
        <v>116</v>
      </c>
      <c r="I36" s="32" t="s">
        <v>116</v>
      </c>
      <c r="J36" s="27" t="s">
        <v>150</v>
      </c>
    </row>
    <row r="37" spans="1:10" ht="43.5" customHeight="1" x14ac:dyDescent="0.2">
      <c r="A37" s="20" t="s">
        <v>67</v>
      </c>
      <c r="B37" s="29" t="s">
        <v>68</v>
      </c>
      <c r="C37" s="32">
        <v>3.1083744143144316</v>
      </c>
      <c r="D37" s="32" t="s">
        <v>116</v>
      </c>
      <c r="E37" s="32" t="s">
        <v>116</v>
      </c>
      <c r="F37" s="32" t="s">
        <v>116</v>
      </c>
      <c r="G37" s="32" t="s">
        <v>116</v>
      </c>
      <c r="H37" s="32" t="s">
        <v>116</v>
      </c>
      <c r="I37" s="32" t="s">
        <v>116</v>
      </c>
      <c r="J37" s="27" t="s">
        <v>151</v>
      </c>
    </row>
    <row r="38" spans="1:10" ht="20.25" customHeight="1" x14ac:dyDescent="0.2">
      <c r="A38" s="20" t="s">
        <v>69</v>
      </c>
      <c r="B38" s="21" t="s">
        <v>70</v>
      </c>
      <c r="C38" s="25">
        <v>0.27672997566101554</v>
      </c>
      <c r="D38" s="32" t="s">
        <v>116</v>
      </c>
      <c r="E38" s="32" t="s">
        <v>116</v>
      </c>
      <c r="F38" s="32" t="s">
        <v>116</v>
      </c>
      <c r="G38" s="32">
        <v>0.27672997566101554</v>
      </c>
      <c r="H38" s="32" t="s">
        <v>116</v>
      </c>
      <c r="I38" s="32" t="s">
        <v>116</v>
      </c>
      <c r="J38" s="27" t="s">
        <v>71</v>
      </c>
    </row>
    <row r="39" spans="1:10" ht="18" customHeight="1" x14ac:dyDescent="0.2">
      <c r="A39" s="20" t="s">
        <v>72</v>
      </c>
      <c r="B39" s="21" t="s">
        <v>73</v>
      </c>
      <c r="C39" s="25">
        <v>0.7982837173358126</v>
      </c>
      <c r="D39" s="32" t="s">
        <v>116</v>
      </c>
      <c r="E39" s="32" t="s">
        <v>116</v>
      </c>
      <c r="F39" s="32" t="s">
        <v>116</v>
      </c>
      <c r="G39" s="32">
        <v>0.47641960916694187</v>
      </c>
      <c r="H39" s="32" t="s">
        <v>116</v>
      </c>
      <c r="I39" s="32">
        <v>0.32186410816887079</v>
      </c>
      <c r="J39" s="27" t="s">
        <v>152</v>
      </c>
    </row>
    <row r="40" spans="1:10" ht="78.75" customHeight="1" x14ac:dyDescent="0.2">
      <c r="A40" s="20" t="s">
        <v>74</v>
      </c>
      <c r="B40" s="29" t="s">
        <v>75</v>
      </c>
      <c r="C40" s="32" t="s">
        <v>116</v>
      </c>
      <c r="D40" s="32" t="s">
        <v>116</v>
      </c>
      <c r="E40" s="32" t="s">
        <v>116</v>
      </c>
      <c r="F40" s="32" t="s">
        <v>116</v>
      </c>
      <c r="G40" s="32" t="s">
        <v>116</v>
      </c>
      <c r="H40" s="32" t="s">
        <v>116</v>
      </c>
      <c r="I40" s="32" t="s">
        <v>116</v>
      </c>
      <c r="J40" s="27" t="s">
        <v>153</v>
      </c>
    </row>
    <row r="41" spans="1:10" ht="15" customHeight="1" x14ac:dyDescent="0.2">
      <c r="A41" s="20" t="s">
        <v>76</v>
      </c>
      <c r="B41" s="29">
        <v>72</v>
      </c>
      <c r="C41" s="32" t="s">
        <v>116</v>
      </c>
      <c r="D41" s="32" t="s">
        <v>116</v>
      </c>
      <c r="E41" s="32" t="s">
        <v>116</v>
      </c>
      <c r="F41" s="32" t="s">
        <v>116</v>
      </c>
      <c r="G41" s="32" t="s">
        <v>116</v>
      </c>
      <c r="H41" s="32" t="s">
        <v>116</v>
      </c>
      <c r="I41" s="32" t="s">
        <v>116</v>
      </c>
      <c r="J41" s="27" t="s">
        <v>154</v>
      </c>
    </row>
    <row r="42" spans="1:10" ht="45" customHeight="1" x14ac:dyDescent="0.2">
      <c r="A42" s="20" t="s">
        <v>77</v>
      </c>
      <c r="B42" s="29" t="s">
        <v>78</v>
      </c>
      <c r="C42" s="32">
        <v>4.0351202500368633</v>
      </c>
      <c r="D42" s="32" t="s">
        <v>116</v>
      </c>
      <c r="E42" s="32" t="s">
        <v>116</v>
      </c>
      <c r="F42" s="32" t="s">
        <v>116</v>
      </c>
      <c r="G42" s="32">
        <v>2.4081794113000528</v>
      </c>
      <c r="H42" s="32" t="s">
        <v>116</v>
      </c>
      <c r="I42" s="32">
        <v>1.6269408387368105</v>
      </c>
      <c r="J42" s="27" t="s">
        <v>79</v>
      </c>
    </row>
    <row r="43" spans="1:10" ht="27.75" customHeight="1" x14ac:dyDescent="0.2">
      <c r="A43" s="20" t="s">
        <v>80</v>
      </c>
      <c r="B43" s="21" t="s">
        <v>81</v>
      </c>
      <c r="C43" s="32">
        <v>0.31274939536654617</v>
      </c>
      <c r="D43" s="32" t="s">
        <v>116</v>
      </c>
      <c r="E43" s="32" t="s">
        <v>116</v>
      </c>
      <c r="F43" s="32" t="s">
        <v>116</v>
      </c>
      <c r="G43" s="32" t="s">
        <v>116</v>
      </c>
      <c r="H43" s="32" t="s">
        <v>116</v>
      </c>
      <c r="I43" s="32" t="s">
        <v>116</v>
      </c>
      <c r="J43" s="27" t="s">
        <v>82</v>
      </c>
    </row>
    <row r="44" spans="1:10" ht="78" customHeight="1" x14ac:dyDescent="0.2">
      <c r="A44" s="20" t="s">
        <v>83</v>
      </c>
      <c r="B44" s="21" t="s">
        <v>84</v>
      </c>
      <c r="C44" s="32" t="s">
        <v>116</v>
      </c>
      <c r="D44" s="32" t="s">
        <v>116</v>
      </c>
      <c r="E44" s="32" t="s">
        <v>116</v>
      </c>
      <c r="F44" s="32" t="s">
        <v>116</v>
      </c>
      <c r="G44" s="32" t="s">
        <v>116</v>
      </c>
      <c r="H44" s="32" t="s">
        <v>116</v>
      </c>
      <c r="I44" s="32" t="s">
        <v>116</v>
      </c>
      <c r="J44" s="27" t="s">
        <v>205</v>
      </c>
    </row>
    <row r="45" spans="1:10" ht="41.25" customHeight="1" x14ac:dyDescent="0.2">
      <c r="A45" s="20" t="s">
        <v>85</v>
      </c>
      <c r="B45" s="29">
        <v>79</v>
      </c>
      <c r="C45" s="32">
        <v>8.2982839570590237</v>
      </c>
      <c r="D45" s="32" t="s">
        <v>116</v>
      </c>
      <c r="E45" s="32" t="s">
        <v>116</v>
      </c>
      <c r="F45" s="32" t="s">
        <v>116</v>
      </c>
      <c r="G45" s="32" t="s">
        <v>116</v>
      </c>
      <c r="H45" s="32" t="s">
        <v>116</v>
      </c>
      <c r="I45" s="32" t="s">
        <v>116</v>
      </c>
      <c r="J45" s="27" t="s">
        <v>155</v>
      </c>
    </row>
    <row r="46" spans="1:10" ht="20.25" customHeight="1" x14ac:dyDescent="0.2">
      <c r="A46" s="20" t="s">
        <v>86</v>
      </c>
      <c r="B46" s="21" t="s">
        <v>87</v>
      </c>
      <c r="C46" s="32" t="s">
        <v>116</v>
      </c>
      <c r="D46" s="32" t="s">
        <v>116</v>
      </c>
      <c r="E46" s="32" t="s">
        <v>116</v>
      </c>
      <c r="F46" s="32" t="s">
        <v>116</v>
      </c>
      <c r="G46" s="32" t="s">
        <v>116</v>
      </c>
      <c r="H46" s="32" t="s">
        <v>116</v>
      </c>
      <c r="I46" s="32" t="s">
        <v>116</v>
      </c>
      <c r="J46" s="27" t="s">
        <v>88</v>
      </c>
    </row>
    <row r="47" spans="1:10" ht="53.25" customHeight="1" x14ac:dyDescent="0.2">
      <c r="A47" s="20" t="s">
        <v>89</v>
      </c>
      <c r="B47" s="21" t="s">
        <v>90</v>
      </c>
      <c r="C47" s="32">
        <v>0.77921110970960461</v>
      </c>
      <c r="D47" s="32" t="s">
        <v>116</v>
      </c>
      <c r="E47" s="32" t="s">
        <v>116</v>
      </c>
      <c r="F47" s="32" t="s">
        <v>116</v>
      </c>
      <c r="G47" s="32" t="s">
        <v>116</v>
      </c>
      <c r="H47" s="32" t="s">
        <v>116</v>
      </c>
      <c r="I47" s="32" t="s">
        <v>116</v>
      </c>
      <c r="J47" s="27" t="s">
        <v>91</v>
      </c>
    </row>
    <row r="48" spans="1:10" x14ac:dyDescent="0.2">
      <c r="A48" s="114"/>
      <c r="B48" s="115"/>
      <c r="C48" s="118"/>
      <c r="D48" s="118"/>
      <c r="E48" s="118"/>
      <c r="F48" s="118"/>
      <c r="G48" s="118"/>
      <c r="H48" s="118"/>
      <c r="I48" s="122"/>
      <c r="J48" s="121"/>
    </row>
    <row r="49" spans="1:33" ht="17.25" customHeight="1" x14ac:dyDescent="0.2">
      <c r="A49" s="69" t="s">
        <v>92</v>
      </c>
      <c r="B49" s="69"/>
      <c r="C49" s="17"/>
      <c r="D49" s="17"/>
      <c r="E49" s="17"/>
      <c r="F49" s="17"/>
      <c r="G49" s="32"/>
      <c r="H49" s="32"/>
      <c r="I49" s="32"/>
      <c r="J49" s="33" t="s">
        <v>156</v>
      </c>
    </row>
    <row r="50" spans="1:33" ht="17.25" customHeight="1" x14ac:dyDescent="0.2">
      <c r="A50" s="70" t="s">
        <v>93</v>
      </c>
      <c r="B50" s="70"/>
      <c r="C50" s="25">
        <v>0.44603316831964862</v>
      </c>
      <c r="D50" s="25">
        <v>4.028006871187876E-2</v>
      </c>
      <c r="E50" s="25">
        <v>9.856195474207215E-3</v>
      </c>
      <c r="F50" s="25">
        <v>1.670250020669483E-2</v>
      </c>
      <c r="G50" s="25">
        <v>4.8351782679939635E-2</v>
      </c>
      <c r="H50" s="25">
        <v>9.856195474207215E-3</v>
      </c>
      <c r="I50" s="32">
        <v>4.1937933763677979E-2</v>
      </c>
      <c r="J50" s="34" t="s">
        <v>94</v>
      </c>
    </row>
    <row r="51" spans="1:33" ht="17.25" customHeight="1" x14ac:dyDescent="0.2">
      <c r="A51" s="70" t="s">
        <v>95</v>
      </c>
      <c r="B51" s="70"/>
      <c r="C51" s="25">
        <v>0.75905508775697272</v>
      </c>
      <c r="D51" s="25">
        <v>0.18900991498640812</v>
      </c>
      <c r="E51" s="32" t="s">
        <v>116</v>
      </c>
      <c r="F51" s="32" t="s">
        <v>116</v>
      </c>
      <c r="G51" s="25">
        <v>0.15008328413424643</v>
      </c>
      <c r="H51" s="32" t="s">
        <v>116</v>
      </c>
      <c r="I51" s="32">
        <v>2.5923412994302959E-2</v>
      </c>
      <c r="J51" s="27" t="s">
        <v>96</v>
      </c>
    </row>
    <row r="52" spans="1:33" ht="17.25" customHeight="1" x14ac:dyDescent="0.2">
      <c r="A52" s="70" t="s">
        <v>97</v>
      </c>
      <c r="B52" s="70"/>
      <c r="C52" s="25">
        <v>0.86681983907310101</v>
      </c>
      <c r="D52" s="25">
        <v>9.013068949977468E-2</v>
      </c>
      <c r="E52" s="25">
        <v>4.506534474988734E-2</v>
      </c>
      <c r="F52" s="32" t="s">
        <v>116</v>
      </c>
      <c r="G52" s="25">
        <v>0</v>
      </c>
      <c r="H52" s="32" t="s">
        <v>116</v>
      </c>
      <c r="I52" s="32" t="s">
        <v>116</v>
      </c>
      <c r="J52" s="27" t="s">
        <v>98</v>
      </c>
    </row>
    <row r="54" spans="1:33" ht="17.25" customHeight="1" x14ac:dyDescent="0.2">
      <c r="A54" s="16" t="s">
        <v>110</v>
      </c>
      <c r="C54" s="3"/>
      <c r="D54" s="3"/>
      <c r="E54" s="3"/>
      <c r="F54" s="3"/>
      <c r="G54" s="24"/>
      <c r="J54" s="26"/>
      <c r="K54" s="26"/>
      <c r="L54" s="26"/>
      <c r="M54" s="35"/>
      <c r="N54" s="35"/>
      <c r="O54" s="35"/>
      <c r="P54" s="35"/>
      <c r="Q54" s="35"/>
      <c r="T54" s="26"/>
      <c r="U54" s="26"/>
    </row>
    <row r="55" spans="1:33" ht="29.25" customHeight="1" x14ac:dyDescent="0.2">
      <c r="A55" s="70" t="s">
        <v>124</v>
      </c>
      <c r="B55" s="70"/>
      <c r="C55" s="70"/>
      <c r="D55" s="70"/>
      <c r="E55" s="70"/>
      <c r="F55" s="70"/>
      <c r="G55" s="70"/>
      <c r="H55" s="70"/>
      <c r="I55" s="70"/>
      <c r="J55" s="7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</row>
    <row r="56" spans="1:33" ht="22.5" customHeight="1" x14ac:dyDescent="0.2">
      <c r="A56" s="70" t="s">
        <v>112</v>
      </c>
      <c r="B56" s="70"/>
      <c r="C56" s="70"/>
      <c r="D56" s="70"/>
      <c r="E56" s="70"/>
      <c r="F56" s="70"/>
      <c r="G56" s="70"/>
      <c r="H56" s="70"/>
      <c r="I56" s="70"/>
      <c r="J56" s="7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</row>
    <row r="57" spans="1:33" ht="22.5" customHeight="1" x14ac:dyDescent="0.2">
      <c r="A57" s="70" t="s">
        <v>123</v>
      </c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</row>
    <row r="58" spans="1:33" ht="22.5" customHeight="1" x14ac:dyDescent="0.2"/>
  </sheetData>
  <mergeCells count="13">
    <mergeCell ref="A57:AG57"/>
    <mergeCell ref="A56:J56"/>
    <mergeCell ref="A1:I1"/>
    <mergeCell ref="A49:B49"/>
    <mergeCell ref="A3:A4"/>
    <mergeCell ref="B3:B4"/>
    <mergeCell ref="C3:C4"/>
    <mergeCell ref="D3:I3"/>
    <mergeCell ref="J3:J4"/>
    <mergeCell ref="A50:B50"/>
    <mergeCell ref="A51:B51"/>
    <mergeCell ref="A52:B52"/>
    <mergeCell ref="A55:J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58"/>
  <sheetViews>
    <sheetView zoomScaleNormal="100" workbookViewId="0">
      <selection sqref="A1:W1"/>
    </sheetView>
  </sheetViews>
  <sheetFormatPr defaultRowHeight="12.75" x14ac:dyDescent="0.2"/>
  <cols>
    <col min="1" max="1" width="45.7109375" style="3" customWidth="1"/>
    <col min="2" max="2" width="15.5703125" style="3" customWidth="1"/>
    <col min="3" max="22" width="8.85546875" style="3" customWidth="1"/>
    <col min="23" max="23" width="52.42578125" style="38" customWidth="1"/>
    <col min="24" max="24" width="8.5703125" style="3" customWidth="1"/>
    <col min="25" max="16384" width="9.140625" style="3"/>
  </cols>
  <sheetData>
    <row r="1" spans="1:23" ht="45" customHeight="1" x14ac:dyDescent="0.2">
      <c r="A1" s="92" t="s">
        <v>177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</row>
    <row r="2" spans="1:23" ht="30" customHeight="1" x14ac:dyDescent="0.2">
      <c r="A2" s="64"/>
      <c r="B2" s="80" t="s">
        <v>132</v>
      </c>
      <c r="C2" s="93" t="s">
        <v>118</v>
      </c>
      <c r="D2" s="94"/>
      <c r="E2" s="94"/>
      <c r="F2" s="95"/>
      <c r="G2" s="55" t="s">
        <v>172</v>
      </c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60"/>
      <c r="W2" s="77"/>
    </row>
    <row r="3" spans="1:23" ht="87" customHeight="1" x14ac:dyDescent="0.2">
      <c r="A3" s="65"/>
      <c r="B3" s="81"/>
      <c r="C3" s="96"/>
      <c r="D3" s="97"/>
      <c r="E3" s="97"/>
      <c r="F3" s="98"/>
      <c r="G3" s="55" t="s">
        <v>173</v>
      </c>
      <c r="H3" s="56"/>
      <c r="I3" s="56"/>
      <c r="J3" s="60"/>
      <c r="K3" s="55" t="s">
        <v>174</v>
      </c>
      <c r="L3" s="56"/>
      <c r="M3" s="56"/>
      <c r="N3" s="60"/>
      <c r="O3" s="55" t="s">
        <v>175</v>
      </c>
      <c r="P3" s="56"/>
      <c r="Q3" s="56"/>
      <c r="R3" s="60"/>
      <c r="S3" s="55" t="s">
        <v>176</v>
      </c>
      <c r="T3" s="56"/>
      <c r="U3" s="56"/>
      <c r="V3" s="60"/>
      <c r="W3" s="78"/>
    </row>
    <row r="4" spans="1:23" ht="16.5" customHeight="1" x14ac:dyDescent="0.2">
      <c r="A4" s="66"/>
      <c r="B4" s="82"/>
      <c r="C4" s="8">
        <v>2018</v>
      </c>
      <c r="D4" s="8">
        <v>2019</v>
      </c>
      <c r="E4" s="8">
        <v>2020</v>
      </c>
      <c r="F4" s="8">
        <v>2022</v>
      </c>
      <c r="G4" s="8">
        <v>2018</v>
      </c>
      <c r="H4" s="8">
        <v>2019</v>
      </c>
      <c r="I4" s="8">
        <v>2020</v>
      </c>
      <c r="J4" s="6">
        <v>2022</v>
      </c>
      <c r="K4" s="8">
        <v>2018</v>
      </c>
      <c r="L4" s="8">
        <v>2019</v>
      </c>
      <c r="M4" s="8">
        <v>2020</v>
      </c>
      <c r="N4" s="6">
        <v>2022</v>
      </c>
      <c r="O4" s="8">
        <v>2018</v>
      </c>
      <c r="P4" s="8">
        <v>2019</v>
      </c>
      <c r="Q4" s="8">
        <v>2020</v>
      </c>
      <c r="R4" s="6">
        <v>2022</v>
      </c>
      <c r="S4" s="8">
        <v>2018</v>
      </c>
      <c r="T4" s="8">
        <v>2019</v>
      </c>
      <c r="U4" s="8">
        <v>2020</v>
      </c>
      <c r="V4" s="6">
        <v>2022</v>
      </c>
      <c r="W4" s="79"/>
    </row>
    <row r="5" spans="1:23" x14ac:dyDescent="0.2">
      <c r="A5" s="11" t="s">
        <v>0</v>
      </c>
      <c r="B5" s="39"/>
      <c r="C5" s="17">
        <v>12.5</v>
      </c>
      <c r="D5" s="17">
        <v>11.9</v>
      </c>
      <c r="E5" s="17">
        <v>12.7</v>
      </c>
      <c r="F5" s="17">
        <v>8.242241539899279</v>
      </c>
      <c r="G5" s="18">
        <v>5.9</v>
      </c>
      <c r="H5" s="18">
        <v>5.7</v>
      </c>
      <c r="I5" s="18">
        <v>5.7</v>
      </c>
      <c r="J5" s="18">
        <v>2.1298450599657333</v>
      </c>
      <c r="K5" s="18">
        <v>3.4</v>
      </c>
      <c r="L5" s="18">
        <v>3.7</v>
      </c>
      <c r="M5" s="18">
        <v>4</v>
      </c>
      <c r="N5" s="18">
        <v>4.5252454727168896</v>
      </c>
      <c r="O5" s="18">
        <v>3.3</v>
      </c>
      <c r="P5" s="18">
        <v>3.3</v>
      </c>
      <c r="Q5" s="18">
        <v>3.4</v>
      </c>
      <c r="R5" s="18">
        <v>2.9923975806032925</v>
      </c>
      <c r="S5" s="18">
        <v>6</v>
      </c>
      <c r="T5" s="18">
        <v>5.6</v>
      </c>
      <c r="U5" s="18">
        <v>5.8</v>
      </c>
      <c r="V5" s="18">
        <v>2.8617598567052607</v>
      </c>
      <c r="W5" s="19" t="s">
        <v>1</v>
      </c>
    </row>
    <row r="6" spans="1:23" x14ac:dyDescent="0.2">
      <c r="A6" s="20" t="s">
        <v>2</v>
      </c>
      <c r="B6" s="21" t="s">
        <v>3</v>
      </c>
      <c r="C6" s="25">
        <v>11.9</v>
      </c>
      <c r="D6" s="25">
        <v>11.6</v>
      </c>
      <c r="E6" s="25">
        <v>12.2</v>
      </c>
      <c r="F6" s="25">
        <v>7.0284012431521283</v>
      </c>
      <c r="G6" s="26">
        <v>5.6</v>
      </c>
      <c r="H6" s="26">
        <v>5.6</v>
      </c>
      <c r="I6" s="26">
        <v>5.2</v>
      </c>
      <c r="J6" s="26">
        <v>2.4434291613990728</v>
      </c>
      <c r="K6" s="26">
        <v>2.9</v>
      </c>
      <c r="L6" s="26">
        <v>3.2</v>
      </c>
      <c r="M6" s="26">
        <v>3.5</v>
      </c>
      <c r="N6" s="26">
        <v>3.58747593763169</v>
      </c>
      <c r="O6" s="26">
        <v>2.8</v>
      </c>
      <c r="P6" s="26">
        <v>2.8</v>
      </c>
      <c r="Q6" s="26">
        <v>2.9</v>
      </c>
      <c r="R6" s="26">
        <v>2.1344404867256634</v>
      </c>
      <c r="S6" s="26">
        <v>5.7</v>
      </c>
      <c r="T6" s="26">
        <v>5.5</v>
      </c>
      <c r="U6" s="26">
        <v>5.5</v>
      </c>
      <c r="V6" s="26">
        <v>2.7763690897597981</v>
      </c>
      <c r="W6" s="27" t="s">
        <v>4</v>
      </c>
    </row>
    <row r="7" spans="1:23" ht="76.5" x14ac:dyDescent="0.2">
      <c r="A7" s="20" t="s">
        <v>5</v>
      </c>
      <c r="B7" s="21" t="s">
        <v>6</v>
      </c>
      <c r="C7" s="25">
        <v>11.6</v>
      </c>
      <c r="D7" s="25">
        <v>11.7</v>
      </c>
      <c r="E7" s="25">
        <v>12.6</v>
      </c>
      <c r="F7" s="25">
        <v>7.9720713594841506</v>
      </c>
      <c r="G7" s="26">
        <v>5.7</v>
      </c>
      <c r="H7" s="26">
        <v>5.7</v>
      </c>
      <c r="I7" s="26">
        <v>5.8</v>
      </c>
      <c r="J7" s="26">
        <v>2.0339394411606664</v>
      </c>
      <c r="K7" s="26">
        <v>3.3</v>
      </c>
      <c r="L7" s="26">
        <v>3.5</v>
      </c>
      <c r="M7" s="26">
        <v>3.7</v>
      </c>
      <c r="N7" s="26">
        <v>4.2770125201504579</v>
      </c>
      <c r="O7" s="26">
        <v>2.8</v>
      </c>
      <c r="P7" s="26">
        <v>2.6</v>
      </c>
      <c r="Q7" s="26">
        <v>2.6</v>
      </c>
      <c r="R7" s="26">
        <v>2.8715328049435782</v>
      </c>
      <c r="S7" s="26">
        <v>5.2</v>
      </c>
      <c r="T7" s="26">
        <v>5.0999999999999996</v>
      </c>
      <c r="U7" s="26">
        <v>5.3</v>
      </c>
      <c r="V7" s="26">
        <v>3.0769705534658787</v>
      </c>
      <c r="W7" s="27" t="s">
        <v>135</v>
      </c>
    </row>
    <row r="8" spans="1:23" ht="25.5" x14ac:dyDescent="0.2">
      <c r="A8" s="28" t="s">
        <v>7</v>
      </c>
      <c r="B8" s="21" t="s">
        <v>8</v>
      </c>
      <c r="C8" s="25">
        <v>14.5</v>
      </c>
      <c r="D8" s="25">
        <v>14.5</v>
      </c>
      <c r="E8" s="25">
        <v>14.2</v>
      </c>
      <c r="F8" s="25">
        <v>11.003107827890101</v>
      </c>
      <c r="G8" s="26">
        <v>7.4</v>
      </c>
      <c r="H8" s="26">
        <v>7.4</v>
      </c>
      <c r="I8" s="26">
        <v>6.2</v>
      </c>
      <c r="J8" s="26">
        <v>2.6494893727319853</v>
      </c>
      <c r="K8" s="26">
        <v>5.3</v>
      </c>
      <c r="L8" s="26">
        <v>5.8</v>
      </c>
      <c r="M8" s="26">
        <v>5.6</v>
      </c>
      <c r="N8" s="26">
        <v>7.0827283566614829</v>
      </c>
      <c r="O8" s="26">
        <v>3</v>
      </c>
      <c r="P8" s="26">
        <v>2.8</v>
      </c>
      <c r="Q8" s="26">
        <v>2.9</v>
      </c>
      <c r="R8" s="26">
        <v>4.1309061689994815</v>
      </c>
      <c r="S8" s="26">
        <v>6.4</v>
      </c>
      <c r="T8" s="26">
        <v>6</v>
      </c>
      <c r="U8" s="26">
        <v>6.2</v>
      </c>
      <c r="V8" s="26">
        <v>4.3437350959046137</v>
      </c>
      <c r="W8" s="27" t="s">
        <v>136</v>
      </c>
    </row>
    <row r="9" spans="1:23" ht="38.25" x14ac:dyDescent="0.2">
      <c r="A9" s="28" t="s">
        <v>9</v>
      </c>
      <c r="B9" s="21" t="s">
        <v>10</v>
      </c>
      <c r="C9" s="25">
        <v>8.3000000000000007</v>
      </c>
      <c r="D9" s="25">
        <v>7.9</v>
      </c>
      <c r="E9" s="25">
        <v>8.1999999999999993</v>
      </c>
      <c r="F9" s="25">
        <v>3.934604904632153</v>
      </c>
      <c r="G9" s="26">
        <v>3.6</v>
      </c>
      <c r="H9" s="26">
        <v>3.5</v>
      </c>
      <c r="I9" s="26">
        <v>3.5</v>
      </c>
      <c r="J9" s="26">
        <v>1.5435967302452316</v>
      </c>
      <c r="K9" s="26">
        <v>1.2</v>
      </c>
      <c r="L9" s="26">
        <v>0.9</v>
      </c>
      <c r="M9" s="26">
        <v>1.3</v>
      </c>
      <c r="N9" s="26">
        <v>1.7138964577656675</v>
      </c>
      <c r="O9" s="26">
        <v>2.2000000000000002</v>
      </c>
      <c r="P9" s="26">
        <v>2</v>
      </c>
      <c r="Q9" s="26">
        <v>2.1</v>
      </c>
      <c r="R9" s="26">
        <v>0.56403269754768381</v>
      </c>
      <c r="S9" s="26">
        <v>3.8</v>
      </c>
      <c r="T9" s="26">
        <v>3.9</v>
      </c>
      <c r="U9" s="26">
        <v>3.7</v>
      </c>
      <c r="V9" s="26">
        <v>0.9168937329700273</v>
      </c>
      <c r="W9" s="27" t="s">
        <v>137</v>
      </c>
    </row>
    <row r="10" spans="1:23" ht="25.5" x14ac:dyDescent="0.2">
      <c r="A10" s="28" t="s">
        <v>11</v>
      </c>
      <c r="B10" s="21" t="s">
        <v>12</v>
      </c>
      <c r="C10" s="25">
        <v>9.3000000000000007</v>
      </c>
      <c r="D10" s="25">
        <v>10.3</v>
      </c>
      <c r="E10" s="25">
        <v>13.3</v>
      </c>
      <c r="F10" s="25">
        <v>5.2493433427762044</v>
      </c>
      <c r="G10" s="26">
        <v>4.4000000000000004</v>
      </c>
      <c r="H10" s="26">
        <v>4.8</v>
      </c>
      <c r="I10" s="26">
        <v>7.2</v>
      </c>
      <c r="J10" s="26">
        <v>1.2525567516525025</v>
      </c>
      <c r="K10" s="26">
        <v>1.5</v>
      </c>
      <c r="L10" s="26">
        <v>2</v>
      </c>
      <c r="M10" s="26">
        <v>2.4</v>
      </c>
      <c r="N10" s="26">
        <v>0.94283059490084997</v>
      </c>
      <c r="O10" s="26">
        <v>2.8</v>
      </c>
      <c r="P10" s="26">
        <v>2.8</v>
      </c>
      <c r="Q10" s="26">
        <v>2.7</v>
      </c>
      <c r="R10" s="26">
        <v>2.1768905571293673</v>
      </c>
      <c r="S10" s="26">
        <v>4.2</v>
      </c>
      <c r="T10" s="26">
        <v>4.8</v>
      </c>
      <c r="U10" s="26">
        <v>4.5</v>
      </c>
      <c r="V10" s="26">
        <v>2.2666849858356941</v>
      </c>
      <c r="W10" s="27" t="s">
        <v>138</v>
      </c>
    </row>
    <row r="11" spans="1:23" ht="102" x14ac:dyDescent="0.2">
      <c r="A11" s="20" t="s">
        <v>13</v>
      </c>
      <c r="B11" s="21" t="s">
        <v>14</v>
      </c>
      <c r="C11" s="25">
        <v>13.8</v>
      </c>
      <c r="D11" s="25">
        <v>13.1</v>
      </c>
      <c r="E11" s="25">
        <v>14.6</v>
      </c>
      <c r="F11" s="25">
        <v>5.6614061244979919</v>
      </c>
      <c r="G11" s="26">
        <v>6.4</v>
      </c>
      <c r="H11" s="26">
        <v>6.2</v>
      </c>
      <c r="I11" s="26">
        <v>4.8</v>
      </c>
      <c r="J11" s="26">
        <v>2.2453549196787144</v>
      </c>
      <c r="K11" s="26">
        <v>4</v>
      </c>
      <c r="L11" s="26">
        <v>4.2</v>
      </c>
      <c r="M11" s="26">
        <v>4</v>
      </c>
      <c r="N11" s="26">
        <v>3.1720617469879522</v>
      </c>
      <c r="O11" s="26">
        <v>2.9</v>
      </c>
      <c r="P11" s="26">
        <v>3</v>
      </c>
      <c r="Q11" s="26">
        <v>3.1</v>
      </c>
      <c r="R11" s="26">
        <v>1.4969312248995983</v>
      </c>
      <c r="S11" s="26">
        <v>7</v>
      </c>
      <c r="T11" s="26">
        <v>6.4</v>
      </c>
      <c r="U11" s="26">
        <v>6.5</v>
      </c>
      <c r="V11" s="26">
        <v>1.6484106425702811</v>
      </c>
      <c r="W11" s="27" t="s">
        <v>139</v>
      </c>
    </row>
    <row r="12" spans="1:23" ht="25.5" x14ac:dyDescent="0.2">
      <c r="A12" s="20" t="s">
        <v>15</v>
      </c>
      <c r="B12" s="29">
        <v>19</v>
      </c>
      <c r="C12" s="32">
        <v>16.7</v>
      </c>
      <c r="D12" s="32">
        <v>14</v>
      </c>
      <c r="E12" s="32">
        <v>10.4</v>
      </c>
      <c r="F12" s="32">
        <v>9.375</v>
      </c>
      <c r="G12" s="26">
        <v>7.4</v>
      </c>
      <c r="H12" s="26">
        <v>7</v>
      </c>
      <c r="I12" s="26">
        <v>6.3</v>
      </c>
      <c r="J12" s="26">
        <v>3.125</v>
      </c>
      <c r="K12" s="26">
        <v>11.1</v>
      </c>
      <c r="L12" s="26">
        <v>9.3000000000000007</v>
      </c>
      <c r="M12" s="26">
        <v>12.5</v>
      </c>
      <c r="N12" s="26">
        <v>3.125</v>
      </c>
      <c r="O12" s="26">
        <v>7.4</v>
      </c>
      <c r="P12" s="26">
        <v>4.7</v>
      </c>
      <c r="Q12" s="26">
        <v>5.3</v>
      </c>
      <c r="R12" s="26">
        <v>6.25</v>
      </c>
      <c r="S12" s="26">
        <v>7.4</v>
      </c>
      <c r="T12" s="26">
        <v>4.7</v>
      </c>
      <c r="U12" s="26">
        <v>5.9</v>
      </c>
      <c r="V12" s="26">
        <v>3.125</v>
      </c>
      <c r="W12" s="27" t="s">
        <v>140</v>
      </c>
    </row>
    <row r="13" spans="1:23" ht="25.5" x14ac:dyDescent="0.2">
      <c r="A13" s="20" t="s">
        <v>16</v>
      </c>
      <c r="B13" s="29">
        <v>20</v>
      </c>
      <c r="C13" s="32">
        <v>14.1</v>
      </c>
      <c r="D13" s="32">
        <v>14.8</v>
      </c>
      <c r="E13" s="32">
        <v>13.8</v>
      </c>
      <c r="F13" s="32">
        <v>5.6952313253012052</v>
      </c>
      <c r="G13" s="26">
        <v>6.3</v>
      </c>
      <c r="H13" s="26">
        <v>6.9</v>
      </c>
      <c r="I13" s="26">
        <v>2.8</v>
      </c>
      <c r="J13" s="26">
        <v>2.4186674698795181</v>
      </c>
      <c r="K13" s="26">
        <v>3.5</v>
      </c>
      <c r="L13" s="26">
        <v>5.3</v>
      </c>
      <c r="M13" s="26">
        <v>4.5999999999999996</v>
      </c>
      <c r="N13" s="26">
        <v>2.4186674698795181</v>
      </c>
      <c r="O13" s="26">
        <v>2.4</v>
      </c>
      <c r="P13" s="26">
        <v>2.6</v>
      </c>
      <c r="Q13" s="26">
        <v>2.4</v>
      </c>
      <c r="R13" s="26">
        <v>1.7587638554216867</v>
      </c>
      <c r="S13" s="26">
        <v>8</v>
      </c>
      <c r="T13" s="26">
        <v>6.3</v>
      </c>
      <c r="U13" s="26">
        <v>6.7</v>
      </c>
      <c r="V13" s="26">
        <v>3.9364674698795183</v>
      </c>
      <c r="W13" s="27" t="s">
        <v>141</v>
      </c>
    </row>
    <row r="14" spans="1:23" ht="25.5" x14ac:dyDescent="0.2">
      <c r="A14" s="20" t="s">
        <v>17</v>
      </c>
      <c r="B14" s="29">
        <v>21</v>
      </c>
      <c r="C14" s="32">
        <v>16.2</v>
      </c>
      <c r="D14" s="32">
        <v>16.5</v>
      </c>
      <c r="E14" s="32">
        <v>19.5</v>
      </c>
      <c r="F14" s="32">
        <v>7.731958762886598</v>
      </c>
      <c r="G14" s="26">
        <v>7.7</v>
      </c>
      <c r="H14" s="26">
        <v>9.6</v>
      </c>
      <c r="I14" s="26">
        <v>6.3</v>
      </c>
      <c r="J14" s="26">
        <v>1.0309278350515463</v>
      </c>
      <c r="K14" s="26">
        <v>9.4</v>
      </c>
      <c r="L14" s="26">
        <v>10.4</v>
      </c>
      <c r="M14" s="26">
        <v>9.1999999999999993</v>
      </c>
      <c r="N14" s="26">
        <v>6.7010309278350517</v>
      </c>
      <c r="O14" s="26">
        <v>2.6</v>
      </c>
      <c r="P14" s="26">
        <v>4.3</v>
      </c>
      <c r="Q14" s="26">
        <v>3.8</v>
      </c>
      <c r="R14" s="26">
        <v>5.6701030927835054</v>
      </c>
      <c r="S14" s="26">
        <v>6.8</v>
      </c>
      <c r="T14" s="26">
        <v>7.8</v>
      </c>
      <c r="U14" s="26">
        <v>7.7</v>
      </c>
      <c r="V14" s="26">
        <v>2.0618556701030926</v>
      </c>
      <c r="W14" s="27" t="s">
        <v>142</v>
      </c>
    </row>
    <row r="15" spans="1:23" ht="38.25" x14ac:dyDescent="0.2">
      <c r="A15" s="20" t="s">
        <v>18</v>
      </c>
      <c r="B15" s="29" t="s">
        <v>19</v>
      </c>
      <c r="C15" s="32">
        <v>13.5</v>
      </c>
      <c r="D15" s="32">
        <v>12.4</v>
      </c>
      <c r="E15" s="32">
        <v>14.7</v>
      </c>
      <c r="F15" s="32">
        <v>5.430939226519337</v>
      </c>
      <c r="G15" s="26">
        <v>6.4</v>
      </c>
      <c r="H15" s="26">
        <v>5.7</v>
      </c>
      <c r="I15" s="26">
        <v>5.2</v>
      </c>
      <c r="J15" s="26">
        <v>2.2575966850828726</v>
      </c>
      <c r="K15" s="26">
        <v>3.6</v>
      </c>
      <c r="L15" s="26">
        <v>3.4</v>
      </c>
      <c r="M15" s="26">
        <v>3.4</v>
      </c>
      <c r="N15" s="26">
        <v>3.1526243093922659</v>
      </c>
      <c r="O15" s="26">
        <v>2.9</v>
      </c>
      <c r="P15" s="26">
        <v>3</v>
      </c>
      <c r="Q15" s="26">
        <v>2.8</v>
      </c>
      <c r="R15" s="26">
        <v>1.0372928176795579</v>
      </c>
      <c r="S15" s="26">
        <v>6.7</v>
      </c>
      <c r="T15" s="26">
        <v>6.4</v>
      </c>
      <c r="U15" s="26">
        <v>6.5</v>
      </c>
      <c r="V15" s="26">
        <v>0.93232044198895037</v>
      </c>
      <c r="W15" s="27" t="s">
        <v>20</v>
      </c>
    </row>
    <row r="16" spans="1:23" ht="38.25" x14ac:dyDescent="0.2">
      <c r="A16" s="28" t="s">
        <v>21</v>
      </c>
      <c r="B16" s="21" t="s">
        <v>22</v>
      </c>
      <c r="C16" s="25">
        <v>12</v>
      </c>
      <c r="D16" s="25">
        <v>11.1</v>
      </c>
      <c r="E16" s="25">
        <v>10</v>
      </c>
      <c r="F16" s="25">
        <v>8.0582010582010568</v>
      </c>
      <c r="G16" s="26">
        <v>6.2</v>
      </c>
      <c r="H16" s="26">
        <v>6.1</v>
      </c>
      <c r="I16" s="26">
        <v>5.0999999999999996</v>
      </c>
      <c r="J16" s="26">
        <v>4.143738977072311</v>
      </c>
      <c r="K16" s="26">
        <v>2.6</v>
      </c>
      <c r="L16" s="26">
        <v>2.7</v>
      </c>
      <c r="M16" s="26">
        <v>3</v>
      </c>
      <c r="N16" s="26">
        <v>4.4276895943562611</v>
      </c>
      <c r="O16" s="26">
        <v>3.6</v>
      </c>
      <c r="P16" s="26">
        <v>3.3</v>
      </c>
      <c r="Q16" s="26">
        <v>3.7</v>
      </c>
      <c r="R16" s="26">
        <v>2.8024691358024691</v>
      </c>
      <c r="S16" s="26">
        <v>5.6</v>
      </c>
      <c r="T16" s="26">
        <v>5.0999999999999996</v>
      </c>
      <c r="U16" s="26">
        <v>5.5</v>
      </c>
      <c r="V16" s="26">
        <v>3.231040564373898</v>
      </c>
      <c r="W16" s="27" t="s">
        <v>143</v>
      </c>
    </row>
    <row r="17" spans="1:23" ht="38.25" x14ac:dyDescent="0.2">
      <c r="A17" s="20" t="s">
        <v>23</v>
      </c>
      <c r="B17" s="21" t="s">
        <v>24</v>
      </c>
      <c r="C17" s="25">
        <v>10.9</v>
      </c>
      <c r="D17" s="25">
        <v>10.6</v>
      </c>
      <c r="E17" s="25">
        <v>11.1</v>
      </c>
      <c r="F17" s="25">
        <v>6.2882049924357029</v>
      </c>
      <c r="G17" s="26">
        <v>4.7</v>
      </c>
      <c r="H17" s="26">
        <v>5</v>
      </c>
      <c r="I17" s="26">
        <v>4.7</v>
      </c>
      <c r="J17" s="26">
        <v>2.4398487140695915</v>
      </c>
      <c r="K17" s="26">
        <v>1.8</v>
      </c>
      <c r="L17" s="26">
        <v>2.4</v>
      </c>
      <c r="M17" s="26">
        <v>2.2999999999999998</v>
      </c>
      <c r="N17" s="26">
        <v>2.5694152798789713</v>
      </c>
      <c r="O17" s="26">
        <v>2.5</v>
      </c>
      <c r="P17" s="26">
        <v>2.7</v>
      </c>
      <c r="Q17" s="26">
        <v>2.4</v>
      </c>
      <c r="R17" s="26">
        <v>1.2906115733736763</v>
      </c>
      <c r="S17" s="26">
        <v>5.7</v>
      </c>
      <c r="T17" s="26">
        <v>5.6</v>
      </c>
      <c r="U17" s="26">
        <v>5.5</v>
      </c>
      <c r="V17" s="26">
        <v>3.0080094553706505</v>
      </c>
      <c r="W17" s="27" t="s">
        <v>134</v>
      </c>
    </row>
    <row r="18" spans="1:23" ht="25.5" x14ac:dyDescent="0.2">
      <c r="A18" s="20" t="s">
        <v>25</v>
      </c>
      <c r="B18" s="29">
        <v>26</v>
      </c>
      <c r="C18" s="32">
        <v>13.5</v>
      </c>
      <c r="D18" s="32">
        <v>10.9</v>
      </c>
      <c r="E18" s="32">
        <v>14.7</v>
      </c>
      <c r="F18" s="32">
        <v>5.5054945054945046</v>
      </c>
      <c r="G18" s="26">
        <v>6.9</v>
      </c>
      <c r="H18" s="26">
        <v>5.0999999999999996</v>
      </c>
      <c r="I18" s="26">
        <v>6.2</v>
      </c>
      <c r="J18" s="26">
        <v>3.0274725274725274</v>
      </c>
      <c r="K18" s="26">
        <v>3.1</v>
      </c>
      <c r="L18" s="26">
        <v>3.3</v>
      </c>
      <c r="M18" s="26">
        <v>3.6</v>
      </c>
      <c r="N18" s="26">
        <v>3.7142857142857144</v>
      </c>
      <c r="O18" s="26">
        <v>3.5</v>
      </c>
      <c r="P18" s="26">
        <v>3.3</v>
      </c>
      <c r="Q18" s="26">
        <v>3.3</v>
      </c>
      <c r="R18" s="26"/>
      <c r="S18" s="26">
        <v>6.9</v>
      </c>
      <c r="T18" s="26">
        <v>6.2</v>
      </c>
      <c r="U18" s="26">
        <v>6.7</v>
      </c>
      <c r="V18" s="26"/>
      <c r="W18" s="27" t="s">
        <v>26</v>
      </c>
    </row>
    <row r="19" spans="1:23" x14ac:dyDescent="0.2">
      <c r="A19" s="20" t="s">
        <v>27</v>
      </c>
      <c r="B19" s="29">
        <v>27</v>
      </c>
      <c r="C19" s="32">
        <v>11.2</v>
      </c>
      <c r="D19" s="32">
        <v>12</v>
      </c>
      <c r="E19" s="32">
        <v>14</v>
      </c>
      <c r="F19" s="32">
        <v>3.7288135593220342</v>
      </c>
      <c r="G19" s="26">
        <v>4</v>
      </c>
      <c r="H19" s="26">
        <v>6.2</v>
      </c>
      <c r="I19" s="26">
        <v>9.6999999999999993</v>
      </c>
      <c r="J19" s="26">
        <v>0.33898305084745761</v>
      </c>
      <c r="K19" s="26">
        <v>1.9</v>
      </c>
      <c r="L19" s="26">
        <v>3.6</v>
      </c>
      <c r="M19" s="26">
        <v>3.5</v>
      </c>
      <c r="N19" s="26">
        <v>1.6983050847457628</v>
      </c>
      <c r="O19" s="26">
        <v>3.5</v>
      </c>
      <c r="P19" s="26">
        <v>3.6</v>
      </c>
      <c r="Q19" s="26">
        <v>3.4</v>
      </c>
      <c r="R19" s="26">
        <v>0.33898305084745761</v>
      </c>
      <c r="S19" s="26">
        <v>6.1</v>
      </c>
      <c r="T19" s="26">
        <v>6.7</v>
      </c>
      <c r="U19" s="26">
        <v>6.4</v>
      </c>
      <c r="V19" s="26">
        <v>1.6915254237288135</v>
      </c>
      <c r="W19" s="27" t="s">
        <v>28</v>
      </c>
    </row>
    <row r="20" spans="1:23" x14ac:dyDescent="0.2">
      <c r="A20" s="20" t="s">
        <v>29</v>
      </c>
      <c r="B20" s="29">
        <v>28</v>
      </c>
      <c r="C20" s="32">
        <v>11.6</v>
      </c>
      <c r="D20" s="32">
        <v>10.199999999999999</v>
      </c>
      <c r="E20" s="32">
        <v>9.8000000000000007</v>
      </c>
      <c r="F20" s="32">
        <v>4.7826799999999992</v>
      </c>
      <c r="G20" s="26">
        <v>5.3</v>
      </c>
      <c r="H20" s="26">
        <v>4.9000000000000004</v>
      </c>
      <c r="I20" s="26">
        <v>3.9</v>
      </c>
      <c r="J20" s="26">
        <v>1.1736800000000001</v>
      </c>
      <c r="K20" s="26">
        <v>1.9</v>
      </c>
      <c r="L20" s="26">
        <v>2.2000000000000002</v>
      </c>
      <c r="M20" s="26">
        <v>2</v>
      </c>
      <c r="N20" s="26">
        <v>0.69598666666666664</v>
      </c>
      <c r="O20" s="26">
        <v>3</v>
      </c>
      <c r="P20" s="26">
        <v>3.1</v>
      </c>
      <c r="Q20" s="26">
        <v>3</v>
      </c>
      <c r="R20" s="26">
        <v>0.56265333333333334</v>
      </c>
      <c r="S20" s="26">
        <v>6.3</v>
      </c>
      <c r="T20" s="26">
        <v>5.9</v>
      </c>
      <c r="U20" s="26">
        <v>6.2</v>
      </c>
      <c r="V20" s="26">
        <v>4.2493466666666668</v>
      </c>
      <c r="W20" s="27" t="s">
        <v>144</v>
      </c>
    </row>
    <row r="21" spans="1:23" ht="38.25" x14ac:dyDescent="0.2">
      <c r="A21" s="20" t="s">
        <v>30</v>
      </c>
      <c r="B21" s="29" t="s">
        <v>31</v>
      </c>
      <c r="C21" s="32">
        <v>9.9</v>
      </c>
      <c r="D21" s="32">
        <v>10.4</v>
      </c>
      <c r="E21" s="32">
        <v>10.8</v>
      </c>
      <c r="F21" s="32">
        <v>6.6488135593220354</v>
      </c>
      <c r="G21" s="26">
        <v>4.8</v>
      </c>
      <c r="H21" s="26">
        <v>5.2</v>
      </c>
      <c r="I21" s="26">
        <v>5.8</v>
      </c>
      <c r="J21" s="26">
        <v>3.2190677966101697</v>
      </c>
      <c r="K21" s="26">
        <v>1.6</v>
      </c>
      <c r="L21" s="26">
        <v>2.1</v>
      </c>
      <c r="M21" s="26">
        <v>2.5</v>
      </c>
      <c r="N21" s="26">
        <v>3.640423728813559</v>
      </c>
      <c r="O21" s="26">
        <v>2.2000000000000002</v>
      </c>
      <c r="P21" s="26">
        <v>3</v>
      </c>
      <c r="Q21" s="26">
        <v>2.9</v>
      </c>
      <c r="R21" s="26">
        <v>3.0448305084745764</v>
      </c>
      <c r="S21" s="26">
        <v>4.5</v>
      </c>
      <c r="T21" s="26">
        <v>5.2</v>
      </c>
      <c r="U21" s="26">
        <v>5.3</v>
      </c>
      <c r="V21" s="26">
        <v>2.7118644067796613</v>
      </c>
      <c r="W21" s="27" t="s">
        <v>145</v>
      </c>
    </row>
    <row r="22" spans="1:23" ht="27.75" customHeight="1" x14ac:dyDescent="0.2">
      <c r="A22" s="20" t="s">
        <v>32</v>
      </c>
      <c r="B22" s="29" t="s">
        <v>33</v>
      </c>
      <c r="C22" s="32">
        <v>10.1</v>
      </c>
      <c r="D22" s="32">
        <v>10.4</v>
      </c>
      <c r="E22" s="32">
        <v>10.5</v>
      </c>
      <c r="F22" s="32">
        <v>7.9321625740897543</v>
      </c>
      <c r="G22" s="26">
        <v>4</v>
      </c>
      <c r="H22" s="26">
        <v>4.7</v>
      </c>
      <c r="I22" s="26">
        <v>3.5</v>
      </c>
      <c r="J22" s="26">
        <v>3.522438611346316</v>
      </c>
      <c r="K22" s="26">
        <v>1.6</v>
      </c>
      <c r="L22" s="26">
        <v>2.1</v>
      </c>
      <c r="M22" s="26">
        <v>2</v>
      </c>
      <c r="N22" s="26">
        <v>3.5862861981371714</v>
      </c>
      <c r="O22" s="26">
        <v>1.9</v>
      </c>
      <c r="P22" s="26">
        <v>2</v>
      </c>
      <c r="Q22" s="26">
        <v>2.1</v>
      </c>
      <c r="R22" s="26">
        <v>1.8389559695173581</v>
      </c>
      <c r="S22" s="26">
        <v>5.4</v>
      </c>
      <c r="T22" s="26">
        <v>5.2</v>
      </c>
      <c r="U22" s="26">
        <v>5.4</v>
      </c>
      <c r="V22" s="26">
        <v>3.0712675698560541</v>
      </c>
      <c r="W22" s="27" t="s">
        <v>146</v>
      </c>
    </row>
    <row r="23" spans="1:23" ht="38.25" x14ac:dyDescent="0.2">
      <c r="A23" s="20" t="s">
        <v>34</v>
      </c>
      <c r="B23" s="29" t="s">
        <v>35</v>
      </c>
      <c r="C23" s="32">
        <v>15.1</v>
      </c>
      <c r="D23" s="32">
        <v>14.8</v>
      </c>
      <c r="E23" s="32">
        <v>14.2</v>
      </c>
      <c r="F23" s="32">
        <v>7.0454042081949053</v>
      </c>
      <c r="G23" s="26">
        <v>10.1</v>
      </c>
      <c r="H23" s="26">
        <v>9.9</v>
      </c>
      <c r="I23" s="26">
        <v>9.1</v>
      </c>
      <c r="J23" s="26">
        <v>3.8045404208194911</v>
      </c>
      <c r="K23" s="26">
        <v>5.2</v>
      </c>
      <c r="L23" s="26">
        <v>6.1</v>
      </c>
      <c r="M23" s="26">
        <v>6.2</v>
      </c>
      <c r="N23" s="26">
        <v>4.0083056478405314</v>
      </c>
      <c r="O23" s="26">
        <v>2.4</v>
      </c>
      <c r="P23" s="26">
        <v>2.5</v>
      </c>
      <c r="Q23" s="26">
        <v>2.4</v>
      </c>
      <c r="R23" s="26">
        <v>0.96290143964562569</v>
      </c>
      <c r="S23" s="26">
        <v>5.2</v>
      </c>
      <c r="T23" s="26">
        <v>5</v>
      </c>
      <c r="U23" s="26">
        <v>4.9000000000000004</v>
      </c>
      <c r="V23" s="26">
        <v>2.1157253599114063</v>
      </c>
      <c r="W23" s="27" t="s">
        <v>36</v>
      </c>
    </row>
    <row r="24" spans="1:23" ht="25.5" x14ac:dyDescent="0.2">
      <c r="A24" s="20" t="s">
        <v>37</v>
      </c>
      <c r="B24" s="21" t="s">
        <v>38</v>
      </c>
      <c r="C24" s="25">
        <v>18.8</v>
      </c>
      <c r="D24" s="25">
        <v>18.2</v>
      </c>
      <c r="E24" s="25">
        <v>17.2</v>
      </c>
      <c r="F24" s="25">
        <v>8.3064066852367677</v>
      </c>
      <c r="G24" s="26">
        <v>13.8</v>
      </c>
      <c r="H24" s="26">
        <v>13.8</v>
      </c>
      <c r="I24" s="26">
        <v>12.8</v>
      </c>
      <c r="J24" s="26">
        <v>5.135097493036211</v>
      </c>
      <c r="K24" s="26">
        <v>6.9</v>
      </c>
      <c r="L24" s="26">
        <v>7</v>
      </c>
      <c r="M24" s="26">
        <v>7.3</v>
      </c>
      <c r="N24" s="26">
        <v>4.1727019498607243</v>
      </c>
      <c r="O24" s="26">
        <v>2</v>
      </c>
      <c r="P24" s="26">
        <v>2.1</v>
      </c>
      <c r="Q24" s="26">
        <v>2</v>
      </c>
      <c r="R24" s="26">
        <v>0.84261838440111425</v>
      </c>
      <c r="S24" s="26">
        <v>6.3</v>
      </c>
      <c r="T24" s="26">
        <v>5.7</v>
      </c>
      <c r="U24" s="26">
        <v>6.1</v>
      </c>
      <c r="V24" s="26">
        <v>3.6030640668523675</v>
      </c>
      <c r="W24" s="27" t="s">
        <v>39</v>
      </c>
    </row>
    <row r="25" spans="1:23" ht="25.5" x14ac:dyDescent="0.2">
      <c r="A25" s="20" t="s">
        <v>40</v>
      </c>
      <c r="B25" s="21" t="s">
        <v>41</v>
      </c>
      <c r="C25" s="25">
        <v>12.8</v>
      </c>
      <c r="D25" s="25">
        <v>12.6</v>
      </c>
      <c r="E25" s="25">
        <v>12.1</v>
      </c>
      <c r="F25" s="25">
        <v>6.2132352941176467</v>
      </c>
      <c r="G25" s="26">
        <v>7.8</v>
      </c>
      <c r="H25" s="26">
        <v>7.5</v>
      </c>
      <c r="I25" s="26">
        <v>6.5</v>
      </c>
      <c r="J25" s="26">
        <v>2.9264705882352944</v>
      </c>
      <c r="K25" s="26">
        <v>4.0999999999999996</v>
      </c>
      <c r="L25" s="26">
        <v>5.4</v>
      </c>
      <c r="M25" s="26">
        <v>5.2</v>
      </c>
      <c r="N25" s="26">
        <v>3.8998161764705888</v>
      </c>
      <c r="O25" s="26">
        <v>2.7</v>
      </c>
      <c r="P25" s="26">
        <v>2.8</v>
      </c>
      <c r="Q25" s="26">
        <v>2.8</v>
      </c>
      <c r="R25" s="26">
        <v>1.0422794117647058</v>
      </c>
      <c r="S25" s="26">
        <v>4.5999999999999996</v>
      </c>
      <c r="T25" s="26">
        <v>4.5</v>
      </c>
      <c r="U25" s="26">
        <v>4.5999999999999996</v>
      </c>
      <c r="V25" s="26">
        <v>1.1341911764705881</v>
      </c>
      <c r="W25" s="27" t="s">
        <v>42</v>
      </c>
    </row>
    <row r="26" spans="1:23" x14ac:dyDescent="0.2">
      <c r="A26" s="20" t="s">
        <v>43</v>
      </c>
      <c r="B26" s="21" t="s">
        <v>44</v>
      </c>
      <c r="C26" s="25">
        <v>10.4</v>
      </c>
      <c r="D26" s="25">
        <v>9.8000000000000007</v>
      </c>
      <c r="E26" s="25">
        <v>11.5</v>
      </c>
      <c r="F26" s="25">
        <v>6.8596512536162013</v>
      </c>
      <c r="G26" s="26">
        <v>5.3</v>
      </c>
      <c r="H26" s="26">
        <v>4.8</v>
      </c>
      <c r="I26" s="26">
        <v>5.4</v>
      </c>
      <c r="J26" s="26">
        <v>0.98999324975891989</v>
      </c>
      <c r="K26" s="26">
        <v>2.8</v>
      </c>
      <c r="L26" s="26">
        <v>2.7</v>
      </c>
      <c r="M26" s="26">
        <v>2.8</v>
      </c>
      <c r="N26" s="26">
        <v>4.8663841369334628</v>
      </c>
      <c r="O26" s="26">
        <v>2.8</v>
      </c>
      <c r="P26" s="26">
        <v>2.6</v>
      </c>
      <c r="Q26" s="26">
        <v>2.9</v>
      </c>
      <c r="R26" s="26">
        <v>1.9484664898746389</v>
      </c>
      <c r="S26" s="26">
        <v>5.3</v>
      </c>
      <c r="T26" s="26">
        <v>4.7</v>
      </c>
      <c r="U26" s="26">
        <v>5</v>
      </c>
      <c r="V26" s="26">
        <v>2.815802073288332</v>
      </c>
      <c r="W26" s="27" t="s">
        <v>45</v>
      </c>
    </row>
    <row r="27" spans="1:23" ht="25.5" x14ac:dyDescent="0.2">
      <c r="A27" s="20" t="s">
        <v>46</v>
      </c>
      <c r="B27" s="21" t="s">
        <v>47</v>
      </c>
      <c r="C27" s="25">
        <v>13.4</v>
      </c>
      <c r="D27" s="25">
        <v>12.5</v>
      </c>
      <c r="E27" s="25">
        <v>13.4</v>
      </c>
      <c r="F27" s="25">
        <v>10.041667109974425</v>
      </c>
      <c r="G27" s="26">
        <v>6.1</v>
      </c>
      <c r="H27" s="26">
        <v>5.7</v>
      </c>
      <c r="I27" s="26">
        <v>5.6</v>
      </c>
      <c r="J27" s="26">
        <v>2.4217625575447568</v>
      </c>
      <c r="K27" s="26">
        <v>3.6</v>
      </c>
      <c r="L27" s="26">
        <v>3.8</v>
      </c>
      <c r="M27" s="26">
        <v>3.8</v>
      </c>
      <c r="N27" s="26">
        <v>4.9853322250639387</v>
      </c>
      <c r="O27" s="26">
        <v>3.6</v>
      </c>
      <c r="P27" s="26">
        <v>3.8</v>
      </c>
      <c r="Q27" s="26">
        <v>4</v>
      </c>
      <c r="R27" s="26">
        <v>4.3698232736572891</v>
      </c>
      <c r="S27" s="26">
        <v>6.6</v>
      </c>
      <c r="T27" s="26">
        <v>6.1</v>
      </c>
      <c r="U27" s="26">
        <v>6.2</v>
      </c>
      <c r="V27" s="26">
        <v>2.9580233248081842</v>
      </c>
      <c r="W27" s="27" t="s">
        <v>48</v>
      </c>
    </row>
    <row r="28" spans="1:23" ht="38.25" x14ac:dyDescent="0.2">
      <c r="A28" s="20" t="s">
        <v>49</v>
      </c>
      <c r="B28" s="29">
        <v>45</v>
      </c>
      <c r="C28" s="32">
        <v>15.1</v>
      </c>
      <c r="D28" s="32">
        <v>13.4</v>
      </c>
      <c r="E28" s="32">
        <v>14.7</v>
      </c>
      <c r="F28" s="32">
        <v>9.6140356435643586</v>
      </c>
      <c r="G28" s="26">
        <v>5.8</v>
      </c>
      <c r="H28" s="26">
        <v>5</v>
      </c>
      <c r="I28" s="26">
        <v>6.9</v>
      </c>
      <c r="J28" s="26">
        <v>2.7717514851485148</v>
      </c>
      <c r="K28" s="26">
        <v>2.8</v>
      </c>
      <c r="L28" s="26">
        <v>2.8</v>
      </c>
      <c r="M28" s="26">
        <v>2.9</v>
      </c>
      <c r="N28" s="26">
        <v>5.7514084158415848</v>
      </c>
      <c r="O28" s="26">
        <v>6.9</v>
      </c>
      <c r="P28" s="26">
        <v>7.2</v>
      </c>
      <c r="Q28" s="26">
        <v>7.5</v>
      </c>
      <c r="R28" s="26">
        <v>7.3233886138613871</v>
      </c>
      <c r="S28" s="26">
        <v>8.4</v>
      </c>
      <c r="T28" s="26">
        <v>7.6</v>
      </c>
      <c r="U28" s="26">
        <v>7.8</v>
      </c>
      <c r="V28" s="26">
        <v>3.7735029702970291</v>
      </c>
      <c r="W28" s="27" t="s">
        <v>147</v>
      </c>
    </row>
    <row r="29" spans="1:23" ht="38.25" x14ac:dyDescent="0.2">
      <c r="A29" s="20" t="s">
        <v>50</v>
      </c>
      <c r="B29" s="29">
        <v>46</v>
      </c>
      <c r="C29" s="32">
        <v>13</v>
      </c>
      <c r="D29" s="32">
        <v>12.1</v>
      </c>
      <c r="E29" s="32">
        <v>12.6</v>
      </c>
      <c r="F29" s="32">
        <v>10.374980486340437</v>
      </c>
      <c r="G29" s="26">
        <v>6</v>
      </c>
      <c r="H29" s="26">
        <v>5.5</v>
      </c>
      <c r="I29" s="26">
        <v>5</v>
      </c>
      <c r="J29" s="26">
        <v>2.3515851095767037</v>
      </c>
      <c r="K29" s="26">
        <v>4.2</v>
      </c>
      <c r="L29" s="26">
        <v>4.4000000000000004</v>
      </c>
      <c r="M29" s="26">
        <v>4.5</v>
      </c>
      <c r="N29" s="26">
        <v>5.4256529570699481</v>
      </c>
      <c r="O29" s="26">
        <v>3.3</v>
      </c>
      <c r="P29" s="26">
        <v>3.4</v>
      </c>
      <c r="Q29" s="26">
        <v>3.5</v>
      </c>
      <c r="R29" s="26">
        <v>3.93131191834284</v>
      </c>
      <c r="S29" s="26">
        <v>6.1</v>
      </c>
      <c r="T29" s="26">
        <v>5.7</v>
      </c>
      <c r="U29" s="26">
        <v>5.8</v>
      </c>
      <c r="V29" s="26">
        <v>3.0740678474932452</v>
      </c>
      <c r="W29" s="27" t="s">
        <v>51</v>
      </c>
    </row>
    <row r="30" spans="1:23" ht="38.25" x14ac:dyDescent="0.2">
      <c r="A30" s="20" t="s">
        <v>52</v>
      </c>
      <c r="B30" s="29">
        <v>47</v>
      </c>
      <c r="C30" s="32">
        <v>13.9</v>
      </c>
      <c r="D30" s="32">
        <v>13</v>
      </c>
      <c r="E30" s="32">
        <v>15.1</v>
      </c>
      <c r="F30" s="32">
        <v>9.1911554921540652</v>
      </c>
      <c r="G30" s="26">
        <v>6.5</v>
      </c>
      <c r="H30" s="26">
        <v>6.5</v>
      </c>
      <c r="I30" s="26">
        <v>7</v>
      </c>
      <c r="J30" s="26">
        <v>2.4759866856871136</v>
      </c>
      <c r="K30" s="26">
        <v>2.2999999999999998</v>
      </c>
      <c r="L30" s="26">
        <v>2.6</v>
      </c>
      <c r="M30" s="26">
        <v>2.8</v>
      </c>
      <c r="N30" s="26">
        <v>3.2225392296718973</v>
      </c>
      <c r="O30" s="26">
        <v>3</v>
      </c>
      <c r="P30" s="26">
        <v>3.2</v>
      </c>
      <c r="Q30" s="26">
        <v>3.1</v>
      </c>
      <c r="R30" s="26">
        <v>4.3404660009510225</v>
      </c>
      <c r="S30" s="26">
        <v>7.1</v>
      </c>
      <c r="T30" s="26">
        <v>6.4</v>
      </c>
      <c r="U30" s="26">
        <v>7.2</v>
      </c>
      <c r="V30" s="26">
        <v>2.1987636709462675</v>
      </c>
      <c r="W30" s="27" t="s">
        <v>53</v>
      </c>
    </row>
    <row r="31" spans="1:23" ht="25.5" x14ac:dyDescent="0.2">
      <c r="A31" s="20" t="s">
        <v>54</v>
      </c>
      <c r="B31" s="21" t="s">
        <v>55</v>
      </c>
      <c r="C31" s="25">
        <v>14.2</v>
      </c>
      <c r="D31" s="25">
        <v>14</v>
      </c>
      <c r="E31" s="25">
        <v>15.1</v>
      </c>
      <c r="F31" s="25">
        <v>9.5418748163385239</v>
      </c>
      <c r="G31" s="26">
        <v>7.2</v>
      </c>
      <c r="H31" s="26">
        <v>7.3</v>
      </c>
      <c r="I31" s="26">
        <v>7</v>
      </c>
      <c r="J31" s="26">
        <v>1.8280928592418453</v>
      </c>
      <c r="K31" s="26">
        <v>6.6</v>
      </c>
      <c r="L31" s="26">
        <v>7.1</v>
      </c>
      <c r="M31" s="26">
        <v>7</v>
      </c>
      <c r="N31" s="26">
        <v>8.7646194534234478</v>
      </c>
      <c r="O31" s="26">
        <v>2.2000000000000002</v>
      </c>
      <c r="P31" s="26">
        <v>2.1</v>
      </c>
      <c r="Q31" s="26">
        <v>2.2999999999999998</v>
      </c>
      <c r="R31" s="26">
        <v>1.3928886276814578</v>
      </c>
      <c r="S31" s="26">
        <v>5.5</v>
      </c>
      <c r="T31" s="26">
        <v>4.5999999999999996</v>
      </c>
      <c r="U31" s="26">
        <v>4.8</v>
      </c>
      <c r="V31" s="26">
        <v>1.3905377607992946</v>
      </c>
      <c r="W31" s="27" t="s">
        <v>56</v>
      </c>
    </row>
    <row r="32" spans="1:23" ht="25.5" x14ac:dyDescent="0.2">
      <c r="A32" s="20" t="s">
        <v>57</v>
      </c>
      <c r="B32" s="21" t="s">
        <v>58</v>
      </c>
      <c r="C32" s="25">
        <v>12</v>
      </c>
      <c r="D32" s="25">
        <v>11.1</v>
      </c>
      <c r="E32" s="25">
        <v>10.6</v>
      </c>
      <c r="F32" s="25">
        <v>8.3124302325581407</v>
      </c>
      <c r="G32" s="26">
        <v>5.5</v>
      </c>
      <c r="H32" s="26">
        <v>5.4</v>
      </c>
      <c r="I32" s="26">
        <v>5</v>
      </c>
      <c r="J32" s="26">
        <v>2.6849186046511631</v>
      </c>
      <c r="K32" s="26">
        <v>2</v>
      </c>
      <c r="L32" s="26">
        <v>2.4</v>
      </c>
      <c r="M32" s="26">
        <v>2.2000000000000002</v>
      </c>
      <c r="N32" s="26">
        <v>1.8301279069767442</v>
      </c>
      <c r="O32" s="26">
        <v>4.5999999999999996</v>
      </c>
      <c r="P32" s="26">
        <v>4.4000000000000004</v>
      </c>
      <c r="Q32" s="26">
        <v>4.4000000000000004</v>
      </c>
      <c r="R32" s="26">
        <v>5.0098372093023258</v>
      </c>
      <c r="S32" s="26">
        <v>5.2</v>
      </c>
      <c r="T32" s="26">
        <v>4.5999999999999996</v>
      </c>
      <c r="U32" s="26">
        <v>5</v>
      </c>
      <c r="V32" s="26">
        <v>3.6236511627906984</v>
      </c>
      <c r="W32" s="27" t="s">
        <v>59</v>
      </c>
    </row>
    <row r="33" spans="1:23" x14ac:dyDescent="0.2">
      <c r="A33" s="20" t="s">
        <v>60</v>
      </c>
      <c r="B33" s="29">
        <v>55</v>
      </c>
      <c r="C33" s="32">
        <v>15.8</v>
      </c>
      <c r="D33" s="32">
        <v>15.8</v>
      </c>
      <c r="E33" s="32">
        <v>13.7</v>
      </c>
      <c r="F33" s="32">
        <v>11.055943060498219</v>
      </c>
      <c r="G33" s="26">
        <v>7.1</v>
      </c>
      <c r="H33" s="26">
        <v>7.2</v>
      </c>
      <c r="I33" s="26">
        <v>5.5</v>
      </c>
      <c r="J33" s="26">
        <v>4.1947330960854092</v>
      </c>
      <c r="K33" s="26">
        <v>3.3</v>
      </c>
      <c r="L33" s="26">
        <v>4</v>
      </c>
      <c r="M33" s="26">
        <v>4.0999999999999996</v>
      </c>
      <c r="N33" s="26">
        <v>3.0929537366548039</v>
      </c>
      <c r="O33" s="26">
        <v>6.9</v>
      </c>
      <c r="P33" s="26">
        <v>8</v>
      </c>
      <c r="Q33" s="26">
        <v>8.5</v>
      </c>
      <c r="R33" s="26">
        <v>7.6435587188612084</v>
      </c>
      <c r="S33" s="26">
        <v>6.5</v>
      </c>
      <c r="T33" s="26">
        <v>6</v>
      </c>
      <c r="U33" s="26">
        <v>6.1</v>
      </c>
      <c r="V33" s="26">
        <v>4.1582918149466188</v>
      </c>
      <c r="W33" s="27" t="s">
        <v>148</v>
      </c>
    </row>
    <row r="34" spans="1:23" x14ac:dyDescent="0.2">
      <c r="A34" s="20" t="s">
        <v>61</v>
      </c>
      <c r="B34" s="21" t="s">
        <v>62</v>
      </c>
      <c r="C34" s="25">
        <v>14.5</v>
      </c>
      <c r="D34" s="25">
        <v>14.5</v>
      </c>
      <c r="E34" s="25">
        <v>17.7</v>
      </c>
      <c r="F34" s="25">
        <v>12.280456852791879</v>
      </c>
      <c r="G34" s="26">
        <v>6</v>
      </c>
      <c r="H34" s="26">
        <v>5.3</v>
      </c>
      <c r="I34" s="26">
        <v>5.8</v>
      </c>
      <c r="J34" s="26">
        <v>3.4492385786802027</v>
      </c>
      <c r="K34" s="26">
        <v>3.3</v>
      </c>
      <c r="L34" s="26">
        <v>3.7</v>
      </c>
      <c r="M34" s="26">
        <v>3.9</v>
      </c>
      <c r="N34" s="26">
        <v>5.3819796954314718</v>
      </c>
      <c r="O34" s="26">
        <v>6.9</v>
      </c>
      <c r="P34" s="26">
        <v>7.2</v>
      </c>
      <c r="Q34" s="26">
        <v>7.6</v>
      </c>
      <c r="R34" s="26">
        <v>7.3039340101522843</v>
      </c>
      <c r="S34" s="26">
        <v>6.2</v>
      </c>
      <c r="T34" s="26">
        <v>5.2</v>
      </c>
      <c r="U34" s="26">
        <v>5.7</v>
      </c>
      <c r="V34" s="26">
        <v>7.312817258883249</v>
      </c>
      <c r="W34" s="27" t="s">
        <v>63</v>
      </c>
    </row>
    <row r="35" spans="1:23" ht="51" x14ac:dyDescent="0.2">
      <c r="A35" s="28" t="s">
        <v>64</v>
      </c>
      <c r="B35" s="21" t="s">
        <v>65</v>
      </c>
      <c r="C35" s="25">
        <v>15.1</v>
      </c>
      <c r="D35" s="25">
        <v>15.6</v>
      </c>
      <c r="E35" s="25">
        <v>21.5</v>
      </c>
      <c r="F35" s="25">
        <v>17.133802816901412</v>
      </c>
      <c r="G35" s="26">
        <v>5.2</v>
      </c>
      <c r="H35" s="26">
        <v>4.5999999999999996</v>
      </c>
      <c r="I35" s="26">
        <v>3.9</v>
      </c>
      <c r="J35" s="26">
        <v>4.617370892018779</v>
      </c>
      <c r="K35" s="26">
        <v>2.7</v>
      </c>
      <c r="L35" s="26">
        <v>3.4</v>
      </c>
      <c r="M35" s="26">
        <v>3.3</v>
      </c>
      <c r="N35" s="26">
        <v>5.995305164319249</v>
      </c>
      <c r="O35" s="26">
        <v>8.5</v>
      </c>
      <c r="P35" s="26">
        <v>9.1999999999999993</v>
      </c>
      <c r="Q35" s="26">
        <v>9.1999999999999993</v>
      </c>
      <c r="R35" s="26">
        <v>10.443661971830984</v>
      </c>
      <c r="S35" s="26">
        <v>9</v>
      </c>
      <c r="T35" s="26">
        <v>9.1999999999999993</v>
      </c>
      <c r="U35" s="26">
        <v>9.1</v>
      </c>
      <c r="V35" s="26">
        <v>6.9178403755868549</v>
      </c>
      <c r="W35" s="27" t="s">
        <v>149</v>
      </c>
    </row>
    <row r="36" spans="1:23" x14ac:dyDescent="0.2">
      <c r="A36" s="20" t="s">
        <v>66</v>
      </c>
      <c r="B36" s="29">
        <v>61</v>
      </c>
      <c r="C36" s="32">
        <v>14.4</v>
      </c>
      <c r="D36" s="32">
        <v>13.8</v>
      </c>
      <c r="E36" s="32">
        <v>11.4</v>
      </c>
      <c r="F36" s="32">
        <v>11.778135048231512</v>
      </c>
      <c r="G36" s="26">
        <v>8.1</v>
      </c>
      <c r="H36" s="26">
        <v>7.2</v>
      </c>
      <c r="I36" s="26">
        <v>3.9</v>
      </c>
      <c r="J36" s="26">
        <v>3.270096463022508</v>
      </c>
      <c r="K36" s="26">
        <v>6</v>
      </c>
      <c r="L36" s="26">
        <v>6.4</v>
      </c>
      <c r="M36" s="26">
        <v>6.3</v>
      </c>
      <c r="N36" s="26">
        <v>1.2861736334405145</v>
      </c>
      <c r="O36" s="26">
        <v>6</v>
      </c>
      <c r="P36" s="26">
        <v>6.1</v>
      </c>
      <c r="Q36" s="26">
        <v>6.5</v>
      </c>
      <c r="R36" s="26">
        <v>4.610932475884244</v>
      </c>
      <c r="S36" s="26">
        <v>7.6</v>
      </c>
      <c r="T36" s="26">
        <v>6.9</v>
      </c>
      <c r="U36" s="26">
        <v>7.2</v>
      </c>
      <c r="V36" s="26">
        <v>4.861736334405145</v>
      </c>
      <c r="W36" s="27" t="s">
        <v>150</v>
      </c>
    </row>
    <row r="37" spans="1:23" ht="38.25" x14ac:dyDescent="0.2">
      <c r="A37" s="20" t="s">
        <v>67</v>
      </c>
      <c r="B37" s="29" t="s">
        <v>68</v>
      </c>
      <c r="C37" s="32">
        <v>14.1</v>
      </c>
      <c r="D37" s="32">
        <v>13.9</v>
      </c>
      <c r="E37" s="32">
        <v>17.5</v>
      </c>
      <c r="F37" s="32">
        <v>10.002383790226462</v>
      </c>
      <c r="G37" s="26">
        <v>5.8</v>
      </c>
      <c r="H37" s="26">
        <v>5</v>
      </c>
      <c r="I37" s="26">
        <v>7.7</v>
      </c>
      <c r="J37" s="26">
        <v>2.9225268176400476</v>
      </c>
      <c r="K37" s="26">
        <v>2.8</v>
      </c>
      <c r="L37" s="26">
        <v>2.7</v>
      </c>
      <c r="M37" s="26">
        <v>2.8</v>
      </c>
      <c r="N37" s="26">
        <v>6.588796185935637</v>
      </c>
      <c r="O37" s="26">
        <v>6</v>
      </c>
      <c r="P37" s="26">
        <v>6.2</v>
      </c>
      <c r="Q37" s="26">
        <v>6.1</v>
      </c>
      <c r="R37" s="26">
        <v>6.7079856972586409</v>
      </c>
      <c r="S37" s="26">
        <v>9.1999999999999993</v>
      </c>
      <c r="T37" s="26">
        <v>9.3000000000000007</v>
      </c>
      <c r="U37" s="26">
        <v>9.3000000000000007</v>
      </c>
      <c r="V37" s="26">
        <v>8.4219308700834326</v>
      </c>
      <c r="W37" s="27" t="s">
        <v>151</v>
      </c>
    </row>
    <row r="38" spans="1:23" x14ac:dyDescent="0.2">
      <c r="A38" s="20" t="s">
        <v>69</v>
      </c>
      <c r="B38" s="21" t="s">
        <v>70</v>
      </c>
      <c r="C38" s="25">
        <v>10.7</v>
      </c>
      <c r="D38" s="25">
        <v>9.6999999999999993</v>
      </c>
      <c r="E38" s="25">
        <v>10.5</v>
      </c>
      <c r="F38" s="25">
        <v>7.4991212653778589</v>
      </c>
      <c r="G38" s="26">
        <v>5</v>
      </c>
      <c r="H38" s="26">
        <v>4.9000000000000004</v>
      </c>
      <c r="I38" s="26">
        <v>5.6</v>
      </c>
      <c r="J38" s="26">
        <v>1.7750439367311071</v>
      </c>
      <c r="K38" s="26">
        <v>1.6</v>
      </c>
      <c r="L38" s="26">
        <v>1.4</v>
      </c>
      <c r="M38" s="26">
        <v>1.4</v>
      </c>
      <c r="N38" s="26">
        <v>2.8840070298769773</v>
      </c>
      <c r="O38" s="26">
        <v>2.7</v>
      </c>
      <c r="P38" s="26">
        <v>2.1</v>
      </c>
      <c r="Q38" s="26">
        <v>2.2999999999999998</v>
      </c>
      <c r="R38" s="26">
        <v>4.6151142355008785</v>
      </c>
      <c r="S38" s="26">
        <v>6.2</v>
      </c>
      <c r="T38" s="26">
        <v>5.2</v>
      </c>
      <c r="U38" s="26">
        <v>5.9</v>
      </c>
      <c r="V38" s="26">
        <v>3.1950790861159928</v>
      </c>
      <c r="W38" s="27" t="s">
        <v>71</v>
      </c>
    </row>
    <row r="39" spans="1:23" x14ac:dyDescent="0.2">
      <c r="A39" s="20" t="s">
        <v>72</v>
      </c>
      <c r="B39" s="21" t="s">
        <v>73</v>
      </c>
      <c r="C39" s="25">
        <v>12.4</v>
      </c>
      <c r="D39" s="25">
        <v>12.3</v>
      </c>
      <c r="E39" s="25">
        <v>13.3</v>
      </c>
      <c r="F39" s="25">
        <v>4.98966037735849</v>
      </c>
      <c r="G39" s="26">
        <v>4.8</v>
      </c>
      <c r="H39" s="26">
        <v>5</v>
      </c>
      <c r="I39" s="26">
        <v>6</v>
      </c>
      <c r="J39" s="26">
        <v>0.4175241601472619</v>
      </c>
      <c r="K39" s="26">
        <v>3.9</v>
      </c>
      <c r="L39" s="26">
        <v>4.4000000000000004</v>
      </c>
      <c r="M39" s="26">
        <v>4.5</v>
      </c>
      <c r="N39" s="26">
        <v>2.0969420156465719</v>
      </c>
      <c r="O39" s="26">
        <v>3.6</v>
      </c>
      <c r="P39" s="26">
        <v>4.0999999999999996</v>
      </c>
      <c r="Q39" s="26">
        <v>4.3</v>
      </c>
      <c r="R39" s="26">
        <v>0.834914864242982</v>
      </c>
      <c r="S39" s="26">
        <v>6.7</v>
      </c>
      <c r="T39" s="26">
        <v>6.6</v>
      </c>
      <c r="U39" s="26">
        <v>6.7</v>
      </c>
      <c r="V39" s="26">
        <v>2.2105830648872526</v>
      </c>
      <c r="W39" s="27" t="s">
        <v>152</v>
      </c>
    </row>
    <row r="40" spans="1:23" ht="76.5" x14ac:dyDescent="0.2">
      <c r="A40" s="20" t="s">
        <v>74</v>
      </c>
      <c r="B40" s="29" t="s">
        <v>75</v>
      </c>
      <c r="C40" s="32">
        <v>11.9</v>
      </c>
      <c r="D40" s="32">
        <v>11.5</v>
      </c>
      <c r="E40" s="32">
        <v>10.5</v>
      </c>
      <c r="F40" s="32">
        <v>4.1938362183755</v>
      </c>
      <c r="G40" s="26">
        <v>4.7</v>
      </c>
      <c r="H40" s="26">
        <v>4.8</v>
      </c>
      <c r="I40" s="26">
        <v>4</v>
      </c>
      <c r="J40" s="26">
        <v>6.6577896138482029E-2</v>
      </c>
      <c r="K40" s="26">
        <v>4.4000000000000004</v>
      </c>
      <c r="L40" s="26">
        <v>4.3</v>
      </c>
      <c r="M40" s="26">
        <v>4.5</v>
      </c>
      <c r="N40" s="26">
        <v>2.0253628495339551</v>
      </c>
      <c r="O40" s="26">
        <v>3.3</v>
      </c>
      <c r="P40" s="26">
        <v>3.3</v>
      </c>
      <c r="Q40" s="26">
        <v>3.4</v>
      </c>
      <c r="R40" s="26"/>
      <c r="S40" s="26">
        <v>6</v>
      </c>
      <c r="T40" s="26">
        <v>5.8</v>
      </c>
      <c r="U40" s="26">
        <v>6.1</v>
      </c>
      <c r="V40" s="26">
        <v>2.1684733688415445</v>
      </c>
      <c r="W40" s="27" t="s">
        <v>153</v>
      </c>
    </row>
    <row r="41" spans="1:23" x14ac:dyDescent="0.2">
      <c r="A41" s="20" t="s">
        <v>76</v>
      </c>
      <c r="B41" s="29">
        <v>72</v>
      </c>
      <c r="C41" s="32">
        <v>12.4</v>
      </c>
      <c r="D41" s="32">
        <v>10.199999999999999</v>
      </c>
      <c r="E41" s="32">
        <v>11.6</v>
      </c>
      <c r="F41" s="32">
        <v>3.6458333333333335</v>
      </c>
      <c r="G41" s="26">
        <v>5.7</v>
      </c>
      <c r="H41" s="26">
        <v>5.4</v>
      </c>
      <c r="I41" s="26">
        <v>19.899999999999999</v>
      </c>
      <c r="J41" s="26">
        <v>0.41666666666666669</v>
      </c>
      <c r="K41" s="26">
        <v>3.6</v>
      </c>
      <c r="L41" s="26">
        <v>4.5</v>
      </c>
      <c r="M41" s="26">
        <v>4.7</v>
      </c>
      <c r="N41" s="26">
        <v>0</v>
      </c>
      <c r="O41" s="26">
        <v>1.2</v>
      </c>
      <c r="P41" s="26">
        <v>1.5</v>
      </c>
      <c r="Q41" s="26">
        <v>1.4</v>
      </c>
      <c r="R41" s="26">
        <v>3.229166666666667</v>
      </c>
      <c r="S41" s="26">
        <v>5.7</v>
      </c>
      <c r="T41" s="26">
        <v>5.0999999999999996</v>
      </c>
      <c r="U41" s="26">
        <v>5.3</v>
      </c>
      <c r="V41" s="26">
        <v>0</v>
      </c>
      <c r="W41" s="27" t="s">
        <v>154</v>
      </c>
    </row>
    <row r="42" spans="1:23" ht="38.25" x14ac:dyDescent="0.2">
      <c r="A42" s="20" t="s">
        <v>77</v>
      </c>
      <c r="B42" s="29" t="s">
        <v>78</v>
      </c>
      <c r="C42" s="32">
        <v>14</v>
      </c>
      <c r="D42" s="32">
        <v>15.7</v>
      </c>
      <c r="E42" s="32">
        <v>23.6</v>
      </c>
      <c r="F42" s="32">
        <v>8.7891379310344817</v>
      </c>
      <c r="G42" s="26">
        <v>4.8</v>
      </c>
      <c r="H42" s="26">
        <v>5.4</v>
      </c>
      <c r="I42" s="26">
        <v>5.4</v>
      </c>
      <c r="J42" s="26">
        <v>1.7420689655172412</v>
      </c>
      <c r="K42" s="26">
        <v>2.8</v>
      </c>
      <c r="L42" s="26">
        <v>4.3</v>
      </c>
      <c r="M42" s="26">
        <v>4.0999999999999996</v>
      </c>
      <c r="N42" s="26">
        <v>3.4841379310344833</v>
      </c>
      <c r="O42" s="26">
        <v>6</v>
      </c>
      <c r="P42" s="26">
        <v>7.9</v>
      </c>
      <c r="Q42" s="26">
        <v>8.1999999999999993</v>
      </c>
      <c r="R42" s="26">
        <v>2.3134729064039408</v>
      </c>
      <c r="S42" s="26">
        <v>9.1999999999999993</v>
      </c>
      <c r="T42" s="26">
        <v>9.9</v>
      </c>
      <c r="U42" s="26">
        <v>9.1</v>
      </c>
      <c r="V42" s="26">
        <v>3.8092364532019705</v>
      </c>
      <c r="W42" s="27" t="s">
        <v>79</v>
      </c>
    </row>
    <row r="43" spans="1:23" ht="25.5" x14ac:dyDescent="0.2">
      <c r="A43" s="20" t="s">
        <v>80</v>
      </c>
      <c r="B43" s="21" t="s">
        <v>81</v>
      </c>
      <c r="C43" s="25">
        <v>11.6</v>
      </c>
      <c r="D43" s="25">
        <v>11</v>
      </c>
      <c r="E43" s="25">
        <v>10.6</v>
      </c>
      <c r="F43" s="25">
        <v>8.1885849241146715</v>
      </c>
      <c r="G43" s="26">
        <v>5.7</v>
      </c>
      <c r="H43" s="26">
        <v>5.2</v>
      </c>
      <c r="I43" s="26">
        <v>4.5999999999999996</v>
      </c>
      <c r="J43" s="26">
        <v>1.7839226981450254</v>
      </c>
      <c r="K43" s="26">
        <v>3</v>
      </c>
      <c r="L43" s="26">
        <v>3.3</v>
      </c>
      <c r="M43" s="26">
        <v>3.3</v>
      </c>
      <c r="N43" s="26">
        <v>4.3529442158516023</v>
      </c>
      <c r="O43" s="26">
        <v>3.2</v>
      </c>
      <c r="P43" s="26">
        <v>3.4</v>
      </c>
      <c r="Q43" s="26">
        <v>3.3</v>
      </c>
      <c r="R43" s="26">
        <v>3.1721344688026982</v>
      </c>
      <c r="S43" s="26">
        <v>5.5</v>
      </c>
      <c r="T43" s="26">
        <v>5.4</v>
      </c>
      <c r="U43" s="26">
        <v>5</v>
      </c>
      <c r="V43" s="26">
        <v>2.6405381112984827</v>
      </c>
      <c r="W43" s="27" t="s">
        <v>82</v>
      </c>
    </row>
    <row r="44" spans="1:23" ht="60.75" customHeight="1" x14ac:dyDescent="0.2">
      <c r="A44" s="20" t="s">
        <v>83</v>
      </c>
      <c r="B44" s="21" t="s">
        <v>84</v>
      </c>
      <c r="C44" s="25">
        <v>11.4</v>
      </c>
      <c r="D44" s="25">
        <v>10.5</v>
      </c>
      <c r="E44" s="25">
        <v>10.1</v>
      </c>
      <c r="F44" s="25">
        <v>7.7173693671766337</v>
      </c>
      <c r="G44" s="26">
        <v>5.7</v>
      </c>
      <c r="H44" s="26">
        <v>5</v>
      </c>
      <c r="I44" s="26">
        <v>4.3</v>
      </c>
      <c r="J44" s="26">
        <v>1.6218118219749653</v>
      </c>
      <c r="K44" s="26">
        <v>3.1</v>
      </c>
      <c r="L44" s="26">
        <v>3.3</v>
      </c>
      <c r="M44" s="26">
        <v>3</v>
      </c>
      <c r="N44" s="26">
        <v>4.2703336578581368</v>
      </c>
      <c r="O44" s="26">
        <v>2.9</v>
      </c>
      <c r="P44" s="26">
        <v>3</v>
      </c>
      <c r="Q44" s="26">
        <v>2.9</v>
      </c>
      <c r="R44" s="26">
        <v>2.7689077538247564</v>
      </c>
      <c r="S44" s="26">
        <v>5.4</v>
      </c>
      <c r="T44" s="26">
        <v>5.0999999999999996</v>
      </c>
      <c r="U44" s="26">
        <v>5.3</v>
      </c>
      <c r="V44" s="26">
        <v>2.4990248609179413</v>
      </c>
      <c r="W44" s="27" t="s">
        <v>205</v>
      </c>
    </row>
    <row r="45" spans="1:23" ht="51" x14ac:dyDescent="0.2">
      <c r="A45" s="20" t="s">
        <v>85</v>
      </c>
      <c r="B45" s="29">
        <v>79</v>
      </c>
      <c r="C45" s="32">
        <v>15.1</v>
      </c>
      <c r="D45" s="32">
        <v>20.2</v>
      </c>
      <c r="E45" s="32">
        <v>20.2</v>
      </c>
      <c r="F45" s="32">
        <v>21.44943820224719</v>
      </c>
      <c r="G45" s="26">
        <v>5.4</v>
      </c>
      <c r="H45" s="26">
        <v>10.4</v>
      </c>
      <c r="I45" s="26">
        <v>11.4</v>
      </c>
      <c r="J45" s="26">
        <v>7.02247191011236</v>
      </c>
      <c r="K45" s="26">
        <v>2.2000000000000002</v>
      </c>
      <c r="L45" s="26">
        <v>2.6</v>
      </c>
      <c r="M45" s="26">
        <v>2.7</v>
      </c>
      <c r="N45" s="26">
        <v>3.089887640449438</v>
      </c>
      <c r="O45" s="26">
        <v>8.6</v>
      </c>
      <c r="P45" s="26">
        <v>9.8000000000000007</v>
      </c>
      <c r="Q45" s="26">
        <v>9.1</v>
      </c>
      <c r="R45" s="26">
        <v>8.3370786516853936</v>
      </c>
      <c r="S45" s="26">
        <v>7.6</v>
      </c>
      <c r="T45" s="26">
        <v>10.4</v>
      </c>
      <c r="U45" s="26">
        <v>8.4</v>
      </c>
      <c r="V45" s="26">
        <v>7.213483146067416</v>
      </c>
      <c r="W45" s="27" t="s">
        <v>155</v>
      </c>
    </row>
    <row r="46" spans="1:23" ht="20.25" customHeight="1" x14ac:dyDescent="0.2">
      <c r="A46" s="20" t="s">
        <v>86</v>
      </c>
      <c r="B46" s="21" t="s">
        <v>87</v>
      </c>
      <c r="C46" s="25">
        <v>19.100000000000001</v>
      </c>
      <c r="D46" s="25">
        <v>9</v>
      </c>
      <c r="E46" s="25">
        <v>9.9</v>
      </c>
      <c r="F46" s="25">
        <v>8.2791666666666668</v>
      </c>
      <c r="G46" s="26">
        <v>10.3</v>
      </c>
      <c r="H46" s="26">
        <v>4.5</v>
      </c>
      <c r="I46" s="26">
        <v>4</v>
      </c>
      <c r="J46" s="26">
        <v>2.125</v>
      </c>
      <c r="K46" s="26">
        <v>4.4000000000000004</v>
      </c>
      <c r="L46" s="26">
        <v>3</v>
      </c>
      <c r="M46" s="26">
        <v>3.5</v>
      </c>
      <c r="N46" s="26">
        <v>4.2449166666666667</v>
      </c>
      <c r="O46" s="26">
        <v>8.8000000000000007</v>
      </c>
      <c r="P46" s="26">
        <v>3</v>
      </c>
      <c r="Q46" s="26">
        <v>5.3</v>
      </c>
      <c r="R46" s="26">
        <v>4.0345895833333332</v>
      </c>
      <c r="S46" s="26">
        <v>10.3</v>
      </c>
      <c r="T46" s="26">
        <v>7.5</v>
      </c>
      <c r="U46" s="26">
        <v>8.1</v>
      </c>
      <c r="V46" s="26">
        <v>4.0345895833333332</v>
      </c>
      <c r="W46" s="27" t="s">
        <v>88</v>
      </c>
    </row>
    <row r="47" spans="1:23" ht="49.5" customHeight="1" x14ac:dyDescent="0.2">
      <c r="A47" s="20" t="s">
        <v>89</v>
      </c>
      <c r="B47" s="21" t="s">
        <v>90</v>
      </c>
      <c r="C47" s="25">
        <v>14.3</v>
      </c>
      <c r="D47" s="25">
        <v>13.7</v>
      </c>
      <c r="E47" s="25">
        <v>15.8</v>
      </c>
      <c r="F47" s="25">
        <v>13.091908541666667</v>
      </c>
      <c r="G47" s="26">
        <v>6.7</v>
      </c>
      <c r="H47" s="26">
        <v>5.7</v>
      </c>
      <c r="I47" s="26">
        <v>7</v>
      </c>
      <c r="J47" s="26">
        <v>2.9034722222222218</v>
      </c>
      <c r="K47" s="26">
        <v>3.7</v>
      </c>
      <c r="L47" s="26">
        <v>3.7</v>
      </c>
      <c r="M47" s="26">
        <v>3.9</v>
      </c>
      <c r="N47" s="26">
        <v>3.6331638888888893</v>
      </c>
      <c r="O47" s="26">
        <v>5.9</v>
      </c>
      <c r="P47" s="26">
        <v>5.6</v>
      </c>
      <c r="Q47" s="26">
        <v>5.8</v>
      </c>
      <c r="R47" s="26">
        <v>7.6862502083333339</v>
      </c>
      <c r="S47" s="26">
        <v>8.3000000000000007</v>
      </c>
      <c r="T47" s="26">
        <v>8</v>
      </c>
      <c r="U47" s="26">
        <v>8.1999999999999993</v>
      </c>
      <c r="V47" s="26">
        <v>9.590416874999999</v>
      </c>
      <c r="W47" s="27" t="s">
        <v>91</v>
      </c>
    </row>
    <row r="48" spans="1:23" ht="12.75" customHeight="1" x14ac:dyDescent="0.2">
      <c r="A48" s="114"/>
      <c r="B48" s="115"/>
      <c r="C48" s="118"/>
      <c r="D48" s="118"/>
      <c r="E48" s="118"/>
      <c r="F48" s="118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Q48" s="119"/>
      <c r="R48" s="119"/>
      <c r="S48" s="119"/>
      <c r="T48" s="119"/>
      <c r="U48" s="119"/>
      <c r="V48" s="119"/>
      <c r="W48" s="121"/>
    </row>
    <row r="49" spans="1:33" ht="23.25" customHeight="1" x14ac:dyDescent="0.2">
      <c r="A49" s="69" t="s">
        <v>92</v>
      </c>
      <c r="B49" s="69"/>
      <c r="C49" s="25"/>
      <c r="D49" s="25"/>
      <c r="E49" s="25"/>
      <c r="F49" s="25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33" t="s">
        <v>156</v>
      </c>
    </row>
    <row r="50" spans="1:33" x14ac:dyDescent="0.2">
      <c r="A50" s="70" t="s">
        <v>93</v>
      </c>
      <c r="B50" s="70"/>
      <c r="C50" s="25">
        <v>10.4</v>
      </c>
      <c r="D50" s="25">
        <v>10.1</v>
      </c>
      <c r="E50" s="25">
        <v>10.1</v>
      </c>
      <c r="F50" s="25">
        <v>7.0394288821047537</v>
      </c>
      <c r="G50" s="32">
        <v>4.7</v>
      </c>
      <c r="H50" s="32">
        <v>4.5999999999999996</v>
      </c>
      <c r="I50" s="26">
        <v>4.3</v>
      </c>
      <c r="J50" s="26">
        <v>1.5588502658388494</v>
      </c>
      <c r="K50" s="32">
        <v>2.4</v>
      </c>
      <c r="L50" s="32">
        <v>2.6</v>
      </c>
      <c r="M50" s="26">
        <v>2.5</v>
      </c>
      <c r="N50" s="26">
        <v>3.6641978389874099</v>
      </c>
      <c r="O50" s="26">
        <v>2.8</v>
      </c>
      <c r="P50" s="26">
        <v>2.8</v>
      </c>
      <c r="Q50" s="26">
        <v>2.9</v>
      </c>
      <c r="R50" s="26">
        <v>2.683920303227799</v>
      </c>
      <c r="S50" s="26">
        <v>5.3</v>
      </c>
      <c r="T50" s="26">
        <v>5</v>
      </c>
      <c r="U50" s="26">
        <v>5.0999999999999996</v>
      </c>
      <c r="V50" s="26">
        <v>2.4451689843240842</v>
      </c>
      <c r="W50" s="34" t="s">
        <v>94</v>
      </c>
    </row>
    <row r="51" spans="1:33" x14ac:dyDescent="0.2">
      <c r="A51" s="70" t="s">
        <v>95</v>
      </c>
      <c r="B51" s="70"/>
      <c r="C51" s="25">
        <v>17.8</v>
      </c>
      <c r="D51" s="25">
        <v>16.3</v>
      </c>
      <c r="E51" s="25">
        <v>20.6</v>
      </c>
      <c r="F51" s="25">
        <v>11.166837753389286</v>
      </c>
      <c r="G51" s="32">
        <v>8.4</v>
      </c>
      <c r="H51" s="32">
        <v>7.9</v>
      </c>
      <c r="I51" s="26">
        <v>9.1999999999999993</v>
      </c>
      <c r="J51" s="26">
        <v>3.3054524983860571</v>
      </c>
      <c r="K51" s="32">
        <v>5.6</v>
      </c>
      <c r="L51" s="32">
        <v>5.6</v>
      </c>
      <c r="M51" s="26">
        <v>5.7</v>
      </c>
      <c r="N51" s="26">
        <v>6.4169330535829561</v>
      </c>
      <c r="O51" s="26">
        <v>4.5</v>
      </c>
      <c r="P51" s="26">
        <v>4.5</v>
      </c>
      <c r="Q51" s="26">
        <v>4.4000000000000004</v>
      </c>
      <c r="R51" s="26">
        <v>3.6964249193027756</v>
      </c>
      <c r="S51" s="26">
        <v>8.4</v>
      </c>
      <c r="T51" s="26">
        <v>7.4</v>
      </c>
      <c r="U51" s="26">
        <v>7.8</v>
      </c>
      <c r="V51" s="26">
        <v>4.177753621691414</v>
      </c>
      <c r="W51" s="27" t="s">
        <v>96</v>
      </c>
    </row>
    <row r="52" spans="1:33" x14ac:dyDescent="0.2">
      <c r="A52" s="68" t="s">
        <v>97</v>
      </c>
      <c r="B52" s="68"/>
      <c r="C52" s="25">
        <v>26.5</v>
      </c>
      <c r="D52" s="25">
        <v>26.3</v>
      </c>
      <c r="E52" s="25">
        <v>27.7</v>
      </c>
      <c r="F52" s="25">
        <v>15.886699507389162</v>
      </c>
      <c r="G52" s="32">
        <v>16.8</v>
      </c>
      <c r="H52" s="32">
        <v>16.2</v>
      </c>
      <c r="I52" s="26">
        <v>16.2</v>
      </c>
      <c r="J52" s="26">
        <v>6.7733990147783256</v>
      </c>
      <c r="K52" s="32">
        <v>12.9</v>
      </c>
      <c r="L52" s="32">
        <v>14.2</v>
      </c>
      <c r="M52" s="26">
        <v>14.6</v>
      </c>
      <c r="N52" s="26">
        <v>10.960591133004927</v>
      </c>
      <c r="O52" s="26">
        <v>5.9</v>
      </c>
      <c r="P52" s="26">
        <v>6.2</v>
      </c>
      <c r="Q52" s="26">
        <v>6.5</v>
      </c>
      <c r="R52" s="26">
        <v>5.1724137931034484</v>
      </c>
      <c r="S52" s="26">
        <v>10.1</v>
      </c>
      <c r="T52" s="26">
        <v>9.4</v>
      </c>
      <c r="U52" s="26">
        <v>9.5</v>
      </c>
      <c r="V52" s="26">
        <v>4.0640394088669947</v>
      </c>
      <c r="W52" s="27" t="s">
        <v>98</v>
      </c>
    </row>
    <row r="54" spans="1:33" ht="17.25" customHeight="1" x14ac:dyDescent="0.2">
      <c r="A54" s="16" t="s">
        <v>110</v>
      </c>
      <c r="G54" s="24"/>
      <c r="H54" s="26"/>
      <c r="I54" s="26"/>
      <c r="J54" s="26"/>
      <c r="K54" s="26"/>
      <c r="L54" s="26"/>
      <c r="M54" s="35"/>
      <c r="N54" s="35"/>
      <c r="O54" s="35"/>
      <c r="P54" s="35"/>
      <c r="Q54" s="35"/>
      <c r="T54" s="26"/>
      <c r="U54" s="26"/>
      <c r="W54" s="3"/>
    </row>
    <row r="55" spans="1:33" ht="38.25" customHeight="1" x14ac:dyDescent="0.2">
      <c r="A55" s="70" t="s">
        <v>178</v>
      </c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</row>
    <row r="56" spans="1:33" ht="12.75" customHeight="1" x14ac:dyDescent="0.2">
      <c r="A56" s="70" t="s">
        <v>112</v>
      </c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</row>
    <row r="57" spans="1:33" ht="12.75" customHeight="1" x14ac:dyDescent="0.2">
      <c r="A57" s="70" t="s">
        <v>179</v>
      </c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</row>
    <row r="58" spans="1:33" x14ac:dyDescent="0.2">
      <c r="G58" s="24"/>
      <c r="L58" s="26"/>
      <c r="M58" s="35"/>
      <c r="N58" s="35"/>
      <c r="O58" s="35"/>
      <c r="P58" s="35"/>
      <c r="Q58" s="35"/>
      <c r="T58" s="26"/>
      <c r="U58" s="26"/>
      <c r="W58" s="3"/>
    </row>
  </sheetData>
  <mergeCells count="17">
    <mergeCell ref="A57:AG57"/>
    <mergeCell ref="A51:B51"/>
    <mergeCell ref="A52:B52"/>
    <mergeCell ref="A55:W55"/>
    <mergeCell ref="A49:B49"/>
    <mergeCell ref="A56:W56"/>
    <mergeCell ref="A50:B50"/>
    <mergeCell ref="A1:W1"/>
    <mergeCell ref="A2:A4"/>
    <mergeCell ref="B2:B4"/>
    <mergeCell ref="C2:F3"/>
    <mergeCell ref="G2:V2"/>
    <mergeCell ref="W2:W4"/>
    <mergeCell ref="G3:J3"/>
    <mergeCell ref="K3:N3"/>
    <mergeCell ref="O3:R3"/>
    <mergeCell ref="S3:V3"/>
  </mergeCells>
  <printOptions horizontalCentered="1"/>
  <pageMargins left="0.59055118110236227" right="0.39370078740157483" top="0.31496062992125984" bottom="0.31496062992125984" header="0.27559055118110237" footer="0.23622047244094491"/>
  <pageSetup paperSize="9" scale="68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58"/>
  <sheetViews>
    <sheetView zoomScaleNormal="100" zoomScaleSheetLayoutView="100" workbookViewId="0">
      <selection sqref="A1:W1"/>
    </sheetView>
  </sheetViews>
  <sheetFormatPr defaultRowHeight="12.75" x14ac:dyDescent="0.2"/>
  <cols>
    <col min="1" max="1" width="45.7109375" style="3" customWidth="1"/>
    <col min="2" max="2" width="15.42578125" style="3" customWidth="1"/>
    <col min="3" max="14" width="9.140625" style="3" customWidth="1"/>
    <col min="15" max="17" width="9.140625" style="26" customWidth="1"/>
    <col min="18" max="22" width="9.140625" style="3" customWidth="1"/>
    <col min="23" max="23" width="48.7109375" style="38" customWidth="1"/>
    <col min="24" max="16384" width="9.140625" style="3"/>
  </cols>
  <sheetData>
    <row r="1" spans="1:23" ht="36" customHeight="1" x14ac:dyDescent="0.2">
      <c r="A1" s="71" t="s">
        <v>186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</row>
    <row r="3" spans="1:23" ht="124.5" customHeight="1" x14ac:dyDescent="0.2">
      <c r="A3" s="64"/>
      <c r="B3" s="80" t="s">
        <v>133</v>
      </c>
      <c r="C3" s="99" t="s">
        <v>182</v>
      </c>
      <c r="D3" s="100"/>
      <c r="E3" s="100"/>
      <c r="F3" s="100"/>
      <c r="G3" s="100"/>
      <c r="H3" s="100"/>
      <c r="I3" s="100"/>
      <c r="J3" s="101"/>
      <c r="K3" s="102" t="s">
        <v>183</v>
      </c>
      <c r="L3" s="102"/>
      <c r="M3" s="102"/>
      <c r="N3" s="103"/>
      <c r="O3" s="106" t="s">
        <v>184</v>
      </c>
      <c r="P3" s="102"/>
      <c r="Q3" s="102"/>
      <c r="R3" s="102"/>
      <c r="S3" s="106" t="s">
        <v>185</v>
      </c>
      <c r="T3" s="102"/>
      <c r="U3" s="102"/>
      <c r="V3" s="103"/>
      <c r="W3" s="77"/>
    </row>
    <row r="4" spans="1:23" ht="54" customHeight="1" x14ac:dyDescent="0.2">
      <c r="A4" s="65"/>
      <c r="B4" s="81"/>
      <c r="C4" s="55" t="s">
        <v>180</v>
      </c>
      <c r="D4" s="56"/>
      <c r="E4" s="56"/>
      <c r="F4" s="60"/>
      <c r="G4" s="55" t="s">
        <v>181</v>
      </c>
      <c r="H4" s="56"/>
      <c r="I4" s="56"/>
      <c r="J4" s="60"/>
      <c r="K4" s="104"/>
      <c r="L4" s="104"/>
      <c r="M4" s="104"/>
      <c r="N4" s="105"/>
      <c r="O4" s="107"/>
      <c r="P4" s="104"/>
      <c r="Q4" s="104"/>
      <c r="R4" s="104"/>
      <c r="S4" s="107"/>
      <c r="T4" s="104"/>
      <c r="U4" s="104"/>
      <c r="V4" s="105"/>
      <c r="W4" s="78"/>
    </row>
    <row r="5" spans="1:23" ht="16.5" customHeight="1" x14ac:dyDescent="0.2">
      <c r="A5" s="66"/>
      <c r="B5" s="82"/>
      <c r="C5" s="8">
        <v>2018</v>
      </c>
      <c r="D5" s="8">
        <v>2019</v>
      </c>
      <c r="E5" s="8">
        <v>2020</v>
      </c>
      <c r="F5" s="6">
        <v>2022</v>
      </c>
      <c r="G5" s="8">
        <v>2018</v>
      </c>
      <c r="H5" s="8">
        <v>2019</v>
      </c>
      <c r="I5" s="8">
        <v>2020</v>
      </c>
      <c r="J5" s="6">
        <v>2022</v>
      </c>
      <c r="K5" s="8">
        <v>2018</v>
      </c>
      <c r="L5" s="8">
        <v>2019</v>
      </c>
      <c r="M5" s="8">
        <v>2020</v>
      </c>
      <c r="N5" s="6">
        <v>2022</v>
      </c>
      <c r="O5" s="8">
        <v>2018</v>
      </c>
      <c r="P5" s="8">
        <v>2019</v>
      </c>
      <c r="Q5" s="8">
        <v>2020</v>
      </c>
      <c r="R5" s="6">
        <v>2022</v>
      </c>
      <c r="S5" s="8">
        <v>2018</v>
      </c>
      <c r="T5" s="8">
        <v>2019</v>
      </c>
      <c r="U5" s="8">
        <v>2020</v>
      </c>
      <c r="V5" s="6">
        <v>2022</v>
      </c>
      <c r="W5" s="79"/>
    </row>
    <row r="6" spans="1:23" ht="17.25" customHeight="1" x14ac:dyDescent="0.2">
      <c r="A6" s="11" t="s">
        <v>0</v>
      </c>
      <c r="B6" s="39"/>
      <c r="C6" s="18">
        <v>3.7</v>
      </c>
      <c r="D6" s="18">
        <v>3.8</v>
      </c>
      <c r="E6" s="18">
        <v>4.5</v>
      </c>
      <c r="F6" s="18">
        <v>4.2673395021026943</v>
      </c>
      <c r="G6" s="18">
        <v>4.0999999999999996</v>
      </c>
      <c r="H6" s="18">
        <v>4.3</v>
      </c>
      <c r="I6" s="18">
        <v>4.4000000000000004</v>
      </c>
      <c r="J6" s="18">
        <v>4.7465156819479786</v>
      </c>
      <c r="K6" s="18">
        <v>6.3</v>
      </c>
      <c r="L6" s="18">
        <v>6.1</v>
      </c>
      <c r="M6" s="18">
        <v>6.4</v>
      </c>
      <c r="N6" s="18">
        <v>7.240270570554979</v>
      </c>
      <c r="O6" s="18">
        <v>2.1</v>
      </c>
      <c r="P6" s="18">
        <v>2.1</v>
      </c>
      <c r="Q6" s="18">
        <v>2</v>
      </c>
      <c r="R6" s="18">
        <v>1.7567089169825036</v>
      </c>
      <c r="S6" s="18">
        <v>14.4</v>
      </c>
      <c r="T6" s="18">
        <v>13.8</v>
      </c>
      <c r="U6" s="18">
        <v>14.1</v>
      </c>
      <c r="V6" s="18">
        <v>14.623492518939559</v>
      </c>
      <c r="W6" s="19" t="s">
        <v>1</v>
      </c>
    </row>
    <row r="7" spans="1:23" x14ac:dyDescent="0.2">
      <c r="A7" s="20" t="s">
        <v>2</v>
      </c>
      <c r="B7" s="21" t="s">
        <v>3</v>
      </c>
      <c r="C7" s="26">
        <v>4</v>
      </c>
      <c r="D7" s="26">
        <v>3.9</v>
      </c>
      <c r="E7" s="26">
        <v>4</v>
      </c>
      <c r="F7" s="26">
        <v>3.858599673409187</v>
      </c>
      <c r="G7" s="26">
        <v>4.5999999999999996</v>
      </c>
      <c r="H7" s="26">
        <v>4.5</v>
      </c>
      <c r="I7" s="26">
        <v>4.0999999999999996</v>
      </c>
      <c r="J7" s="26">
        <v>4.5259824167720177</v>
      </c>
      <c r="K7" s="26">
        <v>5.9</v>
      </c>
      <c r="L7" s="26">
        <v>5.5</v>
      </c>
      <c r="M7" s="26">
        <v>5.8</v>
      </c>
      <c r="N7" s="26">
        <v>6.5303950410587577</v>
      </c>
      <c r="O7" s="26">
        <v>2.2999999999999998</v>
      </c>
      <c r="P7" s="26">
        <v>2.2000000000000002</v>
      </c>
      <c r="Q7" s="26">
        <v>1.9</v>
      </c>
      <c r="R7" s="26">
        <v>1.5613684681837336</v>
      </c>
      <c r="S7" s="26">
        <v>14.1</v>
      </c>
      <c r="T7" s="26">
        <v>13.8</v>
      </c>
      <c r="U7" s="26">
        <v>14</v>
      </c>
      <c r="V7" s="26">
        <v>14.878544850438759</v>
      </c>
      <c r="W7" s="27" t="s">
        <v>4</v>
      </c>
    </row>
    <row r="8" spans="1:23" ht="76.5" x14ac:dyDescent="0.2">
      <c r="A8" s="20" t="s">
        <v>5</v>
      </c>
      <c r="B8" s="21" t="s">
        <v>6</v>
      </c>
      <c r="C8" s="26">
        <v>3.9</v>
      </c>
      <c r="D8" s="26">
        <v>3.8</v>
      </c>
      <c r="E8" s="26">
        <v>3.1</v>
      </c>
      <c r="F8" s="26">
        <v>4.3610481192907047</v>
      </c>
      <c r="G8" s="26">
        <v>4.8</v>
      </c>
      <c r="H8" s="26">
        <v>4.2</v>
      </c>
      <c r="I8" s="26">
        <v>3.8</v>
      </c>
      <c r="J8" s="26">
        <v>4.219116362170876</v>
      </c>
      <c r="K8" s="26">
        <v>5.7</v>
      </c>
      <c r="L8" s="3">
        <v>5.2</v>
      </c>
      <c r="M8" s="26">
        <v>5.5</v>
      </c>
      <c r="N8" s="26">
        <v>6.450878491023575</v>
      </c>
      <c r="O8" s="26">
        <v>2.2999999999999998</v>
      </c>
      <c r="P8" s="26">
        <v>2.1</v>
      </c>
      <c r="Q8" s="26">
        <v>1.6</v>
      </c>
      <c r="R8" s="26">
        <v>1.6616637560451371</v>
      </c>
      <c r="S8" s="26">
        <v>13</v>
      </c>
      <c r="T8" s="26">
        <v>12.6</v>
      </c>
      <c r="U8" s="26">
        <v>13.1</v>
      </c>
      <c r="V8" s="26">
        <v>14.009078989790419</v>
      </c>
      <c r="W8" s="27" t="s">
        <v>135</v>
      </c>
    </row>
    <row r="9" spans="1:23" ht="25.5" x14ac:dyDescent="0.2">
      <c r="A9" s="28" t="s">
        <v>7</v>
      </c>
      <c r="B9" s="21" t="s">
        <v>8</v>
      </c>
      <c r="C9" s="26">
        <v>5.6</v>
      </c>
      <c r="D9" s="26">
        <v>5.7</v>
      </c>
      <c r="E9" s="26">
        <v>4.8</v>
      </c>
      <c r="F9" s="26">
        <v>5.8954048729911879</v>
      </c>
      <c r="G9" s="26">
        <v>6.6</v>
      </c>
      <c r="H9" s="26">
        <v>6</v>
      </c>
      <c r="I9" s="26">
        <v>4.8</v>
      </c>
      <c r="J9" s="26">
        <v>5.6833716951788498</v>
      </c>
      <c r="K9" s="26">
        <v>7.1</v>
      </c>
      <c r="L9" s="3">
        <v>6.9</v>
      </c>
      <c r="M9" s="26">
        <v>7</v>
      </c>
      <c r="N9" s="26">
        <v>7.4500460958625849</v>
      </c>
      <c r="O9" s="26">
        <v>3.6</v>
      </c>
      <c r="P9" s="26">
        <v>3.5</v>
      </c>
      <c r="Q9" s="26">
        <v>2</v>
      </c>
      <c r="R9" s="26">
        <v>2.6899248315189217</v>
      </c>
      <c r="S9" s="26">
        <v>13.7</v>
      </c>
      <c r="T9" s="26">
        <v>13.2</v>
      </c>
      <c r="U9" s="26">
        <v>13.7</v>
      </c>
      <c r="V9" s="26">
        <v>14.293604976671828</v>
      </c>
      <c r="W9" s="27" t="s">
        <v>136</v>
      </c>
    </row>
    <row r="10" spans="1:23" ht="38.25" x14ac:dyDescent="0.2">
      <c r="A10" s="28" t="s">
        <v>9</v>
      </c>
      <c r="B10" s="21" t="s">
        <v>10</v>
      </c>
      <c r="C10" s="26">
        <v>2.1</v>
      </c>
      <c r="D10" s="26">
        <v>1.9</v>
      </c>
      <c r="E10" s="26">
        <v>1.9</v>
      </c>
      <c r="F10" s="26">
        <v>2.4727520435967301</v>
      </c>
      <c r="G10" s="26">
        <v>3.3</v>
      </c>
      <c r="H10" s="26">
        <v>3</v>
      </c>
      <c r="I10" s="26">
        <v>2.4</v>
      </c>
      <c r="J10" s="26">
        <v>2.4019073569482288</v>
      </c>
      <c r="K10" s="26">
        <v>3.9</v>
      </c>
      <c r="L10" s="3">
        <v>3.9</v>
      </c>
      <c r="M10" s="26">
        <v>4</v>
      </c>
      <c r="N10" s="26">
        <v>6.1005965093158547</v>
      </c>
      <c r="O10" s="26">
        <v>0.7</v>
      </c>
      <c r="P10" s="26">
        <v>0.8</v>
      </c>
      <c r="Q10" s="26">
        <v>1.3</v>
      </c>
      <c r="R10" s="26">
        <v>0.27247956403269752</v>
      </c>
      <c r="S10" s="26">
        <v>13.9</v>
      </c>
      <c r="T10" s="26">
        <v>14.1</v>
      </c>
      <c r="U10" s="26">
        <v>14</v>
      </c>
      <c r="V10" s="26">
        <v>14.491523318121944</v>
      </c>
      <c r="W10" s="27" t="s">
        <v>137</v>
      </c>
    </row>
    <row r="11" spans="1:23" ht="25.5" x14ac:dyDescent="0.2">
      <c r="A11" s="28" t="s">
        <v>11</v>
      </c>
      <c r="B11" s="21" t="s">
        <v>12</v>
      </c>
      <c r="C11" s="26">
        <v>2.6</v>
      </c>
      <c r="D11" s="26">
        <v>2.2000000000000002</v>
      </c>
      <c r="E11" s="26">
        <v>1.5</v>
      </c>
      <c r="F11" s="26">
        <v>2.8749623229461752</v>
      </c>
      <c r="G11" s="26">
        <v>2.9</v>
      </c>
      <c r="H11" s="26">
        <v>2.4</v>
      </c>
      <c r="I11" s="26">
        <v>3.3</v>
      </c>
      <c r="J11" s="26">
        <v>2.8114514636449481</v>
      </c>
      <c r="K11" s="26">
        <v>4.7</v>
      </c>
      <c r="L11" s="3">
        <v>4.5999999999999996</v>
      </c>
      <c r="M11" s="26">
        <v>4.7</v>
      </c>
      <c r="N11" s="26">
        <v>5.7598252369996636</v>
      </c>
      <c r="O11" s="26">
        <v>1.2</v>
      </c>
      <c r="P11" s="26">
        <v>0.8</v>
      </c>
      <c r="Q11" s="26">
        <v>1.1000000000000001</v>
      </c>
      <c r="R11" s="26">
        <v>0.75150849858356938</v>
      </c>
      <c r="S11" s="26">
        <v>11.3</v>
      </c>
      <c r="T11" s="26">
        <v>10.6</v>
      </c>
      <c r="U11" s="26">
        <v>10.9</v>
      </c>
      <c r="V11" s="26">
        <v>11.199244131146097</v>
      </c>
      <c r="W11" s="27" t="s">
        <v>138</v>
      </c>
    </row>
    <row r="12" spans="1:23" ht="102" x14ac:dyDescent="0.2">
      <c r="A12" s="20" t="s">
        <v>13</v>
      </c>
      <c r="B12" s="21" t="s">
        <v>14</v>
      </c>
      <c r="C12" s="26">
        <v>4.2</v>
      </c>
      <c r="D12" s="26">
        <v>4.2</v>
      </c>
      <c r="E12" s="26">
        <v>4.5999999999999996</v>
      </c>
      <c r="F12" s="26">
        <v>3.5370080321285142</v>
      </c>
      <c r="G12" s="26">
        <v>4</v>
      </c>
      <c r="H12" s="26">
        <v>4.4000000000000004</v>
      </c>
      <c r="I12" s="26">
        <v>4.5</v>
      </c>
      <c r="J12" s="26">
        <v>5.1057264056224909</v>
      </c>
      <c r="K12" s="26">
        <v>5.8</v>
      </c>
      <c r="L12" s="3">
        <v>5.9</v>
      </c>
      <c r="M12" s="26">
        <v>5.9</v>
      </c>
      <c r="N12" s="26">
        <v>6.4939544665147055</v>
      </c>
      <c r="O12" s="26">
        <v>1.9</v>
      </c>
      <c r="P12" s="26">
        <v>1.8</v>
      </c>
      <c r="Q12" s="26">
        <v>1.8</v>
      </c>
      <c r="R12" s="26">
        <v>1.4829317269076305</v>
      </c>
      <c r="S12" s="26">
        <v>16</v>
      </c>
      <c r="T12" s="26">
        <v>15.7</v>
      </c>
      <c r="U12" s="26">
        <v>16.100000000000001</v>
      </c>
      <c r="V12" s="26">
        <v>16.548855907500975</v>
      </c>
      <c r="W12" s="27" t="s">
        <v>139</v>
      </c>
    </row>
    <row r="13" spans="1:23" ht="25.5" x14ac:dyDescent="0.2">
      <c r="A13" s="20" t="s">
        <v>15</v>
      </c>
      <c r="B13" s="29">
        <v>19</v>
      </c>
      <c r="C13" s="26">
        <v>3.7</v>
      </c>
      <c r="D13" s="26">
        <v>7</v>
      </c>
      <c r="E13" s="26">
        <v>2.1</v>
      </c>
      <c r="F13" s="26"/>
      <c r="G13" s="26">
        <v>1.9</v>
      </c>
      <c r="H13" s="26">
        <v>9.3000000000000007</v>
      </c>
      <c r="I13" s="26">
        <v>4.2</v>
      </c>
      <c r="J13" s="26">
        <v>3.125</v>
      </c>
      <c r="K13" s="26">
        <v>9.4</v>
      </c>
      <c r="L13" s="3">
        <v>9.3000000000000007</v>
      </c>
      <c r="M13" s="26">
        <v>9.4</v>
      </c>
      <c r="N13" s="26">
        <v>9.939516129032258</v>
      </c>
      <c r="O13" s="26">
        <v>9.3000000000000007</v>
      </c>
      <c r="P13" s="26">
        <v>9.3000000000000007</v>
      </c>
      <c r="Q13" s="26">
        <v>2.1</v>
      </c>
      <c r="R13" s="26"/>
      <c r="S13" s="26">
        <v>7</v>
      </c>
      <c r="T13" s="26">
        <v>5.6</v>
      </c>
      <c r="U13" s="26">
        <v>6.8</v>
      </c>
      <c r="V13" s="26">
        <v>8.0817307692307683</v>
      </c>
      <c r="W13" s="27" t="s">
        <v>140</v>
      </c>
    </row>
    <row r="14" spans="1:23" ht="25.5" x14ac:dyDescent="0.2">
      <c r="A14" s="20" t="s">
        <v>16</v>
      </c>
      <c r="B14" s="29">
        <v>20</v>
      </c>
      <c r="C14" s="26">
        <v>5.2</v>
      </c>
      <c r="D14" s="26">
        <v>4</v>
      </c>
      <c r="E14" s="26">
        <v>7.1</v>
      </c>
      <c r="F14" s="26">
        <v>2.7655903614457831</v>
      </c>
      <c r="G14" s="26">
        <v>4.3</v>
      </c>
      <c r="H14" s="26">
        <v>4</v>
      </c>
      <c r="I14" s="26">
        <v>4.4000000000000004</v>
      </c>
      <c r="J14" s="26">
        <v>4.2833903614457833</v>
      </c>
      <c r="K14" s="26">
        <v>5.0999999999999996</v>
      </c>
      <c r="L14" s="3">
        <v>5.0999999999999996</v>
      </c>
      <c r="M14" s="26">
        <v>5.2</v>
      </c>
      <c r="N14" s="26">
        <v>5.6952313253012052</v>
      </c>
      <c r="O14" s="26">
        <v>1.5</v>
      </c>
      <c r="P14" s="26">
        <v>1.2</v>
      </c>
      <c r="Q14" s="26">
        <v>1.6</v>
      </c>
      <c r="R14" s="26">
        <v>0.72289156626506024</v>
      </c>
      <c r="S14" s="26">
        <v>20.399999999999999</v>
      </c>
      <c r="T14" s="26">
        <v>18.8</v>
      </c>
      <c r="U14" s="26">
        <v>19.7</v>
      </c>
      <c r="V14" s="26">
        <v>20.569402828706121</v>
      </c>
      <c r="W14" s="27" t="s">
        <v>141</v>
      </c>
    </row>
    <row r="15" spans="1:23" ht="25.5" x14ac:dyDescent="0.2">
      <c r="A15" s="20" t="s">
        <v>17</v>
      </c>
      <c r="B15" s="29">
        <v>21</v>
      </c>
      <c r="C15" s="26">
        <v>16.2</v>
      </c>
      <c r="D15" s="26">
        <v>20</v>
      </c>
      <c r="E15" s="26">
        <v>17.899999999999999</v>
      </c>
      <c r="F15" s="26">
        <v>10.309278350515463</v>
      </c>
      <c r="G15" s="26">
        <v>11.1</v>
      </c>
      <c r="H15" s="26">
        <v>18.3</v>
      </c>
      <c r="I15" s="26">
        <v>19.7</v>
      </c>
      <c r="J15" s="26">
        <v>10.309278350515463</v>
      </c>
      <c r="K15" s="26">
        <v>12.5</v>
      </c>
      <c r="L15" s="3">
        <v>13.4</v>
      </c>
      <c r="M15" s="26">
        <v>13.1</v>
      </c>
      <c r="N15" s="26">
        <v>14.572304263025911</v>
      </c>
      <c r="O15" s="26">
        <v>6</v>
      </c>
      <c r="P15" s="26">
        <v>6.1</v>
      </c>
      <c r="Q15" s="26">
        <v>16.8</v>
      </c>
      <c r="R15" s="26">
        <v>12.371134020618557</v>
      </c>
      <c r="S15" s="26">
        <v>11.3</v>
      </c>
      <c r="T15" s="26">
        <v>12.8</v>
      </c>
      <c r="U15" s="26">
        <v>12.8</v>
      </c>
      <c r="V15" s="26">
        <v>14.082137793477999</v>
      </c>
      <c r="W15" s="27" t="s">
        <v>142</v>
      </c>
    </row>
    <row r="16" spans="1:23" ht="38.25" x14ac:dyDescent="0.2">
      <c r="A16" s="20" t="s">
        <v>18</v>
      </c>
      <c r="B16" s="29" t="s">
        <v>19</v>
      </c>
      <c r="C16" s="26">
        <v>3.1</v>
      </c>
      <c r="D16" s="26">
        <v>3.2</v>
      </c>
      <c r="E16" s="26">
        <v>3.2</v>
      </c>
      <c r="F16" s="26">
        <v>3.3825966850828726</v>
      </c>
      <c r="G16" s="26">
        <v>3.5</v>
      </c>
      <c r="H16" s="26">
        <v>3.5</v>
      </c>
      <c r="I16" s="26">
        <v>3.6</v>
      </c>
      <c r="J16" s="26">
        <v>5.0366022099447516</v>
      </c>
      <c r="K16" s="26">
        <v>5.5</v>
      </c>
      <c r="L16" s="3">
        <v>5.7</v>
      </c>
      <c r="M16" s="26">
        <v>5.6</v>
      </c>
      <c r="N16" s="26">
        <v>6.7071076601463329</v>
      </c>
      <c r="O16" s="26">
        <v>1.6</v>
      </c>
      <c r="P16" s="26">
        <v>1.6</v>
      </c>
      <c r="Q16" s="26">
        <v>1</v>
      </c>
      <c r="R16" s="26">
        <v>1.0041436464088398</v>
      </c>
      <c r="S16" s="26">
        <v>15.3</v>
      </c>
      <c r="T16" s="26">
        <v>15.4</v>
      </c>
      <c r="U16" s="26">
        <v>15.3</v>
      </c>
      <c r="V16" s="26">
        <v>15.747115820584735</v>
      </c>
      <c r="W16" s="27" t="s">
        <v>20</v>
      </c>
    </row>
    <row r="17" spans="1:23" ht="38.25" x14ac:dyDescent="0.2">
      <c r="A17" s="28" t="s">
        <v>21</v>
      </c>
      <c r="B17" s="21" t="s">
        <v>22</v>
      </c>
      <c r="C17" s="26">
        <v>2.9</v>
      </c>
      <c r="D17" s="26">
        <v>2.7</v>
      </c>
      <c r="E17" s="26">
        <v>4.0999999999999996</v>
      </c>
      <c r="F17" s="26">
        <v>2.7160493827160495</v>
      </c>
      <c r="G17" s="26">
        <v>4.3</v>
      </c>
      <c r="H17" s="26">
        <v>4</v>
      </c>
      <c r="I17" s="26">
        <v>4</v>
      </c>
      <c r="J17" s="26">
        <v>3.6014109347442682</v>
      </c>
      <c r="K17" s="26">
        <v>5.8</v>
      </c>
      <c r="L17" s="26">
        <v>6</v>
      </c>
      <c r="M17" s="26">
        <v>6.1</v>
      </c>
      <c r="N17" s="26">
        <v>6.2934362934362946</v>
      </c>
      <c r="O17" s="26">
        <v>2.1</v>
      </c>
      <c r="P17" s="26">
        <v>1.9</v>
      </c>
      <c r="Q17" s="26">
        <v>1.1000000000000001</v>
      </c>
      <c r="R17" s="26">
        <v>0.95767195767195756</v>
      </c>
      <c r="S17" s="26">
        <v>15.4</v>
      </c>
      <c r="T17" s="26">
        <v>15.4</v>
      </c>
      <c r="U17" s="26">
        <v>15.3</v>
      </c>
      <c r="V17" s="26">
        <v>15.171032952187984</v>
      </c>
      <c r="W17" s="27" t="s">
        <v>143</v>
      </c>
    </row>
    <row r="18" spans="1:23" ht="38.25" x14ac:dyDescent="0.2">
      <c r="A18" s="20" t="s">
        <v>23</v>
      </c>
      <c r="B18" s="21" t="s">
        <v>24</v>
      </c>
      <c r="C18" s="26">
        <v>4.2</v>
      </c>
      <c r="D18" s="26">
        <v>4.3</v>
      </c>
      <c r="E18" s="26">
        <v>4.8</v>
      </c>
      <c r="F18" s="26">
        <v>3.8836183812405451</v>
      </c>
      <c r="G18" s="26">
        <v>5</v>
      </c>
      <c r="H18" s="26">
        <v>4.9000000000000004</v>
      </c>
      <c r="I18" s="26">
        <v>4.3</v>
      </c>
      <c r="J18" s="26">
        <v>4.917725794251135</v>
      </c>
      <c r="K18" s="26">
        <v>6.3</v>
      </c>
      <c r="L18" s="3">
        <v>5.9</v>
      </c>
      <c r="M18" s="26">
        <v>6.4</v>
      </c>
      <c r="N18" s="26">
        <v>7.2618880011346443</v>
      </c>
      <c r="O18" s="26">
        <v>2.9</v>
      </c>
      <c r="P18" s="26">
        <v>2.7</v>
      </c>
      <c r="Q18" s="26">
        <v>2.6</v>
      </c>
      <c r="R18" s="26">
        <v>1.7381985627836609</v>
      </c>
      <c r="S18" s="26">
        <v>13.8</v>
      </c>
      <c r="T18" s="26">
        <v>13.4</v>
      </c>
      <c r="U18" s="26">
        <v>13.9</v>
      </c>
      <c r="V18" s="26">
        <v>14.179900238654703</v>
      </c>
      <c r="W18" s="27" t="s">
        <v>134</v>
      </c>
    </row>
    <row r="19" spans="1:23" ht="25.5" x14ac:dyDescent="0.2">
      <c r="A19" s="20" t="s">
        <v>25</v>
      </c>
      <c r="B19" s="29">
        <v>26</v>
      </c>
      <c r="C19" s="26">
        <v>8.9</v>
      </c>
      <c r="D19" s="26">
        <v>8.8000000000000007</v>
      </c>
      <c r="E19" s="26">
        <v>7.3</v>
      </c>
      <c r="F19" s="26">
        <v>7.6593406593406606</v>
      </c>
      <c r="G19" s="26">
        <v>5.8</v>
      </c>
      <c r="H19" s="26">
        <v>6.6</v>
      </c>
      <c r="I19" s="26">
        <v>5.0999999999999996</v>
      </c>
      <c r="J19" s="26">
        <v>6.4340659340659343</v>
      </c>
      <c r="K19" s="26">
        <v>9.6</v>
      </c>
      <c r="L19" s="3">
        <v>9.9</v>
      </c>
      <c r="M19" s="26">
        <v>9.8000000000000007</v>
      </c>
      <c r="N19" s="26">
        <v>6.2132462132462143</v>
      </c>
      <c r="O19" s="26">
        <v>6.2</v>
      </c>
      <c r="P19" s="26">
        <v>7.3</v>
      </c>
      <c r="Q19" s="26">
        <v>5.0999999999999996</v>
      </c>
      <c r="R19" s="26">
        <v>4.2362637362637363</v>
      </c>
      <c r="S19" s="26">
        <v>8</v>
      </c>
      <c r="T19" s="26">
        <v>5.4</v>
      </c>
      <c r="U19" s="26">
        <v>7.3</v>
      </c>
      <c r="V19" s="26">
        <v>9.1536123451017009</v>
      </c>
      <c r="W19" s="27" t="s">
        <v>26</v>
      </c>
    </row>
    <row r="20" spans="1:23" ht="14.25" customHeight="1" x14ac:dyDescent="0.2">
      <c r="A20" s="20" t="s">
        <v>27</v>
      </c>
      <c r="B20" s="29">
        <v>27</v>
      </c>
      <c r="C20" s="26">
        <v>6.4</v>
      </c>
      <c r="D20" s="26">
        <v>4.3</v>
      </c>
      <c r="E20" s="26">
        <v>6.8</v>
      </c>
      <c r="F20" s="26">
        <v>3.3864406779661014</v>
      </c>
      <c r="G20" s="26">
        <v>6.4</v>
      </c>
      <c r="H20" s="26">
        <v>5.8</v>
      </c>
      <c r="I20" s="26">
        <v>4.3</v>
      </c>
      <c r="J20" s="26">
        <v>4.0610169491525427</v>
      </c>
      <c r="K20" s="26">
        <v>6.6</v>
      </c>
      <c r="L20" s="3">
        <v>6.5</v>
      </c>
      <c r="M20" s="26">
        <v>6.7</v>
      </c>
      <c r="N20" s="26">
        <v>7.6595431098010316</v>
      </c>
      <c r="O20" s="26">
        <v>3.2</v>
      </c>
      <c r="P20" s="26">
        <v>4.3</v>
      </c>
      <c r="Q20" s="26">
        <v>4</v>
      </c>
      <c r="R20" s="26">
        <v>2.369491525423729</v>
      </c>
      <c r="S20" s="26">
        <v>16.8</v>
      </c>
      <c r="T20" s="26">
        <v>15.2</v>
      </c>
      <c r="U20" s="26">
        <v>15.4</v>
      </c>
      <c r="V20" s="26">
        <v>15.841443411700384</v>
      </c>
      <c r="W20" s="27" t="s">
        <v>28</v>
      </c>
    </row>
    <row r="21" spans="1:23" ht="14.25" customHeight="1" x14ac:dyDescent="0.2">
      <c r="A21" s="20" t="s">
        <v>29</v>
      </c>
      <c r="B21" s="29">
        <v>28</v>
      </c>
      <c r="C21" s="26">
        <v>3.4</v>
      </c>
      <c r="D21" s="26">
        <v>4</v>
      </c>
      <c r="E21" s="26">
        <v>4.0999999999999996</v>
      </c>
      <c r="F21" s="26">
        <v>4.8090000000000002</v>
      </c>
      <c r="G21" s="26">
        <v>4.4000000000000004</v>
      </c>
      <c r="H21" s="26">
        <v>4.7</v>
      </c>
      <c r="I21" s="26">
        <v>4.5999999999999996</v>
      </c>
      <c r="J21" s="26">
        <v>5.9343066666666662</v>
      </c>
      <c r="K21" s="26">
        <v>5.8</v>
      </c>
      <c r="L21" s="3">
        <v>5.4</v>
      </c>
      <c r="M21" s="26">
        <v>5.9</v>
      </c>
      <c r="N21" s="26">
        <v>5.8008216216216208</v>
      </c>
      <c r="O21" s="26">
        <v>2.7</v>
      </c>
      <c r="P21" s="26">
        <v>2.4</v>
      </c>
      <c r="Q21" s="26">
        <v>2.2000000000000002</v>
      </c>
      <c r="R21" s="26">
        <v>1.0959866666666664</v>
      </c>
      <c r="S21" s="26">
        <v>15.3</v>
      </c>
      <c r="T21" s="26">
        <v>15.2</v>
      </c>
      <c r="U21" s="26">
        <v>15.3</v>
      </c>
      <c r="V21" s="26">
        <v>15.822382222222215</v>
      </c>
      <c r="W21" s="27" t="s">
        <v>144</v>
      </c>
    </row>
    <row r="22" spans="1:23" ht="38.25" x14ac:dyDescent="0.2">
      <c r="A22" s="20" t="s">
        <v>30</v>
      </c>
      <c r="B22" s="29" t="s">
        <v>31</v>
      </c>
      <c r="C22" s="26">
        <v>10.8</v>
      </c>
      <c r="D22" s="26">
        <v>10.1</v>
      </c>
      <c r="E22" s="26">
        <v>6.6</v>
      </c>
      <c r="F22" s="26">
        <v>6.7384745762711864</v>
      </c>
      <c r="G22" s="26">
        <v>13.1</v>
      </c>
      <c r="H22" s="26">
        <v>11.3</v>
      </c>
      <c r="I22" s="26">
        <v>8.4</v>
      </c>
      <c r="J22" s="26">
        <v>8.8159322033898295</v>
      </c>
      <c r="K22" s="26">
        <v>12.7</v>
      </c>
      <c r="L22" s="3">
        <v>12.1</v>
      </c>
      <c r="M22" s="26">
        <v>12.6</v>
      </c>
      <c r="N22" s="26">
        <v>13.182627118644067</v>
      </c>
      <c r="O22" s="26">
        <v>8.3000000000000007</v>
      </c>
      <c r="P22" s="26">
        <v>5.8</v>
      </c>
      <c r="Q22" s="26">
        <v>5.6</v>
      </c>
      <c r="R22" s="26">
        <v>4.4091525423728815</v>
      </c>
      <c r="S22" s="26">
        <v>10.7</v>
      </c>
      <c r="T22" s="26">
        <v>12.4</v>
      </c>
      <c r="U22" s="26">
        <v>11.6</v>
      </c>
      <c r="V22" s="26">
        <v>12.333983050847456</v>
      </c>
      <c r="W22" s="27" t="s">
        <v>145</v>
      </c>
    </row>
    <row r="23" spans="1:23" ht="38.25" x14ac:dyDescent="0.2">
      <c r="A23" s="20" t="s">
        <v>32</v>
      </c>
      <c r="B23" s="29" t="s">
        <v>33</v>
      </c>
      <c r="C23" s="26">
        <v>2.1</v>
      </c>
      <c r="D23" s="26">
        <v>2.5</v>
      </c>
      <c r="E23" s="26">
        <v>3.9</v>
      </c>
      <c r="F23" s="26">
        <v>2.2677874682472483</v>
      </c>
      <c r="G23" s="26">
        <v>3.2</v>
      </c>
      <c r="H23" s="26">
        <v>3.3</v>
      </c>
      <c r="I23" s="26">
        <v>3.1</v>
      </c>
      <c r="J23" s="26">
        <v>3.4734775613886542</v>
      </c>
      <c r="K23" s="26">
        <v>4.7</v>
      </c>
      <c r="L23" s="3">
        <v>4.5999999999999996</v>
      </c>
      <c r="M23" s="26">
        <v>4.7</v>
      </c>
      <c r="N23" s="26">
        <v>5.6168391422752126</v>
      </c>
      <c r="O23" s="26">
        <v>1.2</v>
      </c>
      <c r="P23" s="26">
        <v>0.9</v>
      </c>
      <c r="Q23" s="26">
        <v>1.4</v>
      </c>
      <c r="R23" s="26">
        <v>1.0696418289585097</v>
      </c>
      <c r="S23" s="26">
        <v>13.8</v>
      </c>
      <c r="T23" s="26">
        <v>13.3</v>
      </c>
      <c r="U23" s="26">
        <v>13.5</v>
      </c>
      <c r="V23" s="26">
        <v>14.447575209304363</v>
      </c>
      <c r="W23" s="27" t="s">
        <v>146</v>
      </c>
    </row>
    <row r="24" spans="1:23" ht="38.25" x14ac:dyDescent="0.2">
      <c r="A24" s="20" t="s">
        <v>34</v>
      </c>
      <c r="B24" s="29" t="s">
        <v>35</v>
      </c>
      <c r="C24" s="26">
        <v>2</v>
      </c>
      <c r="D24" s="26">
        <v>4</v>
      </c>
      <c r="E24" s="26">
        <v>3.2</v>
      </c>
      <c r="F24" s="26">
        <v>5.8028792912513829</v>
      </c>
      <c r="G24" s="26">
        <v>2</v>
      </c>
      <c r="H24" s="26">
        <v>5.3</v>
      </c>
      <c r="I24" s="26">
        <v>3.5</v>
      </c>
      <c r="J24" s="26">
        <v>5.2541528239202648</v>
      </c>
      <c r="K24" s="26">
        <v>7.1</v>
      </c>
      <c r="L24" s="3">
        <v>7.9</v>
      </c>
      <c r="M24" s="26">
        <v>7.7</v>
      </c>
      <c r="N24" s="26">
        <v>8.4722422841735288</v>
      </c>
      <c r="O24" s="26">
        <v>3.6</v>
      </c>
      <c r="P24" s="26">
        <v>3.7</v>
      </c>
      <c r="Q24" s="26">
        <v>3.5</v>
      </c>
      <c r="R24" s="26">
        <v>3.9125138427464003</v>
      </c>
      <c r="S24" s="26">
        <v>11.5</v>
      </c>
      <c r="T24" s="26">
        <v>10.8</v>
      </c>
      <c r="U24" s="26">
        <v>11.3</v>
      </c>
      <c r="V24" s="26">
        <v>12.920346811441544</v>
      </c>
      <c r="W24" s="27" t="s">
        <v>36</v>
      </c>
    </row>
    <row r="25" spans="1:23" ht="25.5" x14ac:dyDescent="0.2">
      <c r="A25" s="20" t="s">
        <v>37</v>
      </c>
      <c r="B25" s="21" t="s">
        <v>38</v>
      </c>
      <c r="C25" s="26">
        <v>6.1</v>
      </c>
      <c r="D25" s="26">
        <v>6.9</v>
      </c>
      <c r="E25" s="26">
        <v>5.6</v>
      </c>
      <c r="F25" s="26">
        <v>8.6643454038997181</v>
      </c>
      <c r="G25" s="26">
        <v>7.3</v>
      </c>
      <c r="H25" s="26">
        <v>7.3</v>
      </c>
      <c r="I25" s="26">
        <v>6.2</v>
      </c>
      <c r="J25" s="26">
        <v>5.9832869080779938</v>
      </c>
      <c r="K25" s="26">
        <v>9.8000000000000007</v>
      </c>
      <c r="L25" s="26">
        <v>10.9</v>
      </c>
      <c r="M25" s="26">
        <v>10.6</v>
      </c>
      <c r="N25" s="26">
        <v>11.365772980501392</v>
      </c>
      <c r="O25" s="26">
        <v>5.7</v>
      </c>
      <c r="P25" s="26">
        <v>6</v>
      </c>
      <c r="Q25" s="26">
        <v>5.5</v>
      </c>
      <c r="R25" s="26">
        <v>6.7130919220055709</v>
      </c>
      <c r="S25" s="26">
        <v>13.5</v>
      </c>
      <c r="T25" s="26">
        <v>11.4</v>
      </c>
      <c r="U25" s="26">
        <v>12.8</v>
      </c>
      <c r="V25" s="26">
        <v>13.872385738681029</v>
      </c>
      <c r="W25" s="27" t="s">
        <v>39</v>
      </c>
    </row>
    <row r="26" spans="1:23" ht="25.5" x14ac:dyDescent="0.2">
      <c r="A26" s="20" t="s">
        <v>40</v>
      </c>
      <c r="B26" s="21" t="s">
        <v>41</v>
      </c>
      <c r="C26" s="26">
        <v>2.7</v>
      </c>
      <c r="D26" s="26">
        <v>2.2000000000000002</v>
      </c>
      <c r="E26" s="26">
        <v>1.7</v>
      </c>
      <c r="F26" s="26">
        <v>3.914522058823529</v>
      </c>
      <c r="G26" s="26">
        <v>3.3</v>
      </c>
      <c r="H26" s="26">
        <v>4.0999999999999996</v>
      </c>
      <c r="I26" s="26">
        <v>1.7</v>
      </c>
      <c r="J26" s="26">
        <v>4.772977941176471</v>
      </c>
      <c r="K26" s="26">
        <v>4.3</v>
      </c>
      <c r="L26" s="26">
        <v>5.3</v>
      </c>
      <c r="M26" s="26">
        <v>5.3</v>
      </c>
      <c r="N26" s="26">
        <v>6.3577090992647065</v>
      </c>
      <c r="O26" s="26">
        <v>2.2999999999999998</v>
      </c>
      <c r="P26" s="26">
        <v>2.2000000000000002</v>
      </c>
      <c r="Q26" s="26">
        <v>2.1</v>
      </c>
      <c r="R26" s="26">
        <v>2.0643382352941178</v>
      </c>
      <c r="S26" s="26">
        <v>10.199999999999999</v>
      </c>
      <c r="T26" s="26">
        <v>10.4</v>
      </c>
      <c r="U26" s="26">
        <v>10.3</v>
      </c>
      <c r="V26" s="26">
        <v>11.342211709858759</v>
      </c>
      <c r="W26" s="27" t="s">
        <v>42</v>
      </c>
    </row>
    <row r="27" spans="1:23" x14ac:dyDescent="0.2">
      <c r="A27" s="20" t="s">
        <v>43</v>
      </c>
      <c r="B27" s="21" t="s">
        <v>44</v>
      </c>
      <c r="C27" s="26">
        <v>1.3</v>
      </c>
      <c r="D27" s="26">
        <v>1.4</v>
      </c>
      <c r="E27" s="26">
        <v>2.2999999999999998</v>
      </c>
      <c r="F27" s="26">
        <v>1.6723182256509161</v>
      </c>
      <c r="G27" s="26">
        <v>2.2000000000000002</v>
      </c>
      <c r="H27" s="26">
        <v>2.2999999999999998</v>
      </c>
      <c r="I27" s="26">
        <v>3</v>
      </c>
      <c r="J27" s="26">
        <v>1.5933114030858242</v>
      </c>
      <c r="K27" s="26">
        <v>2.7</v>
      </c>
      <c r="L27" s="26">
        <v>2.4</v>
      </c>
      <c r="M27" s="26">
        <v>2.6</v>
      </c>
      <c r="N27" s="26">
        <v>3.448457273850007</v>
      </c>
      <c r="O27" s="26">
        <v>0.7</v>
      </c>
      <c r="P27" s="26">
        <v>0.5</v>
      </c>
      <c r="Q27" s="26">
        <v>0.6</v>
      </c>
      <c r="R27" s="26">
        <v>0.34042888138862099</v>
      </c>
      <c r="S27" s="26">
        <v>14.3</v>
      </c>
      <c r="T27" s="26">
        <v>13.9</v>
      </c>
      <c r="U27" s="26">
        <v>14.1</v>
      </c>
      <c r="V27" s="26">
        <v>14.460479930086789</v>
      </c>
      <c r="W27" s="27" t="s">
        <v>45</v>
      </c>
    </row>
    <row r="28" spans="1:23" ht="25.5" x14ac:dyDescent="0.2">
      <c r="A28" s="20" t="s">
        <v>46</v>
      </c>
      <c r="B28" s="21" t="s">
        <v>47</v>
      </c>
      <c r="C28" s="26">
        <v>3.8</v>
      </c>
      <c r="D28" s="26">
        <v>4</v>
      </c>
      <c r="E28" s="26">
        <v>5.3</v>
      </c>
      <c r="F28" s="26">
        <v>3.8001000511508956</v>
      </c>
      <c r="G28" s="26">
        <v>4.7</v>
      </c>
      <c r="H28" s="26">
        <v>5</v>
      </c>
      <c r="I28" s="26">
        <v>4.7</v>
      </c>
      <c r="J28" s="26">
        <v>5.3985026598465486</v>
      </c>
      <c r="K28" s="26">
        <v>6.4</v>
      </c>
      <c r="L28" s="26">
        <v>6.5</v>
      </c>
      <c r="M28" s="26">
        <v>6.5</v>
      </c>
      <c r="N28" s="26">
        <v>7.2760350505419558</v>
      </c>
      <c r="O28" s="26">
        <v>1.7</v>
      </c>
      <c r="P28" s="26">
        <v>1.9</v>
      </c>
      <c r="Q28" s="26">
        <v>2</v>
      </c>
      <c r="R28" s="26">
        <v>2.0213712020460357</v>
      </c>
      <c r="S28" s="26">
        <v>18.100000000000001</v>
      </c>
      <c r="T28" s="26">
        <v>16.600000000000001</v>
      </c>
      <c r="U28" s="26">
        <v>17.7</v>
      </c>
      <c r="V28" s="26">
        <v>17.983105261234957</v>
      </c>
      <c r="W28" s="27" t="s">
        <v>48</v>
      </c>
    </row>
    <row r="29" spans="1:23" ht="38.25" x14ac:dyDescent="0.2">
      <c r="A29" s="20" t="s">
        <v>49</v>
      </c>
      <c r="B29" s="29">
        <v>45</v>
      </c>
      <c r="C29" s="26">
        <v>4.5999999999999996</v>
      </c>
      <c r="D29" s="26">
        <v>4.7</v>
      </c>
      <c r="E29" s="26">
        <v>5.5</v>
      </c>
      <c r="F29" s="26">
        <v>4.2685524752475255</v>
      </c>
      <c r="G29" s="26">
        <v>5.6</v>
      </c>
      <c r="H29" s="26">
        <v>6.5</v>
      </c>
      <c r="I29" s="26">
        <v>7</v>
      </c>
      <c r="J29" s="26">
        <v>7.1096569306930713</v>
      </c>
      <c r="K29" s="26">
        <v>7.1</v>
      </c>
      <c r="L29" s="3">
        <v>7.3</v>
      </c>
      <c r="M29" s="26">
        <v>7.4</v>
      </c>
      <c r="N29" s="26">
        <v>8.1638264851485154</v>
      </c>
      <c r="O29" s="26">
        <v>1.7</v>
      </c>
      <c r="P29" s="26">
        <v>1.7</v>
      </c>
      <c r="Q29" s="26">
        <v>1.6</v>
      </c>
      <c r="R29" s="26">
        <v>2.7816371287128709</v>
      </c>
      <c r="S29" s="26">
        <v>22.9</v>
      </c>
      <c r="T29" s="26">
        <v>21.7</v>
      </c>
      <c r="U29" s="26">
        <v>21.9</v>
      </c>
      <c r="V29" s="26">
        <v>22.60446489648966</v>
      </c>
      <c r="W29" s="27" t="s">
        <v>147</v>
      </c>
    </row>
    <row r="30" spans="1:23" ht="38.25" x14ac:dyDescent="0.2">
      <c r="A30" s="20" t="s">
        <v>50</v>
      </c>
      <c r="B30" s="29">
        <v>46</v>
      </c>
      <c r="C30" s="26">
        <v>3.8</v>
      </c>
      <c r="D30" s="26">
        <v>3.9</v>
      </c>
      <c r="E30" s="26">
        <v>5</v>
      </c>
      <c r="F30" s="26">
        <v>3.125448814169919</v>
      </c>
      <c r="G30" s="26">
        <v>4.3</v>
      </c>
      <c r="H30" s="26">
        <v>4.4000000000000004</v>
      </c>
      <c r="I30" s="26">
        <v>3.9</v>
      </c>
      <c r="J30" s="26">
        <v>4.3504368057640344</v>
      </c>
      <c r="K30" s="26">
        <v>6.1</v>
      </c>
      <c r="L30" s="3">
        <v>6.3</v>
      </c>
      <c r="M30" s="26">
        <v>6.3</v>
      </c>
      <c r="N30" s="26">
        <v>7.283704747169172</v>
      </c>
      <c r="O30" s="26">
        <v>1.4</v>
      </c>
      <c r="P30" s="26">
        <v>1.7</v>
      </c>
      <c r="Q30" s="26">
        <v>1.9</v>
      </c>
      <c r="R30" s="26">
        <v>1.3924422095466826</v>
      </c>
      <c r="S30" s="26">
        <v>18.100000000000001</v>
      </c>
      <c r="T30" s="26">
        <v>16.5</v>
      </c>
      <c r="U30" s="26">
        <v>17.399999999999999</v>
      </c>
      <c r="V30" s="26">
        <v>17.856471136938755</v>
      </c>
      <c r="W30" s="27" t="s">
        <v>51</v>
      </c>
    </row>
    <row r="31" spans="1:23" ht="38.25" x14ac:dyDescent="0.2">
      <c r="A31" s="20" t="s">
        <v>52</v>
      </c>
      <c r="B31" s="29">
        <v>47</v>
      </c>
      <c r="C31" s="26">
        <v>3.6</v>
      </c>
      <c r="D31" s="26">
        <v>4.0999999999999996</v>
      </c>
      <c r="E31" s="26">
        <v>6.1</v>
      </c>
      <c r="F31" s="26">
        <v>5.7123157394198776</v>
      </c>
      <c r="G31" s="26">
        <v>5.3</v>
      </c>
      <c r="H31" s="26">
        <v>5.8</v>
      </c>
      <c r="I31" s="26">
        <v>5.9</v>
      </c>
      <c r="J31" s="26">
        <v>7.8968140751307647</v>
      </c>
      <c r="K31" s="26">
        <v>6.9</v>
      </c>
      <c r="L31" s="3">
        <v>6.9</v>
      </c>
      <c r="M31" s="26">
        <v>7</v>
      </c>
      <c r="N31" s="26">
        <v>7.9071306001777995</v>
      </c>
      <c r="O31" s="26">
        <v>2.2999999999999998</v>
      </c>
      <c r="P31" s="26">
        <v>2.4</v>
      </c>
      <c r="Q31" s="26">
        <v>2.5</v>
      </c>
      <c r="R31" s="26">
        <v>3.6485972420351875</v>
      </c>
      <c r="S31" s="26">
        <v>15.7</v>
      </c>
      <c r="T31" s="26">
        <v>14.8</v>
      </c>
      <c r="U31" s="26">
        <v>15.3</v>
      </c>
      <c r="V31" s="26">
        <v>15.737107360016893</v>
      </c>
      <c r="W31" s="27" t="s">
        <v>53</v>
      </c>
    </row>
    <row r="32" spans="1:23" ht="25.5" x14ac:dyDescent="0.2">
      <c r="A32" s="20" t="s">
        <v>54</v>
      </c>
      <c r="B32" s="21" t="s">
        <v>55</v>
      </c>
      <c r="C32" s="26">
        <v>2.9</v>
      </c>
      <c r="D32" s="26">
        <v>3</v>
      </c>
      <c r="E32" s="26">
        <v>4.2</v>
      </c>
      <c r="F32" s="26">
        <v>2.8351454598883339</v>
      </c>
      <c r="G32" s="26">
        <v>3</v>
      </c>
      <c r="H32" s="26">
        <v>3.5</v>
      </c>
      <c r="I32" s="26">
        <v>6.1</v>
      </c>
      <c r="J32" s="26">
        <v>3.3223626212165733</v>
      </c>
      <c r="K32" s="26">
        <v>4.0999999999999996</v>
      </c>
      <c r="L32" s="26">
        <v>4</v>
      </c>
      <c r="M32" s="26">
        <v>4.2</v>
      </c>
      <c r="N32" s="26">
        <v>5.2203298879505287</v>
      </c>
      <c r="O32" s="26">
        <v>1.6</v>
      </c>
      <c r="P32" s="26">
        <v>1.6</v>
      </c>
      <c r="Q32" s="26">
        <v>1.5</v>
      </c>
      <c r="R32" s="26">
        <v>1.3990596532471349</v>
      </c>
      <c r="S32" s="26">
        <v>12.6</v>
      </c>
      <c r="T32" s="26">
        <v>12.5</v>
      </c>
      <c r="U32" s="26">
        <v>12.6</v>
      </c>
      <c r="V32" s="26">
        <v>12.92826088594528</v>
      </c>
      <c r="W32" s="27" t="s">
        <v>56</v>
      </c>
    </row>
    <row r="33" spans="1:23" ht="25.5" x14ac:dyDescent="0.2">
      <c r="A33" s="20" t="s">
        <v>57</v>
      </c>
      <c r="B33" s="21" t="s">
        <v>58</v>
      </c>
      <c r="C33" s="26">
        <v>1.1000000000000001</v>
      </c>
      <c r="D33" s="26">
        <v>1.5</v>
      </c>
      <c r="E33" s="26">
        <v>2</v>
      </c>
      <c r="F33" s="26">
        <v>2.8121046511627905</v>
      </c>
      <c r="G33" s="26">
        <v>2.7</v>
      </c>
      <c r="H33" s="26">
        <v>2.8</v>
      </c>
      <c r="I33" s="26">
        <v>1.9</v>
      </c>
      <c r="J33" s="26">
        <v>2.5890697674418601</v>
      </c>
      <c r="K33" s="26">
        <v>4.5999999999999996</v>
      </c>
      <c r="L33" s="26">
        <v>4.5</v>
      </c>
      <c r="M33" s="26">
        <v>4.7</v>
      </c>
      <c r="N33" s="26">
        <v>4.9714016341923317</v>
      </c>
      <c r="O33" s="26">
        <v>1.1000000000000001</v>
      </c>
      <c r="P33" s="26">
        <v>1.3</v>
      </c>
      <c r="Q33" s="26">
        <v>0.5</v>
      </c>
      <c r="R33" s="26">
        <v>0.5721279069767442</v>
      </c>
      <c r="S33" s="26">
        <v>16</v>
      </c>
      <c r="T33" s="26">
        <v>15.9</v>
      </c>
      <c r="U33" s="26">
        <v>16.100000000000001</v>
      </c>
      <c r="V33" s="26">
        <v>16.386767441860467</v>
      </c>
      <c r="W33" s="27" t="s">
        <v>59</v>
      </c>
    </row>
    <row r="34" spans="1:23" x14ac:dyDescent="0.2">
      <c r="A34" s="20" t="s">
        <v>60</v>
      </c>
      <c r="B34" s="29">
        <v>55</v>
      </c>
      <c r="C34" s="26">
        <v>2.5</v>
      </c>
      <c r="D34" s="26">
        <v>3</v>
      </c>
      <c r="E34" s="26">
        <v>4.0999999999999996</v>
      </c>
      <c r="F34" s="26">
        <v>4.8677580071174376</v>
      </c>
      <c r="G34" s="26">
        <v>5</v>
      </c>
      <c r="H34" s="26">
        <v>4.8</v>
      </c>
      <c r="I34" s="26">
        <v>3.4</v>
      </c>
      <c r="J34" s="26">
        <v>4.9406405693950175</v>
      </c>
      <c r="K34" s="26">
        <v>9.6</v>
      </c>
      <c r="L34" s="3">
        <v>9.6999999999999993</v>
      </c>
      <c r="M34" s="26">
        <v>9.6999999999999993</v>
      </c>
      <c r="N34" s="26">
        <v>10.083985765124552</v>
      </c>
      <c r="O34" s="26">
        <v>2.2999999999999998</v>
      </c>
      <c r="P34" s="26">
        <v>2.8</v>
      </c>
      <c r="Q34" s="26">
        <v>0.7</v>
      </c>
      <c r="R34" s="26">
        <v>0.35587188612099641</v>
      </c>
      <c r="S34" s="26">
        <v>20</v>
      </c>
      <c r="T34" s="26">
        <v>20.6</v>
      </c>
      <c r="U34" s="26">
        <v>20.9</v>
      </c>
      <c r="V34" s="26">
        <v>21.431800711743783</v>
      </c>
      <c r="W34" s="27" t="s">
        <v>148</v>
      </c>
    </row>
    <row r="35" spans="1:23" x14ac:dyDescent="0.2">
      <c r="A35" s="20" t="s">
        <v>61</v>
      </c>
      <c r="B35" s="21" t="s">
        <v>62</v>
      </c>
      <c r="C35" s="26">
        <v>13.5</v>
      </c>
      <c r="D35" s="26">
        <v>14.3</v>
      </c>
      <c r="E35" s="26">
        <v>17.2</v>
      </c>
      <c r="F35" s="26">
        <v>21.671319796954315</v>
      </c>
      <c r="G35" s="26">
        <v>8.1999999999999993</v>
      </c>
      <c r="H35" s="26">
        <v>8.8000000000000007</v>
      </c>
      <c r="I35" s="26">
        <v>9.4</v>
      </c>
      <c r="J35" s="26">
        <v>13.673857868020306</v>
      </c>
      <c r="K35" s="26">
        <v>26.4</v>
      </c>
      <c r="L35" s="3">
        <v>26.9</v>
      </c>
      <c r="M35" s="26">
        <v>27</v>
      </c>
      <c r="N35" s="26">
        <v>21.923857868020306</v>
      </c>
      <c r="O35" s="26">
        <v>8.8000000000000007</v>
      </c>
      <c r="P35" s="26">
        <v>9.3000000000000007</v>
      </c>
      <c r="Q35" s="26">
        <v>10.9</v>
      </c>
      <c r="R35" s="26">
        <v>8.0951776649746172</v>
      </c>
      <c r="S35" s="26">
        <v>7.7</v>
      </c>
      <c r="T35" s="26">
        <v>7.1</v>
      </c>
      <c r="U35" s="26">
        <v>7.4</v>
      </c>
      <c r="V35" s="26">
        <v>11.520836869146621</v>
      </c>
      <c r="W35" s="27" t="s">
        <v>63</v>
      </c>
    </row>
    <row r="36" spans="1:23" ht="51" x14ac:dyDescent="0.2">
      <c r="A36" s="28" t="s">
        <v>64</v>
      </c>
      <c r="B36" s="21" t="s">
        <v>65</v>
      </c>
      <c r="C36" s="26">
        <v>3.8</v>
      </c>
      <c r="D36" s="26">
        <v>4.9000000000000004</v>
      </c>
      <c r="E36" s="26">
        <v>6.9</v>
      </c>
      <c r="F36" s="26">
        <v>7.0610328638497641</v>
      </c>
      <c r="G36" s="26">
        <v>3.6</v>
      </c>
      <c r="H36" s="26">
        <v>2.7</v>
      </c>
      <c r="I36" s="26">
        <v>7.5</v>
      </c>
      <c r="J36" s="26">
        <v>7.274647887323944</v>
      </c>
      <c r="K36" s="26">
        <v>12.7</v>
      </c>
      <c r="L36" s="3">
        <v>12.9</v>
      </c>
      <c r="M36" s="26">
        <v>12.9</v>
      </c>
      <c r="N36" s="26">
        <v>9.2857142857142865</v>
      </c>
      <c r="O36" s="26">
        <v>3.3</v>
      </c>
      <c r="P36" s="26">
        <v>3.7</v>
      </c>
      <c r="Q36" s="26">
        <v>2.1</v>
      </c>
      <c r="R36" s="26">
        <v>3.488262910798122</v>
      </c>
      <c r="S36" s="26">
        <v>12.6</v>
      </c>
      <c r="T36" s="26">
        <v>11.4</v>
      </c>
      <c r="U36" s="26">
        <v>12</v>
      </c>
      <c r="V36" s="26">
        <v>12.727475966912587</v>
      </c>
      <c r="W36" s="27" t="s">
        <v>149</v>
      </c>
    </row>
    <row r="37" spans="1:23" x14ac:dyDescent="0.2">
      <c r="A37" s="20" t="s">
        <v>66</v>
      </c>
      <c r="B37" s="29">
        <v>61</v>
      </c>
      <c r="C37" s="26">
        <v>18.100000000000001</v>
      </c>
      <c r="D37" s="26">
        <v>18.899999999999999</v>
      </c>
      <c r="E37" s="26">
        <v>23.7</v>
      </c>
      <c r="F37" s="26">
        <v>19.64308681672026</v>
      </c>
      <c r="G37" s="26">
        <v>11.8</v>
      </c>
      <c r="H37" s="26">
        <v>12.8</v>
      </c>
      <c r="I37" s="26">
        <v>11.1</v>
      </c>
      <c r="J37" s="26">
        <v>13.440514469453376</v>
      </c>
      <c r="K37" s="26">
        <v>29.9</v>
      </c>
      <c r="L37" s="3">
        <v>30.2</v>
      </c>
      <c r="M37" s="26">
        <v>30.1</v>
      </c>
      <c r="N37" s="26">
        <v>30.111594477019107</v>
      </c>
      <c r="O37" s="26">
        <v>10.5</v>
      </c>
      <c r="P37" s="26">
        <v>10.199999999999999</v>
      </c>
      <c r="Q37" s="26">
        <v>13.5</v>
      </c>
      <c r="R37" s="26">
        <v>6.9163987138263661</v>
      </c>
      <c r="S37" s="26">
        <v>3.1</v>
      </c>
      <c r="T37" s="26">
        <v>3.1</v>
      </c>
      <c r="U37" s="26">
        <v>3.2</v>
      </c>
      <c r="V37" s="26">
        <v>4.1274728868058199</v>
      </c>
      <c r="W37" s="27" t="s">
        <v>150</v>
      </c>
    </row>
    <row r="38" spans="1:23" ht="38.25" x14ac:dyDescent="0.2">
      <c r="A38" s="20" t="s">
        <v>67</v>
      </c>
      <c r="B38" s="29" t="s">
        <v>68</v>
      </c>
      <c r="C38" s="26">
        <v>19.2</v>
      </c>
      <c r="D38" s="26">
        <v>19.100000000000001</v>
      </c>
      <c r="E38" s="26">
        <v>21.7</v>
      </c>
      <c r="F38" s="26">
        <v>29.841477949940405</v>
      </c>
      <c r="G38" s="26">
        <v>10.3</v>
      </c>
      <c r="H38" s="26">
        <v>11.5</v>
      </c>
      <c r="I38" s="26">
        <v>10</v>
      </c>
      <c r="J38" s="26">
        <v>17.009535160905845</v>
      </c>
      <c r="K38" s="26">
        <v>35.4</v>
      </c>
      <c r="L38" s="3">
        <v>35.9</v>
      </c>
      <c r="M38" s="26">
        <v>35.799999999999997</v>
      </c>
      <c r="N38" s="26">
        <v>33.405314449975464</v>
      </c>
      <c r="O38" s="26">
        <v>12.3</v>
      </c>
      <c r="P38" s="26">
        <v>13</v>
      </c>
      <c r="Q38" s="26">
        <v>15.8</v>
      </c>
      <c r="R38" s="26">
        <v>10.871275327771157</v>
      </c>
      <c r="S38" s="26">
        <v>6</v>
      </c>
      <c r="T38" s="26">
        <v>5.3</v>
      </c>
      <c r="U38" s="26">
        <v>5.9</v>
      </c>
      <c r="V38" s="26">
        <v>6.2916523759263709</v>
      </c>
      <c r="W38" s="27" t="s">
        <v>151</v>
      </c>
    </row>
    <row r="39" spans="1:23" x14ac:dyDescent="0.2">
      <c r="A39" s="20" t="s">
        <v>69</v>
      </c>
      <c r="B39" s="21" t="s">
        <v>70</v>
      </c>
      <c r="C39" s="26">
        <v>1.9</v>
      </c>
      <c r="D39" s="26">
        <v>1.8</v>
      </c>
      <c r="E39" s="26">
        <v>2.9</v>
      </c>
      <c r="F39" s="26">
        <v>2.6142355008787344</v>
      </c>
      <c r="G39" s="26">
        <v>2.5</v>
      </c>
      <c r="H39" s="26">
        <v>2.5</v>
      </c>
      <c r="I39" s="26">
        <v>3.5</v>
      </c>
      <c r="J39" s="26">
        <v>3.6792618629173992</v>
      </c>
      <c r="K39" s="26">
        <v>3.4</v>
      </c>
      <c r="L39" s="26">
        <v>3.7</v>
      </c>
      <c r="M39" s="26">
        <v>3.8</v>
      </c>
      <c r="N39" s="26">
        <v>4.2347685998828366</v>
      </c>
      <c r="O39" s="26">
        <v>1.1000000000000001</v>
      </c>
      <c r="P39" s="26">
        <v>1.2</v>
      </c>
      <c r="Q39" s="26">
        <v>0.6</v>
      </c>
      <c r="R39" s="26">
        <v>0.39894551845342707</v>
      </c>
      <c r="S39" s="26">
        <v>13.3</v>
      </c>
      <c r="T39" s="26">
        <v>13.1</v>
      </c>
      <c r="U39" s="26">
        <v>13.2</v>
      </c>
      <c r="V39" s="26">
        <v>14.539852885401269</v>
      </c>
      <c r="W39" s="27" t="s">
        <v>71</v>
      </c>
    </row>
    <row r="40" spans="1:23" x14ac:dyDescent="0.2">
      <c r="A40" s="20" t="s">
        <v>72</v>
      </c>
      <c r="B40" s="21" t="s">
        <v>73</v>
      </c>
      <c r="C40" s="26">
        <v>4.8</v>
      </c>
      <c r="D40" s="26">
        <v>6</v>
      </c>
      <c r="E40" s="26">
        <v>6.7</v>
      </c>
      <c r="F40" s="26">
        <v>6.8251629084215368</v>
      </c>
      <c r="G40" s="26">
        <v>5.3</v>
      </c>
      <c r="H40" s="26">
        <v>5.8</v>
      </c>
      <c r="I40" s="26">
        <v>8.5</v>
      </c>
      <c r="J40" s="26">
        <v>8.9788495167970552</v>
      </c>
      <c r="K40" s="26">
        <v>8.1999999999999993</v>
      </c>
      <c r="L40" s="26">
        <v>7.7</v>
      </c>
      <c r="M40" s="26">
        <v>8.3000000000000007</v>
      </c>
      <c r="N40" s="26">
        <v>9.2805569823196699</v>
      </c>
      <c r="O40" s="26">
        <v>2.2999999999999998</v>
      </c>
      <c r="P40" s="26">
        <v>2.5</v>
      </c>
      <c r="Q40" s="26">
        <v>1.9</v>
      </c>
      <c r="R40" s="26">
        <v>1.2895200184077313</v>
      </c>
      <c r="S40" s="26">
        <v>14.3</v>
      </c>
      <c r="T40" s="26">
        <v>12.1</v>
      </c>
      <c r="U40" s="26">
        <v>13.9</v>
      </c>
      <c r="V40" s="26">
        <v>14.332697501947781</v>
      </c>
      <c r="W40" s="27" t="s">
        <v>152</v>
      </c>
    </row>
    <row r="41" spans="1:23" ht="76.5" x14ac:dyDescent="0.2">
      <c r="A41" s="20" t="s">
        <v>74</v>
      </c>
      <c r="B41" s="29" t="s">
        <v>75</v>
      </c>
      <c r="C41" s="26">
        <v>4.7</v>
      </c>
      <c r="D41" s="26">
        <v>5.6</v>
      </c>
      <c r="E41" s="26">
        <v>5.5</v>
      </c>
      <c r="F41" s="26">
        <v>7.3514041278295599</v>
      </c>
      <c r="G41" s="26">
        <v>5.0999999999999996</v>
      </c>
      <c r="H41" s="26">
        <v>6</v>
      </c>
      <c r="I41" s="26">
        <v>6</v>
      </c>
      <c r="J41" s="26">
        <v>8.048928095872169</v>
      </c>
      <c r="K41" s="26">
        <v>8.1999999999999993</v>
      </c>
      <c r="L41" s="3">
        <v>8.1</v>
      </c>
      <c r="M41" s="26">
        <v>8.1999999999999993</v>
      </c>
      <c r="N41" s="26">
        <v>9.302433692014251</v>
      </c>
      <c r="O41" s="26">
        <v>2.4</v>
      </c>
      <c r="P41" s="26">
        <v>2.2999999999999998</v>
      </c>
      <c r="Q41" s="26">
        <v>1.5</v>
      </c>
      <c r="R41" s="26">
        <v>1.5992856191744342</v>
      </c>
      <c r="S41" s="26">
        <v>14.4</v>
      </c>
      <c r="T41" s="26">
        <v>12.8</v>
      </c>
      <c r="U41" s="26">
        <v>13.7</v>
      </c>
      <c r="V41" s="26">
        <v>14.717908239874701</v>
      </c>
      <c r="W41" s="27" t="s">
        <v>153</v>
      </c>
    </row>
    <row r="42" spans="1:23" x14ac:dyDescent="0.2">
      <c r="A42" s="20" t="s">
        <v>76</v>
      </c>
      <c r="B42" s="29">
        <v>72</v>
      </c>
      <c r="C42" s="26">
        <v>5.4</v>
      </c>
      <c r="D42" s="26">
        <v>7.8</v>
      </c>
      <c r="E42" s="26">
        <v>7.9</v>
      </c>
      <c r="F42" s="26">
        <v>10.625</v>
      </c>
      <c r="G42" s="26">
        <v>6.6</v>
      </c>
      <c r="H42" s="26">
        <v>6.6</v>
      </c>
      <c r="I42" s="26">
        <v>11.2</v>
      </c>
      <c r="J42" s="26">
        <v>23.645833333333332</v>
      </c>
      <c r="K42" s="26">
        <v>8.8000000000000007</v>
      </c>
      <c r="L42" s="3">
        <v>8.8000000000000007</v>
      </c>
      <c r="M42" s="26">
        <v>8.9</v>
      </c>
      <c r="N42" s="26">
        <v>9.7409909909909906</v>
      </c>
      <c r="O42" s="26">
        <v>3.6</v>
      </c>
      <c r="P42" s="26">
        <v>4.5</v>
      </c>
      <c r="Q42" s="26">
        <v>4.3</v>
      </c>
      <c r="R42" s="26">
        <v>0.41666666666666669</v>
      </c>
      <c r="S42" s="26">
        <v>9.3000000000000007</v>
      </c>
      <c r="T42" s="26">
        <v>7.3</v>
      </c>
      <c r="U42" s="26">
        <v>8.8000000000000007</v>
      </c>
      <c r="V42" s="26">
        <v>10.986575481256333</v>
      </c>
      <c r="W42" s="27" t="s">
        <v>154</v>
      </c>
    </row>
    <row r="43" spans="1:23" ht="38.25" x14ac:dyDescent="0.2">
      <c r="A43" s="20" t="s">
        <v>77</v>
      </c>
      <c r="B43" s="29" t="s">
        <v>78</v>
      </c>
      <c r="C43" s="26">
        <v>4.8</v>
      </c>
      <c r="D43" s="26">
        <v>6.3</v>
      </c>
      <c r="E43" s="26">
        <v>10.1</v>
      </c>
      <c r="F43" s="26">
        <v>3.052389162561576</v>
      </c>
      <c r="G43" s="26">
        <v>5.2</v>
      </c>
      <c r="H43" s="26">
        <v>4.9000000000000004</v>
      </c>
      <c r="I43" s="26">
        <v>15.5</v>
      </c>
      <c r="J43" s="26">
        <v>4.301847290640394</v>
      </c>
      <c r="K43" s="26">
        <v>7.8</v>
      </c>
      <c r="L43" s="26">
        <v>8</v>
      </c>
      <c r="M43" s="26">
        <v>8.1</v>
      </c>
      <c r="N43" s="26">
        <v>8.326947144188523</v>
      </c>
      <c r="O43" s="26">
        <v>1.4</v>
      </c>
      <c r="P43" s="26">
        <v>2.4</v>
      </c>
      <c r="Q43" s="26">
        <v>2.2000000000000002</v>
      </c>
      <c r="R43" s="26">
        <v>0.73891625615763545</v>
      </c>
      <c r="S43" s="26">
        <v>16.3</v>
      </c>
      <c r="T43" s="26">
        <v>12.4</v>
      </c>
      <c r="U43" s="26">
        <v>14.6</v>
      </c>
      <c r="V43" s="26">
        <v>15.39384161588333</v>
      </c>
      <c r="W43" s="27" t="s">
        <v>79</v>
      </c>
    </row>
    <row r="44" spans="1:23" ht="25.5" x14ac:dyDescent="0.2">
      <c r="A44" s="20" t="s">
        <v>80</v>
      </c>
      <c r="B44" s="21" t="s">
        <v>81</v>
      </c>
      <c r="C44" s="26">
        <v>1.9</v>
      </c>
      <c r="D44" s="26">
        <v>2.1</v>
      </c>
      <c r="E44" s="26">
        <v>1.8</v>
      </c>
      <c r="F44" s="26">
        <v>2.0279313996627315</v>
      </c>
      <c r="G44" s="26">
        <v>2.7</v>
      </c>
      <c r="H44" s="26">
        <v>3</v>
      </c>
      <c r="I44" s="26">
        <v>1.6</v>
      </c>
      <c r="J44" s="26">
        <v>2.6492183811129841</v>
      </c>
      <c r="K44" s="26">
        <v>4</v>
      </c>
      <c r="L44" s="3">
        <v>3.8</v>
      </c>
      <c r="M44" s="26">
        <v>4.0999999999999996</v>
      </c>
      <c r="N44" s="26">
        <v>5.3779474437957075</v>
      </c>
      <c r="O44" s="26">
        <v>1.3</v>
      </c>
      <c r="P44" s="26">
        <v>1.3</v>
      </c>
      <c r="Q44" s="26">
        <v>0.9</v>
      </c>
      <c r="R44" s="26">
        <v>0.91049295109612138</v>
      </c>
      <c r="S44" s="26">
        <v>11.9</v>
      </c>
      <c r="T44" s="26">
        <v>12.2</v>
      </c>
      <c r="U44" s="26">
        <v>12</v>
      </c>
      <c r="V44" s="26">
        <v>12.553956339666932</v>
      </c>
      <c r="W44" s="27" t="s">
        <v>82</v>
      </c>
    </row>
    <row r="45" spans="1:23" ht="79.5" customHeight="1" x14ac:dyDescent="0.2">
      <c r="A45" s="20" t="s">
        <v>83</v>
      </c>
      <c r="B45" s="21" t="s">
        <v>84</v>
      </c>
      <c r="C45" s="26">
        <v>1.8</v>
      </c>
      <c r="D45" s="26">
        <v>1.9</v>
      </c>
      <c r="E45" s="26">
        <v>1.6</v>
      </c>
      <c r="F45" s="26">
        <v>1.8876274687065364</v>
      </c>
      <c r="G45" s="26">
        <v>2.5</v>
      </c>
      <c r="H45" s="26">
        <v>2.6</v>
      </c>
      <c r="I45" s="26">
        <v>1.5</v>
      </c>
      <c r="J45" s="26">
        <v>2.4266107440890119</v>
      </c>
      <c r="K45" s="26">
        <v>3.9</v>
      </c>
      <c r="L45" s="3">
        <v>3.8</v>
      </c>
      <c r="M45" s="26">
        <v>4</v>
      </c>
      <c r="N45" s="26">
        <v>5.1717267385257308</v>
      </c>
      <c r="O45" s="26">
        <v>1.3</v>
      </c>
      <c r="P45" s="26">
        <v>1.3</v>
      </c>
      <c r="Q45" s="26">
        <v>0.8</v>
      </c>
      <c r="R45" s="26">
        <v>0.83713894297635594</v>
      </c>
      <c r="S45" s="26">
        <v>11.2</v>
      </c>
      <c r="T45" s="26">
        <v>11.6</v>
      </c>
      <c r="U45" s="26">
        <v>11.7</v>
      </c>
      <c r="V45" s="26">
        <v>12.338138604360156</v>
      </c>
      <c r="W45" s="27" t="s">
        <v>205</v>
      </c>
    </row>
    <row r="46" spans="1:23" ht="51" x14ac:dyDescent="0.2">
      <c r="A46" s="20" t="s">
        <v>85</v>
      </c>
      <c r="B46" s="29">
        <v>79</v>
      </c>
      <c r="C46" s="26">
        <v>3.2</v>
      </c>
      <c r="D46" s="26">
        <v>6.7</v>
      </c>
      <c r="E46" s="26">
        <v>5.7</v>
      </c>
      <c r="F46" s="26">
        <v>6.5617977528089888</v>
      </c>
      <c r="G46" s="26">
        <v>7</v>
      </c>
      <c r="H46" s="26">
        <v>10.9</v>
      </c>
      <c r="I46" s="26">
        <v>2.6</v>
      </c>
      <c r="J46" s="26">
        <v>9.8426966292134832</v>
      </c>
      <c r="K46" s="26">
        <v>6.3</v>
      </c>
      <c r="L46" s="3">
        <v>6.2</v>
      </c>
      <c r="M46" s="26">
        <v>6.4</v>
      </c>
      <c r="N46" s="26">
        <v>9.6922325354176859</v>
      </c>
      <c r="O46" s="26">
        <v>1.1000000000000001</v>
      </c>
      <c r="P46" s="26">
        <v>1.6</v>
      </c>
      <c r="Q46" s="26">
        <v>3.6</v>
      </c>
      <c r="R46" s="26">
        <v>3.2808988764044944</v>
      </c>
      <c r="S46" s="26">
        <v>25.9</v>
      </c>
      <c r="T46" s="26">
        <v>23.2</v>
      </c>
      <c r="U46" s="26">
        <v>25.5</v>
      </c>
      <c r="V46" s="26">
        <v>28.05554192630391</v>
      </c>
      <c r="W46" s="27" t="s">
        <v>155</v>
      </c>
    </row>
    <row r="47" spans="1:23" ht="27" customHeight="1" x14ac:dyDescent="0.2">
      <c r="A47" s="20" t="s">
        <v>86</v>
      </c>
      <c r="B47" s="21" t="s">
        <v>87</v>
      </c>
      <c r="C47" s="26">
        <v>10.3</v>
      </c>
      <c r="D47" s="26">
        <v>13.4</v>
      </c>
      <c r="E47" s="26">
        <v>7.9</v>
      </c>
      <c r="F47" s="26">
        <v>3.8242625000000001</v>
      </c>
      <c r="G47" s="26">
        <v>14.7</v>
      </c>
      <c r="H47" s="26">
        <v>16.399999999999999</v>
      </c>
      <c r="I47" s="26">
        <v>7.9</v>
      </c>
      <c r="J47" s="26">
        <v>4.0345895833333332</v>
      </c>
      <c r="K47" s="26">
        <v>23.5</v>
      </c>
      <c r="L47" s="3">
        <v>19.399999999999999</v>
      </c>
      <c r="M47" s="26">
        <v>22.4</v>
      </c>
      <c r="N47" s="26">
        <v>18.738860294117654</v>
      </c>
      <c r="O47" s="26">
        <v>5.9</v>
      </c>
      <c r="P47" s="26">
        <v>6.1</v>
      </c>
      <c r="Q47" s="26">
        <v>7.3</v>
      </c>
      <c r="R47" s="26">
        <v>4.0345895833333332</v>
      </c>
      <c r="S47" s="26">
        <v>10.4</v>
      </c>
      <c r="T47" s="26">
        <v>11.8</v>
      </c>
      <c r="U47" s="26">
        <v>10.9</v>
      </c>
      <c r="V47" s="26">
        <v>11.144962053571428</v>
      </c>
      <c r="W47" s="27" t="s">
        <v>88</v>
      </c>
    </row>
    <row r="48" spans="1:23" ht="53.25" customHeight="1" x14ac:dyDescent="0.2">
      <c r="A48" s="20" t="s">
        <v>89</v>
      </c>
      <c r="B48" s="21" t="s">
        <v>90</v>
      </c>
      <c r="C48" s="26">
        <v>19.100000000000001</v>
      </c>
      <c r="D48" s="26">
        <v>18.5</v>
      </c>
      <c r="E48" s="26">
        <v>20.7</v>
      </c>
      <c r="F48" s="26">
        <v>26.021600416666669</v>
      </c>
      <c r="G48" s="26">
        <v>11.4</v>
      </c>
      <c r="H48" s="26">
        <v>11.2</v>
      </c>
      <c r="I48" s="26">
        <v>11.7</v>
      </c>
      <c r="J48" s="26">
        <v>13.783097430555557</v>
      </c>
      <c r="K48" s="26">
        <v>22.6</v>
      </c>
      <c r="L48" s="3">
        <v>23.1</v>
      </c>
      <c r="M48" s="26">
        <v>23.4</v>
      </c>
      <c r="N48" s="26">
        <v>24.190393849206345</v>
      </c>
      <c r="O48" s="26">
        <v>11.2</v>
      </c>
      <c r="P48" s="26">
        <v>11.6</v>
      </c>
      <c r="Q48" s="26">
        <v>12.6</v>
      </c>
      <c r="R48" s="26">
        <v>8.2039307638888896</v>
      </c>
      <c r="S48" s="26">
        <v>5.8</v>
      </c>
      <c r="T48" s="26">
        <v>5.0999999999999996</v>
      </c>
      <c r="U48" s="26">
        <v>5.3</v>
      </c>
      <c r="V48" s="26">
        <v>6.2194694108422937</v>
      </c>
      <c r="W48" s="27" t="s">
        <v>91</v>
      </c>
    </row>
    <row r="49" spans="1:33" x14ac:dyDescent="0.2">
      <c r="A49" s="114"/>
      <c r="B49" s="115"/>
      <c r="C49" s="120"/>
      <c r="D49" s="119"/>
      <c r="E49" s="120"/>
      <c r="F49" s="119"/>
      <c r="G49" s="120"/>
      <c r="H49" s="119"/>
      <c r="I49" s="120"/>
      <c r="J49" s="119"/>
      <c r="K49" s="120"/>
      <c r="L49" s="120"/>
      <c r="M49" s="120"/>
      <c r="N49" s="119"/>
      <c r="O49" s="119"/>
      <c r="P49" s="119"/>
      <c r="Q49" s="120"/>
      <c r="R49" s="119"/>
      <c r="S49" s="120"/>
      <c r="T49" s="120"/>
      <c r="U49" s="120"/>
      <c r="V49" s="119"/>
      <c r="W49" s="121"/>
    </row>
    <row r="50" spans="1:33" ht="25.5" x14ac:dyDescent="0.2">
      <c r="A50" s="69" t="s">
        <v>92</v>
      </c>
      <c r="B50" s="69"/>
      <c r="D50" s="26"/>
      <c r="F50" s="26"/>
      <c r="H50" s="26"/>
      <c r="J50" s="26"/>
      <c r="N50" s="26"/>
      <c r="Q50" s="3"/>
      <c r="R50" s="26"/>
      <c r="V50" s="26"/>
      <c r="W50" s="33" t="s">
        <v>156</v>
      </c>
    </row>
    <row r="51" spans="1:33" x14ac:dyDescent="0.2">
      <c r="A51" s="70" t="s">
        <v>93</v>
      </c>
      <c r="B51" s="70"/>
      <c r="C51" s="26">
        <v>1.9</v>
      </c>
      <c r="D51" s="26">
        <v>2</v>
      </c>
      <c r="E51" s="26">
        <v>2.2000000000000002</v>
      </c>
      <c r="F51" s="26">
        <v>2.7490162110245939</v>
      </c>
      <c r="G51" s="26">
        <v>2.4</v>
      </c>
      <c r="H51" s="26">
        <v>2.5</v>
      </c>
      <c r="I51" s="26">
        <v>2.5</v>
      </c>
      <c r="J51" s="26">
        <v>3.4167391143278567</v>
      </c>
      <c r="K51" s="26">
        <v>3.8</v>
      </c>
      <c r="L51" s="26">
        <v>3.7</v>
      </c>
      <c r="M51" s="3">
        <v>3.9</v>
      </c>
      <c r="N51" s="26">
        <v>4.8849050780067262</v>
      </c>
      <c r="O51" s="26">
        <v>0.9</v>
      </c>
      <c r="P51" s="26">
        <v>1</v>
      </c>
      <c r="Q51" s="26">
        <v>0.9</v>
      </c>
      <c r="R51" s="26">
        <v>0.79675802147291874</v>
      </c>
      <c r="S51" s="26">
        <v>14.6</v>
      </c>
      <c r="T51" s="26">
        <v>13.9</v>
      </c>
      <c r="U51" s="3">
        <v>14.3</v>
      </c>
      <c r="V51" s="26">
        <v>14.330408604139429</v>
      </c>
      <c r="W51" s="34" t="s">
        <v>94</v>
      </c>
    </row>
    <row r="52" spans="1:33" x14ac:dyDescent="0.2">
      <c r="A52" s="70" t="s">
        <v>95</v>
      </c>
      <c r="B52" s="70"/>
      <c r="C52" s="26">
        <v>6.6</v>
      </c>
      <c r="D52" s="26">
        <v>7</v>
      </c>
      <c r="E52" s="26">
        <v>9.4</v>
      </c>
      <c r="F52" s="26">
        <v>6.6551817559715936</v>
      </c>
      <c r="G52" s="26">
        <v>7</v>
      </c>
      <c r="H52" s="26">
        <v>7.5</v>
      </c>
      <c r="I52" s="26">
        <v>8.4</v>
      </c>
      <c r="J52" s="26">
        <v>6.6413275274370545</v>
      </c>
      <c r="K52" s="26">
        <v>10.4</v>
      </c>
      <c r="L52" s="26">
        <v>10.5</v>
      </c>
      <c r="M52" s="3">
        <v>10.6</v>
      </c>
      <c r="N52" s="26">
        <v>10.93234979683286</v>
      </c>
      <c r="O52" s="26">
        <v>3.4</v>
      </c>
      <c r="P52" s="26">
        <v>3.3</v>
      </c>
      <c r="Q52" s="26">
        <v>3.6</v>
      </c>
      <c r="R52" s="26">
        <v>3.4530735054874118</v>
      </c>
      <c r="S52" s="26">
        <v>15.7</v>
      </c>
      <c r="T52" s="26">
        <v>14.8</v>
      </c>
      <c r="U52" s="3">
        <v>15.1</v>
      </c>
      <c r="V52" s="26">
        <v>15.570996705394853</v>
      </c>
      <c r="W52" s="27" t="s">
        <v>96</v>
      </c>
    </row>
    <row r="53" spans="1:33" x14ac:dyDescent="0.2">
      <c r="A53" s="70" t="s">
        <v>97</v>
      </c>
      <c r="B53" s="70"/>
      <c r="C53" s="26">
        <v>21.6</v>
      </c>
      <c r="D53" s="26">
        <v>22.7</v>
      </c>
      <c r="E53" s="26">
        <v>21.4</v>
      </c>
      <c r="F53" s="26">
        <v>20.135467980295566</v>
      </c>
      <c r="G53" s="26">
        <v>21.3</v>
      </c>
      <c r="H53" s="26">
        <v>21.1</v>
      </c>
      <c r="I53" s="26">
        <v>20.5</v>
      </c>
      <c r="J53" s="26">
        <v>19.581280788177342</v>
      </c>
      <c r="K53" s="26">
        <v>32.700000000000003</v>
      </c>
      <c r="L53" s="26">
        <v>31.2</v>
      </c>
      <c r="M53" s="3">
        <v>32.9</v>
      </c>
      <c r="N53" s="26">
        <v>27.401477832512317</v>
      </c>
      <c r="O53" s="26">
        <v>16.3</v>
      </c>
      <c r="P53" s="26">
        <v>16</v>
      </c>
      <c r="Q53" s="26">
        <v>15.7</v>
      </c>
      <c r="R53" s="26">
        <v>10.899014778325125</v>
      </c>
      <c r="S53" s="26">
        <v>8.1999999999999993</v>
      </c>
      <c r="T53" s="26">
        <v>8</v>
      </c>
      <c r="U53" s="3">
        <v>8.1</v>
      </c>
      <c r="V53" s="26">
        <v>8.4256978653530386</v>
      </c>
      <c r="W53" s="27" t="s">
        <v>98</v>
      </c>
    </row>
    <row r="55" spans="1:33" ht="17.25" customHeight="1" x14ac:dyDescent="0.2">
      <c r="A55" s="16" t="s">
        <v>110</v>
      </c>
      <c r="G55" s="24"/>
      <c r="H55" s="26"/>
      <c r="I55" s="26"/>
      <c r="J55" s="26"/>
      <c r="K55" s="26"/>
      <c r="L55" s="26"/>
      <c r="M55" s="35"/>
      <c r="N55" s="35"/>
      <c r="O55" s="35"/>
      <c r="P55" s="35"/>
      <c r="Q55" s="35"/>
      <c r="T55" s="26"/>
      <c r="U55" s="26"/>
      <c r="W55" s="3"/>
    </row>
    <row r="56" spans="1:33" ht="38.25" customHeight="1" x14ac:dyDescent="0.2">
      <c r="A56" s="70" t="s">
        <v>178</v>
      </c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</row>
    <row r="57" spans="1:33" ht="12.75" customHeight="1" x14ac:dyDescent="0.2">
      <c r="A57" s="70" t="s">
        <v>112</v>
      </c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</row>
    <row r="58" spans="1:33" ht="12.75" customHeight="1" x14ac:dyDescent="0.2">
      <c r="A58" s="70" t="s">
        <v>179</v>
      </c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20"/>
      <c r="Y58" s="20"/>
      <c r="Z58" s="20"/>
      <c r="AA58" s="20"/>
      <c r="AB58" s="20"/>
      <c r="AC58" s="20"/>
      <c r="AD58" s="20"/>
      <c r="AE58" s="20"/>
      <c r="AF58" s="20"/>
      <c r="AG58" s="20"/>
    </row>
  </sheetData>
  <mergeCells count="17">
    <mergeCell ref="A56:W56"/>
    <mergeCell ref="A58:W58"/>
    <mergeCell ref="A1:W1"/>
    <mergeCell ref="A3:A5"/>
    <mergeCell ref="B3:B5"/>
    <mergeCell ref="C3:J3"/>
    <mergeCell ref="K3:N4"/>
    <mergeCell ref="O3:R4"/>
    <mergeCell ref="S3:V4"/>
    <mergeCell ref="W3:W5"/>
    <mergeCell ref="C4:F4"/>
    <mergeCell ref="G4:J4"/>
    <mergeCell ref="A57:W57"/>
    <mergeCell ref="A50:B50"/>
    <mergeCell ref="A51:B51"/>
    <mergeCell ref="A52:B52"/>
    <mergeCell ref="A53:B53"/>
  </mergeCells>
  <printOptions horizontalCentered="1"/>
  <pageMargins left="0.59055118110236227" right="0.39370078740157483" top="0.31496062992125984" bottom="0.31496062992125984" header="0.27559055118110237" footer="0.23622047244094491"/>
  <pageSetup paperSize="9" scale="73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3E70-E903-4F98-9576-A15D3911B15B}">
  <dimension ref="A1:AG57"/>
  <sheetViews>
    <sheetView zoomScale="85" zoomScaleNormal="85" workbookViewId="0">
      <selection sqref="A1:J1"/>
    </sheetView>
  </sheetViews>
  <sheetFormatPr defaultRowHeight="12.75" x14ac:dyDescent="0.2"/>
  <cols>
    <col min="1" max="1" width="54.7109375" style="3" customWidth="1"/>
    <col min="2" max="2" width="25.7109375" style="3" customWidth="1"/>
    <col min="3" max="3" width="31" style="3" customWidth="1"/>
    <col min="4" max="7" width="31.28515625" style="3" customWidth="1"/>
    <col min="8" max="8" width="31.28515625" style="24" customWidth="1"/>
    <col min="9" max="9" width="31.28515625" style="3" customWidth="1"/>
    <col min="10" max="10" width="55.85546875" style="3" customWidth="1"/>
    <col min="11" max="16384" width="9.140625" style="3"/>
  </cols>
  <sheetData>
    <row r="1" spans="1:18" ht="45" customHeight="1" x14ac:dyDescent="0.2">
      <c r="A1" s="54" t="s">
        <v>188</v>
      </c>
      <c r="B1" s="54"/>
      <c r="C1" s="54"/>
      <c r="D1" s="54"/>
      <c r="E1" s="54"/>
      <c r="F1" s="54"/>
      <c r="G1" s="54"/>
      <c r="H1" s="54"/>
      <c r="I1" s="54"/>
      <c r="J1" s="54"/>
    </row>
    <row r="2" spans="1:18" ht="15.75" customHeight="1" x14ac:dyDescent="0.2">
      <c r="J2" s="38"/>
      <c r="K2" s="38"/>
      <c r="L2" s="38"/>
      <c r="M2" s="38"/>
      <c r="N2" s="38"/>
      <c r="O2" s="38"/>
      <c r="P2" s="38"/>
      <c r="Q2" s="38"/>
      <c r="R2" s="38"/>
    </row>
    <row r="3" spans="1:18" ht="28.5" customHeight="1" x14ac:dyDescent="0.2">
      <c r="A3" s="64"/>
      <c r="B3" s="80" t="s">
        <v>131</v>
      </c>
      <c r="C3" s="112" t="s">
        <v>189</v>
      </c>
      <c r="D3" s="109" t="s">
        <v>187</v>
      </c>
      <c r="E3" s="110"/>
      <c r="F3" s="110"/>
      <c r="G3" s="110"/>
      <c r="H3" s="110"/>
      <c r="I3" s="111"/>
      <c r="J3" s="77"/>
      <c r="K3" s="38"/>
      <c r="L3" s="38"/>
      <c r="M3" s="38"/>
      <c r="N3" s="38"/>
      <c r="O3" s="38"/>
      <c r="P3" s="38"/>
      <c r="Q3" s="38"/>
      <c r="R3" s="38"/>
    </row>
    <row r="4" spans="1:18" ht="239.25" customHeight="1" x14ac:dyDescent="0.2">
      <c r="A4" s="66"/>
      <c r="B4" s="82"/>
      <c r="C4" s="113"/>
      <c r="D4" s="47" t="s">
        <v>190</v>
      </c>
      <c r="E4" s="47" t="s">
        <v>191</v>
      </c>
      <c r="F4" s="47" t="s">
        <v>192</v>
      </c>
      <c r="G4" s="47" t="s">
        <v>193</v>
      </c>
      <c r="H4" s="48" t="s">
        <v>194</v>
      </c>
      <c r="I4" s="47" t="s">
        <v>195</v>
      </c>
      <c r="J4" s="79"/>
    </row>
    <row r="5" spans="1:18" ht="21.75" customHeight="1" x14ac:dyDescent="0.2">
      <c r="A5" s="11" t="s">
        <v>0</v>
      </c>
      <c r="B5" s="39"/>
      <c r="C5" s="18">
        <v>24.6504756009553</v>
      </c>
      <c r="D5" s="18">
        <v>21.78908246716162</v>
      </c>
      <c r="E5" s="18">
        <v>3.94621412180053</v>
      </c>
      <c r="F5" s="18">
        <v>5.8791472067909254</v>
      </c>
      <c r="G5" s="18">
        <v>2.1779651549763774</v>
      </c>
      <c r="H5" s="18">
        <v>0.5855609495872488</v>
      </c>
      <c r="I5" s="18">
        <v>0.67983126784694459</v>
      </c>
      <c r="J5" s="19" t="s">
        <v>1</v>
      </c>
    </row>
    <row r="6" spans="1:18" ht="30.75" customHeight="1" x14ac:dyDescent="0.2">
      <c r="A6" s="20" t="s">
        <v>2</v>
      </c>
      <c r="B6" s="21" t="s">
        <v>3</v>
      </c>
      <c r="C6" s="26">
        <v>24.402520943952812</v>
      </c>
      <c r="D6" s="26">
        <v>21.770021028234311</v>
      </c>
      <c r="E6" s="26">
        <v>3.5052726295828069</v>
      </c>
      <c r="F6" s="26">
        <v>4.8779726401179948</v>
      </c>
      <c r="G6" s="26">
        <v>2.4188900021070374</v>
      </c>
      <c r="H6" s="26">
        <v>0.82500769068689428</v>
      </c>
      <c r="I6" s="26">
        <v>0.65474630214917817</v>
      </c>
      <c r="J6" s="27" t="s">
        <v>4</v>
      </c>
    </row>
    <row r="7" spans="1:18" ht="91.5" customHeight="1" x14ac:dyDescent="0.2">
      <c r="A7" s="20" t="s">
        <v>5</v>
      </c>
      <c r="B7" s="21" t="s">
        <v>6</v>
      </c>
      <c r="C7" s="26">
        <v>21.749175926921019</v>
      </c>
      <c r="D7" s="26">
        <v>18.288275282106401</v>
      </c>
      <c r="E7" s="26">
        <v>3.5848083825900052</v>
      </c>
      <c r="F7" s="26">
        <v>5.1538326974744759</v>
      </c>
      <c r="G7" s="26">
        <v>2.4338231864588926</v>
      </c>
      <c r="H7" s="26">
        <v>0.55752444922084909</v>
      </c>
      <c r="I7" s="26">
        <v>0.6445418860827512</v>
      </c>
      <c r="J7" s="27" t="s">
        <v>135</v>
      </c>
    </row>
    <row r="8" spans="1:18" ht="34.5" customHeight="1" x14ac:dyDescent="0.2">
      <c r="A8" s="28" t="s">
        <v>7</v>
      </c>
      <c r="B8" s="21" t="s">
        <v>8</v>
      </c>
      <c r="C8" s="26">
        <v>24.035356143079337</v>
      </c>
      <c r="D8" s="26">
        <v>20.071452047693121</v>
      </c>
      <c r="E8" s="26">
        <v>4.5672768273716944</v>
      </c>
      <c r="F8" s="26">
        <v>5.7021441161223425</v>
      </c>
      <c r="G8" s="26">
        <v>3.4728449974079827</v>
      </c>
      <c r="H8" s="26">
        <v>0.85386521513737701</v>
      </c>
      <c r="I8" s="26">
        <v>0.72568843960601348</v>
      </c>
      <c r="J8" s="27" t="s">
        <v>136</v>
      </c>
    </row>
    <row r="9" spans="1:18" ht="42.75" customHeight="1" x14ac:dyDescent="0.2">
      <c r="A9" s="28" t="s">
        <v>9</v>
      </c>
      <c r="B9" s="21" t="s">
        <v>10</v>
      </c>
      <c r="C9" s="26">
        <v>19.366485013623976</v>
      </c>
      <c r="D9" s="26">
        <v>18.07765667574931</v>
      </c>
      <c r="E9" s="26">
        <v>1.9959128065395095</v>
      </c>
      <c r="F9" s="26">
        <v>2.9591280653950953</v>
      </c>
      <c r="G9" s="26">
        <v>1.4250681198910082</v>
      </c>
      <c r="H9" s="26"/>
      <c r="I9" s="26">
        <v>0.46457765667574935</v>
      </c>
      <c r="J9" s="27" t="s">
        <v>137</v>
      </c>
    </row>
    <row r="10" spans="1:18" ht="32.25" customHeight="1" x14ac:dyDescent="0.2">
      <c r="A10" s="28" t="s">
        <v>11</v>
      </c>
      <c r="B10" s="21" t="s">
        <v>12</v>
      </c>
      <c r="C10" s="26">
        <v>19.236289707271009</v>
      </c>
      <c r="D10" s="26">
        <v>15.186146931067041</v>
      </c>
      <c r="E10" s="26">
        <v>2.8964870632672333</v>
      </c>
      <c r="F10" s="26">
        <v>5.6762316336166201</v>
      </c>
      <c r="G10" s="26">
        <v>1.2403889518413598</v>
      </c>
      <c r="H10" s="26">
        <v>0.40415486307837578</v>
      </c>
      <c r="I10" s="26">
        <v>0.6214654390934844</v>
      </c>
      <c r="J10" s="27" t="s">
        <v>138</v>
      </c>
    </row>
    <row r="11" spans="1:18" ht="89.25" x14ac:dyDescent="0.2">
      <c r="A11" s="20" t="s">
        <v>13</v>
      </c>
      <c r="B11" s="21" t="s">
        <v>14</v>
      </c>
      <c r="C11" s="26">
        <v>29.005112951807234</v>
      </c>
      <c r="D11" s="26">
        <v>27.070932730923698</v>
      </c>
      <c r="E11" s="26">
        <v>3.8125808232931733</v>
      </c>
      <c r="F11" s="26">
        <v>4.7548498995983932</v>
      </c>
      <c r="G11" s="26">
        <v>2.7900471887550204</v>
      </c>
      <c r="H11" s="26">
        <v>1.0290597389558234</v>
      </c>
      <c r="I11" s="26">
        <v>0.86339708835341356</v>
      </c>
      <c r="J11" s="27" t="s">
        <v>139</v>
      </c>
    </row>
    <row r="12" spans="1:18" ht="34.5" customHeight="1" x14ac:dyDescent="0.2">
      <c r="A12" s="20" t="s">
        <v>15</v>
      </c>
      <c r="B12" s="29">
        <v>19</v>
      </c>
      <c r="C12" s="26">
        <v>46.281249999999993</v>
      </c>
      <c r="D12" s="26">
        <v>33.9375</v>
      </c>
      <c r="E12" s="26">
        <v>15.46875</v>
      </c>
      <c r="F12" s="26">
        <v>15.46875</v>
      </c>
      <c r="G12" s="26"/>
      <c r="H12" s="26"/>
      <c r="I12" s="26"/>
      <c r="J12" s="27" t="s">
        <v>140</v>
      </c>
    </row>
    <row r="13" spans="1:18" ht="27" customHeight="1" x14ac:dyDescent="0.2">
      <c r="A13" s="20" t="s">
        <v>16</v>
      </c>
      <c r="B13" s="29">
        <v>20</v>
      </c>
      <c r="C13" s="26">
        <v>29.973939759036135</v>
      </c>
      <c r="D13" s="26">
        <v>27.733248192771082</v>
      </c>
      <c r="E13" s="26">
        <v>3.8305084337349395</v>
      </c>
      <c r="F13" s="26">
        <v>4.794363855421687</v>
      </c>
      <c r="G13" s="26">
        <v>2.5536722891566268</v>
      </c>
      <c r="H13" s="26">
        <v>1.2768361445783134</v>
      </c>
      <c r="I13" s="26">
        <v>1.2768361445783134</v>
      </c>
      <c r="J13" s="27" t="s">
        <v>141</v>
      </c>
    </row>
    <row r="14" spans="1:18" ht="30.75" customHeight="1" x14ac:dyDescent="0.2">
      <c r="A14" s="20" t="s">
        <v>17</v>
      </c>
      <c r="B14" s="29">
        <v>21</v>
      </c>
      <c r="C14" s="26">
        <v>42.21649484536082</v>
      </c>
      <c r="D14" s="26">
        <v>40.154639175257728</v>
      </c>
      <c r="E14" s="26">
        <v>1.0309278350515463</v>
      </c>
      <c r="F14" s="26">
        <v>2.0618556701030926</v>
      </c>
      <c r="G14" s="26">
        <v>1.0309278350515463</v>
      </c>
      <c r="H14" s="26">
        <v>1.0309278350515463</v>
      </c>
      <c r="I14" s="26"/>
      <c r="J14" s="27" t="s">
        <v>142</v>
      </c>
    </row>
    <row r="15" spans="1:18" s="49" customFormat="1" ht="42" customHeight="1" x14ac:dyDescent="0.2">
      <c r="A15" s="20" t="s">
        <v>18</v>
      </c>
      <c r="B15" s="29" t="s">
        <v>19</v>
      </c>
      <c r="C15" s="26">
        <v>27.460635359116033</v>
      </c>
      <c r="D15" s="26">
        <v>25.85290055248619</v>
      </c>
      <c r="E15" s="26">
        <v>3.7361878453038679</v>
      </c>
      <c r="F15" s="26">
        <v>4.6871546961325974</v>
      </c>
      <c r="G15" s="26">
        <v>3.0372928176795582</v>
      </c>
      <c r="H15" s="26">
        <v>0.98066298342541436</v>
      </c>
      <c r="I15" s="26">
        <v>0.82182320441988954</v>
      </c>
      <c r="J15" s="27" t="s">
        <v>20</v>
      </c>
    </row>
    <row r="16" spans="1:18" ht="39.75" customHeight="1" x14ac:dyDescent="0.2">
      <c r="A16" s="28" t="s">
        <v>21</v>
      </c>
      <c r="B16" s="21" t="s">
        <v>22</v>
      </c>
      <c r="C16" s="26">
        <v>26.385361552028229</v>
      </c>
      <c r="D16" s="26">
        <v>24.145502645502649</v>
      </c>
      <c r="E16" s="26">
        <v>4.7821869488536155</v>
      </c>
      <c r="F16" s="26">
        <v>5.3262786596119938</v>
      </c>
      <c r="G16" s="26">
        <v>1.3289241622574954</v>
      </c>
      <c r="H16" s="26">
        <v>0.7522045855379188</v>
      </c>
      <c r="I16" s="26">
        <v>0.3403880070546737</v>
      </c>
      <c r="J16" s="27" t="s">
        <v>143</v>
      </c>
    </row>
    <row r="17" spans="1:10" ht="39.75" customHeight="1" x14ac:dyDescent="0.2">
      <c r="A17" s="20" t="s">
        <v>23</v>
      </c>
      <c r="B17" s="21" t="s">
        <v>24</v>
      </c>
      <c r="C17" s="26">
        <v>23.819633509833587</v>
      </c>
      <c r="D17" s="26">
        <v>21.658767397881995</v>
      </c>
      <c r="E17" s="26">
        <v>2.614118759455371</v>
      </c>
      <c r="F17" s="26">
        <v>4.390124810892587</v>
      </c>
      <c r="G17" s="26">
        <v>2.5857186081694401</v>
      </c>
      <c r="H17" s="26">
        <v>1.0790393343419062</v>
      </c>
      <c r="I17" s="26">
        <v>0.64673978819969746</v>
      </c>
      <c r="J17" s="27" t="s">
        <v>134</v>
      </c>
    </row>
    <row r="18" spans="1:10" ht="35.25" customHeight="1" x14ac:dyDescent="0.2">
      <c r="A18" s="20" t="s">
        <v>25</v>
      </c>
      <c r="B18" s="29">
        <v>26</v>
      </c>
      <c r="C18" s="26">
        <v>25.58791208791208</v>
      </c>
      <c r="D18" s="26">
        <v>23.796703296703289</v>
      </c>
      <c r="E18" s="26">
        <v>5.467032967032968</v>
      </c>
      <c r="F18" s="26">
        <v>7.2417582417582418</v>
      </c>
      <c r="G18" s="26">
        <v>1.2417582417582416</v>
      </c>
      <c r="H18" s="26">
        <v>1.2252747252747254</v>
      </c>
      <c r="I18" s="26"/>
      <c r="J18" s="27" t="s">
        <v>26</v>
      </c>
    </row>
    <row r="19" spans="1:10" ht="18.75" customHeight="1" x14ac:dyDescent="0.2">
      <c r="A19" s="20" t="s">
        <v>27</v>
      </c>
      <c r="B19" s="29">
        <v>27</v>
      </c>
      <c r="C19" s="26">
        <v>19.661016949152547</v>
      </c>
      <c r="D19" s="26">
        <v>18.98305084745763</v>
      </c>
      <c r="E19" s="26">
        <v>1.0169491525423728</v>
      </c>
      <c r="F19" s="26">
        <v>3.7254237288135594</v>
      </c>
      <c r="G19" s="26">
        <v>0.33898305084745761</v>
      </c>
      <c r="H19" s="26">
        <v>0.67796610169491522</v>
      </c>
      <c r="I19" s="26">
        <v>0.33898305084745761</v>
      </c>
      <c r="J19" s="27" t="s">
        <v>28</v>
      </c>
    </row>
    <row r="20" spans="1:10" ht="18.75" customHeight="1" x14ac:dyDescent="0.2">
      <c r="A20" s="20" t="s">
        <v>29</v>
      </c>
      <c r="B20" s="29">
        <v>28</v>
      </c>
      <c r="C20" s="26">
        <v>23.854506666666662</v>
      </c>
      <c r="D20" s="26">
        <v>21.470559999999995</v>
      </c>
      <c r="E20" s="26">
        <v>1.3363333333333334</v>
      </c>
      <c r="F20" s="26">
        <v>3.768653333333333</v>
      </c>
      <c r="G20" s="26">
        <v>2.9686533333333336</v>
      </c>
      <c r="H20" s="26">
        <v>0.64034666666666662</v>
      </c>
      <c r="I20" s="26">
        <v>0.64034666666666662</v>
      </c>
      <c r="J20" s="27" t="s">
        <v>144</v>
      </c>
    </row>
    <row r="21" spans="1:10" ht="41.25" customHeight="1" x14ac:dyDescent="0.2">
      <c r="A21" s="20" t="s">
        <v>30</v>
      </c>
      <c r="B21" s="29" t="s">
        <v>31</v>
      </c>
      <c r="C21" s="26">
        <v>28.267372881355925</v>
      </c>
      <c r="D21" s="26">
        <v>22.505932203389825</v>
      </c>
      <c r="E21" s="26">
        <v>3.1802542372881355</v>
      </c>
      <c r="F21" s="26">
        <v>7.183898305084746</v>
      </c>
      <c r="G21" s="26">
        <v>3.0894915254237292</v>
      </c>
      <c r="H21" s="26">
        <v>1.4818644067796611</v>
      </c>
      <c r="I21" s="26">
        <v>1.4818644067796611</v>
      </c>
      <c r="J21" s="27" t="s">
        <v>145</v>
      </c>
    </row>
    <row r="22" spans="1:10" ht="29.25" customHeight="1" x14ac:dyDescent="0.2">
      <c r="A22" s="20" t="s">
        <v>32</v>
      </c>
      <c r="B22" s="29" t="s">
        <v>33</v>
      </c>
      <c r="C22" s="26">
        <v>23.674962743437767</v>
      </c>
      <c r="D22" s="26">
        <v>21.947892464013549</v>
      </c>
      <c r="E22" s="26">
        <v>3.2717527519051646</v>
      </c>
      <c r="F22" s="26">
        <v>3.9530906011854356</v>
      </c>
      <c r="G22" s="26">
        <v>3.0101862828111772</v>
      </c>
      <c r="H22" s="26">
        <v>1.3547840812870449</v>
      </c>
      <c r="I22" s="26">
        <v>0.66045723962743441</v>
      </c>
      <c r="J22" s="27" t="s">
        <v>146</v>
      </c>
    </row>
    <row r="23" spans="1:10" s="49" customFormat="1" ht="39.75" customHeight="1" x14ac:dyDescent="0.2">
      <c r="A23" s="20" t="s">
        <v>34</v>
      </c>
      <c r="B23" s="29" t="s">
        <v>35</v>
      </c>
      <c r="C23" s="26">
        <v>23.045957918050956</v>
      </c>
      <c r="D23" s="26">
        <v>20.673311184939099</v>
      </c>
      <c r="E23" s="26">
        <v>1.8875968992248064</v>
      </c>
      <c r="F23" s="26">
        <v>4.4258028792912514</v>
      </c>
      <c r="G23" s="26">
        <v>1.6328903654485047</v>
      </c>
      <c r="H23" s="26">
        <v>0.59468438538205981</v>
      </c>
      <c r="I23" s="26">
        <v>1.1417497231450717</v>
      </c>
      <c r="J23" s="27" t="s">
        <v>36</v>
      </c>
    </row>
    <row r="24" spans="1:10" ht="26.25" customHeight="1" x14ac:dyDescent="0.2">
      <c r="A24" s="20" t="s">
        <v>37</v>
      </c>
      <c r="B24" s="21" t="s">
        <v>38</v>
      </c>
      <c r="C24" s="26">
        <v>29.373259052924823</v>
      </c>
      <c r="D24" s="26">
        <v>26.720055710306429</v>
      </c>
      <c r="E24" s="26">
        <v>1.8175487465181062</v>
      </c>
      <c r="F24" s="26">
        <v>6.2228412256267402</v>
      </c>
      <c r="G24" s="26">
        <v>0.4178272980501393</v>
      </c>
      <c r="H24" s="26"/>
      <c r="I24" s="26"/>
      <c r="J24" s="27" t="s">
        <v>39</v>
      </c>
    </row>
    <row r="25" spans="1:10" ht="29.25" customHeight="1" x14ac:dyDescent="0.2">
      <c r="A25" s="20" t="s">
        <v>40</v>
      </c>
      <c r="B25" s="21" t="s">
        <v>41</v>
      </c>
      <c r="C25" s="26">
        <v>18.870404411764707</v>
      </c>
      <c r="D25" s="26">
        <v>16.682904411764707</v>
      </c>
      <c r="E25" s="26">
        <v>1.9338235294117645</v>
      </c>
      <c r="F25" s="26">
        <v>3.2398897058823533</v>
      </c>
      <c r="G25" s="26">
        <v>2.4347426470588234</v>
      </c>
      <c r="H25" s="26">
        <v>0.98713235294117663</v>
      </c>
      <c r="I25" s="26">
        <v>1.8952205882352939</v>
      </c>
      <c r="J25" s="27" t="s">
        <v>42</v>
      </c>
    </row>
    <row r="26" spans="1:10" ht="17.25" customHeight="1" x14ac:dyDescent="0.2">
      <c r="A26" s="20" t="s">
        <v>43</v>
      </c>
      <c r="B26" s="21" t="s">
        <v>44</v>
      </c>
      <c r="C26" s="26">
        <v>18.365388934426218</v>
      </c>
      <c r="D26" s="26">
        <v>16.763435535197676</v>
      </c>
      <c r="E26" s="26">
        <v>2.987332135969142</v>
      </c>
      <c r="F26" s="26">
        <v>4.1161054484088719</v>
      </c>
      <c r="G26" s="26">
        <v>1.67706656219865</v>
      </c>
      <c r="H26" s="26">
        <v>0.43082000964320161</v>
      </c>
      <c r="I26" s="26">
        <v>0.74616410318225657</v>
      </c>
      <c r="J26" s="27" t="s">
        <v>45</v>
      </c>
    </row>
    <row r="27" spans="1:10" ht="31.5" customHeight="1" x14ac:dyDescent="0.2">
      <c r="A27" s="20" t="s">
        <v>46</v>
      </c>
      <c r="B27" s="21" t="s">
        <v>47</v>
      </c>
      <c r="C27" s="26">
        <v>29.020733810741717</v>
      </c>
      <c r="D27" s="26">
        <v>25.851050946291576</v>
      </c>
      <c r="E27" s="26">
        <v>4.9076683375959078</v>
      </c>
      <c r="F27" s="26">
        <v>7.6160560613810739</v>
      </c>
      <c r="G27" s="26">
        <v>2.3474019948849101</v>
      </c>
      <c r="H27" s="26">
        <v>0.43485263427109966</v>
      </c>
      <c r="I27" s="26">
        <v>0.54484342710997447</v>
      </c>
      <c r="J27" s="27" t="s">
        <v>48</v>
      </c>
    </row>
    <row r="28" spans="1:10" ht="36.75" customHeight="1" x14ac:dyDescent="0.2">
      <c r="A28" s="20" t="s">
        <v>49</v>
      </c>
      <c r="B28" s="29">
        <v>45</v>
      </c>
      <c r="C28" s="26">
        <v>36.223349504950505</v>
      </c>
      <c r="D28" s="26">
        <v>34.354339603960412</v>
      </c>
      <c r="E28" s="26">
        <v>8.299542574257428</v>
      </c>
      <c r="F28" s="26">
        <v>8.8895425742574279</v>
      </c>
      <c r="G28" s="26">
        <v>4.1398856435643561</v>
      </c>
      <c r="H28" s="26">
        <v>1.7798856435643562</v>
      </c>
      <c r="I28" s="26">
        <v>1.0908757425742572</v>
      </c>
      <c r="J28" s="27" t="s">
        <v>147</v>
      </c>
    </row>
    <row r="29" spans="1:10" ht="38.25" customHeight="1" x14ac:dyDescent="0.2">
      <c r="A29" s="20" t="s">
        <v>50</v>
      </c>
      <c r="B29" s="29">
        <v>46</v>
      </c>
      <c r="C29" s="26">
        <v>26.953631041729249</v>
      </c>
      <c r="D29" s="26">
        <v>24.144572200540395</v>
      </c>
      <c r="E29" s="26">
        <v>3.5327108976283399</v>
      </c>
      <c r="F29" s="26">
        <v>6.4448378865205642</v>
      </c>
      <c r="G29" s="26">
        <v>1.7289957970579406</v>
      </c>
      <c r="H29" s="26">
        <v>4.5031522065445813E-2</v>
      </c>
      <c r="I29" s="26">
        <v>0.31087661362954067</v>
      </c>
      <c r="J29" s="27" t="s">
        <v>51</v>
      </c>
    </row>
    <row r="30" spans="1:10" ht="40.5" customHeight="1" x14ac:dyDescent="0.2">
      <c r="A30" s="20" t="s">
        <v>52</v>
      </c>
      <c r="B30" s="29">
        <v>47</v>
      </c>
      <c r="C30" s="26">
        <v>32.109843081312441</v>
      </c>
      <c r="D30" s="26">
        <v>27.1730860675226</v>
      </c>
      <c r="E30" s="26">
        <v>7.6343319067998099</v>
      </c>
      <c r="F30" s="26">
        <v>10.71469329529244</v>
      </c>
      <c r="G30" s="26">
        <v>3.4455539705183074</v>
      </c>
      <c r="H30" s="26">
        <v>1.0237755587256301</v>
      </c>
      <c r="I30" s="26">
        <v>1.0237755587256301</v>
      </c>
      <c r="J30" s="27" t="s">
        <v>53</v>
      </c>
    </row>
    <row r="31" spans="1:10" ht="28.5" customHeight="1" x14ac:dyDescent="0.2">
      <c r="A31" s="20" t="s">
        <v>54</v>
      </c>
      <c r="B31" s="21" t="s">
        <v>55</v>
      </c>
      <c r="C31" s="26">
        <v>23.888333823097284</v>
      </c>
      <c r="D31" s="26">
        <v>20.920658242727026</v>
      </c>
      <c r="E31" s="26">
        <v>4.7972377314134604</v>
      </c>
      <c r="F31" s="26">
        <v>5.480752277402293</v>
      </c>
      <c r="G31" s="26">
        <v>2.6911548633558628</v>
      </c>
      <c r="H31" s="26">
        <v>0.21422274463708491</v>
      </c>
      <c r="I31" s="26">
        <v>0.45783132530120474</v>
      </c>
      <c r="J31" s="27" t="s">
        <v>56</v>
      </c>
    </row>
    <row r="32" spans="1:10" ht="28.5" customHeight="1" x14ac:dyDescent="0.2">
      <c r="A32" s="20" t="s">
        <v>57</v>
      </c>
      <c r="B32" s="21" t="s">
        <v>58</v>
      </c>
      <c r="C32" s="26">
        <v>22.729313953488379</v>
      </c>
      <c r="D32" s="26">
        <v>20.013488372093025</v>
      </c>
      <c r="E32" s="26">
        <v>3.3034767441860464</v>
      </c>
      <c r="F32" s="26">
        <v>4.8549069767441857</v>
      </c>
      <c r="G32" s="26">
        <v>1.4147209302325581</v>
      </c>
      <c r="H32" s="26">
        <v>0.74218604651162789</v>
      </c>
      <c r="I32" s="26">
        <v>0.85846511627906985</v>
      </c>
      <c r="J32" s="27" t="s">
        <v>59</v>
      </c>
    </row>
    <row r="33" spans="1:10" ht="18" customHeight="1" x14ac:dyDescent="0.2">
      <c r="A33" s="20" t="s">
        <v>60</v>
      </c>
      <c r="B33" s="29">
        <v>55</v>
      </c>
      <c r="C33" s="26">
        <v>26.057793594306055</v>
      </c>
      <c r="D33" s="26">
        <v>22.643131672597864</v>
      </c>
      <c r="E33" s="26">
        <v>5.3306761565836291</v>
      </c>
      <c r="F33" s="26">
        <v>7.926548042704626</v>
      </c>
      <c r="G33" s="26">
        <v>0.78234875444839858</v>
      </c>
      <c r="H33" s="26"/>
      <c r="I33" s="26"/>
      <c r="J33" s="27" t="s">
        <v>148</v>
      </c>
    </row>
    <row r="34" spans="1:10" ht="18" customHeight="1" x14ac:dyDescent="0.2">
      <c r="A34" s="20" t="s">
        <v>61</v>
      </c>
      <c r="B34" s="21" t="s">
        <v>62</v>
      </c>
      <c r="C34" s="26">
        <v>28.345177664974621</v>
      </c>
      <c r="D34" s="26">
        <v>20.692258883248734</v>
      </c>
      <c r="E34" s="26">
        <v>11.017766497461929</v>
      </c>
      <c r="F34" s="26">
        <v>14.05964467005076</v>
      </c>
      <c r="G34" s="26">
        <v>4.0418781725888326</v>
      </c>
      <c r="H34" s="26">
        <v>1.7385786802030461</v>
      </c>
      <c r="I34" s="26">
        <v>1.3470812182741119</v>
      </c>
      <c r="J34" s="27" t="s">
        <v>63</v>
      </c>
    </row>
    <row r="35" spans="1:10" ht="57" customHeight="1" x14ac:dyDescent="0.2">
      <c r="A35" s="28" t="s">
        <v>64</v>
      </c>
      <c r="B35" s="21" t="s">
        <v>65</v>
      </c>
      <c r="C35" s="26">
        <v>26.41549295774648</v>
      </c>
      <c r="D35" s="26">
        <v>19.253521126760567</v>
      </c>
      <c r="E35" s="26">
        <v>10.97887323943662</v>
      </c>
      <c r="F35" s="26">
        <v>12.591549295774648</v>
      </c>
      <c r="G35" s="26">
        <v>4.626760563380282</v>
      </c>
      <c r="H35" s="26">
        <v>1.1384976525821595</v>
      </c>
      <c r="I35" s="26">
        <v>1.1384976525821595</v>
      </c>
      <c r="J35" s="27" t="s">
        <v>149</v>
      </c>
    </row>
    <row r="36" spans="1:10" ht="18.75" customHeight="1" x14ac:dyDescent="0.2">
      <c r="A36" s="20" t="s">
        <v>66</v>
      </c>
      <c r="B36" s="29">
        <v>61</v>
      </c>
      <c r="C36" s="26">
        <v>23.147909967845663</v>
      </c>
      <c r="D36" s="26">
        <v>20.199356913183284</v>
      </c>
      <c r="E36" s="26">
        <v>10.241157556270098</v>
      </c>
      <c r="F36" s="26">
        <v>10.884244372990354</v>
      </c>
      <c r="G36" s="26">
        <v>5.9517684887459801</v>
      </c>
      <c r="H36" s="26">
        <v>1.9839228295819935</v>
      </c>
      <c r="I36" s="26"/>
      <c r="J36" s="27" t="s">
        <v>150</v>
      </c>
    </row>
    <row r="37" spans="1:10" ht="42.75" customHeight="1" x14ac:dyDescent="0.2">
      <c r="A37" s="20" t="s">
        <v>67</v>
      </c>
      <c r="B37" s="29" t="s">
        <v>68</v>
      </c>
      <c r="C37" s="26">
        <v>31.251489868891536</v>
      </c>
      <c r="D37" s="26">
        <v>21.605482717520861</v>
      </c>
      <c r="E37" s="26">
        <v>11.325387365911801</v>
      </c>
      <c r="F37" s="26">
        <v>15.98212157330155</v>
      </c>
      <c r="G37" s="26">
        <v>3.036948748510131</v>
      </c>
      <c r="H37" s="26">
        <v>1.9523241954707991</v>
      </c>
      <c r="I37" s="26">
        <v>1.9523241954707991</v>
      </c>
      <c r="J37" s="27" t="s">
        <v>151</v>
      </c>
    </row>
    <row r="38" spans="1:10" ht="18" customHeight="1" x14ac:dyDescent="0.2">
      <c r="A38" s="20" t="s">
        <v>69</v>
      </c>
      <c r="B38" s="21" t="s">
        <v>70</v>
      </c>
      <c r="C38" s="26">
        <v>22.623901581722308</v>
      </c>
      <c r="D38" s="26">
        <v>21.869947275922659</v>
      </c>
      <c r="E38" s="26">
        <v>2.5289982425307556</v>
      </c>
      <c r="F38" s="26">
        <v>3.2829525483304041</v>
      </c>
      <c r="G38" s="26">
        <v>1.7750439367311071</v>
      </c>
      <c r="H38" s="26">
        <v>1.4200351493848857</v>
      </c>
      <c r="I38" s="26">
        <v>0.71001757469244287</v>
      </c>
      <c r="J38" s="27" t="s">
        <v>71</v>
      </c>
    </row>
    <row r="39" spans="1:10" ht="26.25" customHeight="1" x14ac:dyDescent="0.2">
      <c r="A39" s="20" t="s">
        <v>72</v>
      </c>
      <c r="B39" s="21" t="s">
        <v>73</v>
      </c>
      <c r="C39" s="26">
        <v>26.053009203865624</v>
      </c>
      <c r="D39" s="26">
        <v>21.843792452830186</v>
      </c>
      <c r="E39" s="26">
        <v>3.2335006902899219</v>
      </c>
      <c r="F39" s="26">
        <v>6.5462876208007366</v>
      </c>
      <c r="G39" s="26">
        <v>1.2046912103083296</v>
      </c>
      <c r="H39" s="26">
        <v>4.6019328117809483E-2</v>
      </c>
      <c r="I39" s="26">
        <v>1.0594233778186839</v>
      </c>
      <c r="J39" s="27" t="s">
        <v>152</v>
      </c>
    </row>
    <row r="40" spans="1:10" ht="82.5" customHeight="1" x14ac:dyDescent="0.2">
      <c r="A40" s="20" t="s">
        <v>74</v>
      </c>
      <c r="B40" s="29" t="s">
        <v>75</v>
      </c>
      <c r="C40" s="26">
        <v>26.370658455392803</v>
      </c>
      <c r="D40" s="26">
        <v>22.290220372836217</v>
      </c>
      <c r="E40" s="26">
        <v>3.0706571238348865</v>
      </c>
      <c r="F40" s="26">
        <v>6.0752283621837551</v>
      </c>
      <c r="G40" s="26">
        <v>1.6097163781624499</v>
      </c>
      <c r="H40" s="26"/>
      <c r="I40" s="26">
        <v>1.4661298268974701</v>
      </c>
      <c r="J40" s="27" t="s">
        <v>153</v>
      </c>
    </row>
    <row r="41" spans="1:10" ht="18.75" customHeight="1" x14ac:dyDescent="0.2">
      <c r="A41" s="20" t="s">
        <v>76</v>
      </c>
      <c r="B41" s="29">
        <v>72</v>
      </c>
      <c r="C41" s="26">
        <v>30.104166666666664</v>
      </c>
      <c r="D41" s="26">
        <v>29.6875</v>
      </c>
      <c r="E41" s="26">
        <v>5.7291666666666661</v>
      </c>
      <c r="F41" s="26">
        <v>5.7291666666666661</v>
      </c>
      <c r="G41" s="26">
        <v>0.41666666666666669</v>
      </c>
      <c r="H41" s="26">
        <v>0.41666666666666669</v>
      </c>
      <c r="I41" s="26">
        <v>0.41666666666666669</v>
      </c>
      <c r="J41" s="27" t="s">
        <v>154</v>
      </c>
    </row>
    <row r="42" spans="1:10" ht="38.25" x14ac:dyDescent="0.2">
      <c r="A42" s="20" t="s">
        <v>77</v>
      </c>
      <c r="B42" s="29" t="s">
        <v>78</v>
      </c>
      <c r="C42" s="26">
        <v>23.841034482758623</v>
      </c>
      <c r="D42" s="26">
        <v>16.654310344827586</v>
      </c>
      <c r="E42" s="26">
        <v>2.3134729064039408</v>
      </c>
      <c r="F42" s="26">
        <v>8.9287931034482746</v>
      </c>
      <c r="G42" s="26"/>
      <c r="H42" s="26"/>
      <c r="I42" s="26"/>
      <c r="J42" s="27" t="s">
        <v>79</v>
      </c>
    </row>
    <row r="43" spans="1:10" ht="25.5" x14ac:dyDescent="0.2">
      <c r="A43" s="20" t="s">
        <v>80</v>
      </c>
      <c r="B43" s="21" t="s">
        <v>81</v>
      </c>
      <c r="C43" s="26">
        <v>20.699628937605404</v>
      </c>
      <c r="D43" s="26">
        <v>18.08129827993255</v>
      </c>
      <c r="E43" s="26">
        <v>1.8088281956155146</v>
      </c>
      <c r="F43" s="26">
        <v>4.6119062394603709</v>
      </c>
      <c r="G43" s="26">
        <v>1.5459734232715006</v>
      </c>
      <c r="H43" s="26">
        <v>5.9021922428330528E-2</v>
      </c>
      <c r="I43" s="26">
        <v>0.35460033726812817</v>
      </c>
      <c r="J43" s="27" t="s">
        <v>82</v>
      </c>
    </row>
    <row r="44" spans="1:10" ht="61.5" customHeight="1" x14ac:dyDescent="0.2">
      <c r="A44" s="20" t="s">
        <v>83</v>
      </c>
      <c r="B44" s="21" t="s">
        <v>84</v>
      </c>
      <c r="C44" s="26">
        <v>20.102364325452022</v>
      </c>
      <c r="D44" s="26">
        <v>17.747930945758</v>
      </c>
      <c r="E44" s="26">
        <v>1.5807286509040335</v>
      </c>
      <c r="F44" s="26">
        <v>4.3891870653685672</v>
      </c>
      <c r="G44" s="26">
        <v>1.4112695410292071</v>
      </c>
      <c r="H44" s="26">
        <v>0</v>
      </c>
      <c r="I44" s="26">
        <v>0.2438769123783032</v>
      </c>
      <c r="J44" s="27" t="s">
        <v>205</v>
      </c>
    </row>
    <row r="45" spans="1:10" ht="39.75" customHeight="1" x14ac:dyDescent="0.2">
      <c r="A45" s="20" t="s">
        <v>85</v>
      </c>
      <c r="B45" s="29">
        <v>79</v>
      </c>
      <c r="C45" s="26">
        <v>40.000000000000007</v>
      </c>
      <c r="D45" s="26">
        <v>28.853932584269664</v>
      </c>
      <c r="E45" s="26">
        <v>9.1797752808988768</v>
      </c>
      <c r="F45" s="26">
        <v>11.808988764044944</v>
      </c>
      <c r="G45" s="26">
        <v>5.8988764044943816</v>
      </c>
      <c r="H45" s="26">
        <v>1.9662921348314606</v>
      </c>
      <c r="I45" s="26">
        <v>3.9325842696629212</v>
      </c>
      <c r="J45" s="27" t="s">
        <v>155</v>
      </c>
    </row>
    <row r="46" spans="1:10" ht="28.5" customHeight="1" x14ac:dyDescent="0.2">
      <c r="A46" s="20" t="s">
        <v>86</v>
      </c>
      <c r="B46" s="21" t="s">
        <v>87</v>
      </c>
      <c r="C46" s="26">
        <v>30.995566666666662</v>
      </c>
      <c r="D46" s="26">
        <v>26.750649999999997</v>
      </c>
      <c r="E46" s="26">
        <v>6.1570479166666674</v>
      </c>
      <c r="F46" s="26">
        <v>6.367375</v>
      </c>
      <c r="G46" s="26">
        <v>2.1224583333333333</v>
      </c>
      <c r="H46" s="26">
        <v>0</v>
      </c>
      <c r="I46" s="26">
        <v>2.1224583333333333</v>
      </c>
      <c r="J46" s="27" t="s">
        <v>88</v>
      </c>
    </row>
    <row r="47" spans="1:10" ht="58.5" customHeight="1" x14ac:dyDescent="0.2">
      <c r="A47" s="20" t="s">
        <v>89</v>
      </c>
      <c r="B47" s="21" t="s">
        <v>90</v>
      </c>
      <c r="C47" s="26">
        <v>30.956157777777783</v>
      </c>
      <c r="D47" s="26">
        <v>24.400771666666671</v>
      </c>
      <c r="E47" s="26">
        <v>9.0719015972222241</v>
      </c>
      <c r="F47" s="26">
        <v>11.079606944444444</v>
      </c>
      <c r="G47" s="26">
        <v>3.2825541666666664</v>
      </c>
      <c r="H47" s="26">
        <v>1.7208333333333332</v>
      </c>
      <c r="I47" s="26">
        <v>1.2082486111111113</v>
      </c>
      <c r="J47" s="27" t="s">
        <v>91</v>
      </c>
    </row>
    <row r="48" spans="1:10" ht="12" customHeight="1" x14ac:dyDescent="0.2">
      <c r="A48" s="114"/>
      <c r="B48" s="115"/>
      <c r="C48" s="123"/>
      <c r="D48" s="118"/>
      <c r="E48" s="118"/>
      <c r="F48" s="118"/>
      <c r="G48" s="118"/>
      <c r="H48" s="124"/>
      <c r="I48" s="124"/>
      <c r="J48" s="121"/>
    </row>
    <row r="49" spans="1:33" ht="23.25" customHeight="1" x14ac:dyDescent="0.2">
      <c r="A49" s="69" t="s">
        <v>92</v>
      </c>
      <c r="B49" s="69"/>
      <c r="C49" s="42"/>
      <c r="D49" s="25"/>
      <c r="E49" s="50"/>
      <c r="F49" s="50"/>
      <c r="G49" s="50"/>
      <c r="H49" s="32"/>
      <c r="I49" s="51"/>
      <c r="J49" s="33" t="s">
        <v>156</v>
      </c>
      <c r="L49" s="18"/>
    </row>
    <row r="50" spans="1:33" ht="18.75" customHeight="1" x14ac:dyDescent="0.2">
      <c r="A50" s="70" t="s">
        <v>93</v>
      </c>
      <c r="B50" s="70"/>
      <c r="C50" s="26">
        <v>22.642459359242633</v>
      </c>
      <c r="D50" s="26">
        <v>20.07534560765615</v>
      </c>
      <c r="E50" s="26">
        <v>3.2055552979110185</v>
      </c>
      <c r="F50" s="26">
        <v>4.7927192364422204</v>
      </c>
      <c r="G50" s="26">
        <v>1.8119804171097307</v>
      </c>
      <c r="H50" s="26">
        <v>0.48124436593146502</v>
      </c>
      <c r="I50" s="26">
        <v>0.54004829348609062</v>
      </c>
      <c r="J50" s="34" t="s">
        <v>94</v>
      </c>
      <c r="L50" s="26"/>
    </row>
    <row r="51" spans="1:33" ht="18.75" customHeight="1" x14ac:dyDescent="0.2">
      <c r="A51" s="70" t="s">
        <v>95</v>
      </c>
      <c r="B51" s="70"/>
      <c r="C51" s="26">
        <v>29.669464609425443</v>
      </c>
      <c r="D51" s="26">
        <v>26.662683576500928</v>
      </c>
      <c r="E51" s="26">
        <v>6.25752185926404</v>
      </c>
      <c r="F51" s="26">
        <v>8.476999974176886</v>
      </c>
      <c r="G51" s="26">
        <v>3.4699688315041972</v>
      </c>
      <c r="H51" s="26">
        <v>0.85568262104583592</v>
      </c>
      <c r="I51" s="26">
        <v>1.1161306907682376</v>
      </c>
      <c r="J51" s="27" t="s">
        <v>96</v>
      </c>
      <c r="L51" s="26"/>
    </row>
    <row r="52" spans="1:33" ht="18.75" customHeight="1" x14ac:dyDescent="0.2">
      <c r="A52" s="68" t="s">
        <v>97</v>
      </c>
      <c r="B52" s="68"/>
      <c r="C52" s="26">
        <v>36.761083743842363</v>
      </c>
      <c r="D52" s="26">
        <v>29.310344827586203</v>
      </c>
      <c r="E52" s="26">
        <v>6.2192118226600988</v>
      </c>
      <c r="F52" s="26">
        <v>12.992610837438423</v>
      </c>
      <c r="G52" s="26">
        <v>2.5862068965517242</v>
      </c>
      <c r="H52" s="26">
        <v>1.1699507389162562</v>
      </c>
      <c r="I52" s="26">
        <v>1.1083743842364533</v>
      </c>
      <c r="J52" s="27" t="s">
        <v>98</v>
      </c>
      <c r="L52" s="26"/>
    </row>
    <row r="53" spans="1:33" x14ac:dyDescent="0.2">
      <c r="I53" s="26"/>
    </row>
    <row r="54" spans="1:33" x14ac:dyDescent="0.2">
      <c r="A54" s="16" t="s">
        <v>103</v>
      </c>
      <c r="H54" s="3"/>
    </row>
    <row r="55" spans="1:33" ht="24.75" customHeight="1" x14ac:dyDescent="0.2">
      <c r="A55" s="70" t="s">
        <v>119</v>
      </c>
      <c r="B55" s="70"/>
      <c r="C55" s="70"/>
      <c r="D55" s="70"/>
      <c r="E55" s="70"/>
      <c r="F55" s="70"/>
      <c r="G55" s="70"/>
      <c r="H55" s="70"/>
      <c r="I55" s="70"/>
      <c r="J55" s="70"/>
      <c r="K55" s="20"/>
    </row>
    <row r="56" spans="1:33" ht="17.25" customHeight="1" x14ac:dyDescent="0.2">
      <c r="A56" s="70" t="s">
        <v>120</v>
      </c>
      <c r="B56" s="108"/>
      <c r="C56" s="108"/>
      <c r="D56" s="108"/>
      <c r="E56" s="108"/>
      <c r="F56" s="108"/>
      <c r="G56" s="108"/>
      <c r="H56" s="108"/>
      <c r="I56" s="108"/>
    </row>
    <row r="57" spans="1:33" ht="17.25" customHeight="1" x14ac:dyDescent="0.2">
      <c r="A57" s="70" t="s">
        <v>123</v>
      </c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</row>
  </sheetData>
  <mergeCells count="13">
    <mergeCell ref="A57:AG57"/>
    <mergeCell ref="A1:J1"/>
    <mergeCell ref="A56:I56"/>
    <mergeCell ref="A49:B49"/>
    <mergeCell ref="A50:B50"/>
    <mergeCell ref="A51:B51"/>
    <mergeCell ref="A52:B52"/>
    <mergeCell ref="D3:I3"/>
    <mergeCell ref="C3:C4"/>
    <mergeCell ref="B3:B4"/>
    <mergeCell ref="A3:A4"/>
    <mergeCell ref="J3:J4"/>
    <mergeCell ref="A55:J5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8</vt:i4>
      </vt:variant>
    </vt:vector>
  </HeadingPairs>
  <TitlesOfParts>
    <vt:vector size="8" baseType="lpstr">
      <vt:lpstr>Зміст_Content</vt:lpstr>
      <vt:lpstr>1</vt:lpstr>
      <vt:lpstr>2</vt:lpstr>
      <vt:lpstr>3</vt:lpstr>
      <vt:lpstr>4</vt:lpstr>
      <vt:lpstr>5</vt:lpstr>
      <vt:lpstr>6</vt:lpstr>
      <vt:lpstr>7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S.Naumova</dc:creator>
  <cp:lastModifiedBy>КІСЛЕНКО Ольга Вікторівна</cp:lastModifiedBy>
  <cp:lastPrinted>2024-05-14T11:17:08Z</cp:lastPrinted>
  <dcterms:created xsi:type="dcterms:W3CDTF">2021-09-24T11:37:45Z</dcterms:created>
  <dcterms:modified xsi:type="dcterms:W3CDTF">2024-06-28T13:58:10Z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1384601244</vt:i4>
  </property>
  <property fmtid="{D5CDD505-2E9C-101B-9397-08002B2CF9AE}" pid="3" name="_NewReviewCycle">
    <vt:lpwstr/>
  </property>
  <property fmtid="{D5CDD505-2E9C-101B-9397-08002B2CF9AE}" pid="4" name="_EmailSubject">
    <vt:lpwstr>ІКТ</vt:lpwstr>
  </property>
  <property fmtid="{D5CDD505-2E9C-101B-9397-08002B2CF9AE}" pid="5" name="_AuthorEmail">
    <vt:lpwstr>s.naumova@ukrstat.ua</vt:lpwstr>
  </property>
  <property fmtid="{D5CDD505-2E9C-101B-9397-08002B2CF9AE}" pid="6" name="_AuthorEmailDisplayName">
    <vt:lpwstr>Наумова Світлана Вікторівна</vt:lpwstr>
  </property>
  <property fmtid="{D5CDD505-2E9C-101B-9397-08002B2CF9AE}" pid="7" name="_PreviousAdHocReviewCycleID">
    <vt:i4>-365532046</vt:i4>
  </property>
  <property fmtid="{D5CDD505-2E9C-101B-9397-08002B2CF9AE}" pid="8" name="_ReviewingToolsShownOnce">
    <vt:lpwstr/>
  </property>
</Properties>
</file>